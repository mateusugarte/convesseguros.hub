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01 - CORRETORA\RELATÓRIOS DE COMISSÃO\"/>
    </mc:Choice>
  </mc:AlternateContent>
  <xr:revisionPtr revIDLastSave="0" documentId="13_ncr:1_{E8DE7100-9405-4A76-BD77-67E418FD9262}" xr6:coauthVersionLast="47" xr6:coauthVersionMax="47" xr10:uidLastSave="{00000000-0000-0000-0000-000000000000}"/>
  <bookViews>
    <workbookView xWindow="-120" yWindow="-120" windowWidth="20730" windowHeight="11160" tabRatio="677" firstSheet="142" activeTab="147" xr2:uid="{00000000-000D-0000-FFFF-FFFF00000000}"/>
  </bookViews>
  <sheets>
    <sheet name="MAIO" sheetId="1" r:id="rId1"/>
    <sheet name="JUNHO" sheetId="2" r:id="rId2"/>
    <sheet name="JULHO" sheetId="3" r:id="rId3"/>
    <sheet name="AGOSTO" sheetId="4" r:id="rId4"/>
    <sheet name="SETEMBRO" sheetId="5" r:id="rId5"/>
    <sheet name="OUTUBRO" sheetId="6" r:id="rId6"/>
    <sheet name="NOVEMBRO" sheetId="7" r:id="rId7"/>
    <sheet name="DEZEMBRO" sheetId="8" r:id="rId8"/>
    <sheet name="JANEIRO" sheetId="9" r:id="rId9"/>
    <sheet name="FEVEREIRO" sheetId="10" r:id="rId10"/>
    <sheet name="MARÇO" sheetId="11" r:id="rId11"/>
    <sheet name="ABRIL" sheetId="12" r:id="rId12"/>
    <sheet name="MAIO 2015" sheetId="13" r:id="rId13"/>
    <sheet name="JUNHO 2015" sheetId="15" r:id="rId14"/>
    <sheet name="JULHO 2015" sheetId="16" r:id="rId15"/>
    <sheet name="AGOSTO 2016" sheetId="17" r:id="rId16"/>
    <sheet name="SETEMBRO 2015" sheetId="18" r:id="rId17"/>
    <sheet name="OUTUBRO 2015" sheetId="19" r:id="rId18"/>
    <sheet name="NOVEMBRO 2015" sheetId="20" r:id="rId19"/>
    <sheet name="DEZEMBRO 2015" sheetId="21" r:id="rId20"/>
    <sheet name="JANEIRO 2016" sheetId="22" r:id="rId21"/>
    <sheet name="FEVEREIRO 2016" sheetId="23" r:id="rId22"/>
    <sheet name="MARÇO 2016" sheetId="24" r:id="rId23"/>
    <sheet name="ABRIL 2016" sheetId="25" r:id="rId24"/>
    <sheet name="MAIO 2016" sheetId="26" r:id="rId25"/>
    <sheet name="JUNHO 2016" sheetId="27" r:id="rId26"/>
    <sheet name="JULHO 2016" sheetId="28" r:id="rId27"/>
    <sheet name="AGOSTO 2016," sheetId="29" r:id="rId28"/>
    <sheet name="SETEMBRO 2016" sheetId="30" r:id="rId29"/>
    <sheet name="OUTUBRO 2016" sheetId="31" r:id="rId30"/>
    <sheet name="NOVEMBRO 2016" sheetId="32" r:id="rId31"/>
    <sheet name="Dezembro 2016" sheetId="33" r:id="rId32"/>
    <sheet name="Janeiro 2017" sheetId="34" r:id="rId33"/>
    <sheet name="Fevereiro 2017" sheetId="35" r:id="rId34"/>
    <sheet name="Março 2017" sheetId="36" r:id="rId35"/>
    <sheet name="Abril 2017" sheetId="37" r:id="rId36"/>
    <sheet name="Maio 2017" sheetId="39" r:id="rId37"/>
    <sheet name="Junho 2017" sheetId="40" r:id="rId38"/>
    <sheet name="Julho 2017" sheetId="41" r:id="rId39"/>
    <sheet name="Agosto 2017" sheetId="42" r:id="rId40"/>
    <sheet name="Setembro 2017" sheetId="43" r:id="rId41"/>
    <sheet name="Outubro 2017" sheetId="44" r:id="rId42"/>
    <sheet name="Novembro 2017" sheetId="45" r:id="rId43"/>
    <sheet name="Dezembro 2017" sheetId="46" r:id="rId44"/>
    <sheet name="Janeiro 2018" sheetId="47" r:id="rId45"/>
    <sheet name="Fevereiro 2018" sheetId="48" r:id="rId46"/>
    <sheet name="Março 2018" sheetId="49" r:id="rId47"/>
    <sheet name="Abril 2018" sheetId="50" r:id="rId48"/>
    <sheet name="Maio 2018" sheetId="51" r:id="rId49"/>
    <sheet name="Junho 2018" sheetId="52" r:id="rId50"/>
    <sheet name="Julho 2018" sheetId="53" r:id="rId51"/>
    <sheet name="Agosto 2018" sheetId="54" r:id="rId52"/>
    <sheet name="Setembro 2018" sheetId="55" r:id="rId53"/>
    <sheet name="Outubro 2018" sheetId="56" r:id="rId54"/>
    <sheet name="Novembro 2018" sheetId="57" r:id="rId55"/>
    <sheet name="Dezembro 2018" sheetId="58" r:id="rId56"/>
    <sheet name="Janeiro 2019" sheetId="59" r:id="rId57"/>
    <sheet name="Fevereiro 2019" sheetId="60" r:id="rId58"/>
    <sheet name="Março 2019" sheetId="61" r:id="rId59"/>
    <sheet name="Abril 2019" sheetId="62" r:id="rId60"/>
    <sheet name="Maio 2019" sheetId="63" r:id="rId61"/>
    <sheet name="Junho 2019" sheetId="64" r:id="rId62"/>
    <sheet name="Julho 2019" sheetId="65" r:id="rId63"/>
    <sheet name="Agosto 2019" sheetId="66" r:id="rId64"/>
    <sheet name="Setembro 2019" sheetId="67" r:id="rId65"/>
    <sheet name="Outubro 2019" sheetId="68" r:id="rId66"/>
    <sheet name="Novembro 2019" sheetId="69" r:id="rId67"/>
    <sheet name="Dezembro 2019" sheetId="70" r:id="rId68"/>
    <sheet name="Janeiro 2020" sheetId="71" r:id="rId69"/>
    <sheet name="Fevereiro 2020" sheetId="72" r:id="rId70"/>
    <sheet name="Março 2020" sheetId="73" r:id="rId71"/>
    <sheet name="ABRIL 2020" sheetId="74" r:id="rId72"/>
    <sheet name="MAIO 2020" sheetId="76" r:id="rId73"/>
    <sheet name="Junho 2020" sheetId="77" r:id="rId74"/>
    <sheet name="Julho 2020" sheetId="78" r:id="rId75"/>
    <sheet name="AGOSTO 2020" sheetId="79" r:id="rId76"/>
    <sheet name="SETEMBRO 2020" sheetId="80" r:id="rId77"/>
    <sheet name="OUTUBRO 2020" sheetId="81" r:id="rId78"/>
    <sheet name="NOVEMBRO 2020" sheetId="82" r:id="rId79"/>
    <sheet name="DEZEMBRO 2020" sheetId="83" r:id="rId80"/>
    <sheet name="JANEIRO 2021" sheetId="84" r:id="rId81"/>
    <sheet name="FEVEREIRO 2021" sheetId="85" r:id="rId82"/>
    <sheet name="MARÇO 2021" sheetId="86" r:id="rId83"/>
    <sheet name="ABRIL 2021" sheetId="87" r:id="rId84"/>
    <sheet name="MAIO 2021" sheetId="88" r:id="rId85"/>
    <sheet name="JUNHO 2021" sheetId="89" r:id="rId86"/>
    <sheet name="JULHO 2021" sheetId="90" r:id="rId87"/>
    <sheet name="AGOSTO 2021" sheetId="91" r:id="rId88"/>
    <sheet name="SETEMBRO 2021" sheetId="92" r:id="rId89"/>
    <sheet name="OUTUBRO 2021" sheetId="93" r:id="rId90"/>
    <sheet name="NOVEMBRO 2021" sheetId="94" r:id="rId91"/>
    <sheet name="DEZEMBRO 2021" sheetId="95" r:id="rId92"/>
    <sheet name="JANEIRO 2022" sheetId="96" r:id="rId93"/>
    <sheet name="FEVEREIRO 2022" sheetId="97" r:id="rId94"/>
    <sheet name="MARÇO 2022" sheetId="98" r:id="rId95"/>
    <sheet name="ABRIL 2022" sheetId="99" r:id="rId96"/>
    <sheet name="MAIO 2022" sheetId="100" r:id="rId97"/>
    <sheet name="JUNHO 2022" sheetId="101" r:id="rId98"/>
    <sheet name="JULHO 2022" sheetId="102" r:id="rId99"/>
    <sheet name="AGOSTO 2022" sheetId="103" r:id="rId100"/>
    <sheet name="SETEMBRO 2022" sheetId="104" r:id="rId101"/>
    <sheet name="OUTUBRO 2022" sheetId="105" r:id="rId102"/>
    <sheet name="NOVEMBRO 2022" sheetId="106" r:id="rId103"/>
    <sheet name="DEZEMBRO 2022" sheetId="107" r:id="rId104"/>
    <sheet name="JANEIRO 2023" sheetId="108" r:id="rId105"/>
    <sheet name="FEVEREIRO 2023" sheetId="109" r:id="rId106"/>
    <sheet name="MARÇO 2023" sheetId="110" r:id="rId107"/>
    <sheet name="ABRIL 2023" sheetId="111" r:id="rId108"/>
    <sheet name="MAIO 2023" sheetId="112" r:id="rId109"/>
    <sheet name="JUNHO 2023" sheetId="113" r:id="rId110"/>
    <sheet name="JULHO 2023" sheetId="114" r:id="rId111"/>
    <sheet name="AGOSTO 2023" sheetId="115" r:id="rId112"/>
    <sheet name="SETEMBRO 2023" sheetId="116" r:id="rId113"/>
    <sheet name="OUTUBRO 2023" sheetId="118" r:id="rId114"/>
    <sheet name="NOVEMBRO 2023" sheetId="117" r:id="rId115"/>
    <sheet name="DEZEMBRO 2023" sheetId="119" r:id="rId116"/>
    <sheet name="JANEIRO 2024" sheetId="120" r:id="rId117"/>
    <sheet name="FEVEREIRO 2024" sheetId="121" r:id="rId118"/>
    <sheet name="MARÇO 2024" sheetId="122" r:id="rId119"/>
    <sheet name="ABRIL 2024" sheetId="123" r:id="rId120"/>
    <sheet name="MAIO 2024" sheetId="124" r:id="rId121"/>
    <sheet name="JUNHO 2024" sheetId="125" r:id="rId122"/>
    <sheet name="JULHO 2024" sheetId="126" r:id="rId123"/>
    <sheet name="AGOSTO 2024" sheetId="127" r:id="rId124"/>
    <sheet name="SETEMBRO 2024" sheetId="128" r:id="rId125"/>
    <sheet name="OUTUBRO 2024" sheetId="129" r:id="rId126"/>
    <sheet name="NOVEMBRO 2024" sheetId="130" r:id="rId127"/>
    <sheet name="DEZEMBRO 2024" sheetId="131" r:id="rId128"/>
    <sheet name="JANEIRO 2025" sheetId="132" r:id="rId129"/>
    <sheet name="FEVEREIRO 2025" sheetId="133" r:id="rId130"/>
    <sheet name="MARÇO 2025" sheetId="134" r:id="rId131"/>
    <sheet name="ABRIL 2025" sheetId="135" r:id="rId132"/>
    <sheet name="MAIO 2025" sheetId="136" r:id="rId133"/>
    <sheet name="JUNHO 2025" sheetId="137" r:id="rId134"/>
    <sheet name="JULHO 2025" sheetId="138" r:id="rId135"/>
    <sheet name="AGOSTO 2025" sheetId="139" r:id="rId136"/>
    <sheet name="SETEMBRO 2025" sheetId="140" r:id="rId137"/>
    <sheet name="OUTUBRO 2025" sheetId="141" r:id="rId138"/>
    <sheet name="NOVEMBRO 2025" sheetId="142" r:id="rId139"/>
    <sheet name="DEZEMBRO 2025" sheetId="143" r:id="rId140"/>
    <sheet name="ANALISE 2025" sheetId="146" r:id="rId141"/>
    <sheet name="JANEIRO 2026" sheetId="145" r:id="rId142"/>
    <sheet name="FEVEREIRO 2026" sheetId="147" r:id="rId143"/>
    <sheet name="MARÇO 2026" sheetId="148" r:id="rId144"/>
    <sheet name="ABRIL 2026" sheetId="149" r:id="rId145"/>
    <sheet name="MAIO 2026" sheetId="150" r:id="rId146"/>
    <sheet name="JUNHO 2026" sheetId="151" r:id="rId147"/>
    <sheet name="JULHO 2026" sheetId="152" r:id="rId148"/>
  </sheets>
  <definedNames>
    <definedName name="_xlnm._FilterDatabase" localSheetId="83" hidden="1">'ABRIL 2021'!$A$1:$K$1</definedName>
    <definedName name="_xlnm._FilterDatabase" localSheetId="95" hidden="1">'ABRIL 2022'!$A$1:$K$1</definedName>
    <definedName name="_xlnm._FilterDatabase" localSheetId="107" hidden="1">'ABRIL 2023'!$A$1:$K$1</definedName>
    <definedName name="_xlnm._FilterDatabase" localSheetId="119" hidden="1">'ABRIL 2024'!$A$1:$K$1</definedName>
    <definedName name="_xlnm._FilterDatabase" localSheetId="131" hidden="1">'ABRIL 2025'!$A$1:$K$25</definedName>
    <definedName name="_xlnm._FilterDatabase" localSheetId="144" hidden="1">'ABRIL 2026'!$A$1:$K$61</definedName>
    <definedName name="_xlnm._FilterDatabase" localSheetId="99" hidden="1">'AGOSTO 2022'!$A$1:$M$1</definedName>
    <definedName name="_xlnm._FilterDatabase" localSheetId="111" hidden="1">'AGOSTO 2023'!$A$1:$K$57</definedName>
    <definedName name="_xlnm._FilterDatabase" localSheetId="123" hidden="1">'AGOSTO 2024'!$A$1:$K$70</definedName>
    <definedName name="_xlnm._FilterDatabase" localSheetId="135" hidden="1">'AGOSTO 2025'!$A$1:$K$1</definedName>
    <definedName name="_xlnm._FilterDatabase" localSheetId="103" hidden="1">'DEZEMBRO 2022'!$A$1:$K$1</definedName>
    <definedName name="_xlnm._FilterDatabase" localSheetId="115" hidden="1">'DEZEMBRO 2023'!$A$1:$K$59</definedName>
    <definedName name="_xlnm._FilterDatabase" localSheetId="127" hidden="1">'DEZEMBRO 2024'!$A$1:$K$51</definedName>
    <definedName name="_xlnm._FilterDatabase" localSheetId="139" hidden="1">'DEZEMBRO 2025'!$A$1:$K$59</definedName>
    <definedName name="_xlnm._FilterDatabase" localSheetId="93" hidden="1">'FEVEREIRO 2022'!$A$1:$K$1</definedName>
    <definedName name="_xlnm._FilterDatabase" localSheetId="105" hidden="1">'FEVEREIRO 2023'!$A$1:$K$1</definedName>
    <definedName name="_xlnm._FilterDatabase" localSheetId="117" hidden="1">'FEVEREIRO 2024'!$A$1:$K$53</definedName>
    <definedName name="_xlnm._FilterDatabase" localSheetId="129" hidden="1">'FEVEREIRO 2025'!$A$1:$K$1</definedName>
    <definedName name="_xlnm._FilterDatabase" localSheetId="142" hidden="1">'FEVEREIRO 2026'!$A$1:$K$61</definedName>
    <definedName name="_xlnm._FilterDatabase" localSheetId="80" hidden="1">'JANEIRO 2021'!$A$1:$I$54</definedName>
    <definedName name="_xlnm._FilterDatabase" localSheetId="92" hidden="1">'JANEIRO 2022'!$A$1:$K$1</definedName>
    <definedName name="_xlnm._FilterDatabase" localSheetId="104" hidden="1">'JANEIRO 2023'!$A$1:$K$1</definedName>
    <definedName name="_xlnm._FilterDatabase" localSheetId="116" hidden="1">'JANEIRO 2024'!$A$1:$K$54</definedName>
    <definedName name="_xlnm._FilterDatabase" localSheetId="128" hidden="1">'JANEIRO 2025'!$A$1:$L$40</definedName>
    <definedName name="_xlnm._FilterDatabase" localSheetId="141" hidden="1">'JANEIRO 2026'!$A$1:$K$59</definedName>
    <definedName name="_xlnm._FilterDatabase" localSheetId="98" hidden="1">'JULHO 2022'!$A$1:$M$1</definedName>
    <definedName name="_xlnm._FilterDatabase" localSheetId="110" hidden="1">'JULHO 2023'!$A$1:$K$1</definedName>
    <definedName name="_xlnm._FilterDatabase" localSheetId="122" hidden="1">'JULHO 2024'!$A$1:$K$43</definedName>
    <definedName name="_xlnm._FilterDatabase" localSheetId="134" hidden="1">'JULHO 2025'!$A$1:$K$1</definedName>
    <definedName name="_xlnm._FilterDatabase" localSheetId="147" hidden="1">'JULHO 2026'!$A$1:$K$61</definedName>
    <definedName name="_xlnm._FilterDatabase" localSheetId="97" hidden="1">'JUNHO 2022'!$A$1:$K$1</definedName>
    <definedName name="_xlnm._FilterDatabase" localSheetId="109" hidden="1">'JUNHO 2023'!$A$1:$K$1</definedName>
    <definedName name="_xlnm._FilterDatabase" localSheetId="121" hidden="1">'JUNHO 2024'!$A$1:$K$41</definedName>
    <definedName name="_xlnm._FilterDatabase" localSheetId="133" hidden="1">'JUNHO 2025'!$A$1:$K$36</definedName>
    <definedName name="_xlnm._FilterDatabase" localSheetId="146" hidden="1">'JUNHO 2026'!$A$1:$K$61</definedName>
    <definedName name="_xlnm._FilterDatabase" localSheetId="48" hidden="1">'Maio 2018'!$A$1:$K$1</definedName>
    <definedName name="_xlnm._FilterDatabase" localSheetId="84" hidden="1">'MAIO 2021'!$A$1:$K$1</definedName>
    <definedName name="_xlnm._FilterDatabase" localSheetId="96" hidden="1">'MAIO 2022'!$A$1:$L$1</definedName>
    <definedName name="_xlnm._FilterDatabase" localSheetId="108" hidden="1">'MAIO 2023'!$A$1:$K$53</definedName>
    <definedName name="_xlnm._FilterDatabase" localSheetId="120" hidden="1">'MAIO 2024'!$A$1:$K$1</definedName>
    <definedName name="_xlnm._FilterDatabase" localSheetId="132" hidden="1">'MAIO 2025'!$A$1:$K$1</definedName>
    <definedName name="_xlnm._FilterDatabase" localSheetId="145" hidden="1">'MAIO 2026'!$A$1:$K$61</definedName>
    <definedName name="_xlnm._FilterDatabase" localSheetId="94" hidden="1">'MARÇO 2022'!$A$1:$J$1</definedName>
    <definedName name="_xlnm._FilterDatabase" localSheetId="106" hidden="1">'MARÇO 2023'!$A$1:$L$1</definedName>
    <definedName name="_xlnm._FilterDatabase" localSheetId="118" hidden="1">'MARÇO 2024'!$A$1:$K$1</definedName>
    <definedName name="_xlnm._FilterDatabase" localSheetId="130" hidden="1">'MARÇO 2025'!$A$1:$K$37</definedName>
    <definedName name="_xlnm._FilterDatabase" localSheetId="143" hidden="1">'MARÇO 2026'!$A$1:$K$59</definedName>
    <definedName name="_xlnm._FilterDatabase" localSheetId="102" hidden="1">'NOVEMBRO 2022'!$A$1:$K$43</definedName>
    <definedName name="_xlnm._FilterDatabase" localSheetId="114" hidden="1">'NOVEMBRO 2023'!$A$1:$K$1</definedName>
    <definedName name="_xlnm._FilterDatabase" localSheetId="126" hidden="1">'NOVEMBRO 2024'!$A$1:$K$44</definedName>
    <definedName name="_xlnm._FilterDatabase" localSheetId="138" hidden="1">'NOVEMBRO 2025'!$A$1:$K$1</definedName>
    <definedName name="_xlnm._FilterDatabase" localSheetId="89" hidden="1">'OUTUBRO 2021'!$A$1:$K$1</definedName>
    <definedName name="_xlnm._FilterDatabase" localSheetId="101" hidden="1">'OUTUBRO 2022'!$A$1:$J$1</definedName>
    <definedName name="_xlnm._FilterDatabase" localSheetId="113" hidden="1">'OUTUBRO 2023'!$A$1:$L$42</definedName>
    <definedName name="_xlnm._FilterDatabase" localSheetId="125" hidden="1">'OUTUBRO 2024'!$A$1:$K$47</definedName>
    <definedName name="_xlnm._FilterDatabase" localSheetId="137" hidden="1">'OUTUBRO 2025'!$A$1:$K$57</definedName>
    <definedName name="_xlnm._FilterDatabase" localSheetId="100" hidden="1">'SETEMBRO 2022'!$A$1:$K$1</definedName>
    <definedName name="_xlnm._FilterDatabase" localSheetId="112" hidden="1">'SETEMBRO 2023'!$A$1:$K$48</definedName>
    <definedName name="_xlnm._FilterDatabase" localSheetId="124" hidden="1">'SETEMBRO 2024'!$A$1:$K$56</definedName>
    <definedName name="_xlnm._FilterDatabase" localSheetId="136" hidden="1">'SETEMBRO 2025'!$A$1:$K$61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52" l="1"/>
  <c r="H43" i="151"/>
  <c r="I22" i="152" l="1"/>
  <c r="I17" i="152"/>
  <c r="I22" i="151"/>
  <c r="H28" i="151" l="1"/>
  <c r="H41" i="151"/>
  <c r="H37" i="151"/>
  <c r="I282" i="152" l="1"/>
  <c r="F282" i="152"/>
  <c r="F61" i="152"/>
  <c r="H60" i="152"/>
  <c r="H59" i="152"/>
  <c r="H58" i="152"/>
  <c r="H57" i="152"/>
  <c r="H56" i="152"/>
  <c r="H55" i="152"/>
  <c r="H54" i="152"/>
  <c r="H53" i="152"/>
  <c r="H52" i="152"/>
  <c r="H51" i="152"/>
  <c r="H50" i="152"/>
  <c r="H49" i="152"/>
  <c r="H48" i="152"/>
  <c r="H47" i="152"/>
  <c r="H46" i="152"/>
  <c r="H45" i="152"/>
  <c r="H44" i="152"/>
  <c r="H42" i="152"/>
  <c r="H41" i="152"/>
  <c r="H40" i="152"/>
  <c r="H39" i="152"/>
  <c r="H38" i="152"/>
  <c r="H37" i="152"/>
  <c r="H36" i="152"/>
  <c r="H35" i="152"/>
  <c r="H34" i="152"/>
  <c r="H33" i="152"/>
  <c r="H32" i="152"/>
  <c r="H31" i="152"/>
  <c r="H30" i="152"/>
  <c r="H29" i="152"/>
  <c r="H28" i="152"/>
  <c r="H27" i="152"/>
  <c r="H26" i="152"/>
  <c r="H25" i="152"/>
  <c r="H24" i="152"/>
  <c r="H21" i="152"/>
  <c r="H20" i="152"/>
  <c r="H19" i="152"/>
  <c r="H18" i="152"/>
  <c r="H15" i="152"/>
  <c r="H22" i="152"/>
  <c r="H16" i="152"/>
  <c r="H17" i="152"/>
  <c r="H12" i="152"/>
  <c r="I61" i="152"/>
  <c r="H14" i="152"/>
  <c r="H13" i="152"/>
  <c r="H11" i="152"/>
  <c r="H10" i="152"/>
  <c r="H8" i="152"/>
  <c r="H7" i="152"/>
  <c r="H9" i="152"/>
  <c r="H23" i="152"/>
  <c r="H4" i="152"/>
  <c r="H6" i="152"/>
  <c r="H5" i="152"/>
  <c r="H3" i="152"/>
  <c r="H2" i="152"/>
  <c r="H61" i="152" l="1"/>
  <c r="H282" i="152" s="1"/>
  <c r="I21" i="151" l="1"/>
  <c r="I2" i="151" l="1"/>
  <c r="H15" i="151" l="1"/>
  <c r="H13" i="151"/>
  <c r="I24" i="151" l="1"/>
  <c r="I23" i="151"/>
  <c r="I20" i="151"/>
  <c r="I19" i="151"/>
  <c r="H41" i="150" l="1"/>
  <c r="I8" i="150"/>
  <c r="I19" i="150"/>
  <c r="H4" i="151"/>
  <c r="H7" i="151"/>
  <c r="H25" i="151"/>
  <c r="H26" i="151"/>
  <c r="H19" i="151"/>
  <c r="H3" i="151"/>
  <c r="H40" i="151"/>
  <c r="H9" i="151"/>
  <c r="H6" i="151"/>
  <c r="H30" i="151"/>
  <c r="H5" i="151"/>
  <c r="H27" i="151"/>
  <c r="H20" i="151"/>
  <c r="H8" i="151"/>
  <c r="H10" i="151"/>
  <c r="H23" i="151"/>
  <c r="H29" i="151"/>
  <c r="H24" i="151"/>
  <c r="H22" i="151"/>
  <c r="H11" i="151"/>
  <c r="H31" i="151"/>
  <c r="H16" i="151"/>
  <c r="H12" i="151"/>
  <c r="H2" i="151"/>
  <c r="H32" i="151"/>
  <c r="H17" i="151"/>
  <c r="H14" i="151"/>
  <c r="H21" i="151"/>
  <c r="H38" i="151"/>
  <c r="H33" i="151"/>
  <c r="H34" i="151"/>
  <c r="H36" i="151"/>
  <c r="H35" i="151"/>
  <c r="I282" i="151"/>
  <c r="F282" i="151"/>
  <c r="F61" i="151"/>
  <c r="H60" i="151"/>
  <c r="H59" i="151"/>
  <c r="H58" i="151"/>
  <c r="H57" i="151"/>
  <c r="H56" i="151"/>
  <c r="H55" i="151"/>
  <c r="H54" i="151"/>
  <c r="H53" i="151"/>
  <c r="H52" i="151"/>
  <c r="H51" i="151"/>
  <c r="H50" i="151"/>
  <c r="H49" i="151"/>
  <c r="H48" i="151"/>
  <c r="H47" i="151"/>
  <c r="H46" i="151"/>
  <c r="H45" i="151"/>
  <c r="H44" i="151"/>
  <c r="H42" i="151"/>
  <c r="H18" i="151"/>
  <c r="H39" i="151"/>
  <c r="I61" i="151"/>
  <c r="I7" i="150"/>
  <c r="I9" i="150"/>
  <c r="I6" i="150"/>
  <c r="H61" i="151" l="1"/>
  <c r="H282" i="151" s="1"/>
  <c r="I282" i="150"/>
  <c r="F282" i="150"/>
  <c r="F61" i="150"/>
  <c r="H60" i="150"/>
  <c r="H59" i="150"/>
  <c r="H58" i="150"/>
  <c r="H57" i="150"/>
  <c r="H56" i="150"/>
  <c r="H55" i="150"/>
  <c r="H54" i="150"/>
  <c r="H53" i="150"/>
  <c r="H52" i="150"/>
  <c r="H51" i="150"/>
  <c r="H50" i="150"/>
  <c r="H49" i="150"/>
  <c r="H48" i="150"/>
  <c r="H47" i="150"/>
  <c r="H46" i="150"/>
  <c r="H45" i="150"/>
  <c r="H44" i="150"/>
  <c r="H4" i="150"/>
  <c r="H18" i="150"/>
  <c r="H8" i="150"/>
  <c r="H43" i="150"/>
  <c r="H19" i="150"/>
  <c r="H42" i="150"/>
  <c r="H7" i="150"/>
  <c r="H2" i="150"/>
  <c r="H17" i="150"/>
  <c r="H9" i="150"/>
  <c r="H39" i="150"/>
  <c r="H36" i="150"/>
  <c r="H40" i="150"/>
  <c r="H12" i="150"/>
  <c r="H38" i="150"/>
  <c r="H34" i="150"/>
  <c r="H33" i="150"/>
  <c r="H6" i="150"/>
  <c r="H3" i="150"/>
  <c r="H35" i="150"/>
  <c r="H16" i="150"/>
  <c r="H29" i="150"/>
  <c r="H32" i="150"/>
  <c r="H31" i="150"/>
  <c r="H5" i="150"/>
  <c r="H30" i="150"/>
  <c r="H15" i="150"/>
  <c r="H13" i="150"/>
  <c r="H26" i="150"/>
  <c r="H28" i="150"/>
  <c r="H14" i="150"/>
  <c r="H11" i="150"/>
  <c r="H25" i="150"/>
  <c r="H24" i="150"/>
  <c r="H27" i="150"/>
  <c r="H10" i="150"/>
  <c r="I61" i="150"/>
  <c r="H23" i="150"/>
  <c r="H22" i="150"/>
  <c r="H21" i="150"/>
  <c r="H20" i="150"/>
  <c r="I13" i="149"/>
  <c r="I12" i="149"/>
  <c r="I11" i="149"/>
  <c r="H61" i="150" l="1"/>
  <c r="H282" i="150" s="1"/>
  <c r="I10" i="149"/>
  <c r="I9" i="149"/>
  <c r="I282" i="149"/>
  <c r="F282" i="149"/>
  <c r="F61" i="149"/>
  <c r="H60" i="149"/>
  <c r="H59" i="149"/>
  <c r="H58" i="149"/>
  <c r="H57" i="149"/>
  <c r="H56" i="149"/>
  <c r="H55" i="149"/>
  <c r="H54" i="149"/>
  <c r="H53" i="149"/>
  <c r="H52" i="149"/>
  <c r="H51" i="149"/>
  <c r="H50" i="149"/>
  <c r="H49" i="149"/>
  <c r="H48" i="149"/>
  <c r="H47" i="149"/>
  <c r="H46" i="149"/>
  <c r="H45" i="149"/>
  <c r="H44" i="149"/>
  <c r="H42" i="149"/>
  <c r="H41" i="149"/>
  <c r="H40" i="149"/>
  <c r="H39" i="149"/>
  <c r="H38" i="149"/>
  <c r="H37" i="149"/>
  <c r="H36" i="149"/>
  <c r="H35" i="149"/>
  <c r="H34" i="149"/>
  <c r="H33" i="149"/>
  <c r="H32" i="149"/>
  <c r="H8" i="149"/>
  <c r="H7" i="149"/>
  <c r="H31" i="149"/>
  <c r="H13" i="149"/>
  <c r="H30" i="149"/>
  <c r="H6" i="149"/>
  <c r="H12" i="149"/>
  <c r="H29" i="149"/>
  <c r="H28" i="149"/>
  <c r="H27" i="149"/>
  <c r="H11" i="149"/>
  <c r="H4" i="149"/>
  <c r="H26" i="149"/>
  <c r="H25" i="149"/>
  <c r="H10" i="149"/>
  <c r="H24" i="149"/>
  <c r="H3" i="149"/>
  <c r="H23" i="149"/>
  <c r="H20" i="149"/>
  <c r="H19" i="149"/>
  <c r="H21" i="149"/>
  <c r="H22" i="149"/>
  <c r="H17" i="149"/>
  <c r="H5" i="149"/>
  <c r="H2" i="149"/>
  <c r="H16" i="149"/>
  <c r="H9" i="149"/>
  <c r="H15" i="149"/>
  <c r="I61" i="149"/>
  <c r="H14" i="149"/>
  <c r="H18" i="149"/>
  <c r="I37" i="148"/>
  <c r="I31" i="148"/>
  <c r="I7" i="148"/>
  <c r="H61" i="149" l="1"/>
  <c r="H282" i="149" s="1"/>
  <c r="I3" i="148"/>
  <c r="I17" i="148" l="1"/>
  <c r="I13" i="148"/>
  <c r="I8" i="148" l="1"/>
  <c r="H2" i="148" l="1"/>
  <c r="H3" i="148"/>
  <c r="H7" i="148"/>
  <c r="H4" i="148"/>
  <c r="H5" i="148"/>
  <c r="H6" i="148"/>
  <c r="H42" i="148"/>
  <c r="H12" i="148"/>
  <c r="H9" i="148"/>
  <c r="H10" i="148"/>
  <c r="H18" i="148"/>
  <c r="H8" i="148"/>
  <c r="H19" i="148"/>
  <c r="H11" i="148"/>
  <c r="H13" i="148"/>
  <c r="H14" i="148"/>
  <c r="H21" i="148"/>
  <c r="H15" i="148"/>
  <c r="H17" i="148"/>
  <c r="H20" i="148"/>
  <c r="H16" i="148"/>
  <c r="H27" i="148"/>
  <c r="H22" i="148"/>
  <c r="H23" i="148"/>
  <c r="H26" i="148"/>
  <c r="H25" i="148"/>
  <c r="H24" i="148"/>
  <c r="H28" i="148"/>
  <c r="H36" i="148"/>
  <c r="H33" i="148"/>
  <c r="H34" i="148"/>
  <c r="H38" i="148"/>
  <c r="H32" i="148"/>
  <c r="H31" i="148"/>
  <c r="H30" i="148"/>
  <c r="H35" i="148"/>
  <c r="H37" i="148"/>
  <c r="H41" i="148"/>
  <c r="H40" i="148"/>
  <c r="H39" i="148"/>
  <c r="H29" i="148"/>
  <c r="H44" i="148"/>
  <c r="I280" i="148"/>
  <c r="F280" i="148"/>
  <c r="F59" i="148"/>
  <c r="H58" i="148"/>
  <c r="H57" i="148"/>
  <c r="H56" i="148"/>
  <c r="H55" i="148"/>
  <c r="H54" i="148"/>
  <c r="H53" i="148"/>
  <c r="H52" i="148"/>
  <c r="H51" i="148"/>
  <c r="H50" i="148"/>
  <c r="H49" i="148"/>
  <c r="H48" i="148"/>
  <c r="H47" i="148"/>
  <c r="H46" i="148"/>
  <c r="H45" i="148"/>
  <c r="I59" i="148"/>
  <c r="I43" i="147"/>
  <c r="I37" i="147"/>
  <c r="I34" i="147"/>
  <c r="I25" i="147"/>
  <c r="H59" i="148" l="1"/>
  <c r="H280" i="148" s="1"/>
  <c r="I33" i="145"/>
  <c r="I31" i="145"/>
  <c r="I28" i="145"/>
  <c r="I24" i="145"/>
  <c r="I42" i="145"/>
  <c r="I42" i="147"/>
  <c r="H18" i="147"/>
  <c r="H11" i="147"/>
  <c r="H12" i="147"/>
  <c r="H15" i="147"/>
  <c r="H17" i="147"/>
  <c r="H27" i="147"/>
  <c r="H19" i="147"/>
  <c r="H21" i="147"/>
  <c r="H13" i="147"/>
  <c r="H26" i="147"/>
  <c r="H20" i="147"/>
  <c r="H23" i="147"/>
  <c r="H22" i="147"/>
  <c r="H10" i="147"/>
  <c r="H41" i="147"/>
  <c r="H28" i="147"/>
  <c r="H30" i="147"/>
  <c r="H42" i="147"/>
  <c r="H29" i="147"/>
  <c r="H25" i="147"/>
  <c r="H32" i="147"/>
  <c r="H33" i="147"/>
  <c r="H35" i="147"/>
  <c r="H31" i="147"/>
  <c r="H24" i="147"/>
  <c r="H34" i="147"/>
  <c r="H36" i="147"/>
  <c r="H37" i="147"/>
  <c r="H44" i="147"/>
  <c r="H43" i="147"/>
  <c r="H39" i="147"/>
  <c r="H38" i="147"/>
  <c r="H40" i="147"/>
  <c r="H45" i="147"/>
  <c r="H48" i="147"/>
  <c r="H49" i="147"/>
  <c r="H50" i="147"/>
  <c r="H51" i="147"/>
  <c r="H52" i="147"/>
  <c r="H53" i="147"/>
  <c r="H54" i="147"/>
  <c r="H55" i="147"/>
  <c r="H56" i="147"/>
  <c r="H57" i="147"/>
  <c r="H58" i="147"/>
  <c r="H59" i="147"/>
  <c r="H60" i="147"/>
  <c r="H16" i="147"/>
  <c r="H9" i="147"/>
  <c r="H47" i="147"/>
  <c r="H14" i="147"/>
  <c r="H8" i="147"/>
  <c r="H7" i="147"/>
  <c r="H46" i="147"/>
  <c r="H6" i="147"/>
  <c r="H5" i="147"/>
  <c r="H4" i="147"/>
  <c r="H3" i="147"/>
  <c r="H2" i="147"/>
  <c r="I282" i="147"/>
  <c r="F282" i="147"/>
  <c r="F61" i="147"/>
  <c r="I61" i="147"/>
  <c r="H61" i="147" l="1"/>
  <c r="H282" i="147" s="1"/>
  <c r="H35" i="145" l="1"/>
  <c r="I37" i="145"/>
  <c r="I6" i="146"/>
  <c r="K6" i="146"/>
  <c r="I5" i="146" l="1"/>
  <c r="K5" i="146"/>
  <c r="I6" i="145" l="1"/>
  <c r="H13" i="145"/>
  <c r="I282" i="145"/>
  <c r="F282" i="145"/>
  <c r="F61" i="145"/>
  <c r="H59" i="145"/>
  <c r="H58" i="145"/>
  <c r="H57" i="145"/>
  <c r="H56" i="145"/>
  <c r="H48" i="145"/>
  <c r="H47" i="145"/>
  <c r="H46" i="145"/>
  <c r="H55" i="145"/>
  <c r="H45" i="145"/>
  <c r="H50" i="145"/>
  <c r="H44" i="145"/>
  <c r="H42" i="145"/>
  <c r="H43" i="145"/>
  <c r="H39" i="145"/>
  <c r="H38" i="145"/>
  <c r="H49" i="145"/>
  <c r="H33" i="145"/>
  <c r="H41" i="145"/>
  <c r="H36" i="145"/>
  <c r="H54" i="145"/>
  <c r="H31" i="145"/>
  <c r="H40" i="145"/>
  <c r="H34" i="145"/>
  <c r="H28" i="145"/>
  <c r="H32" i="145"/>
  <c r="H37" i="145"/>
  <c r="H24" i="145"/>
  <c r="H26" i="145"/>
  <c r="H30" i="145"/>
  <c r="H29" i="145"/>
  <c r="H22" i="145"/>
  <c r="H23" i="145"/>
  <c r="H19" i="145"/>
  <c r="H25" i="145"/>
  <c r="H21" i="145"/>
  <c r="H27" i="145"/>
  <c r="H11" i="145"/>
  <c r="H15" i="145"/>
  <c r="H53" i="145"/>
  <c r="H18" i="145"/>
  <c r="H5" i="145"/>
  <c r="H16" i="145"/>
  <c r="H14" i="145"/>
  <c r="H17" i="145"/>
  <c r="H20" i="145"/>
  <c r="H12" i="145"/>
  <c r="H6" i="145"/>
  <c r="H10" i="145"/>
  <c r="H9" i="145"/>
  <c r="H8" i="145"/>
  <c r="H3" i="145"/>
  <c r="H7" i="145"/>
  <c r="H4" i="145"/>
  <c r="H2" i="145"/>
  <c r="I63" i="142"/>
  <c r="H59" i="143"/>
  <c r="H58" i="143"/>
  <c r="H57" i="143"/>
  <c r="H55" i="143"/>
  <c r="H48" i="143"/>
  <c r="H47" i="143"/>
  <c r="H54" i="143"/>
  <c r="H40" i="143"/>
  <c r="H53" i="143"/>
  <c r="H52" i="143"/>
  <c r="H46" i="143"/>
  <c r="H45" i="143"/>
  <c r="H43" i="143"/>
  <c r="H49" i="143"/>
  <c r="H51" i="143"/>
  <c r="H50" i="143"/>
  <c r="H42" i="143"/>
  <c r="H41" i="143"/>
  <c r="H26" i="143"/>
  <c r="H44" i="143"/>
  <c r="H36" i="143"/>
  <c r="I36" i="143" s="1"/>
  <c r="H34" i="143"/>
  <c r="H35" i="143"/>
  <c r="H30" i="143"/>
  <c r="H39" i="143"/>
  <c r="H31" i="143"/>
  <c r="I31" i="143" s="1"/>
  <c r="H33" i="143"/>
  <c r="H24" i="143"/>
  <c r="H23" i="143"/>
  <c r="H22" i="143"/>
  <c r="H25" i="143"/>
  <c r="H28" i="143"/>
  <c r="H15" i="143"/>
  <c r="H21" i="143"/>
  <c r="H38" i="143"/>
  <c r="H37" i="143"/>
  <c r="H20" i="143"/>
  <c r="H27" i="143"/>
  <c r="H18" i="143"/>
  <c r="H17" i="143"/>
  <c r="H16" i="143"/>
  <c r="H14" i="143"/>
  <c r="H13" i="143"/>
  <c r="H12" i="143"/>
  <c r="H19" i="143"/>
  <c r="H10" i="143"/>
  <c r="H9" i="143"/>
  <c r="H2" i="143"/>
  <c r="H8" i="143"/>
  <c r="H7" i="143"/>
  <c r="H29" i="143"/>
  <c r="H56" i="143"/>
  <c r="H6" i="143"/>
  <c r="H4" i="143"/>
  <c r="I4" i="143" s="1"/>
  <c r="H5" i="143"/>
  <c r="H3" i="143"/>
  <c r="I282" i="143"/>
  <c r="F282" i="143"/>
  <c r="F61" i="143"/>
  <c r="M5" i="146" s="1"/>
  <c r="H31" i="142"/>
  <c r="I30" i="142"/>
  <c r="I29" i="142"/>
  <c r="H61" i="145" l="1"/>
  <c r="H282" i="145" s="1"/>
  <c r="I61" i="145"/>
  <c r="I61" i="143"/>
  <c r="H61" i="143"/>
  <c r="I33" i="142"/>
  <c r="I26" i="142"/>
  <c r="H282" i="143" l="1"/>
  <c r="M6" i="146"/>
  <c r="I16" i="142"/>
  <c r="I12" i="142" l="1"/>
  <c r="I61" i="142" s="1"/>
  <c r="H2" i="142"/>
  <c r="H7" i="142"/>
  <c r="H3" i="142"/>
  <c r="H4" i="142"/>
  <c r="H5" i="142"/>
  <c r="H12" i="142"/>
  <c r="H6" i="142"/>
  <c r="H8" i="142"/>
  <c r="H9" i="142"/>
  <c r="H10" i="142"/>
  <c r="H11" i="142"/>
  <c r="H17" i="142"/>
  <c r="H23" i="142"/>
  <c r="H15" i="142"/>
  <c r="H13" i="142"/>
  <c r="H14" i="142"/>
  <c r="H19" i="142"/>
  <c r="H18" i="142"/>
  <c r="H20" i="142"/>
  <c r="H21" i="142"/>
  <c r="H42" i="142"/>
  <c r="H41" i="142"/>
  <c r="H16" i="142"/>
  <c r="H24" i="142"/>
  <c r="H26" i="142"/>
  <c r="H22" i="142"/>
  <c r="H25" i="142"/>
  <c r="H33" i="142"/>
  <c r="H27" i="142"/>
  <c r="H28" i="142"/>
  <c r="H30" i="142"/>
  <c r="H29" i="142"/>
  <c r="H38" i="142"/>
  <c r="H39" i="142"/>
  <c r="H32" i="142"/>
  <c r="H34" i="142"/>
  <c r="H37" i="142"/>
  <c r="H36" i="142"/>
  <c r="H35" i="142"/>
  <c r="H43" i="142"/>
  <c r="H44" i="142"/>
  <c r="H45" i="142"/>
  <c r="H46" i="142"/>
  <c r="H47" i="142"/>
  <c r="H48" i="142"/>
  <c r="H49" i="142"/>
  <c r="H50" i="142"/>
  <c r="H51" i="142"/>
  <c r="H52" i="142"/>
  <c r="H53" i="142"/>
  <c r="H54" i="142"/>
  <c r="H55" i="142"/>
  <c r="H56" i="142"/>
  <c r="H57" i="142"/>
  <c r="H58" i="142"/>
  <c r="H59" i="142"/>
  <c r="I282" i="142"/>
  <c r="F282" i="142"/>
  <c r="F61" i="142"/>
  <c r="L5" i="146" s="1"/>
  <c r="H61" i="142" l="1"/>
  <c r="I45" i="141"/>
  <c r="I43" i="141"/>
  <c r="I38" i="141"/>
  <c r="I33" i="141"/>
  <c r="I19" i="141"/>
  <c r="I21" i="141"/>
  <c r="I5" i="141"/>
  <c r="H282" i="142" l="1"/>
  <c r="L6" i="146"/>
  <c r="I15" i="141"/>
  <c r="H3" i="141"/>
  <c r="H5" i="141"/>
  <c r="H4" i="141"/>
  <c r="H11" i="141"/>
  <c r="H6" i="141"/>
  <c r="H10" i="141"/>
  <c r="H8" i="141"/>
  <c r="H16" i="141"/>
  <c r="H14" i="141"/>
  <c r="H12" i="141"/>
  <c r="H9" i="141"/>
  <c r="H7" i="141"/>
  <c r="H20" i="141"/>
  <c r="H13" i="141"/>
  <c r="H22" i="141"/>
  <c r="H15" i="141"/>
  <c r="H18" i="141"/>
  <c r="H17" i="141"/>
  <c r="H26" i="141"/>
  <c r="I26" i="141" s="1"/>
  <c r="I59" i="141" s="1"/>
  <c r="H49" i="141"/>
  <c r="H21" i="141"/>
  <c r="H19" i="141"/>
  <c r="H24" i="141"/>
  <c r="H25" i="141"/>
  <c r="H28" i="141"/>
  <c r="H29" i="141"/>
  <c r="H30" i="141"/>
  <c r="H27" i="141"/>
  <c r="H23" i="141"/>
  <c r="H31" i="141"/>
  <c r="H37" i="141"/>
  <c r="H32" i="141"/>
  <c r="H40" i="141"/>
  <c r="H35" i="141"/>
  <c r="H33" i="141"/>
  <c r="H34" i="141"/>
  <c r="H38" i="141"/>
  <c r="H43" i="141"/>
  <c r="H45" i="141"/>
  <c r="H42" i="141"/>
  <c r="H47" i="141"/>
  <c r="H39" i="141"/>
  <c r="H36" i="141"/>
  <c r="H41" i="141"/>
  <c r="H44" i="141"/>
  <c r="H46" i="141"/>
  <c r="H48" i="141"/>
  <c r="H50" i="141"/>
  <c r="H51" i="141"/>
  <c r="H52" i="141"/>
  <c r="H53" i="141"/>
  <c r="H54" i="141"/>
  <c r="H55" i="141"/>
  <c r="H56" i="141"/>
  <c r="H57" i="141"/>
  <c r="H2" i="141"/>
  <c r="I280" i="141"/>
  <c r="F280" i="141"/>
  <c r="F59" i="141"/>
  <c r="H17" i="140"/>
  <c r="H59" i="141" l="1"/>
  <c r="H280" i="141" s="1"/>
  <c r="I14" i="140"/>
  <c r="I16" i="140"/>
  <c r="H18" i="140"/>
  <c r="H19" i="140"/>
  <c r="H2" i="140"/>
  <c r="H20" i="140"/>
  <c r="H11" i="140"/>
  <c r="H21" i="140"/>
  <c r="H15" i="140"/>
  <c r="H3" i="140"/>
  <c r="H22" i="140"/>
  <c r="H4" i="140"/>
  <c r="H12" i="140"/>
  <c r="H23" i="140"/>
  <c r="H5" i="140"/>
  <c r="H25" i="140"/>
  <c r="H26" i="140"/>
  <c r="H13" i="140"/>
  <c r="H27" i="140"/>
  <c r="H28" i="140"/>
  <c r="H31" i="140"/>
  <c r="H8" i="140"/>
  <c r="H32" i="140"/>
  <c r="H34" i="140"/>
  <c r="H16" i="140"/>
  <c r="H29" i="140"/>
  <c r="H30" i="140"/>
  <c r="H6" i="140"/>
  <c r="H14" i="140"/>
  <c r="H7" i="140"/>
  <c r="H9" i="140"/>
  <c r="H36" i="140"/>
  <c r="H37" i="140"/>
  <c r="H33" i="140"/>
  <c r="H35" i="140"/>
  <c r="H38" i="140"/>
  <c r="H39" i="140"/>
  <c r="H41" i="140"/>
  <c r="H42" i="140"/>
  <c r="H43" i="140"/>
  <c r="H45" i="140"/>
  <c r="H40" i="140"/>
  <c r="H44" i="140"/>
  <c r="H10" i="140"/>
  <c r="H46" i="140"/>
  <c r="H47" i="140"/>
  <c r="H48" i="140"/>
  <c r="H49" i="140"/>
  <c r="H50" i="140"/>
  <c r="H51" i="140"/>
  <c r="H52" i="140"/>
  <c r="H53" i="140"/>
  <c r="H54" i="140"/>
  <c r="H55" i="140"/>
  <c r="H56" i="140"/>
  <c r="H57" i="140"/>
  <c r="H58" i="140"/>
  <c r="H59" i="140"/>
  <c r="H60" i="140"/>
  <c r="I2" i="140"/>
  <c r="I282" i="140"/>
  <c r="F282" i="140"/>
  <c r="F61" i="140"/>
  <c r="J5" i="146" s="1"/>
  <c r="I36" i="139"/>
  <c r="I25" i="138"/>
  <c r="I22" i="138"/>
  <c r="I9" i="138"/>
  <c r="F11" i="139"/>
  <c r="I61" i="140" l="1"/>
  <c r="H61" i="140"/>
  <c r="I282" i="139"/>
  <c r="H282" i="139"/>
  <c r="F282" i="139"/>
  <c r="I60" i="139"/>
  <c r="H60" i="139"/>
  <c r="F60" i="139"/>
  <c r="H60" i="138"/>
  <c r="H6" i="146" s="1"/>
  <c r="I282" i="138"/>
  <c r="H282" i="138"/>
  <c r="F282" i="138"/>
  <c r="I60" i="138"/>
  <c r="F60" i="138"/>
  <c r="H5" i="146" s="1"/>
  <c r="I282" i="137"/>
  <c r="H282" i="137"/>
  <c r="F282" i="137"/>
  <c r="I60" i="137"/>
  <c r="H60" i="137"/>
  <c r="G6" i="146" s="1"/>
  <c r="F60" i="137"/>
  <c r="G5" i="146" s="1"/>
  <c r="I282" i="136"/>
  <c r="H282" i="136"/>
  <c r="F282" i="136"/>
  <c r="H60" i="136"/>
  <c r="F6" i="146" s="1"/>
  <c r="F60" i="136"/>
  <c r="F5" i="146" s="1"/>
  <c r="I60" i="136"/>
  <c r="I2" i="135"/>
  <c r="H282" i="140" l="1"/>
  <c r="J6" i="146"/>
  <c r="I282" i="135"/>
  <c r="H282" i="135"/>
  <c r="F282" i="135"/>
  <c r="I60" i="135"/>
  <c r="H60" i="135"/>
  <c r="E6" i="146" s="1"/>
  <c r="F60" i="135"/>
  <c r="E5" i="146" s="1"/>
  <c r="I282" i="134"/>
  <c r="H282" i="134"/>
  <c r="F282" i="134"/>
  <c r="I60" i="134"/>
  <c r="H60" i="134"/>
  <c r="D6" i="146" s="1"/>
  <c r="F60" i="134"/>
  <c r="D5" i="146" s="1"/>
  <c r="F19" i="133"/>
  <c r="F60" i="133" s="1"/>
  <c r="C5" i="146" s="1"/>
  <c r="I282" i="133"/>
  <c r="H282" i="133"/>
  <c r="F282" i="133"/>
  <c r="I60" i="133"/>
  <c r="H60" i="133"/>
  <c r="C6" i="146" s="1"/>
  <c r="I283" i="132" l="1"/>
  <c r="H283" i="132"/>
  <c r="F283" i="132"/>
  <c r="I61" i="132"/>
  <c r="H61" i="132"/>
  <c r="B6" i="146" s="1"/>
  <c r="N6" i="146" s="1"/>
  <c r="F61" i="132"/>
  <c r="B5" i="146" s="1"/>
  <c r="N5" i="146" s="1"/>
  <c r="F41" i="131"/>
  <c r="F60" i="131" s="1"/>
  <c r="I282" i="131"/>
  <c r="H282" i="131"/>
  <c r="F282" i="131"/>
  <c r="I60" i="131"/>
  <c r="H60" i="131"/>
  <c r="I284" i="130"/>
  <c r="H284" i="130"/>
  <c r="F284" i="130"/>
  <c r="I62" i="130"/>
  <c r="H62" i="130"/>
  <c r="F62" i="130"/>
  <c r="I15" i="128" l="1"/>
  <c r="I284" i="129" l="1"/>
  <c r="H284" i="129"/>
  <c r="F284" i="129"/>
  <c r="I62" i="129"/>
  <c r="H62" i="129"/>
  <c r="F62" i="129"/>
  <c r="H70" i="127"/>
  <c r="F70" i="127"/>
  <c r="F64" i="128"/>
  <c r="I286" i="128"/>
  <c r="H286" i="128"/>
  <c r="F286" i="128"/>
  <c r="I64" i="128"/>
  <c r="H64" i="128"/>
  <c r="I26" i="127"/>
  <c r="I8" i="127"/>
  <c r="I292" i="127"/>
  <c r="H292" i="127"/>
  <c r="F292" i="127"/>
  <c r="I70" i="127"/>
  <c r="I275" i="126"/>
  <c r="H275" i="126"/>
  <c r="F275" i="126"/>
  <c r="I53" i="126"/>
  <c r="H53" i="126"/>
  <c r="F53" i="126"/>
  <c r="I278" i="125"/>
  <c r="H278" i="125"/>
  <c r="F278" i="125"/>
  <c r="I56" i="125"/>
  <c r="H56" i="125"/>
  <c r="F56" i="125"/>
  <c r="I8" i="123"/>
  <c r="I56" i="123" s="1"/>
  <c r="I276" i="124"/>
  <c r="H276" i="124"/>
  <c r="F276" i="124"/>
  <c r="I54" i="124"/>
  <c r="H54" i="124"/>
  <c r="F54" i="124"/>
  <c r="I278" i="123"/>
  <c r="H278" i="123"/>
  <c r="F278" i="123"/>
  <c r="H56" i="123"/>
  <c r="F56" i="123"/>
  <c r="I11" i="121"/>
  <c r="I58" i="121" s="1"/>
  <c r="I14" i="122"/>
  <c r="I57" i="122" s="1"/>
  <c r="H57" i="122"/>
  <c r="F57" i="122"/>
  <c r="H58" i="121"/>
  <c r="F58" i="121"/>
  <c r="I151" i="120"/>
  <c r="H151" i="120"/>
  <c r="F151" i="120"/>
  <c r="I58" i="120"/>
  <c r="H58" i="120"/>
  <c r="F58" i="120"/>
  <c r="I122" i="119"/>
  <c r="F122" i="119"/>
  <c r="I61" i="119"/>
  <c r="H61" i="119"/>
  <c r="H122" i="119"/>
  <c r="F61" i="119"/>
  <c r="H87" i="117"/>
  <c r="I87" i="117"/>
  <c r="F87" i="117"/>
  <c r="I42" i="118"/>
  <c r="H42" i="118"/>
  <c r="F26" i="118"/>
  <c r="F42" i="118" s="1"/>
  <c r="F45" i="117"/>
  <c r="I45" i="117"/>
  <c r="H45" i="117"/>
  <c r="I53" i="115"/>
  <c r="I53" i="116"/>
  <c r="H53" i="116"/>
  <c r="F53" i="116"/>
  <c r="I11" i="115"/>
  <c r="I62" i="115" s="1"/>
  <c r="I122" i="115"/>
  <c r="H122" i="115"/>
  <c r="F122" i="115"/>
  <c r="H62" i="115"/>
  <c r="F62" i="115"/>
  <c r="I95" i="114"/>
  <c r="H95" i="114"/>
  <c r="F95" i="114"/>
  <c r="F46" i="113"/>
  <c r="I47" i="114"/>
  <c r="H47" i="114"/>
  <c r="F47" i="114"/>
  <c r="H46" i="113"/>
  <c r="I46" i="113"/>
  <c r="I53" i="112"/>
  <c r="H53" i="112"/>
  <c r="F53" i="112"/>
  <c r="I50" i="111"/>
  <c r="H50" i="111"/>
  <c r="F50" i="111"/>
  <c r="F52" i="98"/>
  <c r="I43" i="109"/>
  <c r="I51" i="109" s="1"/>
  <c r="I48" i="110"/>
  <c r="H48" i="110"/>
  <c r="F48" i="110"/>
  <c r="H51" i="109"/>
  <c r="F51" i="109"/>
  <c r="I51" i="108"/>
  <c r="H51" i="108"/>
  <c r="F51" i="108"/>
  <c r="I51" i="107"/>
  <c r="H51" i="107"/>
  <c r="F9" i="107"/>
  <c r="F51" i="107" s="1"/>
  <c r="F51" i="106"/>
  <c r="F49" i="105"/>
  <c r="H49" i="105"/>
  <c r="I51" i="106"/>
  <c r="H51" i="106"/>
  <c r="I49" i="105"/>
  <c r="I49" i="104"/>
  <c r="H49" i="104"/>
  <c r="F49" i="104"/>
  <c r="I51" i="102"/>
  <c r="H51" i="102"/>
  <c r="F51" i="102"/>
  <c r="I50" i="103"/>
  <c r="H50" i="103"/>
  <c r="F50" i="103"/>
  <c r="F51" i="101"/>
  <c r="I51" i="100"/>
  <c r="H51" i="100"/>
  <c r="F51" i="100"/>
  <c r="I51" i="101"/>
  <c r="H51" i="101"/>
  <c r="I49" i="98"/>
  <c r="I51" i="99"/>
  <c r="H51" i="99"/>
  <c r="F51" i="99"/>
  <c r="H53" i="97"/>
  <c r="F53" i="97"/>
  <c r="I52" i="98"/>
  <c r="H52" i="98"/>
  <c r="I53" i="97"/>
  <c r="H56" i="95"/>
  <c r="F56" i="95"/>
  <c r="I52" i="96"/>
  <c r="H52" i="96"/>
  <c r="F52" i="96"/>
  <c r="I53" i="94"/>
  <c r="H53" i="94"/>
  <c r="F53" i="94"/>
  <c r="I56" i="95"/>
  <c r="I59" i="91"/>
  <c r="H59" i="91"/>
  <c r="H56" i="90"/>
  <c r="F56" i="90"/>
  <c r="F38" i="91"/>
  <c r="F59" i="91" s="1"/>
  <c r="I57" i="89"/>
  <c r="H57" i="89"/>
  <c r="F57" i="89"/>
  <c r="F12" i="88"/>
  <c r="I55" i="87"/>
  <c r="F55" i="87"/>
  <c r="H55" i="87"/>
  <c r="H56" i="86"/>
  <c r="F56" i="86"/>
  <c r="F54" i="84"/>
  <c r="F56" i="85"/>
  <c r="I56" i="85"/>
  <c r="H56" i="85"/>
  <c r="I54" i="84"/>
  <c r="H54" i="84"/>
  <c r="I56" i="83"/>
  <c r="H56" i="83"/>
  <c r="F56" i="83"/>
  <c r="I57" i="82"/>
  <c r="H57" i="82"/>
  <c r="F57" i="82"/>
  <c r="I55" i="81"/>
  <c r="H55" i="81"/>
  <c r="F55" i="81"/>
  <c r="I56" i="80"/>
  <c r="H56" i="80"/>
  <c r="F56" i="80"/>
  <c r="I58" i="79"/>
  <c r="H58" i="79"/>
  <c r="F35" i="79"/>
  <c r="F32" i="79"/>
  <c r="F31" i="79"/>
  <c r="H53" i="78"/>
  <c r="F53" i="78"/>
  <c r="I30" i="78"/>
  <c r="I53" i="78" s="1"/>
  <c r="H54" i="77"/>
  <c r="F54" i="77"/>
  <c r="H54" i="76"/>
  <c r="F36" i="76"/>
  <c r="F54" i="76" s="1"/>
  <c r="I54" i="74"/>
  <c r="H54" i="74"/>
  <c r="F54" i="74"/>
  <c r="H54" i="73"/>
  <c r="F54" i="73"/>
  <c r="H59" i="72"/>
  <c r="F59" i="72"/>
  <c r="I48" i="71"/>
  <c r="H48" i="71"/>
  <c r="F48" i="71"/>
  <c r="I65" i="70"/>
  <c r="H65" i="70"/>
  <c r="F65" i="70"/>
  <c r="I50" i="69"/>
  <c r="H50" i="69"/>
  <c r="F50" i="69"/>
  <c r="I49" i="68"/>
  <c r="H49" i="68"/>
  <c r="F49" i="68"/>
  <c r="I57" i="67"/>
  <c r="H57" i="67"/>
  <c r="F57" i="67"/>
  <c r="I59" i="66"/>
  <c r="H59" i="66"/>
  <c r="F59" i="66"/>
  <c r="I45" i="65"/>
  <c r="H45" i="65"/>
  <c r="F45" i="65"/>
  <c r="I42" i="64"/>
  <c r="H42" i="64"/>
  <c r="F42" i="64"/>
  <c r="I40" i="63"/>
  <c r="H40" i="63"/>
  <c r="F40" i="63"/>
  <c r="I44" i="62"/>
  <c r="H44" i="62"/>
  <c r="F44" i="62"/>
  <c r="I41" i="61"/>
  <c r="H41" i="61"/>
  <c r="F41" i="61"/>
  <c r="I42" i="60"/>
  <c r="H42" i="60"/>
  <c r="F42" i="60"/>
  <c r="I41" i="59"/>
  <c r="H41" i="59"/>
  <c r="F41" i="59"/>
  <c r="I41" i="58"/>
  <c r="H41" i="58"/>
  <c r="F41" i="58"/>
  <c r="I40" i="57"/>
  <c r="H40" i="57"/>
  <c r="F40" i="57"/>
  <c r="I32" i="56"/>
  <c r="H32" i="56"/>
  <c r="F32" i="56"/>
  <c r="I35" i="55"/>
  <c r="H35" i="55"/>
  <c r="F35" i="55"/>
  <c r="I35" i="54"/>
  <c r="H35" i="54"/>
  <c r="F35" i="54"/>
  <c r="I36" i="53"/>
  <c r="H36" i="53"/>
  <c r="F36" i="53"/>
  <c r="I30" i="52"/>
  <c r="H30" i="52"/>
  <c r="F30" i="52"/>
  <c r="I30" i="51"/>
  <c r="H30" i="51"/>
  <c r="F30" i="51"/>
  <c r="I35" i="50"/>
  <c r="H35" i="50"/>
  <c r="F35" i="50"/>
  <c r="I49" i="49"/>
  <c r="H49" i="49"/>
  <c r="F49" i="49"/>
  <c r="I37" i="48"/>
  <c r="H37" i="48"/>
  <c r="F37" i="48"/>
  <c r="I37" i="47"/>
  <c r="H37" i="47"/>
  <c r="F37" i="47"/>
  <c r="I37" i="46"/>
  <c r="H37" i="46"/>
  <c r="F37" i="46"/>
  <c r="I38" i="45"/>
  <c r="H38" i="45"/>
  <c r="F38" i="45"/>
  <c r="I38" i="44"/>
  <c r="H38" i="44"/>
  <c r="F38" i="44"/>
  <c r="I39" i="43"/>
  <c r="H39" i="43"/>
  <c r="F39" i="43"/>
  <c r="I39" i="42"/>
  <c r="H39" i="42"/>
  <c r="F39" i="42"/>
  <c r="I39" i="41"/>
  <c r="H39" i="41"/>
  <c r="F39" i="41"/>
  <c r="I39" i="40"/>
  <c r="H39" i="40"/>
  <c r="F39" i="40"/>
  <c r="I39" i="39"/>
  <c r="H39" i="39"/>
  <c r="F39" i="39"/>
  <c r="I39" i="37"/>
  <c r="H39" i="37"/>
  <c r="F39" i="37"/>
  <c r="I40" i="36"/>
  <c r="H40" i="36"/>
  <c r="F40" i="36"/>
  <c r="H36" i="35"/>
  <c r="G36" i="35"/>
  <c r="H38" i="34"/>
  <c r="G38" i="34"/>
  <c r="H38" i="33"/>
  <c r="G38" i="33"/>
  <c r="H40" i="32"/>
  <c r="G40" i="32"/>
  <c r="H39" i="31"/>
  <c r="G39" i="31"/>
  <c r="H40" i="30"/>
  <c r="G40" i="30"/>
  <c r="H37" i="29"/>
  <c r="G37" i="29"/>
  <c r="H40" i="28"/>
  <c r="G40" i="28"/>
  <c r="H32" i="27"/>
  <c r="G32" i="27"/>
  <c r="H40" i="26"/>
  <c r="G40" i="26"/>
  <c r="H30" i="25"/>
  <c r="G30" i="25"/>
  <c r="H29" i="24"/>
  <c r="G29" i="24"/>
  <c r="H26" i="23"/>
  <c r="G26" i="23"/>
  <c r="H18" i="22"/>
  <c r="G18" i="22"/>
  <c r="G25" i="21"/>
  <c r="G24" i="20"/>
  <c r="G25" i="19"/>
  <c r="G25" i="18"/>
  <c r="G24" i="17"/>
  <c r="G34" i="16"/>
  <c r="G24" i="15"/>
  <c r="G23" i="13"/>
  <c r="G23" i="12"/>
  <c r="G28" i="11"/>
  <c r="G20" i="10"/>
  <c r="G18" i="9"/>
  <c r="G24" i="8"/>
  <c r="G25" i="7"/>
  <c r="G24" i="6"/>
  <c r="G25" i="5"/>
  <c r="G24" i="4"/>
  <c r="G26" i="3"/>
  <c r="G23" i="2"/>
  <c r="G24" i="1"/>
  <c r="F58" i="79" l="1"/>
</calcChain>
</file>

<file path=xl/sharedStrings.xml><?xml version="1.0" encoding="utf-8"?>
<sst xmlns="http://schemas.openxmlformats.org/spreadsheetml/2006/main" count="21181" uniqueCount="3298">
  <si>
    <t>MAIO</t>
  </si>
  <si>
    <t>DATA DA TRANS.</t>
  </si>
  <si>
    <t>VIGÊNCIA</t>
  </si>
  <si>
    <t>SEGURADO</t>
  </si>
  <si>
    <t>QNT. DE PARCELAS</t>
  </si>
  <si>
    <t>SEGURADORA</t>
  </si>
  <si>
    <t>% COMISSÃO</t>
  </si>
  <si>
    <t>VALOR DA COMISSÃO</t>
  </si>
  <si>
    <t>ADILSON VENCESLAU</t>
  </si>
  <si>
    <t>10X</t>
  </si>
  <si>
    <t>AZUL</t>
  </si>
  <si>
    <t>HUMBERTO ANTONIO BARONI</t>
  </si>
  <si>
    <t>MARITIMA</t>
  </si>
  <si>
    <t>BRUNO FELLIPE DA CRUZ</t>
  </si>
  <si>
    <t>4X</t>
  </si>
  <si>
    <t>BRADESCO</t>
  </si>
  <si>
    <t>ERIKA GOMES DE LIMA</t>
  </si>
  <si>
    <t>MITSUI</t>
  </si>
  <si>
    <t>CRYSTIAN FELIX</t>
  </si>
  <si>
    <t>TOKIO</t>
  </si>
  <si>
    <t>MARCOS JOSE DA SILVA</t>
  </si>
  <si>
    <t>5X</t>
  </si>
  <si>
    <t>PORTO</t>
  </si>
  <si>
    <t>MARIA DE LOURDES LIMA DOS SANTOS</t>
  </si>
  <si>
    <t>FERNANDO ANTONIO DE OLIVEIRA</t>
  </si>
  <si>
    <t>1X</t>
  </si>
  <si>
    <t>EMERSON AMARINHO DE ARAÚJO</t>
  </si>
  <si>
    <t>HUGO LIMA</t>
  </si>
  <si>
    <t>AILSON PONTES DA SILVA</t>
  </si>
  <si>
    <t>HDI</t>
  </si>
  <si>
    <t>MARIZA DIAS AYRES MACHADO</t>
  </si>
  <si>
    <t>MARCIA LOPES DE SOUSA</t>
  </si>
  <si>
    <t>CEOS / MEGADRILL</t>
  </si>
  <si>
    <t>7X</t>
  </si>
  <si>
    <t>CAIO FELLIPE DA CRUZ</t>
  </si>
  <si>
    <t>SEVERINO MIGUEL DA SILVA</t>
  </si>
  <si>
    <t>EVANDRO FERREIRA DA COSTA</t>
  </si>
  <si>
    <t>VALTER RODRIGO DIAS</t>
  </si>
  <si>
    <t>REINALDO NONATO DA SILVA</t>
  </si>
  <si>
    <t>VALOR TOTAL:</t>
  </si>
  <si>
    <t>JUNHO</t>
  </si>
  <si>
    <t>WILSON DE SOUZA</t>
  </si>
  <si>
    <t>JOSE ADENOR DA SILVA</t>
  </si>
  <si>
    <t>PAULA REGINA BOTARO</t>
  </si>
  <si>
    <t>MARCIO ANDRE ALVES DOS SANTOS</t>
  </si>
  <si>
    <t>LIBERTY</t>
  </si>
  <si>
    <t>JOSE GERALDO DE MOREIRA</t>
  </si>
  <si>
    <t>GESIMARA DA COSTA MENDES</t>
  </si>
  <si>
    <t>EMMANUEL MARTINS DE ALBUQUERQUE</t>
  </si>
  <si>
    <t>GABRIELA GONÇALVES BRITO</t>
  </si>
  <si>
    <t>KELLY CRISTINA ACACIO VICENTE</t>
  </si>
  <si>
    <t>PAULO ALEXANDRE DA COSTA</t>
  </si>
  <si>
    <t>ERICA MARIA GOMES DE LIMA</t>
  </si>
  <si>
    <t>RYNALDO EDISON LEONARDO MARTINS ZAMAI</t>
  </si>
  <si>
    <t>THAIS DE FREITAS DOS SANTOS</t>
  </si>
  <si>
    <t>MICHELLE DOS SANTOS</t>
  </si>
  <si>
    <t xml:space="preserve">5X </t>
  </si>
  <si>
    <t>SUL AMÉRICA</t>
  </si>
  <si>
    <t>VALDEMAR DE SOUZA DA SILVA</t>
  </si>
  <si>
    <t>MARÍTIMA</t>
  </si>
  <si>
    <t>NELSON NUNES DA SILVA FILHO</t>
  </si>
  <si>
    <t>6X</t>
  </si>
  <si>
    <t>GLEDISON DE PAULA BARBARA</t>
  </si>
  <si>
    <t>CARLOS LOPES REY</t>
  </si>
  <si>
    <t>FERNANDA MARTINS</t>
  </si>
  <si>
    <t>JULHO</t>
  </si>
  <si>
    <t>FRANCISCO WESLEY ALVES ALMEIDA RUFINO</t>
  </si>
  <si>
    <t>JOSE ALVES ROCHA</t>
  </si>
  <si>
    <t>RENATO DE JESUS LINS</t>
  </si>
  <si>
    <t>FERNANDO SERGIO VIANA MACHADO</t>
  </si>
  <si>
    <t>3X</t>
  </si>
  <si>
    <t>MARIA GRAZIELA PEREIRA MELCHIOR VILLAR</t>
  </si>
  <si>
    <t>SUELI APARECIDA JORGE DE AZEVEDO</t>
  </si>
  <si>
    <t>CLAUDIA REGINA DIAS</t>
  </si>
  <si>
    <t>MARISA DIAS AYRES MACHADO</t>
  </si>
  <si>
    <t>SUL AMERICA</t>
  </si>
  <si>
    <t>LUCI GRUNOV</t>
  </si>
  <si>
    <t>ANSELMO DOS SANTOS UGARTE</t>
  </si>
  <si>
    <t>SEGMAX TECNOLOGIA EM ARGAMASSAS</t>
  </si>
  <si>
    <t>RAIMUNDO NONATO NUNES</t>
  </si>
  <si>
    <t>ANGELO MARCIO ALVES NEVEZ</t>
  </si>
  <si>
    <t>NEUSA APARECIDA DE ARAUJO</t>
  </si>
  <si>
    <t>STARPACK</t>
  </si>
  <si>
    <t>CHUBB</t>
  </si>
  <si>
    <t>SERGIO RODRIGO BUENO</t>
  </si>
  <si>
    <t>IZAIAS MENDES DA SILVA</t>
  </si>
  <si>
    <t>EDIVALDO PEREIRA DA SILVA</t>
  </si>
  <si>
    <t>RAFAEL CUNHA DO NASCIMENTO</t>
  </si>
  <si>
    <t>FELIPE PENDEK</t>
  </si>
  <si>
    <t>NILDO JOSE DE LIMA</t>
  </si>
  <si>
    <t>ALLIANZ</t>
  </si>
  <si>
    <t>MARIA LUISA NONATO MARTINES</t>
  </si>
  <si>
    <t>DALMO DE CARVALHO PONCIANO</t>
  </si>
  <si>
    <t>AGOSTO</t>
  </si>
  <si>
    <t>COMISSÃO CORRETOR PREPOSTO</t>
  </si>
  <si>
    <t>PEDRO PAULO FARIA</t>
  </si>
  <si>
    <t>ALEXANDRE GOMIDE DE CASTRO</t>
  </si>
  <si>
    <t>GILBERTO ANDERRSON BRAZ</t>
  </si>
  <si>
    <t>MAURICI AZEVEDO DO NASCIMENTO</t>
  </si>
  <si>
    <t>EVERALDO ALVES MAJOR</t>
  </si>
  <si>
    <t>Mauro</t>
  </si>
  <si>
    <t>VALDEMIR SILVA ALMEIDA</t>
  </si>
  <si>
    <t>GEORGE ELIAS FERREIRA DA SILVA</t>
  </si>
  <si>
    <t>2x</t>
  </si>
  <si>
    <t>MARCO AURELIO DA SILVA</t>
  </si>
  <si>
    <t>JOAO JUSTINO DOS SANTOS</t>
  </si>
  <si>
    <t>MAURICIO MAURO MACHADO</t>
  </si>
  <si>
    <t>LEANDRO DE ALMEIDA CRISPIM ME</t>
  </si>
  <si>
    <t>ROBERTA PRISCILA DA SILVA MATIAS</t>
  </si>
  <si>
    <t>AQUINO IMOVEIS</t>
  </si>
  <si>
    <t>ADALBERTO SANTOS DE OLIVEIRA</t>
  </si>
  <si>
    <t>JEFFERSON D AMBROSIO DA CONCEI</t>
  </si>
  <si>
    <t>11X</t>
  </si>
  <si>
    <t>LUCIANO DA SILVA SENA</t>
  </si>
  <si>
    <t>DACIO LUIS DE CASTRO MENDES</t>
  </si>
  <si>
    <t>GERALDO AMARINHO DE ARAUJO</t>
  </si>
  <si>
    <t>FRANCISCO ELEOTORIO CHAGAS JR</t>
  </si>
  <si>
    <t>SETEMBRO</t>
  </si>
  <si>
    <t>Preposto</t>
  </si>
  <si>
    <t>LUCIENE TEREZA DA SILVA</t>
  </si>
  <si>
    <t>JEFFERSON RODRIGUES</t>
  </si>
  <si>
    <t>CLEBER EDSON BANDEIRA</t>
  </si>
  <si>
    <t>GILBERTO RODRIGUES MAGUETA</t>
  </si>
  <si>
    <t>AKISHIDE YAMASHITA</t>
  </si>
  <si>
    <t>ALBA CELIA SOARES MOTA</t>
  </si>
  <si>
    <t>ADJAILSON PONTES DA SILVA</t>
  </si>
  <si>
    <t>LUCIANO DE LIMA ARAUJO</t>
  </si>
  <si>
    <t>JOSÉ MILTON REIS</t>
  </si>
  <si>
    <t>REGINA CRISTINA LEITE PEREIRA</t>
  </si>
  <si>
    <t>RAFAEL BRAULIO ROCHA</t>
  </si>
  <si>
    <t>AREMI FARIAS DE MORAIS</t>
  </si>
  <si>
    <t>ANTONIO AMELIO VIEIRA DA SILVA</t>
  </si>
  <si>
    <t>SEVERINO GOMES</t>
  </si>
  <si>
    <t>GENIVALDO ANTONIO DE OLIVEIRA</t>
  </si>
  <si>
    <t>JOSE ROGERIO MONTEIRO</t>
  </si>
  <si>
    <t>THAIS FERRE FAILLA</t>
  </si>
  <si>
    <t>RAPHAEL TREPICHIO</t>
  </si>
  <si>
    <t>OUTUBRO</t>
  </si>
  <si>
    <t>SUEMARY LOPES DE BARROS</t>
  </si>
  <si>
    <t>JOSE DERNIVAL SANTOS FILHO</t>
  </si>
  <si>
    <t>MARCOS LEANDRO DA SILVA</t>
  </si>
  <si>
    <t>JULIANA MAITAN BITTENCOURT</t>
  </si>
  <si>
    <t>LUCIANO DE OLIVEIRA MACEDO</t>
  </si>
  <si>
    <t>MAPFRE</t>
  </si>
  <si>
    <t>MARLUCE SANTOS MARTINS</t>
  </si>
  <si>
    <t>ALEX GONÇALVES DE ANDRADE</t>
  </si>
  <si>
    <t>RICARDO JOSE DE VASCONCELOS</t>
  </si>
  <si>
    <t>PRISCILA MINGHETTI PERRUD</t>
  </si>
  <si>
    <t>FRANCISCO DAS CHAGAS F. DE LIMA</t>
  </si>
  <si>
    <t>2X</t>
  </si>
  <si>
    <t>WALTER PEREIRA DE ALMEIDA</t>
  </si>
  <si>
    <t>ARLETE FERREIRA PEREIRA</t>
  </si>
  <si>
    <t>CLAUS WILLIAM SCHULZE</t>
  </si>
  <si>
    <t>SÍNDIA MARA DE CARVALHO</t>
  </si>
  <si>
    <t>PAULO JIRO NOMI</t>
  </si>
  <si>
    <t>EDILENE ROSA DE ARAUJO</t>
  </si>
  <si>
    <t>NOVEMBRO</t>
  </si>
  <si>
    <t>PREPOSTO/ COMISSÕES</t>
  </si>
  <si>
    <t>LUANA DE CAIRES COELHO</t>
  </si>
  <si>
    <t>17.50%</t>
  </si>
  <si>
    <t>JORGE LUIS MONTE DA SILVA</t>
  </si>
  <si>
    <t>TARCISIO ANTONIO VALENTIM</t>
  </si>
  <si>
    <t>FERNANDA GONZALES DE LIMA</t>
  </si>
  <si>
    <t>PATRICIA DE ARAUJO NUNES</t>
  </si>
  <si>
    <t>ADEMIR CYRINO GARCIA</t>
  </si>
  <si>
    <t>ROSANA ARAKAKI GUIMARAES</t>
  </si>
  <si>
    <t>SEBASTIÃO MARCIO CAPELLO</t>
  </si>
  <si>
    <t>LUCIENE APARECIDA PANSARIN</t>
  </si>
  <si>
    <t>SEVERINO BERNARDO DA SILVA</t>
  </si>
  <si>
    <t>ADEMIR ROCHA GARCIA</t>
  </si>
  <si>
    <t>ROSEMEIRE PASSERE</t>
  </si>
  <si>
    <t>ALEX SANDRO BRAGARO</t>
  </si>
  <si>
    <t>JOSE AUGUSTO GALAN</t>
  </si>
  <si>
    <t>ALEXANDRE GARCIA DA PAIXÃO</t>
  </si>
  <si>
    <t>Mauro - R$ 78,91 - Pago</t>
  </si>
  <si>
    <t>FLAVIA RUBIA DE PAULA</t>
  </si>
  <si>
    <t>ESTANISLAU SEVERINO DE ARRUDA JUNIOR</t>
  </si>
  <si>
    <t>GILBERTO BRITO DA SILVA</t>
  </si>
  <si>
    <t>ANDERSON SILVEIRO</t>
  </si>
  <si>
    <t>ENOQUE RAIMUNDO DE OLIVEIRA</t>
  </si>
  <si>
    <t>VANESSA SALLUM CUNHA</t>
  </si>
  <si>
    <t>Mauro - R$ 95,52 Pago</t>
  </si>
  <si>
    <t>VANESSA DE CASTRO MENDES</t>
  </si>
  <si>
    <t>DEZEMBRO</t>
  </si>
  <si>
    <t xml:space="preserve">PREPOSTOS </t>
  </si>
  <si>
    <t>Prepostos/ Comissões</t>
  </si>
  <si>
    <t>ELISEU ALENCAR SANTIAGO</t>
  </si>
  <si>
    <t>Vinicius/ 148,17 - Pago</t>
  </si>
  <si>
    <t>ALEXANDRA SEREICIKAS</t>
  </si>
  <si>
    <t>DANIELA AVELINO CUNHA ANDRADE</t>
  </si>
  <si>
    <t>ORLANDO BERNARDES FAUSTINO</t>
  </si>
  <si>
    <t>LUZIA BARBOSA</t>
  </si>
  <si>
    <t>ROBERTA PEREIRA DA PURIFICAÇÃO</t>
  </si>
  <si>
    <t>Mauro/ 42,48 - Pago</t>
  </si>
  <si>
    <t>LEANDRO CUNHA DE VASCONCELOS</t>
  </si>
  <si>
    <t>Mauro/ 90,36</t>
  </si>
  <si>
    <t>MARCELO PAULO DE OLIVEIRA</t>
  </si>
  <si>
    <t>ADRIANO LOPES SANTOS</t>
  </si>
  <si>
    <t>8X</t>
  </si>
  <si>
    <t>Mauro - 92,47</t>
  </si>
  <si>
    <t>TEGNUS FRANCISCUS LAMAS</t>
  </si>
  <si>
    <t>ANA MARIA SOTERO</t>
  </si>
  <si>
    <t>ALAOR GONÇALVES DIAS</t>
  </si>
  <si>
    <t>ALEXANDRE ALFREDO LAMEIRÃO</t>
  </si>
  <si>
    <t>PAULO RAIMUNDO BAUEB</t>
  </si>
  <si>
    <t>SUELI GOMES DA SILVA JURAS</t>
  </si>
  <si>
    <t>ERICK DOMINGOS PELINSON QUIRINO</t>
  </si>
  <si>
    <t>ABELARDO MATIAS BACELAR</t>
  </si>
  <si>
    <t>SANDRA CRISTINA MENDES BOZZO</t>
  </si>
  <si>
    <t>4x</t>
  </si>
  <si>
    <t>JORGE - R$ 184,20 - PAGO</t>
  </si>
  <si>
    <t>IVONE ALVES DE MELO</t>
  </si>
  <si>
    <t>RODRIGO GONÇALVES DA SILVA</t>
  </si>
  <si>
    <t>COMISSÕES</t>
  </si>
  <si>
    <t>OSVALDO GONÇALVES DE ALMEIDA</t>
  </si>
  <si>
    <t>ADRIANA M PEREIRA</t>
  </si>
  <si>
    <t>JEFFERSON D AMBROSIO DA CONCEIÇÃO</t>
  </si>
  <si>
    <t>ANTONIO CESAR ESTEVES</t>
  </si>
  <si>
    <t>JORGE - R$ 162,31 - PAGO</t>
  </si>
  <si>
    <t>CARLOS EDUARDO SILVA DE SOUZA</t>
  </si>
  <si>
    <t>KATIA REGINA DA SILVA</t>
  </si>
  <si>
    <t>LUANA CARLA MARQUES</t>
  </si>
  <si>
    <t>CARLOS ALBERTO ROQUE SANTOS</t>
  </si>
  <si>
    <t>ROSANA CLAUDIA FAUSTINO</t>
  </si>
  <si>
    <t>MARCUS VINICIUS DE ARAUJO BATISTA</t>
  </si>
  <si>
    <t>NOZIOZENO BATISTA DOS SANTOS</t>
  </si>
  <si>
    <t>MIRIA CORREA PEREIRA ISRAEL</t>
  </si>
  <si>
    <t>NORBERTO DE SOUZA</t>
  </si>
  <si>
    <t>GEANE SALVIEIRO TEPERINO AVILA</t>
  </si>
  <si>
    <t>FABIO FERNANDES COSTA</t>
  </si>
  <si>
    <t>FRANCISCO JOSE MOREIRA</t>
  </si>
  <si>
    <t>ADRINI CARLOS CORTEZ</t>
  </si>
  <si>
    <t>REGIANE RHEIN TORRES SOBRAL</t>
  </si>
  <si>
    <t>MARIA RISALVA TAVARES</t>
  </si>
  <si>
    <t>LUCIANA APEZZATTO JOAQUIM U.</t>
  </si>
  <si>
    <t>MARIA APARECIDA ALVES NOGUEIRA</t>
  </si>
  <si>
    <t>ELAINE CRISTINA DA SILVA</t>
  </si>
  <si>
    <t>MARIA APARECIDA DOMINGOS</t>
  </si>
  <si>
    <t>SILVIA VIEIRA BARRETO</t>
  </si>
  <si>
    <t>MIRIAN RIBEIRO</t>
  </si>
  <si>
    <t>CAIO BRUNO BALTAZAR</t>
  </si>
  <si>
    <t>ANTONIO SOARES DE CARVALHO</t>
  </si>
  <si>
    <t>VALDOMIRO PENDEK</t>
  </si>
  <si>
    <t>ANGELA DOS SANTOS CARVALHO</t>
  </si>
  <si>
    <t>ALISSON GONÇALVES DA SILVA</t>
  </si>
  <si>
    <t>JOSÉ AMARO BATISTA</t>
  </si>
  <si>
    <t>LUCIANA PIERONI COUTINHO</t>
  </si>
  <si>
    <t>THIAGO TADEU DE LIMA</t>
  </si>
  <si>
    <t>MONIKA ELIZABETH JUNG MATRONI</t>
  </si>
  <si>
    <t>128,62 - Mauro</t>
  </si>
  <si>
    <t>HUMBERTO MATIAS ALVES SILVA</t>
  </si>
  <si>
    <t>MARCELA DALTO AMMIRABILE</t>
  </si>
  <si>
    <t>ROSENAIDE RITA FERREIRA O. COELHO</t>
  </si>
  <si>
    <t>EDSON BATISTA DE MORAES</t>
  </si>
  <si>
    <t>7x</t>
  </si>
  <si>
    <t>CARLOS ROGÉRIO GOMIDE</t>
  </si>
  <si>
    <t>EDSON COSTA</t>
  </si>
  <si>
    <t>JOANA DARC JACINTO SOARES COELHO</t>
  </si>
  <si>
    <t>CARLOS ALBERTO PINTO</t>
  </si>
  <si>
    <t>ADRIANA DA SILVA MONÇÃO BARROS</t>
  </si>
  <si>
    <t xml:space="preserve">JAILSON DE JESUS SANTOS </t>
  </si>
  <si>
    <t>VANDERLEI PEREIRA DE ALMEIDA</t>
  </si>
  <si>
    <t>JAILSONPEREIRA DA SILVA</t>
  </si>
  <si>
    <t>APARECIDA MARIA DE OLIVEIRA</t>
  </si>
  <si>
    <t>JORGE LUIZ DE MELO</t>
  </si>
  <si>
    <t>MARCIO DA CONCEIÇÃO CAVALCANTI</t>
  </si>
  <si>
    <t>PAULO REMILTON PEREIRA DA FONSECA</t>
  </si>
  <si>
    <t>KEILLA ADRIANA GOMES C. LAMEIRÃO</t>
  </si>
  <si>
    <t>DENISSON TAVARES SANTOS</t>
  </si>
  <si>
    <t>RENATA CARLA FAUSTINO DE MELO</t>
  </si>
  <si>
    <t>ADRIANA DOS SANTOS PEREIRA</t>
  </si>
  <si>
    <t>FLAVIA APARECIDA MORAIS MARTINS</t>
  </si>
  <si>
    <t xml:space="preserve">RITA DE CASSIA MENDES </t>
  </si>
  <si>
    <t>FRANCISCO PAIVA DE FREITAS</t>
  </si>
  <si>
    <t>JOHNNY BISPO DIAS</t>
  </si>
  <si>
    <t>POLYANA DE PAULA ALBUQUERQUE</t>
  </si>
  <si>
    <t>JUCIELIA RODRIGUES DOS ANJOS</t>
  </si>
  <si>
    <t>BRUNA LISBOA TORRES SOBRAL</t>
  </si>
  <si>
    <t>RODRIGO CARRERAS DE OLIVEIRA MOTA</t>
  </si>
  <si>
    <t>SUHAI</t>
  </si>
  <si>
    <t>FERNANDO NONATO MARTINES</t>
  </si>
  <si>
    <t>JOSE GERALDO RIBEIRO</t>
  </si>
  <si>
    <t>Vinicius - 77,55</t>
  </si>
  <si>
    <t>EDUARDO GENOVESI FERNANDES</t>
  </si>
  <si>
    <t>KARINA YUMI KATSUURA</t>
  </si>
  <si>
    <t>RENATO LEITE RODRIGUES</t>
  </si>
  <si>
    <t>CICERO TERTO</t>
  </si>
  <si>
    <t>ÁLVARO LUIZ MANCHON SARNES</t>
  </si>
  <si>
    <t>MARIO PAULO DA SILVA DOMINGOS</t>
  </si>
  <si>
    <t>COMISSÕES/CORRETORES</t>
  </si>
  <si>
    <t>ADILSON VENCESLAU BRAS</t>
  </si>
  <si>
    <t>ROBERTO SELESTINO</t>
  </si>
  <si>
    <t>77,12 - Mauro</t>
  </si>
  <si>
    <t>GEORGE DE OLIVEIRA</t>
  </si>
  <si>
    <t>WALTER VINICIUS GUZMAN DE ALMEIDA</t>
  </si>
  <si>
    <t>EMERSON AMARINHO DE ARAUJO</t>
  </si>
  <si>
    <t>EVANDRO VILARONGA RIOS</t>
  </si>
  <si>
    <t xml:space="preserve">SEVERINO MIGUEL DA SILVA </t>
  </si>
  <si>
    <t>PEDRO TEMOTEO DOS SANTOS</t>
  </si>
  <si>
    <t>UILSON GONÇALVES GUERRERO UNGARELLO</t>
  </si>
  <si>
    <t>ERIVALDO DOS SANTOS</t>
  </si>
  <si>
    <t>GABRIELA GONÇCALVES BRITO</t>
  </si>
  <si>
    <t>RAFAEL FERREIRA  (L200)</t>
  </si>
  <si>
    <t>VALDEMAR SOUZA DA SILVA</t>
  </si>
  <si>
    <t>1x</t>
  </si>
  <si>
    <t>DANIELA FERNANDES RODRIGUES</t>
  </si>
  <si>
    <t>THAIS FREITAS DOS SANTOS</t>
  </si>
  <si>
    <t>REPASSE COMISSÃO</t>
  </si>
  <si>
    <t xml:space="preserve">CLAUDIA REGINA DIAS </t>
  </si>
  <si>
    <t>SUELI APARECIDA JORGE DE AZEVED0</t>
  </si>
  <si>
    <t>MANUEL MAX FIRMINO LOPES FILHO</t>
  </si>
  <si>
    <t>ANSELMO DO SANTOS UGARTE</t>
  </si>
  <si>
    <t/>
  </si>
  <si>
    <t>SEGMAX TECNOLOGIA E M ARGAMASSAS LTDA</t>
  </si>
  <si>
    <t>ANGELO MARCIO ALVES NEVES</t>
  </si>
  <si>
    <t>BRUNO SOUZA AGUIAR</t>
  </si>
  <si>
    <t>ROBERTO CELESTINO</t>
  </si>
  <si>
    <t>SULAMERICA</t>
  </si>
  <si>
    <t>THAIS FREITAS DOS SANTOS SOUZA</t>
  </si>
  <si>
    <t>STAR PACK</t>
  </si>
  <si>
    <t>REGIANI APARECIDA GARDELLI DEL BUSSO</t>
  </si>
  <si>
    <t>FELIPE MOTA PENDEK</t>
  </si>
  <si>
    <t>5x</t>
  </si>
  <si>
    <t>MARCIO DA CONCEIÇÃO DA COSTA</t>
  </si>
  <si>
    <t>LUIS VANTULIO DA COSTA</t>
  </si>
  <si>
    <t>VALDEMIR SILVA DOS SANTOS</t>
  </si>
  <si>
    <t>HELENILDA JOSEFA DA SILVA DE SOUSA</t>
  </si>
  <si>
    <t>REPASSE   JORGE = R4 175,99</t>
  </si>
  <si>
    <t>EDIVALDO FRANCISCO SANTOS</t>
  </si>
  <si>
    <t>EDUARDO TORRES DA CUNHA</t>
  </si>
  <si>
    <t>WILLIAN ANTONIO GUEDES DOS SANTOS</t>
  </si>
  <si>
    <t>ROGERIO ORIOLI</t>
  </si>
  <si>
    <t>MARCOS ROBERTO ALENCAR SANTIAGO</t>
  </si>
  <si>
    <t>LEONARDO GABALDI CARDOSO</t>
  </si>
  <si>
    <t>ALCIDESIO CAETANO DA SILVA</t>
  </si>
  <si>
    <t>AQUINO IMÓVEIS</t>
  </si>
  <si>
    <t>FRANCISCO ELEOTORIO CHAGAS JUNIOR</t>
  </si>
  <si>
    <t>ALBERTO LINCOLN FERREIRA MALTA</t>
  </si>
  <si>
    <t>NEYRE MACIEL SEIXAS</t>
  </si>
  <si>
    <t>LUCIANO DE LIMA DE ARAUJO</t>
  </si>
  <si>
    <t>BRADESC0</t>
  </si>
  <si>
    <t>SEGMAX</t>
  </si>
  <si>
    <t>MICHELLE DOS SANTOS SOUZA</t>
  </si>
  <si>
    <t>BRADES</t>
  </si>
  <si>
    <t>PAULO ROGERIO TEIXEIRA DA SILVA</t>
  </si>
  <si>
    <t>FRANCISCO DAS CHAGAS FERREIRA DE LIMA</t>
  </si>
  <si>
    <t>JAQUELINE HENRIQUE DOS SANTOS</t>
  </si>
  <si>
    <t>ENDOSSO - ANDREZA PATRICIA LOPES PONTES</t>
  </si>
  <si>
    <t>LEANDRO ALMEIDA CRISPIM ME</t>
  </si>
  <si>
    <t>MARLUCE DOS SANTOS MARTINS</t>
  </si>
  <si>
    <t>F INICIATIVAS CONSULTORIA E ASS EMPRES LTDA</t>
  </si>
  <si>
    <t>EMPRESARIAL</t>
  </si>
  <si>
    <t>ALEX SANDRO BRAGATO</t>
  </si>
  <si>
    <t>TARCISIO ANTONIO VALENTIN</t>
  </si>
  <si>
    <t>JANIO DUTRA DA SILVA</t>
  </si>
  <si>
    <t>SEBASTIAO MARCIO CAPELLO</t>
  </si>
  <si>
    <t>LUCIENE APARECIDA PANSARIN MEI</t>
  </si>
  <si>
    <t>AILTON ROCHA GONÇALVES</t>
  </si>
  <si>
    <t>ERIKA DIAS LIMA</t>
  </si>
  <si>
    <t>ALEXANDRA SEREICIKAS DE SOUSA LIMA</t>
  </si>
  <si>
    <t>ANA MARIA SOTERO LIMA</t>
  </si>
  <si>
    <t>GERSON FONSECA MENDES</t>
  </si>
  <si>
    <t>ITAU</t>
  </si>
  <si>
    <t>MARCIA ISABEL DOS SANTOS</t>
  </si>
  <si>
    <t>SOLANGE ALMEIDA RODRIGUES</t>
  </si>
  <si>
    <t>OSVALDO GONÇALVES DE ALMEIDA S</t>
  </si>
  <si>
    <t>ABELARDO  MATIAS BACELAR</t>
  </si>
  <si>
    <t>MANOELINA MARIA MARTINS</t>
  </si>
  <si>
    <t>OSWALDO ANTONIO MENDES</t>
  </si>
  <si>
    <t>CAMILA APARECIDA DE LIMA</t>
  </si>
  <si>
    <t>CORRETOR</t>
  </si>
  <si>
    <t>JORGE</t>
  </si>
  <si>
    <t>SERGIO MELLO RAMALHO DE CARVALHO</t>
  </si>
  <si>
    <t>MAURO</t>
  </si>
  <si>
    <t>CARLOS ALBERTO ROQUE DOS SANTOS</t>
  </si>
  <si>
    <t>WILLIAM MARCILIO RIBEIRO DA SILVA</t>
  </si>
  <si>
    <t>10x</t>
  </si>
  <si>
    <t>GEANE SALVIANO TEPERINO AVILA</t>
  </si>
  <si>
    <t>MIRIÃ CORREA PEREIRA ISRAEL</t>
  </si>
  <si>
    <t>RONALDO TORRES SOBRAL</t>
  </si>
  <si>
    <t>GERSY ANTUNES DE ALMEIDA</t>
  </si>
  <si>
    <t>9X</t>
  </si>
  <si>
    <t>EMPRESARIAL IGREJA METODISTA</t>
  </si>
  <si>
    <t>LUCIANA APEZZATTO JOAQUIM UNGARELLO</t>
  </si>
  <si>
    <t>JOSE AMARO BATISTA</t>
  </si>
  <si>
    <t>CELIA CLARICE DE MELO DEL CAMPO</t>
  </si>
  <si>
    <t>CRISLAINE VIEIRA RIBEIRO</t>
  </si>
  <si>
    <t>FABIO LUIS DO CARMO</t>
  </si>
  <si>
    <t>MARCIO DA SILVA CONCEIÇÃO CAVALCANTI</t>
  </si>
  <si>
    <t>ROBERTA GUACIRA DE SOUZA GOMES</t>
  </si>
  <si>
    <t>MONIKA ELISABETH JUNG MATRONI</t>
  </si>
  <si>
    <t>ITAÚ</t>
  </si>
  <si>
    <t>JAILSON PEREIRA DA SILVA</t>
  </si>
  <si>
    <t>JOHNNY GUIMARAES BISPO DIAS</t>
  </si>
  <si>
    <t>GISELE DOS SANTOS</t>
  </si>
  <si>
    <t>JAILSON DE JESUS SANTOS</t>
  </si>
  <si>
    <t>JORGE LUIS DE MELO</t>
  </si>
  <si>
    <t xml:space="preserve">FLAVIA APARECIDA MORAIS MARTINS </t>
  </si>
  <si>
    <t>SARA FERREIRA GUIMARAES</t>
  </si>
  <si>
    <t>ADRIANA ROCHA SOUTO GUZZI</t>
  </si>
  <si>
    <t>IGNACIO TOLOSA ITURRALDE NETO</t>
  </si>
  <si>
    <t>ROGERIO SPAGIARI</t>
  </si>
  <si>
    <t>MARILOURDES ARAUJO LIMA NUNES</t>
  </si>
  <si>
    <t>FERNANDA DE CASSIA MAXIMINO DA COSTA- MULTICANAL</t>
  </si>
  <si>
    <t xml:space="preserve">                                 14/05/2017</t>
  </si>
  <si>
    <t>GEORGE DE OLIVIEIRA</t>
  </si>
  <si>
    <t>FRANCISCO ROLIM DE LIMA- MULTICANAL</t>
  </si>
  <si>
    <t>LEONARDO HENRIQUE MENDES- MULTICANAL</t>
  </si>
  <si>
    <t>ANA NAZARE ALCAIDE DOS SANTOS</t>
  </si>
  <si>
    <t>ANDREZA PATRICIA LOPES PONTES</t>
  </si>
  <si>
    <t>VALDIR PACHECO</t>
  </si>
  <si>
    <t>JOSÉ GERALDO MOREIRA</t>
  </si>
  <si>
    <t xml:space="preserve"> SUL AMÉRICA</t>
  </si>
  <si>
    <t>LUCIANO CARDOSO CARBONE- MULTI CANAL</t>
  </si>
  <si>
    <t>GLEDSON DE PAULA BARBARA</t>
  </si>
  <si>
    <t>NELSON NUNES DA SILVA</t>
  </si>
  <si>
    <t>SUELI APARECIDA JORGE DE AEVEDO</t>
  </si>
  <si>
    <t xml:space="preserve">4X </t>
  </si>
  <si>
    <t xml:space="preserve">7X </t>
  </si>
  <si>
    <t xml:space="preserve">                    11.76%</t>
  </si>
  <si>
    <t>MATHEUS FONSECA DARDENGO BENTO</t>
  </si>
  <si>
    <t>MANOEL MAXIMINO LOPES FILHO</t>
  </si>
  <si>
    <t xml:space="preserve">10X </t>
  </si>
  <si>
    <t>ANGELO MARIO ALVES NEVES</t>
  </si>
  <si>
    <t>ROBERTO CELESTINO DOS SANTOS</t>
  </si>
  <si>
    <t>DORIVAL MALHEIROS CARDOSO</t>
  </si>
  <si>
    <t>MARIO DA CONCEIÇÃO CAVALCANTI</t>
  </si>
  <si>
    <t>VAGNO RODRIGUES DA SILVA</t>
  </si>
  <si>
    <t>HELENILDA JOSEFA DA SILVA FONSECA</t>
  </si>
  <si>
    <t>IZAIAS MENDES DE SOUZA</t>
  </si>
  <si>
    <t>LEANDRO MAYCON SILVA- MULTI CANAL</t>
  </si>
  <si>
    <t>MARTHA MARIA PEREIRA DE JESUS</t>
  </si>
  <si>
    <t>MARCO ROBERTO ALENCAR SANTIAGO</t>
  </si>
  <si>
    <t xml:space="preserve">PEDRO PAULA FARIA </t>
  </si>
  <si>
    <t>ROBERTA PRISCILA DA SILVA MARTINS</t>
  </si>
  <si>
    <t>AQUINO EMPREENDIMENTOS</t>
  </si>
  <si>
    <t>SEGMAX TECNOLOGIA EM ARGAMASSSAS LTDA</t>
  </si>
  <si>
    <t>RICARDO BENEDITO CALAIS JESUS</t>
  </si>
  <si>
    <t>SOMPO</t>
  </si>
  <si>
    <t>GENI APARECIDA DE OLIVEIRA</t>
  </si>
  <si>
    <t>JEFFERSON</t>
  </si>
  <si>
    <t>JOSÉ ROGEIRO MONTEIRO</t>
  </si>
  <si>
    <t xml:space="preserve"> </t>
  </si>
  <si>
    <t>PAULO ROGERIO TEIXEIRA</t>
  </si>
  <si>
    <t>CONDOMINIO VILLAGGIO DE PANAMBY</t>
  </si>
  <si>
    <t>JAQUELINE HENRIQUE SANTIAGO DOS SANTOS</t>
  </si>
  <si>
    <t>THAIS FERRE FAILA</t>
  </si>
  <si>
    <t xml:space="preserve">AILSON PONTES DA SILVA </t>
  </si>
  <si>
    <t>12X</t>
  </si>
  <si>
    <t>AILSON PONTES DA SILVA- RCF</t>
  </si>
  <si>
    <t>MARIA MARGARIDA DA SILVA</t>
  </si>
  <si>
    <t>JEFFERSON DE AMBROSIO DA CONCEIÇÃO</t>
  </si>
  <si>
    <t>CARLINHOS</t>
  </si>
  <si>
    <t>PORTO RASTR</t>
  </si>
  <si>
    <t>TAXA ÚNICA</t>
  </si>
  <si>
    <t>ANNA CLAUDIA ARENA SIQUEIRA DIAS</t>
  </si>
  <si>
    <t>JOSE DERNIVAL DOS SANTOS FILHO</t>
  </si>
  <si>
    <t>FRANCISCO GOMES NETO</t>
  </si>
  <si>
    <t xml:space="preserve">PORTO </t>
  </si>
  <si>
    <t xml:space="preserve">JANIO DUTRA DA SILVA </t>
  </si>
  <si>
    <t>ARLETE FERREIRA LIMA</t>
  </si>
  <si>
    <t>CLAUS WILLIAM SHULZE</t>
  </si>
  <si>
    <t>ARNALDO FARIAS FILHO</t>
  </si>
  <si>
    <t>CAIO BRUNO BATALZAR</t>
  </si>
  <si>
    <t>WILLIAN ANTONIO DE GUEDES</t>
  </si>
  <si>
    <t>SEBASTIAO MARCIO CAPELO</t>
  </si>
  <si>
    <t xml:space="preserve">                           09/11/2017</t>
  </si>
  <si>
    <t xml:space="preserve">MARIA TOSHIKO OKADA </t>
  </si>
  <si>
    <t>ANDERSON CLAYTON DA SILVA</t>
  </si>
  <si>
    <t>ITURAN</t>
  </si>
  <si>
    <t>LUCIENE APARECIDA PANSARIN MEIRELES</t>
  </si>
  <si>
    <t>ESTANILAU SEVERINO DE ARRUDA JUNIOR</t>
  </si>
  <si>
    <t>ALEXANDRA SEREICIKAS DE SOUZA LIMA</t>
  </si>
  <si>
    <t>RUBENS RODRIGO FRANCO DA SILVA</t>
  </si>
  <si>
    <t>FABIO NONATO MARTINES</t>
  </si>
  <si>
    <t>JOCITON PEREIRA DA CONCEIÇÃO</t>
  </si>
  <si>
    <t>CRYSTIAN FELIX DA SILVA</t>
  </si>
  <si>
    <t xml:space="preserve">SUHAI  </t>
  </si>
  <si>
    <t xml:space="preserve">SUELI GOMES JURAS </t>
  </si>
  <si>
    <t>WALTER LUIZ DOS SANTOS JUNIOR</t>
  </si>
  <si>
    <t>ALEXANDRE ALFREDO LAMEIRAO</t>
  </si>
  <si>
    <t>MARCELO DOS SANTOS BUSTO</t>
  </si>
  <si>
    <t>MICHELINE DE MELLO SANCHES</t>
  </si>
  <si>
    <t>ABELARDO MATIAS BACERLAR</t>
  </si>
  <si>
    <t>ROSANA ARAKAKI GUIMARÃES</t>
  </si>
  <si>
    <t>MARCOS DA CRUZ JURAS</t>
  </si>
  <si>
    <t>OSVALDO GONÇALVES DE ALMEIDA SOUZA</t>
  </si>
  <si>
    <t xml:space="preserve">ADRIANA MARIA PEREIRA </t>
  </si>
  <si>
    <t>JOSE LUIZ CABRAL DOS ANJOS</t>
  </si>
  <si>
    <t>CAROLINA DELBOUX MINUCHI</t>
  </si>
  <si>
    <t>23.5%</t>
  </si>
  <si>
    <t>VICTOR</t>
  </si>
  <si>
    <t xml:space="preserve">KATIA REGINA DA SILVA </t>
  </si>
  <si>
    <t>MARCOS RODRIGUES DOS SANTOS</t>
  </si>
  <si>
    <t>24.5%</t>
  </si>
  <si>
    <t>15.5%</t>
  </si>
  <si>
    <t>FABIO MYAMOTO FLOR</t>
  </si>
  <si>
    <t>WILLIAN MARCILIO ROBEIRO DA SILVA</t>
  </si>
  <si>
    <t>MIRIA CORREA PEREIRA</t>
  </si>
  <si>
    <t>FOX REPRESENTAÇÕES LTDA</t>
  </si>
  <si>
    <t xml:space="preserve">SUL AMERICA </t>
  </si>
  <si>
    <t>ROSICLEA TAVARES SANTOS</t>
  </si>
  <si>
    <t>JULYA RHEIN TORRES SOBRAL</t>
  </si>
  <si>
    <t>20,1.%</t>
  </si>
  <si>
    <t>PRIMO CACAU COMERCIO DE BOBONS E CHOCOLATES LTDA</t>
  </si>
  <si>
    <t>IGREJA METODISTA</t>
  </si>
  <si>
    <t>ANDREA APARECIDA DANTAS BATISTA</t>
  </si>
  <si>
    <t>NELSON VICENTE DE PAULA</t>
  </si>
  <si>
    <t>KARYN LAIS ALVES</t>
  </si>
  <si>
    <t>JOSE LUIZ VIANA</t>
  </si>
  <si>
    <t>ENDOSSO</t>
  </si>
  <si>
    <t>PREMIO BRUTO</t>
  </si>
  <si>
    <t>NEIDE SUELY WETZKER</t>
  </si>
  <si>
    <t>JOAO LUIZ DE OLIVEIRA QUIM</t>
  </si>
  <si>
    <t>PRISCILA MINGHETI PERRUD</t>
  </si>
  <si>
    <t>GISELE DOS SANTOS DE ANDRADE</t>
  </si>
  <si>
    <t>MARIA SOCORRO LIMA DE SOUZA</t>
  </si>
  <si>
    <t>DIOGO SILVEIRA BENICIO</t>
  </si>
  <si>
    <t>MARA</t>
  </si>
  <si>
    <t>IGNACIO TOLOSA ITARRULDE NETO</t>
  </si>
  <si>
    <t>IOD EMBALAGENS LTDA</t>
  </si>
  <si>
    <t>ANA CARLA ARAUJO DE SOUZA</t>
  </si>
  <si>
    <t>RENATA CARLA FAUSTINO</t>
  </si>
  <si>
    <t>SUSAN KEYNE CORREA DE LIMA</t>
  </si>
  <si>
    <t>RITA DE CASSIA MENDES</t>
  </si>
  <si>
    <t>GEOVANE DA SILVA SANTOS</t>
  </si>
  <si>
    <t>JEFFERSON DE AMBOROSIO</t>
  </si>
  <si>
    <t>VINICIUS ALEXANDRE PATROCIONIO</t>
  </si>
  <si>
    <t>FRANCISCO PAIVA FREITAS</t>
  </si>
  <si>
    <t>OBED RODRIGUES LEMOS</t>
  </si>
  <si>
    <t>ANDRESA GONÇALVESA DA SILVA</t>
  </si>
  <si>
    <t>GABRIEL AURICHIO RODRIGUES</t>
  </si>
  <si>
    <t>YGOR DE SOUZA FERES</t>
  </si>
  <si>
    <t>12x</t>
  </si>
  <si>
    <t>CASSIA CRISTINA DE CARVALHO BRAZILINO</t>
  </si>
  <si>
    <t>DENYSE VIEGAS SILVERIO</t>
  </si>
  <si>
    <t>ALVARO LUIZ MANCHO</t>
  </si>
  <si>
    <t>ANTONIO GISLANIO JATAI LOYOLA</t>
  </si>
  <si>
    <t>FAUZI BUTROS</t>
  </si>
  <si>
    <t>BEATRIZ FREIRE DE CARVALHO TOLOSA</t>
  </si>
  <si>
    <t>ISSAMU LUIZ SIMOURA</t>
  </si>
  <si>
    <t>CAROLINE CONCEIÇÃO DEGAN</t>
  </si>
  <si>
    <t xml:space="preserve">FERNANDA DE CASSIA MAXIMINO DA COSTA </t>
  </si>
  <si>
    <t>M TOYOTA NEGOCIOS IMOBILIARIOS LTDA</t>
  </si>
  <si>
    <t>LUCCAS SILVA DOS SANTOS</t>
  </si>
  <si>
    <t xml:space="preserve">ITURAN </t>
  </si>
  <si>
    <t xml:space="preserve">RAMON RODRIGUES DA SILVA </t>
  </si>
  <si>
    <t>JAILTON ROSA DE SOUZA JUNIOR</t>
  </si>
  <si>
    <t>ALAOR GONCALVES DIAS</t>
  </si>
  <si>
    <t>EVANDRO VILARONDA RIOS</t>
  </si>
  <si>
    <t>MARCIA LOPES DE SOUZA</t>
  </si>
  <si>
    <t>UILSON GONÇALVES UNGARELLO</t>
  </si>
  <si>
    <t>LUCIANA JOAQUIM APEZZATTO UNGARELLO</t>
  </si>
  <si>
    <t>MARCIA DE LOURDES EVANGELISTA</t>
  </si>
  <si>
    <t>KARINA ITO DE SOUZA PIMENTEL</t>
  </si>
  <si>
    <t>% COMISSAO</t>
  </si>
  <si>
    <t>EMERSON NOBREGA TORRES</t>
  </si>
  <si>
    <t>ITAU AUTO E ROUBO</t>
  </si>
  <si>
    <t>ELAINE BARREIRAS CARBONE</t>
  </si>
  <si>
    <t>vv</t>
  </si>
  <si>
    <t>*</t>
  </si>
  <si>
    <t>SERGIO KAZUO MORINO</t>
  </si>
  <si>
    <t>RUTH MARCELINO GONCALVES</t>
  </si>
  <si>
    <t>CAMILA IAZZETTA ALVES</t>
  </si>
  <si>
    <t>FRANCISCO WESLEY ALVES ALMEIDA FUFINO $</t>
  </si>
  <si>
    <t>ANSELMO DOS SANTOS UGARTE $</t>
  </si>
  <si>
    <t>CLAUDIA REGINA DIAS $</t>
  </si>
  <si>
    <t>MANOEL MAXIMINO LOPES FILHO $</t>
  </si>
  <si>
    <t>SEGMAX TECNOLOGIA EM ARGAMASSAS LTDA $</t>
  </si>
  <si>
    <t>REGIANI APARECIDA GARDELLI DEL BUSSO $</t>
  </si>
  <si>
    <t>JUSCELINO PEREIRA FREITAS</t>
  </si>
  <si>
    <t>RONALDO TORRES SOBRAL $</t>
  </si>
  <si>
    <t>FELIPE MOTA PENDECK</t>
  </si>
  <si>
    <t>RAFAEL CUNHA DOS NASCIMENTO</t>
  </si>
  <si>
    <t>LUIS VANTUILO DA COSTA</t>
  </si>
  <si>
    <t>ADEMIR CYRINO GARCIA $</t>
  </si>
  <si>
    <t>MARIA LUIZA NONATO MARTINES</t>
  </si>
  <si>
    <t xml:space="preserve">JRS ENGENHARIA LTDA $ </t>
  </si>
  <si>
    <t>WILLIAN GUEDES  ANTONIO DOS SANTOS</t>
  </si>
  <si>
    <t>MARCIO DA CONCEICAO CAVALCANTI $</t>
  </si>
  <si>
    <t>ROBERTO FREDERICO $</t>
  </si>
  <si>
    <t>THAIS FREITAS DOS SANTOS SOUZA $</t>
  </si>
  <si>
    <t>JOSE DONIZETTI CONSTANTE</t>
  </si>
  <si>
    <t>ANTONIEL MOURA FEITOSA</t>
  </si>
  <si>
    <t>PEDRO PAULA FARIA</t>
  </si>
  <si>
    <t>JEFESON PEREIRA PIRES</t>
  </si>
  <si>
    <t>MARIA JOSE DO NASCIMENTO PROCOPIO</t>
  </si>
  <si>
    <t>TEREZINHA YOSHIKO ITO DE SOUZA</t>
  </si>
  <si>
    <t>RAMON RODRIGUES DA SILVA</t>
  </si>
  <si>
    <t>MILENA STEFANY DE AQUINO</t>
  </si>
  <si>
    <t>AQUINO IMOVEIS EMPREENDIMENTOS IMOBILIARIOS SS LTDA</t>
  </si>
  <si>
    <t>ANDREIA APARECIDA DE SOUZA</t>
  </si>
  <si>
    <t>ALBERTO LINCOLN FERREIRA DA MATA</t>
  </si>
  <si>
    <t>WILSON FERREIRA DO NASCIMENTO</t>
  </si>
  <si>
    <t>JOSE ROBERTO HERNANDEZ</t>
  </si>
  <si>
    <t>EMERSON SOLTOSKI PINHEIRO</t>
  </si>
  <si>
    <t>ANA PAULA BRAGANÇA</t>
  </si>
  <si>
    <t>GENI APARECIDA DE OLIVEIRA LOBO</t>
  </si>
  <si>
    <t xml:space="preserve">SEGMAX TECNOLOGIA EM ARGAMSSAS </t>
  </si>
  <si>
    <t>JOSE MILTON REIS</t>
  </si>
  <si>
    <t>CONDOMINIO VILLAGIO PANAMBY</t>
  </si>
  <si>
    <t>ADAILTON OLIVEIRA DOS SANTOS</t>
  </si>
  <si>
    <t>PORTO RAST</t>
  </si>
  <si>
    <t>MAIRA BARROSO DE CARVALHO</t>
  </si>
  <si>
    <t xml:space="preserve">JAQUELINE HENRIQUE DOS SANTOS </t>
  </si>
  <si>
    <t>IRENE MORAES SILVA</t>
  </si>
  <si>
    <t>ANDREIA LEITE LEMOS DE SOUZA</t>
  </si>
  <si>
    <t>SEGMAR EXTRACAO E COMERCIO LTDA</t>
  </si>
  <si>
    <t>ITURAN + RCF</t>
  </si>
  <si>
    <t>TAXA FIXA</t>
  </si>
  <si>
    <t>SUEMARY LOPES BARROS</t>
  </si>
  <si>
    <t>VANESSA RAMOS DOS SANTOS</t>
  </si>
  <si>
    <t>JULIANA MAITAN BOTTENCOURT</t>
  </si>
  <si>
    <t>MARIA DE JESUS SOUSA</t>
  </si>
  <si>
    <t>JOSE DENIRVAL SANTOS FILHO   +  CARTÃO PORTO SEGURO</t>
  </si>
  <si>
    <t>ARNALDO FRIAS FILHO</t>
  </si>
  <si>
    <t>GILMARIA GOMES DOS SANTOS</t>
  </si>
  <si>
    <t>10%-50</t>
  </si>
  <si>
    <t>IVANILSO HEMETERIO DA SILVEIRA + CARTAO PORTO</t>
  </si>
  <si>
    <t>PAULO TADEU HORACIO</t>
  </si>
  <si>
    <t>ALEXANDRO DE SOUZA</t>
  </si>
  <si>
    <t>LAIZ BALZANO</t>
  </si>
  <si>
    <t>MARIA TOSHIKO OKADA</t>
  </si>
  <si>
    <t>ROSANA ARAKKAKI GUIMARAES</t>
  </si>
  <si>
    <t>ROBERTO RIBEIRO TRINDADE + CARTAO PORTO</t>
  </si>
  <si>
    <t>LUCIENE APARECIDA PASSARIN MEI</t>
  </si>
  <si>
    <t>LILIAN APARECIDA FILADELFO DA COSTA</t>
  </si>
  <si>
    <t>ELIZEU  CRUZ DE OLIVEIRA</t>
  </si>
  <si>
    <t>RUFINO COSTA SOUZA</t>
  </si>
  <si>
    <t>DANIELA AVELINO CUNHA DE ANDRADE</t>
  </si>
  <si>
    <t>RUBENS RODRIGUES DA SILVA</t>
  </si>
  <si>
    <t>EMERSON DE PAULA BARBARA</t>
  </si>
  <si>
    <t>JOCITON PEREIRA DA CONCEICAO</t>
  </si>
  <si>
    <t>ANA MARIA SOTERO DE LIMA</t>
  </si>
  <si>
    <t>SUELI GOMES JURAS</t>
  </si>
  <si>
    <t>ABELARDO MATIAS BARCELAR</t>
  </si>
  <si>
    <t>MICHELINE DE MELO SANCHES</t>
  </si>
  <si>
    <t xml:space="preserve">SOLLO GESTAO IMOBILIARIA </t>
  </si>
  <si>
    <t xml:space="preserve">RICARDO PINHEIRO DOS SANTOS </t>
  </si>
  <si>
    <t>FABIO SARAIVA COELHO</t>
  </si>
  <si>
    <t>JOSE WALLACE NORBERTO DA SILVA</t>
  </si>
  <si>
    <t>ROBERTA APARECIDA DA SILVA MOTA</t>
  </si>
  <si>
    <t>RESIMARIA GOMES DOS SANTOS</t>
  </si>
  <si>
    <t>VANDERLEIA DOS SANTOS</t>
  </si>
  <si>
    <t>PREMIO LIQUIDO</t>
  </si>
  <si>
    <t>ADRIANA MARIA PEREIRA</t>
  </si>
  <si>
    <t>DAYANE CRISTINA DE LIMA JERONYMO</t>
  </si>
  <si>
    <t>FABIO DOS SANTOS SOUZA ME</t>
  </si>
  <si>
    <t>SERGIO RIBEIRO TRINDADE + CARTAO ´PORTO</t>
  </si>
  <si>
    <t>MIRIA CORRA PEREIRA</t>
  </si>
  <si>
    <t>SAMIR ZANPIERI RIBEIRO</t>
  </si>
  <si>
    <t>VALDEMIR NORBERTO DA SILVA</t>
  </si>
  <si>
    <t>ADILSON DIAS DA SILVA</t>
  </si>
  <si>
    <t>DJALMA DOS ANJOS SILVA</t>
  </si>
  <si>
    <t>HILTON CARLOS VIANA VASCONCELOS</t>
  </si>
  <si>
    <t>HUMBERTO MATIAS BARCELAR</t>
  </si>
  <si>
    <t>JAIME MOTA FERREIRA</t>
  </si>
  <si>
    <t>PABLO RODRIGUES BRANDAO</t>
  </si>
  <si>
    <t>JULYA RHEIN TORRES SOBRAL + CARTAO</t>
  </si>
  <si>
    <t>ASSOCIACAO DA IGREJA METODISTA TERCEIRA REGIAO</t>
  </si>
  <si>
    <t>ELAINE CRISTINA DA SILVA ABREU</t>
  </si>
  <si>
    <t>DUQUE DOG COMERCIO E ARTIGOS PARA ANIMAIS LTDA</t>
  </si>
  <si>
    <t>EMPORIO ZURE CHOCOLATES LTDA ME</t>
  </si>
  <si>
    <t>JOSE DENIRVAL DOS SANTOS FILHO</t>
  </si>
  <si>
    <t>CELIA CLARICE DEL CAMPO</t>
  </si>
  <si>
    <t>WELLINGTON FERNANDES PEREIRA DA SILVA SANTOS</t>
  </si>
  <si>
    <t>D ZOO COMERCIO DE PRODUTOS PET LTDA ME</t>
  </si>
  <si>
    <t>TOKIO MARINE</t>
  </si>
  <si>
    <t>EDSON BATISTA MORAES</t>
  </si>
  <si>
    <t>PRISCILA MINGHETITI PERRUD GUEDES</t>
  </si>
  <si>
    <t>WESLEY MENDES SANTIAGO DA CRUZ</t>
  </si>
  <si>
    <t>VERA LUCIA MARQUES</t>
  </si>
  <si>
    <t>VANESSA FERNANDES BANDEIRA</t>
  </si>
  <si>
    <t xml:space="preserve">ALCIDES REIS MOTA </t>
  </si>
  <si>
    <t>ARIANE SAMPAIO HAUCK</t>
  </si>
  <si>
    <t xml:space="preserve">MARCIO DA CONCEICAO CALVACANTI  </t>
  </si>
  <si>
    <t xml:space="preserve">VANDERLEI PEREIRA DE ALMEIDA </t>
  </si>
  <si>
    <t>FRANCISCO ARMANDO PERES</t>
  </si>
  <si>
    <t xml:space="preserve">DIOGO SILVEIRA BENICIO </t>
  </si>
  <si>
    <t>PAULO REMILTON  PEREIRA DA FONSECA</t>
  </si>
  <si>
    <t>IOD EMBALAGENS</t>
  </si>
  <si>
    <t xml:space="preserve">CARLOS EDUARDO SILVA DE SOUZA </t>
  </si>
  <si>
    <t xml:space="preserve">VALDECI NORBERTO DA SILVA </t>
  </si>
  <si>
    <t>DENISSON TAVARES DOS SANTOS</t>
  </si>
  <si>
    <t xml:space="preserve">ADRIANA ROCHA SOUTO GUZZI </t>
  </si>
  <si>
    <t>EDSON JUNIOR GALBREST</t>
  </si>
  <si>
    <t>VINICIUS ALEXANDRE PATROCINIO</t>
  </si>
  <si>
    <t>EDILENE COSTA</t>
  </si>
  <si>
    <t>WAGNER DE MOURA SOUZA</t>
  </si>
  <si>
    <t>EMPORIO ZURE CHOCOLATES LTDA ME - EMPRESARIAL</t>
  </si>
  <si>
    <t>ANA CARLA DE ARAUJO DE SOUZA</t>
  </si>
  <si>
    <t>ANDRESSA GONCALVES DA SILVA</t>
  </si>
  <si>
    <t>RODRIGO CARREIRAS DE OLIVEIRA MOTA</t>
  </si>
  <si>
    <t>RAFAEL FRANCISCO DA SILVA</t>
  </si>
  <si>
    <t xml:space="preserve">IGOR DE SOUZA FERES </t>
  </si>
  <si>
    <t xml:space="preserve">ARNALDO FRIAS FILHO </t>
  </si>
  <si>
    <t xml:space="preserve">FRANCISCO ARMANDO PERES </t>
  </si>
  <si>
    <t>ANTONIO GISLANIO JATAI LOIOLA</t>
  </si>
  <si>
    <t>CASSIA CRISTINA DA SILVA CARVALHO BRAZILINO</t>
  </si>
  <si>
    <t xml:space="preserve">ZELIA ROCHA EMPREENDIMENTOS IMOBILIARIOS LTDA ME </t>
  </si>
  <si>
    <t>GABRIELA GONCALVES BRITO</t>
  </si>
  <si>
    <t xml:space="preserve">ALVARO  LUIZ MANCHON SARNES </t>
  </si>
  <si>
    <t>JEFFERSON CORREIA MICHELI</t>
  </si>
  <si>
    <t>CLAUDIO VEIRA MARQUES</t>
  </si>
  <si>
    <t>RAYSSA MARTINS DE OLIVEIRA</t>
  </si>
  <si>
    <t>FERNANDA CASSIA MAXIMINO DA COSTA</t>
  </si>
  <si>
    <t xml:space="preserve">HUMBERTO ANTONIO BARONI </t>
  </si>
  <si>
    <t xml:space="preserve">ORLANDO BERNARDES FAUSTINO </t>
  </si>
  <si>
    <t>TATIANA SAITO</t>
  </si>
  <si>
    <t>HELCIO DE SOUZA SILVA</t>
  </si>
  <si>
    <t>CAROLINE CONCEICAO DEGAN</t>
  </si>
  <si>
    <t>JRS ENGENHARIA LTDA</t>
  </si>
  <si>
    <t>EMERSON AMARINHO DE ARAUJO ME</t>
  </si>
  <si>
    <t>6x</t>
  </si>
  <si>
    <t>REGIANE DA SILVA BITTENCOURT</t>
  </si>
  <si>
    <t xml:space="preserve">ANA NAZARE ALCAIDE DOS SANTOS </t>
  </si>
  <si>
    <t>UILSON GONVALVES GUERRERO UNGARELLO</t>
  </si>
  <si>
    <t xml:space="preserve">LUCIANA JOAQUIM APEZZATO UNGARELLO </t>
  </si>
  <si>
    <t>ALMIR ANTONIO ANSELMO</t>
  </si>
  <si>
    <t>LUCCAS SILVA SANTOS</t>
  </si>
  <si>
    <t>%</t>
  </si>
  <si>
    <t>SEGMAX TECNOLOGIA EM ARGAMASSAS LTDA</t>
  </si>
  <si>
    <t>HENIO BRASIL CLAUDINO</t>
  </si>
  <si>
    <t xml:space="preserve">ITAU </t>
  </si>
  <si>
    <t>ERIVALDO BLADO STANESCO</t>
  </si>
  <si>
    <t>12.5%</t>
  </si>
  <si>
    <t>EMPORIO ZURE CHOCOLATES LTDA ME EMPRESARIAL</t>
  </si>
  <si>
    <t xml:space="preserve">WILSON DE SOUZA </t>
  </si>
  <si>
    <t>JOSE DAMIAO BATISTA ALVES</t>
  </si>
  <si>
    <t>FRANCISCO WESLEY ALVES RUFINO</t>
  </si>
  <si>
    <t>MARCELO CARVALHO CHAVES</t>
  </si>
  <si>
    <t>ELIANE BARREIRAS CARBONE</t>
  </si>
  <si>
    <t>RAQUEL DOS SANTOS GONCALVES</t>
  </si>
  <si>
    <t xml:space="preserve">JOSE MESSIAS BALBINO DO NASCIMENTO </t>
  </si>
  <si>
    <t xml:space="preserve">FERNANDO SERGIO VIANA MACHADO </t>
  </si>
  <si>
    <t>FRANCISCO WESLEY  ALVES ALMEIDA RUFINO</t>
  </si>
  <si>
    <t>MARCIA ISABEL DOS SANTOS GASPAR FERREIRA</t>
  </si>
  <si>
    <t>WALTER VINICIUS GUZMAN DE OLIVEIRA</t>
  </si>
  <si>
    <t>RILDO DE OLIVEIRA SOUZA</t>
  </si>
  <si>
    <t>SILVIA ROSANA FERRARINI BIGOTTO</t>
  </si>
  <si>
    <t>RICARDO BUENO DE SOUZA</t>
  </si>
  <si>
    <t>12X 81,90 + R$ 300</t>
  </si>
  <si>
    <t>DANIEL ITO DE SOUZA</t>
  </si>
  <si>
    <t>IGOR RIBEIRO PIRES</t>
  </si>
  <si>
    <t>ANGELA MARIA FERREIRA DA SILVA</t>
  </si>
  <si>
    <t>JUSCELINO PEREIRA DE FREITAS</t>
  </si>
  <si>
    <t>MARCIO DA CONCEICAO CAVALCANTI</t>
  </si>
  <si>
    <t>WILLIAM ANTONIO GUEDES DOS SANTOS</t>
  </si>
  <si>
    <t>ROBERTO FREDERICO</t>
  </si>
  <si>
    <t>ERICA UGARTE CROCCI</t>
  </si>
  <si>
    <t>FABIO HENRIQUE ALVES DOS SANTOS</t>
  </si>
  <si>
    <t xml:space="preserve">CLELIA PEREIRA DA SILVA </t>
  </si>
  <si>
    <t>RENATO LUCATELI SANTIAGO</t>
  </si>
  <si>
    <t>IVANILDO DOS SANTOS</t>
  </si>
  <si>
    <t>JULIANE MARQUES SOUSA</t>
  </si>
  <si>
    <t>EDVALDO FRANCISCO SANTOS</t>
  </si>
  <si>
    <t>SERGIO RIBEIRO TRINDADE</t>
  </si>
  <si>
    <t>ENIO CARLOS SILVA</t>
  </si>
  <si>
    <t>WAGNER BARBOSA KOVACSIK</t>
  </si>
  <si>
    <t>VALDEMIR DA SILVA ALMEIDA</t>
  </si>
  <si>
    <t xml:space="preserve">KELLY CRISTINA ACACIO VICENTE </t>
  </si>
  <si>
    <t>TERESINHA YOSHIKO ITO DE SOUZA</t>
  </si>
  <si>
    <t>JERISVALDO FRANCISCO DOS SANTO</t>
  </si>
  <si>
    <t>JURION JUVENCIO DA SILVA</t>
  </si>
  <si>
    <t>AQUINO EMPREENDIMENTOS IMOBILIARIOS LTDA</t>
  </si>
  <si>
    <t>JOSE GERALDO MOREIRA</t>
  </si>
  <si>
    <t>-</t>
  </si>
  <si>
    <t>FELIPE BERRETELLA CONCEIÇÃO-</t>
  </si>
  <si>
    <t>COND. VILLAGIO PANAMBY</t>
  </si>
  <si>
    <t>JOSE LUIS CABRAL DOS ANJOS</t>
  </si>
  <si>
    <t>ANTIONIO DIONIOSIO ZARAMELLA</t>
  </si>
  <si>
    <t>FELIPE BERRETELLA CONCEIÇÃO</t>
  </si>
  <si>
    <t>ANDREIA APARECIDA DE SOUSA</t>
  </si>
  <si>
    <t>ALMIR BENEDITO ALGIZI</t>
  </si>
  <si>
    <t>MARCIA REGINA LUCATELLI SANTIAGO</t>
  </si>
  <si>
    <t>KEYLA REGINA GOMIDE BRAGATO</t>
  </si>
  <si>
    <t>GZERO SOLUCOES EM MAQUINAS E EQUIPAMENTOS</t>
  </si>
  <si>
    <t>DIGITAL FULL SERVICE LTDA</t>
  </si>
  <si>
    <t>DOUGLAS DOMINGOS MOTA</t>
  </si>
  <si>
    <t>JOICE KENI DE SOUZA NASCIMENTO</t>
  </si>
  <si>
    <t>IRENE MARIA MORAES SILVA</t>
  </si>
  <si>
    <t>emerson barbara</t>
  </si>
  <si>
    <t>MARCO ANTONIO DE ANDRADE + CARTAO PORTO---</t>
  </si>
  <si>
    <t>THIAGO DOS SANTOS BARBOSA</t>
  </si>
  <si>
    <t>JEAN PIERRE ANTONIO DA SILVA</t>
  </si>
  <si>
    <t>JOSE AURINO DA SILVA</t>
  </si>
  <si>
    <t>BRUNO HENRIQUE NOVAES</t>
  </si>
  <si>
    <t>ALEX GONCALVES DE ANDRADE</t>
  </si>
  <si>
    <t>JOAO VITOR MOITINHO REIS</t>
  </si>
  <si>
    <t>JULIANA MAITAN BITTERCOURT</t>
  </si>
  <si>
    <t>CARMEN REGINA DOS SANTOS</t>
  </si>
  <si>
    <t>ANDERSON CRISTIANO GONVALVES</t>
  </si>
  <si>
    <t>TRANSPORTE AVULSO EVIMERIA 19-10</t>
  </si>
  <si>
    <t>ARLETE FERREIRA DO NASCIMENTO</t>
  </si>
  <si>
    <t>SIDNEI SOARES DE SOUZA</t>
  </si>
  <si>
    <t>WELLINGTON ROBERTO DO NASCIMENTO</t>
  </si>
  <si>
    <t>PARCELA FIXA</t>
  </si>
  <si>
    <t>LUCIANO JUNIOR</t>
  </si>
  <si>
    <t>ISAAC VILLASBOAS DE OLIVEIRA</t>
  </si>
  <si>
    <t>SIM</t>
  </si>
  <si>
    <t>ALOISIO MORAES SANTOS FILHO</t>
  </si>
  <si>
    <t>ENDOSSO PEDRO E RODOLFO PIERONI/ marcio / jhonny/ valdo</t>
  </si>
  <si>
    <t>denisson/jose</t>
  </si>
  <si>
    <t>carlos alberto</t>
  </si>
  <si>
    <t>VILMAR BONITO DE OLIVEIRA</t>
  </si>
  <si>
    <t>ANDRE BARBOSA DA SILVA</t>
  </si>
  <si>
    <t xml:space="preserve">IVANILSO HEMETERIO DA SILVA </t>
  </si>
  <si>
    <t>BRUNA MARCELA DA SILVA JUSTI</t>
  </si>
  <si>
    <t>LUCIENE APARECIDA PANSARIM MEIRELES</t>
  </si>
  <si>
    <t>ROBERTO RIBEIRO TRINDADE</t>
  </si>
  <si>
    <t xml:space="preserve">ALEX SANDRO BRAGATO </t>
  </si>
  <si>
    <t>PRISCILA CEZAR IRACY GUIDINO</t>
  </si>
  <si>
    <t>JULIA DE CARVALHO SANTANA</t>
  </si>
  <si>
    <t>ADEMIR CIRINO GARCIA</t>
  </si>
  <si>
    <t>MICNEIAS PEREIRA DA SILVA JUNIOR</t>
  </si>
  <si>
    <t>GZERO SOLUCOES EM MAQUINAS E EQUIPAMENTOS LTDA</t>
  </si>
  <si>
    <t>SULAMÉRICA</t>
  </si>
  <si>
    <t>CEZAR ZAMPIERI RIBEIRO</t>
  </si>
  <si>
    <t>FERNANDA ASSIS SARNES</t>
  </si>
  <si>
    <t>endosso andreia/ ariane/ endosso zeno</t>
  </si>
  <si>
    <t>SAMANTHA CRISTINA SOLANO RODRIGUES</t>
  </si>
  <si>
    <t>ANDRE THIAGO REBECHI</t>
  </si>
  <si>
    <t>ADAUTO DA SILVA RODRIGUES</t>
  </si>
  <si>
    <t>RODRIGO CINTRA SANTOS</t>
  </si>
  <si>
    <t>TATIANE CALICCHIO(EQUIPAMENTOS PORTATEIS)</t>
  </si>
  <si>
    <t>PRISICLA CALICCIHO(EQUIPAMENTOS PORTATEIS)</t>
  </si>
  <si>
    <t xml:space="preserve">ALEXANDRE VIANA DIAS </t>
  </si>
  <si>
    <t>ZELIA ROCHA EMPREENDIMENTOS IMOBILIARIOS</t>
  </si>
  <si>
    <t>ABERLARDO MATIAS BACELAR</t>
  </si>
  <si>
    <t>SUELI APARECIDA GOMES JURAS</t>
  </si>
  <si>
    <t>SOLLO GESTAO IMOBILIARIA LTDA</t>
  </si>
  <si>
    <t>EVERTON DA SILVA CARPINTEIRO</t>
  </si>
  <si>
    <t xml:space="preserve">3X </t>
  </si>
  <si>
    <t>LEANDRO VILELA VILARIDO</t>
  </si>
  <si>
    <t>RICARDO PINHEIRO DOS SANTOS</t>
  </si>
  <si>
    <t xml:space="preserve">PAULO  RAIMUNDO BAUEB </t>
  </si>
  <si>
    <t>antonio zaramella / francisco peres / marcia evangelista/andreia</t>
  </si>
  <si>
    <t>OSVALDO GONCALVES DE ALMEIDA</t>
  </si>
  <si>
    <t>ROBERTA BOBADILLO PIRILLO</t>
  </si>
  <si>
    <t>ASAFE GONÇALVES RAMOS</t>
  </si>
  <si>
    <t>EDNA NUNES SANT ANNA</t>
  </si>
  <si>
    <t>LINDOMAR XAVIER DO NASCIMENTO</t>
  </si>
  <si>
    <t>DAYANE LIMA CRISTINA JERONYMO</t>
  </si>
  <si>
    <t>FABIO DOS SANTOS SOUZA</t>
  </si>
  <si>
    <t>MARCIO CESAR BANDO</t>
  </si>
  <si>
    <t>FATIMA KAZUE KINJO</t>
  </si>
  <si>
    <t>CAMILA GUIMARAES</t>
  </si>
  <si>
    <t>AMANDA LOPES EVANGELISTA DOS SANTOS</t>
  </si>
  <si>
    <t xml:space="preserve">12X </t>
  </si>
  <si>
    <t>MAYARA CRISTINA DA SILVA OLIMPIO</t>
  </si>
  <si>
    <t>M ALMEIDA EMPREEND IMOBILIARIOS</t>
  </si>
  <si>
    <t>fonseca / marcio/anselmo/silvia/</t>
  </si>
  <si>
    <t>GENILDA PEREIRA GILIOLI</t>
  </si>
  <si>
    <t>MARCUS VINICIUS DE SOUZA OLIMPIO</t>
  </si>
  <si>
    <t>HUMBERTO MATIAS ALVES DA SILVA</t>
  </si>
  <si>
    <t>ADRINI  CARLOS CORTEZ</t>
  </si>
  <si>
    <t>GABRIELA APARECIDA FIRMINO MASSARO</t>
  </si>
  <si>
    <t>PATRIZIA DE ROSA MARCELINO</t>
  </si>
  <si>
    <t>NILSON HENRIQUE DA CUNHA</t>
  </si>
  <si>
    <t>ANTONIO CARLOS VILA NOVA</t>
  </si>
  <si>
    <t>ENIO CARLOS SILVA- - ENDOSSO</t>
  </si>
  <si>
    <t>JAIRO SILVA DOS ANGELOS</t>
  </si>
  <si>
    <t>MARCIA LOPES CORDEIRO GIL</t>
  </si>
  <si>
    <t>DEBORA MARIA VANDERLEI</t>
  </si>
  <si>
    <t>ROBERTO DE MOURA ALVES</t>
  </si>
  <si>
    <t>WELLINGTON FERNANDES PEREIRA DOS SANTOS</t>
  </si>
  <si>
    <t>LEYDIANA NERES RODRIGUES</t>
  </si>
  <si>
    <t>ADRIANA MARIA PEREIRA OLIVEIRA      ENDOSSO</t>
  </si>
  <si>
    <t>FELIPE GEOVENESI FERNANDES</t>
  </si>
  <si>
    <t>silvio/gislanio/silvia/marcio/sollo/enio/juscelino/adriana/leydiana</t>
  </si>
  <si>
    <t>EDSON BATISA MORAES</t>
  </si>
  <si>
    <t>JHONNY  GUIMARAES BISPO DIAS</t>
  </si>
  <si>
    <t xml:space="preserve">WESLEY MENDES SANTIAGO DA CRUZ </t>
  </si>
  <si>
    <t>MARIA SOCORRO DE LIMA DE SOUZA</t>
  </si>
  <si>
    <t>ARIANA SAMPAIO HAUCK-------- TRANSMITIDA FÉRIAS</t>
  </si>
  <si>
    <t>AMANDA EVANGELISTA LOPES DOS SANTOS</t>
  </si>
  <si>
    <t xml:space="preserve">GISELE DOS SANTOS </t>
  </si>
  <si>
    <t xml:space="preserve">FELIPE GENOVESI FERNANDES </t>
  </si>
  <si>
    <t>VIVIAN CREPALDI BARACHO</t>
  </si>
  <si>
    <t>EDUARDO PASSITO GARCIA</t>
  </si>
  <si>
    <t>ALEXANDRE</t>
  </si>
  <si>
    <t xml:space="preserve">DENISSON TAVARES SANTOS </t>
  </si>
  <si>
    <t xml:space="preserve">PAULO REMILTON PEREIRA DA FONSECA </t>
  </si>
  <si>
    <t xml:space="preserve">IGNACIO TOLOSA ITURRALDE </t>
  </si>
  <si>
    <t>RODRIGO DE SOUZA FERREIRA</t>
  </si>
  <si>
    <t>ALINE DA SILVA OLIVEIRA</t>
  </si>
  <si>
    <t>angela</t>
  </si>
  <si>
    <t>SERGIO AUGUSTO PIRILLO</t>
  </si>
  <si>
    <t xml:space="preserve"> ABDIEL ROBERTO DE CARVALHO</t>
  </si>
  <si>
    <t xml:space="preserve">TAXA ÚNICA </t>
  </si>
  <si>
    <t xml:space="preserve">Luciano Junior </t>
  </si>
  <si>
    <t>TRANS CONEXAO LOG LTDA</t>
  </si>
  <si>
    <t>RAFAEL SOUZA BRITO DOS SANTOS</t>
  </si>
  <si>
    <t>DENISE FERREIRA NUNES</t>
  </si>
  <si>
    <t>PATRICIA</t>
  </si>
  <si>
    <t>GABRIEL AURICHIO FERNANDES</t>
  </si>
  <si>
    <t>RAFAEL DAVID TEPERINO AVILA SALVIANO</t>
  </si>
  <si>
    <t>ITURAN - RENOV</t>
  </si>
  <si>
    <t>ANDRESSA  FERREIRA GONÇALVES</t>
  </si>
  <si>
    <t>BRENDA JULIETE DE SOUZA + CARTAO PORTO (R$ 60)</t>
  </si>
  <si>
    <t>ADAUTO DA SILVA RODRGUES - CANCELAMENTO</t>
  </si>
  <si>
    <t>ALBERTO LINCOLM - CANCELMENTO</t>
  </si>
  <si>
    <t>SUPER TRUCK E CAR SERVICOS AUTOMOTIVOS LTDA ME</t>
  </si>
  <si>
    <t xml:space="preserve">RENATO LEITE RODRIGUES  </t>
  </si>
  <si>
    <t xml:space="preserve">CASSIA CRISTINA DE CARVALHO BRAZILINO </t>
  </si>
  <si>
    <t xml:space="preserve">KARINA YUMI KATSSURA RODRIGUES </t>
  </si>
  <si>
    <t xml:space="preserve">RAFAEL DAVID TEPERINO AVILA SALVIANO </t>
  </si>
  <si>
    <t>GABRIELA GONÇALVES DE BRITO</t>
  </si>
  <si>
    <t>ZELIA ROCHA EMPREENDIMENTOS IMOBILIARIOS LTDA</t>
  </si>
  <si>
    <t>ALVARO LUIZ MANCHON</t>
  </si>
  <si>
    <t>JOSE MONTEIRO DE ASSIS</t>
  </si>
  <si>
    <t>CLAUDIO VIEIRA MAQUES</t>
  </si>
  <si>
    <t>raquel / hilton/marcio/adauto/alberto/jorge</t>
  </si>
  <si>
    <t>ADILSON VENCELAU BRAZ</t>
  </si>
  <si>
    <t>ORLANDO BERNARDO FAUSTINO</t>
  </si>
  <si>
    <t xml:space="preserve">SIMONE TRAJANO GOUVEIA + CARTAO </t>
  </si>
  <si>
    <t>RUBIAN DAVIS EVANGELISTA</t>
  </si>
  <si>
    <t>LUQUEZI E JPVALEN MATERIAIS PARA CONSTRUCOES LTDA ME</t>
  </si>
  <si>
    <t>NATHALIA GERMANO DE SANT ANA</t>
  </si>
  <si>
    <t>REGIANE DA SILVA BITTERCOURT</t>
  </si>
  <si>
    <t>JRS ENGENHRIA LTDA</t>
  </si>
  <si>
    <t xml:space="preserve">MARCIA LOPES DE SOUZA </t>
  </si>
  <si>
    <t>TRANS CONEXAO SOLUCOES LOGISTIDA LTDA</t>
  </si>
  <si>
    <t>JORGE UILSON SANTANA</t>
  </si>
  <si>
    <t>VINICIUS</t>
  </si>
  <si>
    <t>UILSON GONCALVES GUERRERO UNGARELLO</t>
  </si>
  <si>
    <t>LUIZ LAMEIRAO</t>
  </si>
  <si>
    <t>keyla/alex/ariane/fabio/kelly/gledison/alexandre</t>
  </si>
  <si>
    <t>JOSE FRANCISCO DA SILVA</t>
  </si>
  <si>
    <t xml:space="preserve"> VINICIUS</t>
  </si>
  <si>
    <t>ROSEIMEIRE FERREIRA DA SILVA</t>
  </si>
  <si>
    <t>LAURA DA GRACA PEREIRA DIAS</t>
  </si>
  <si>
    <t>ESLEY PEREIRA DE OLIVEIRA</t>
  </si>
  <si>
    <t>DUQUE DOG COMERCIO DE ARTIGOS PARA ANIMAIS----</t>
  </si>
  <si>
    <t>JOSE VITALINO DO NASCIMENTO FILHO</t>
  </si>
  <si>
    <t>CARLOS HENRIQUE AUGUSTO</t>
  </si>
  <si>
    <t xml:space="preserve">FOFAO EMPREENDIMENTOS IMOBILIARIOS EIRELI </t>
  </si>
  <si>
    <t>ELISEU PINHA SANCHES</t>
  </si>
  <si>
    <t>JOSE FERREIRA DO NASCIMENTO FILHO</t>
  </si>
  <si>
    <t xml:space="preserve">ELIANE BARREIRAS CARBONE </t>
  </si>
  <si>
    <t xml:space="preserve">JOSÉ MESSIAS BALBINO DO NASCIMENTO </t>
  </si>
  <si>
    <t xml:space="preserve">CARLOS LOPEZ REY </t>
  </si>
  <si>
    <t xml:space="preserve">FRANCISCO WESLEY RUFINO </t>
  </si>
  <si>
    <t xml:space="preserve">LUZIA APARECIDA MACHADO DA ROCHA </t>
  </si>
  <si>
    <t xml:space="preserve">PEDRO DONIZETI DEL CAMPO </t>
  </si>
  <si>
    <t xml:space="preserve">TOKIO </t>
  </si>
  <si>
    <t xml:space="preserve">RAQUEL DOS SANTOS GONCALVES CAVADAS </t>
  </si>
  <si>
    <t xml:space="preserve">LUCIETE DE OLIVEIRA BARROS </t>
  </si>
  <si>
    <t xml:space="preserve">AZUL </t>
  </si>
  <si>
    <t xml:space="preserve">LUIZ JOAQUIM DA SILVA </t>
  </si>
  <si>
    <t xml:space="preserve">ERIVALDO BLADO STANESCO </t>
  </si>
  <si>
    <t xml:space="preserve">WANDERSON PEREIRA SOUZA </t>
  </si>
  <si>
    <t xml:space="preserve">EDUARDO TORRES DA CUNHA </t>
  </si>
  <si>
    <t xml:space="preserve">ERICA MARIA GOMES DE LIMA </t>
  </si>
  <si>
    <t>IRANI ROSA DE OLIVEIRA DA SILVA</t>
  </si>
  <si>
    <t>DENILSON CARPINTEIRO</t>
  </si>
  <si>
    <t>emerson /thais/ roberta / francisco /felipe</t>
  </si>
  <si>
    <t xml:space="preserve">CLAUDIA REGINA DIAS QUEIROZ SOUZA </t>
  </si>
  <si>
    <t>MARCIA ISABEL DOS SANTOS GASPAR PEREIRA</t>
  </si>
  <si>
    <t>MARTA REGINA ANDRE SILVEIRA</t>
  </si>
  <si>
    <t xml:space="preserve">RAIMUNDO NONATO NUNES </t>
  </si>
  <si>
    <t>ANGELO MARCIO DE ALVES NEVES</t>
  </si>
  <si>
    <t>VANIA SALOMON NEVES</t>
  </si>
  <si>
    <t>RENATA DE CARVALHO GOES ALVES</t>
  </si>
  <si>
    <t>GILVANIA GONCALVES DE ARAUJO</t>
  </si>
  <si>
    <t>WALTER VINICIUS GONCLAVES DE ALMEIDA</t>
  </si>
  <si>
    <t>LEANDRO AUGUSTO DA SILVA RODRIGUES</t>
  </si>
  <si>
    <t>IGOR RIBEIRO MENDES PIRES</t>
  </si>
  <si>
    <t xml:space="preserve">DEBORA MARIA VANDERLEI </t>
  </si>
  <si>
    <t>REGIANNI APARECIDA GARDELLI DEL BUSSO</t>
  </si>
  <si>
    <t xml:space="preserve">VAGNO RODRIGUES DA SILVA </t>
  </si>
  <si>
    <t>WALDINEI ROSSI DA SILVA (I30)</t>
  </si>
  <si>
    <t xml:space="preserve">RAFAEL CUNHA DO NASCIMENTO </t>
  </si>
  <si>
    <t xml:space="preserve">THAIS FREITAS DOS SANTOS SOUZA </t>
  </si>
  <si>
    <t>ANA PAULA BRAGANCA</t>
  </si>
  <si>
    <t xml:space="preserve">SULAMERICA </t>
  </si>
  <si>
    <t xml:space="preserve">FELIPE MOTA PENDEK </t>
  </si>
  <si>
    <t xml:space="preserve">ANTONIO CARLOS CARRASCO </t>
  </si>
  <si>
    <t>WILZA KARLA MARTINS DOS SANTOS</t>
  </si>
  <si>
    <t>INÁ HOME FAST</t>
  </si>
  <si>
    <t xml:space="preserve">LUIZ VANTUILO DA COSTA </t>
  </si>
  <si>
    <t xml:space="preserve">6X </t>
  </si>
  <si>
    <t xml:space="preserve">ROBERTO FREDERICO </t>
  </si>
  <si>
    <t xml:space="preserve">A DE F MARQUES TRANSPORTES </t>
  </si>
  <si>
    <t>JOSE DERNIVAL SANTOS FIHO</t>
  </si>
  <si>
    <t>issamu/osvaldo/</t>
  </si>
  <si>
    <t xml:space="preserve">JOSÉ DONIZETTI CONSTANTE </t>
  </si>
  <si>
    <t xml:space="preserve">RENATO LUCATELI SANTIAGO </t>
  </si>
  <si>
    <t>ANGELO DE BORTOLHI FILHO</t>
  </si>
  <si>
    <t xml:space="preserve">WILLIAN ANTONIO GUEDES DOS SANTOS </t>
  </si>
  <si>
    <t xml:space="preserve">IVANILDO VIANA DOS SANTOS </t>
  </si>
  <si>
    <t xml:space="preserve">JEFESON PEREIRA PIRES </t>
  </si>
  <si>
    <t xml:space="preserve">VINICIUS </t>
  </si>
  <si>
    <t xml:space="preserve">JULIANE MARQUES SOUSA </t>
  </si>
  <si>
    <t xml:space="preserve">EDVALDO FRANCISCO SANTOS </t>
  </si>
  <si>
    <t>MAYARA CRISTINA DE SOUZA OLIMPIO</t>
  </si>
  <si>
    <t>PATRICIA MENDES DE SOUZA FARIA</t>
  </si>
  <si>
    <t xml:space="preserve">FABIO HENRIQUE ALVES DOS SANTOS </t>
  </si>
  <si>
    <t xml:space="preserve">WAGNER BARBOSA KOVACSIK </t>
  </si>
  <si>
    <t xml:space="preserve">WEKSLEY ROBERTO DE CARVALHO </t>
  </si>
  <si>
    <t>JUQUINHA</t>
  </si>
  <si>
    <t xml:space="preserve">SERGIO RIBEIRO TRINDADE </t>
  </si>
  <si>
    <t>LEYDIANA NERES RODRIGUES ( ENDOSSO)</t>
  </si>
  <si>
    <t>RENATA DE CARVALHO GOES ALVES(ENDOSSO)</t>
  </si>
  <si>
    <t xml:space="preserve">MARIA JOSE DO NASCIMENTO PROCOPIO </t>
  </si>
  <si>
    <t xml:space="preserve">VALDEMIR SILVA ALMEIDA </t>
  </si>
  <si>
    <t xml:space="preserve">ROSICLEA TAVARES SANTOS (ENDOSSO) </t>
  </si>
  <si>
    <t xml:space="preserve">TEREZINHA YOSHIKO ITO DE SOUZA </t>
  </si>
  <si>
    <t>DAVI MENDES</t>
  </si>
  <si>
    <t>VICTOR TODDYNHO</t>
  </si>
  <si>
    <t xml:space="preserve">JOSUE DE SANTANA </t>
  </si>
  <si>
    <t>JUKINHA BALA</t>
  </si>
  <si>
    <t xml:space="preserve">THAMIRES CORREIA DE MELLO LICARIAO </t>
  </si>
  <si>
    <t>EDILENE OLIVEIRA</t>
  </si>
  <si>
    <t xml:space="preserve">ROBERTA PRISCILA DA SILVA MATIAS </t>
  </si>
  <si>
    <t xml:space="preserve">RAFAEL GUADAHIM </t>
  </si>
  <si>
    <t>RENIVAL DOS SANTOS</t>
  </si>
  <si>
    <t xml:space="preserve">MAURICI AZEVEDO DO NASCIMENTO </t>
  </si>
  <si>
    <t xml:space="preserve">MARCO AURELIO DA SILVA </t>
  </si>
  <si>
    <t xml:space="preserve">ALCIDESIO CAETANO DA SILVA </t>
  </si>
  <si>
    <t>LIDIANE APARECIDA DE LIMA</t>
  </si>
  <si>
    <t xml:space="preserve">JURION JUVENCIO DA SILVA </t>
  </si>
  <si>
    <t xml:space="preserve">AQUINO EMPREENDIMENTOS IMOB </t>
  </si>
  <si>
    <t>EDSON CEDRAN</t>
  </si>
  <si>
    <t>THIAGO DA GAMA GERMANO</t>
  </si>
  <si>
    <t>EDMAR COSTA DE SOUZA</t>
  </si>
  <si>
    <t xml:space="preserve">JOSE GERALDO MOREIRA </t>
  </si>
  <si>
    <t>HELIO DE OLIVEIRA JUNIOR</t>
  </si>
  <si>
    <t>Ana Nogueira/Priscila Iracy/Renata Goes/Luzia/Hilton/rufino</t>
  </si>
  <si>
    <t>AUT</t>
  </si>
  <si>
    <t xml:space="preserve">LUCIENE TEREZA DA SILVA </t>
  </si>
  <si>
    <t xml:space="preserve">FRANCISCO ELEOTERIO CHAGAS JUNIOR </t>
  </si>
  <si>
    <t>LUCAS MARTINEZ  FRANCO</t>
  </si>
  <si>
    <t>VALOR FIXO</t>
  </si>
  <si>
    <t>VIVIANE BONFIM DOS SANTOS FERREIRA</t>
  </si>
  <si>
    <t xml:space="preserve">IOD EMBALAGENS LTDA </t>
  </si>
  <si>
    <t xml:space="preserve">SEBASTIÃO FLORO ALEXANDRE </t>
  </si>
  <si>
    <t xml:space="preserve">JUKINHA BALA </t>
  </si>
  <si>
    <t xml:space="preserve">RICARDO BENEDITO CALAIS JESUS </t>
  </si>
  <si>
    <t>EDUARDO DOS SANTOS GOMES</t>
  </si>
  <si>
    <t>ANTONIO DIONIZIO ZARAMELLA</t>
  </si>
  <si>
    <t xml:space="preserve">SILVIO DA SILVA LOBO </t>
  </si>
  <si>
    <t>ANTONIO ROSSI DA SILVA</t>
  </si>
  <si>
    <t xml:space="preserve">ANA PAULA BRAGANÇA </t>
  </si>
  <si>
    <t xml:space="preserve">SOMPO </t>
  </si>
  <si>
    <t xml:space="preserve">ALMIR BENEDITO ALGIZI </t>
  </si>
  <si>
    <t xml:space="preserve">LUCIANO DE LIMA ARAUJO </t>
  </si>
  <si>
    <t xml:space="preserve">MARCIA REGINA LUCATELI SANTIAGO </t>
  </si>
  <si>
    <t>LILIANE NORY BATISTA</t>
  </si>
  <si>
    <t xml:space="preserve">JOSE MILTON REIS </t>
  </si>
  <si>
    <t xml:space="preserve">MAIRA BARROSO DE CARVALHO </t>
  </si>
  <si>
    <t>SAMUEL MENDES DE SOUZA</t>
  </si>
  <si>
    <t>RICARDO PEREIRA EVANGELISTA</t>
  </si>
  <si>
    <t xml:space="preserve">JOSE LUIZ CABRAL DOS ANJOS </t>
  </si>
  <si>
    <t xml:space="preserve">TRANS CONEXAO SOLUCOES LOG LTDA </t>
  </si>
  <si>
    <t xml:space="preserve">COND. VILLAGGIO DE PANAMBY </t>
  </si>
  <si>
    <t>DENER SILVEIRA</t>
  </si>
  <si>
    <t xml:space="preserve">RAFAEL BRAULIO ROCHA </t>
  </si>
  <si>
    <t>KAZUJI SAITO</t>
  </si>
  <si>
    <t>SIDIVANIA MENDES DOS SANTOS</t>
  </si>
  <si>
    <t>PAGO</t>
  </si>
  <si>
    <t>WANDERLEI GUIDELLI</t>
  </si>
  <si>
    <t>DIOGUENE WESLEI MACENE</t>
  </si>
  <si>
    <t>ASTROGILDO ARRUDA DOS SANTOS</t>
  </si>
  <si>
    <t xml:space="preserve">GENIVALDO ANTONIO DE OLIVEIRA </t>
  </si>
  <si>
    <t>DORIVAL MALHEIROS CARDOSO (ENDOSSO)</t>
  </si>
  <si>
    <t>JOSE LUIZ VIANA - ENDOSSO</t>
  </si>
  <si>
    <t xml:space="preserve">ALEXANDRE ALFREDO LAMEIRAO </t>
  </si>
  <si>
    <t xml:space="preserve">JOSÉ ROGERIO MONTEIRO </t>
  </si>
  <si>
    <t xml:space="preserve">RAYLSON SALES PATROCINIO </t>
  </si>
  <si>
    <t>REDONDO TELECOMUNICACOES LTDA---</t>
  </si>
  <si>
    <t>GZERO SOLUCOES EM MAQUINAS E EQUIPAMETNO</t>
  </si>
  <si>
    <t xml:space="preserve">IRENE MARIA MORAES SILVA </t>
  </si>
  <si>
    <t>ANDREA CRISTINA DE OLIVEIRA SEBA</t>
  </si>
  <si>
    <t xml:space="preserve">ADAILTON OLIVEIRA DOS SANTOS </t>
  </si>
  <si>
    <t>MARCIO/MARCOS/VINICIUS/FERNANDO/DORIVAL/EDVALDO</t>
  </si>
  <si>
    <t>NILCELENE MARTINS DE OLIVEIRA BARBOSA</t>
  </si>
  <si>
    <t>JOSE FERREIRA DO NASCIMENTO</t>
  </si>
  <si>
    <t>MARCO ANTONIO DE ANDRADE</t>
  </si>
  <si>
    <t xml:space="preserve">THIAGO DOS SANTOS BARBOSA </t>
  </si>
  <si>
    <t xml:space="preserve">SUHAI </t>
  </si>
  <si>
    <t xml:space="preserve">SUEMARY DE BARROS FERNANDES </t>
  </si>
  <si>
    <t xml:space="preserve">MARCOS LEANDRO DA SILVA </t>
  </si>
  <si>
    <t xml:space="preserve">BRUNO HENRIQUE NOVAIS </t>
  </si>
  <si>
    <t xml:space="preserve">ALEX GONCALVES DE ANDRADE </t>
  </si>
  <si>
    <t>CIVALDO LUIS DA SILVA + CARTAO</t>
  </si>
  <si>
    <t>LIDIANE APARECIDA DE SOUZA MELO-----ENDOSSO</t>
  </si>
  <si>
    <t>IRIS KENNIA CORREA</t>
  </si>
  <si>
    <t xml:space="preserve">HEITOR NERY ARAUJO </t>
  </si>
  <si>
    <t xml:space="preserve">JULIANA MAITAN BITTENCOURT </t>
  </si>
  <si>
    <t xml:space="preserve">ANDERSON CRISTIANO GONCALVES </t>
  </si>
  <si>
    <t xml:space="preserve">JOAO VITOR MOITINHO REIS </t>
  </si>
  <si>
    <t xml:space="preserve">FELIPE BERRETELHA CONCEICAO </t>
  </si>
  <si>
    <t>JOSE MANOEL DOS SANTOS</t>
  </si>
  <si>
    <t xml:space="preserve">CIVALDO - AUTO </t>
  </si>
  <si>
    <t>KATHELLEN ANNE SOLANO</t>
  </si>
  <si>
    <t xml:space="preserve">SAMANTHA - AUTO </t>
  </si>
  <si>
    <t>ENDOSSO AUTO - RUBIAN DAVIS EVANGELISTA</t>
  </si>
  <si>
    <t>ALLIAZ</t>
  </si>
  <si>
    <t>TATIANA CRISTINA BARBOSA TEIXEIRA - CELULAR----</t>
  </si>
  <si>
    <t xml:space="preserve">ALOISIO MORAES SANTOS FILHO </t>
  </si>
  <si>
    <t xml:space="preserve">ALEXANDRE DA SILVA </t>
  </si>
  <si>
    <t xml:space="preserve">JOSÉ DERNIVAL - AUTO </t>
  </si>
  <si>
    <t xml:space="preserve">ARLETE FERREIRA PEREIRA + CARTÃO </t>
  </si>
  <si>
    <t>ANDREY MIRANDA COSTA CABRAL</t>
  </si>
  <si>
    <t xml:space="preserve">FRANCISCO GOMES NETO </t>
  </si>
  <si>
    <t xml:space="preserve">WALTER PEREIRA DE ALMEIDA </t>
  </si>
  <si>
    <t>ROSTLAN SANTOS + CARTAO</t>
  </si>
  <si>
    <t xml:space="preserve">JORGE CORRETOR </t>
  </si>
  <si>
    <t>RODRIGO CARRION GARCIA</t>
  </si>
  <si>
    <t xml:space="preserve">CLAUDEMIR GONCALVES DE LIMA + CARTÃO </t>
  </si>
  <si>
    <t xml:space="preserve">Jukinha Bala </t>
  </si>
  <si>
    <t>GILSON BATISTA DE ALMEIRA DOURADO</t>
  </si>
  <si>
    <t xml:space="preserve">ISAAC VILLABOAS DE OLIVEIRA + CARTÃO </t>
  </si>
  <si>
    <t>GILDAZIO SOARES DE CARVALHO + CARTÃO</t>
  </si>
  <si>
    <t xml:space="preserve">JULIO CEZAR DA SILVA SENA </t>
  </si>
  <si>
    <t>FREDERIKO JUKA BALA</t>
  </si>
  <si>
    <t xml:space="preserve">LUZIA BARBOSA </t>
  </si>
  <si>
    <t>MARCIA REGINA DE ASSIS + CARTÃO</t>
  </si>
  <si>
    <t xml:space="preserve">AZUL LEVE </t>
  </si>
  <si>
    <t>KARIN - MESQUITA</t>
  </si>
  <si>
    <t>SIDNEI SOARES DE SOUZA + CARTÃO</t>
  </si>
  <si>
    <t>uilson/ thiagoo / celia / rodrigo/ evandro/maria jose/wanderson</t>
  </si>
  <si>
    <t>RUBIAN/FRANSISOCO WESLEY / RUBIAN/LIDIANE/NOZIOZENO</t>
  </si>
  <si>
    <t>GILMARIA GOMES DOS SANTOS + CARTÃO</t>
  </si>
  <si>
    <t>PAULO TADEU HORACIO + CARTÃO</t>
  </si>
  <si>
    <t xml:space="preserve">ANDRE BARBOSA DA SILVA </t>
  </si>
  <si>
    <t xml:space="preserve">BRUNA MARCELA DA SILVA JUSTI </t>
  </si>
  <si>
    <t xml:space="preserve">TARCISIO ANTONIO VALENTIM + CARTÃO </t>
  </si>
  <si>
    <t>SERGIO MAMPRIN</t>
  </si>
  <si>
    <t xml:space="preserve">ADEMIR CYRINO GARCIA </t>
  </si>
  <si>
    <t xml:space="preserve">LUCIENE APARECIDA PANSARIN MEIRELES </t>
  </si>
  <si>
    <t>ANDREZA PATIRICIA LOPES PONTES</t>
  </si>
  <si>
    <t xml:space="preserve">ROSANA ARAKAKI GUIMARAES </t>
  </si>
  <si>
    <t xml:space="preserve">LAIZ BALZANO BARBOSA </t>
  </si>
  <si>
    <t xml:space="preserve">IZAIAS MENDES DA SILVA </t>
  </si>
  <si>
    <t xml:space="preserve">JULIA DE CARVALHO DE SANTANA </t>
  </si>
  <si>
    <t xml:space="preserve">Vinicius </t>
  </si>
  <si>
    <t xml:space="preserve">ROBERTO RIBEIRO TRINDADE </t>
  </si>
  <si>
    <t>Alexandre</t>
  </si>
  <si>
    <t xml:space="preserve">ANA PAULA OKADA </t>
  </si>
  <si>
    <t xml:space="preserve">SEBASTIÃO MARCIO CAPELLO </t>
  </si>
  <si>
    <t xml:space="preserve">DOMINGOS BENTO DE FREITAS </t>
  </si>
  <si>
    <t>MARCELO DONIZETE VIEIRA</t>
  </si>
  <si>
    <t>DALMO DA SILVA BARBOSA</t>
  </si>
  <si>
    <t xml:space="preserve">HENRIQUE CAMPOS SILVA </t>
  </si>
  <si>
    <t xml:space="preserve">SEVERINO BERNADO DA SILVA </t>
  </si>
  <si>
    <t xml:space="preserve">LILIAN APARECIDA F. DA COSTA + CARTAO </t>
  </si>
  <si>
    <t xml:space="preserve">HAYLLA BARBOSA GUADAHIM + CARTAO </t>
  </si>
  <si>
    <t xml:space="preserve">JUKA FRED BALA </t>
  </si>
  <si>
    <t xml:space="preserve">MANOEL ALMEIDA MARQUES </t>
  </si>
  <si>
    <t>TOKIO ROUBO</t>
  </si>
  <si>
    <t xml:space="preserve">RUFINO COSTA SOUZA </t>
  </si>
  <si>
    <t>GZERO SOLUCOES EM MAQUINAS E EQUIPAMENTO</t>
  </si>
  <si>
    <t>JUNIOR SILVA DO PRADO</t>
  </si>
  <si>
    <t xml:space="preserve">ESTANISLAU SEVERINO DE ARRUDA JUNIOR </t>
  </si>
  <si>
    <t xml:space="preserve">CELIA CLARICE DE MELO DEL CAMPO + CARTAO </t>
  </si>
  <si>
    <t xml:space="preserve">FERNANDA ASSIS SARNES + CARTAO </t>
  </si>
  <si>
    <t>SIMONE SCHLINK FERNANDES</t>
  </si>
  <si>
    <t xml:space="preserve">JONAS LEONARDO DE LIMA + CARTAO </t>
  </si>
  <si>
    <t>TRANS CONEXAO SOLUCOES LOGISTICA LTDA</t>
  </si>
  <si>
    <t>ALIRO</t>
  </si>
  <si>
    <t xml:space="preserve">CESAR ZAMPIERI RIBEIRO </t>
  </si>
  <si>
    <t>Rodrigo/adalberto/amanda/marcos</t>
  </si>
  <si>
    <t xml:space="preserve">SAMANTHA CRISTINA SOLANO RODRIGUES DA SILVA </t>
  </si>
  <si>
    <t xml:space="preserve">EMERSON DE PAULA BARBARA + CARTAO </t>
  </si>
  <si>
    <t>Patricia Albuquerque</t>
  </si>
  <si>
    <t xml:space="preserve">ALEXANDRA SEREICIKAS DE SOUZA LIMA </t>
  </si>
  <si>
    <t xml:space="preserve">ROBERTA GUACIRA DE SOUZA GOMES + CARTAO </t>
  </si>
  <si>
    <t>MARCIO CARVALHO CHAVES</t>
  </si>
  <si>
    <t>DOUGLAS DOMINGOS DE MOTA</t>
  </si>
  <si>
    <t>ALQUIERES RODRIGUES DE FARIAS</t>
  </si>
  <si>
    <t>IVANILDO VIANA DOS SANTOS</t>
  </si>
  <si>
    <t xml:space="preserve">MARCELO PAULO DE OLIVEIRA </t>
  </si>
  <si>
    <t>RUBIANA ALVES DE OLIVEIRA ZAMPIERI</t>
  </si>
  <si>
    <t>ANDRE ROCHA + CARTAO</t>
  </si>
  <si>
    <t>CLEITON CRISTINA DE AVILA</t>
  </si>
  <si>
    <t xml:space="preserve"> MAPFRE</t>
  </si>
  <si>
    <t>FELIPE GENOVESI FERNANDES ---</t>
  </si>
  <si>
    <t xml:space="preserve">SOLANGE ALMEIDA RODRIGUES + CARTAO </t>
  </si>
  <si>
    <t xml:space="preserve">VILMAR BONITO DE OLIVEIRA </t>
  </si>
  <si>
    <t xml:space="preserve">VIVIAN PAIOLLETI DE SOUZA + CARTAO </t>
  </si>
  <si>
    <t>MARIANA DE LIRA LAMEIRA</t>
  </si>
  <si>
    <t xml:space="preserve">ANDRE THIAGO REBECHI </t>
  </si>
  <si>
    <t>ANDRE AUGUSTO DE ROCHA</t>
  </si>
  <si>
    <t xml:space="preserve">ANA MARIA SOTERO LIMA </t>
  </si>
  <si>
    <t xml:space="preserve">PAULO RAIMUNDO BAUEB </t>
  </si>
  <si>
    <t xml:space="preserve">ELISABETH ALVES PIROZZI </t>
  </si>
  <si>
    <t>CLELIA PEREIRA DA SILVA ?????????????</t>
  </si>
  <si>
    <t>?</t>
  </si>
  <si>
    <t xml:space="preserve">MILENA ESTEFANY DE AQUINO </t>
  </si>
  <si>
    <t xml:space="preserve">MARIA DE FATIMA GOMES FERNANDES </t>
  </si>
  <si>
    <t xml:space="preserve">MICHELINE DE MELLO SANCHES </t>
  </si>
  <si>
    <t xml:space="preserve">SUELI GOMES DA SILVA JURAS + CARTAO </t>
  </si>
  <si>
    <t xml:space="preserve">ALEXANDRE VIANDA DIAS </t>
  </si>
  <si>
    <t xml:space="preserve">JAILTON ROSA DE SOUZA JUNIOR </t>
  </si>
  <si>
    <t xml:space="preserve">ZELIA ROCHA EMPREENDIMENTOS </t>
  </si>
  <si>
    <t xml:space="preserve">MARCOS DA CRUZ JURAS </t>
  </si>
  <si>
    <t xml:space="preserve">WALTER LUIZ DOS SANTOS JUNIOR </t>
  </si>
  <si>
    <t xml:space="preserve">ABELARDO MATIAS BACELAR </t>
  </si>
  <si>
    <t xml:space="preserve">MARCIO CESAR BANDO </t>
  </si>
  <si>
    <t xml:space="preserve">GILBERTO JUNIOR DA SILVA </t>
  </si>
  <si>
    <t xml:space="preserve">CLAUDEMIRA APARECIDA BISCASSI DE ARAUJO </t>
  </si>
  <si>
    <t>JOSE FRANCISCO PINTO BARBOSA</t>
  </si>
  <si>
    <t>EDNILSON DIAS BARBOSA JUNIOR</t>
  </si>
  <si>
    <t xml:space="preserve">EDNA NUNES SANT ANA </t>
  </si>
  <si>
    <t xml:space="preserve">FABIO SARAIVA COELHO + CARTÃO </t>
  </si>
  <si>
    <t>ALECSANDRO SILVA DOS SANTOS</t>
  </si>
  <si>
    <t xml:space="preserve">VANDERLEIA DOS SANTOS </t>
  </si>
  <si>
    <t>LEIDIANE DA SILVA VILELA</t>
  </si>
  <si>
    <t>DOMINGOS LUIS DOS SANTOS</t>
  </si>
  <si>
    <t>ALBERTO RODRIGUES DOS SANTOS</t>
  </si>
  <si>
    <t>Luciano/</t>
  </si>
  <si>
    <t xml:space="preserve">ADRIANA MARIA PEREIRA OLIVEIRA </t>
  </si>
  <si>
    <t xml:space="preserve">OSVALDO GONCALVES DE ALMEIDA </t>
  </si>
  <si>
    <t xml:space="preserve">RISIMARIA GOMES DOS SANTOS + CARTÃO </t>
  </si>
  <si>
    <t xml:space="preserve">CAMILA APARECIDA DE LIMA + CARTÃO </t>
  </si>
  <si>
    <t xml:space="preserve">MARCOS RODRIGUES DOS SANTOS </t>
  </si>
  <si>
    <t xml:space="preserve">ANTONIO  CESAR ESTEVES </t>
  </si>
  <si>
    <t xml:space="preserve">JORGE </t>
  </si>
  <si>
    <t xml:space="preserve">EMONALISA ELVIRA DA SILVA </t>
  </si>
  <si>
    <t>FERNANDO</t>
  </si>
  <si>
    <t xml:space="preserve">LINDOMAR XAVIER DO NASCIMENTO </t>
  </si>
  <si>
    <t>WAGNER B PINHEIRO MECANICO AUTOMOTIVO</t>
  </si>
  <si>
    <t xml:space="preserve">DAYANE CRISTINA DE LIMA JERONYMO + CARTAO </t>
  </si>
  <si>
    <t>ADRIANO ALVES DE ARAUJO + CARTAO</t>
  </si>
  <si>
    <t>MARIA THEREZA DO NASCIMENTO LIMA</t>
  </si>
  <si>
    <t xml:space="preserve">LUANA CARLA MARQUES </t>
  </si>
  <si>
    <t>NATHAN CARDOSO LOPES</t>
  </si>
  <si>
    <t xml:space="preserve">ROBERTA BOBADILLO PIRILLO </t>
  </si>
  <si>
    <t xml:space="preserve">CARLOS ALBERTO ROQUE DOS SANTOS </t>
  </si>
  <si>
    <t xml:space="preserve">FABIO DOS SANTOS SOUZA ME </t>
  </si>
  <si>
    <t xml:space="preserve">HUMBERTO MATIAS ALVES SILVA </t>
  </si>
  <si>
    <t>MR FRANCA SOLUCOES PECAS E SERVICOS</t>
  </si>
  <si>
    <t>SUELY ROCHA COSTA</t>
  </si>
  <si>
    <t>CAMILA GUIMARAES + CARTÃO</t>
  </si>
  <si>
    <t xml:space="preserve">PATRICIA FRANULA VIEIRA </t>
  </si>
  <si>
    <t xml:space="preserve">M ALMEIDA EMPREENDIMENTOS IMOB </t>
  </si>
  <si>
    <t xml:space="preserve">SAMIR ZAMPIERI RIBERIO </t>
  </si>
  <si>
    <t xml:space="preserve">MIRIA CORRERIA PEREIRA </t>
  </si>
  <si>
    <t>AILSON PONTES DA SILVA ME</t>
  </si>
  <si>
    <t xml:space="preserve">VALDEMIR NOBERTO DA SILVA </t>
  </si>
  <si>
    <t>MARCIO MARTINS DA SILVA</t>
  </si>
  <si>
    <t xml:space="preserve">ADILSON DIAS DA SILVA </t>
  </si>
  <si>
    <t>JAIR AGUENA</t>
  </si>
  <si>
    <t>LUIS CARLOS VENTURA+ CARTAO</t>
  </si>
  <si>
    <t>Felipe/</t>
  </si>
  <si>
    <t xml:space="preserve">FRANCISCO JOSE MOREIRA </t>
  </si>
  <si>
    <t xml:space="preserve">MARCUS VINICIUS DE SOUZA OLIMPIO </t>
  </si>
  <si>
    <t xml:space="preserve">GENILDA PEREIRA GILIOLI </t>
  </si>
  <si>
    <t xml:space="preserve">HILTON CARLOS VIANA VASCONCELOS </t>
  </si>
  <si>
    <t xml:space="preserve">JAIME MOTA FERREIRA </t>
  </si>
  <si>
    <t xml:space="preserve">DJALMA DOS ANJOS DA SILVA </t>
  </si>
  <si>
    <t xml:space="preserve">PABLO RODRIGUES BRANDAO </t>
  </si>
  <si>
    <t>NOZIOZENO BATISTA DOS SANTOS + CARTAO</t>
  </si>
  <si>
    <t xml:space="preserve">ALESSANDRO DA CRUZ SILVA </t>
  </si>
  <si>
    <t xml:space="preserve">FERNANDO </t>
  </si>
  <si>
    <t xml:space="preserve">MARUA MARTINS DA COSTA </t>
  </si>
  <si>
    <t xml:space="preserve">ROSICLEA TAVARES SANTOS </t>
  </si>
  <si>
    <t xml:space="preserve">NILSON HENRIQUE DA CUNHA </t>
  </si>
  <si>
    <t xml:space="preserve">IVONE ALVES DE MELO </t>
  </si>
  <si>
    <t xml:space="preserve">PATRIZIA DA ROSA MARCELINO </t>
  </si>
  <si>
    <t>RAIMUNDO NONATO NUNES -- ENDOSSO</t>
  </si>
  <si>
    <t xml:space="preserve">CRISTIANE TEIXEIRA DE SOUZA </t>
  </si>
  <si>
    <t>JOSE CARLOS DE ARAUJO</t>
  </si>
  <si>
    <t>CESAR ZAMPIERI RIBEIRO</t>
  </si>
  <si>
    <t>GABRIELA APARECIDA FIRMINO MASSARO + CARTÃO</t>
  </si>
  <si>
    <t xml:space="preserve">REDONDO TELECOMUNICAÇÕES LTDA </t>
  </si>
  <si>
    <t xml:space="preserve">ADRINI CARLOS CORTEZ </t>
  </si>
  <si>
    <t>VIVIANE BOMFIM DOS SANTOS FERREIRA - ENDOSSO</t>
  </si>
  <si>
    <t>KENER MARCONDES</t>
  </si>
  <si>
    <t>DANIELLE SOARES BORGES DE MELLO</t>
  </si>
  <si>
    <t xml:space="preserve">RAQUEL DOS SANTOS GONÇALVES CAVADAS </t>
  </si>
  <si>
    <t xml:space="preserve">EDSON JUNIOR GALBREST </t>
  </si>
  <si>
    <t xml:space="preserve">ELAINE CRISTINA DA SILVA ABREU </t>
  </si>
  <si>
    <t>EDUARDO MORAES DE MENEZES</t>
  </si>
  <si>
    <t xml:space="preserve">NELSON VICENTE DE PAULA </t>
  </si>
  <si>
    <t xml:space="preserve">MARIA APARECIDA ALVES NOGUEIRA + CARTÃO </t>
  </si>
  <si>
    <t xml:space="preserve">CARLOS EDUARDO DA SILVA </t>
  </si>
  <si>
    <t>ARNALDO NOBRE DE LIMA</t>
  </si>
  <si>
    <t>REGINALDO LOPES DE OLIVEIRA</t>
  </si>
  <si>
    <t xml:space="preserve">JAIRO SILVA DOS ANGELOS + CARTAO </t>
  </si>
  <si>
    <t xml:space="preserve">RENATA CRISTINE GUAZZELLI </t>
  </si>
  <si>
    <t xml:space="preserve">JOSE LUIZ VIANA </t>
  </si>
  <si>
    <t xml:space="preserve">ANGELA DOS SANTOS CARVALHO </t>
  </si>
  <si>
    <t xml:space="preserve">ROBERTO DE MOURA ALVES </t>
  </si>
  <si>
    <t>TITANLOG SERVICOS AUXILIARES TRANSPORTE LTDA</t>
  </si>
  <si>
    <t xml:space="preserve">KARYN LAIS ALVES </t>
  </si>
  <si>
    <t xml:space="preserve">WELLINGTON FERNANDES PEREIRA DOS SANTOS </t>
  </si>
  <si>
    <t xml:space="preserve">LEYDIANA NERES RODRIIGUES </t>
  </si>
  <si>
    <t xml:space="preserve">JOSÉ AMARO BATISTA </t>
  </si>
  <si>
    <t xml:space="preserve">JOSE DERNIVAL SANTOS FILHO </t>
  </si>
  <si>
    <t>PATRICIA FRANULO VIEIRIA - ENDOSSO</t>
  </si>
  <si>
    <t xml:space="preserve">FELIPE GENOVESI FERNANDES (RENATO) </t>
  </si>
  <si>
    <t xml:space="preserve">EMERSON NOBREGA TORRES </t>
  </si>
  <si>
    <t>RC CONVES</t>
  </si>
  <si>
    <t>Luana/rubian/estanislau/Andre/</t>
  </si>
  <si>
    <t xml:space="preserve">LUCIANA ROCHA GARCIA PIERONI COUTINHO </t>
  </si>
  <si>
    <t xml:space="preserve">NEIDE SUELY WETZKER </t>
  </si>
  <si>
    <t xml:space="preserve">FABIO LUIS DO CARMO </t>
  </si>
  <si>
    <t xml:space="preserve">VERA LUCIA MARQUES + CARTÃO </t>
  </si>
  <si>
    <t xml:space="preserve">CAMILA GUIMARAES ---ENDOSSO </t>
  </si>
  <si>
    <t xml:space="preserve">FERNANDO FERRAZ DE MELO </t>
  </si>
  <si>
    <t xml:space="preserve">VINI CABEÇÃO </t>
  </si>
  <si>
    <t xml:space="preserve">MARCIO ROBERTO ALONSO </t>
  </si>
  <si>
    <t>MARCELO ALMEIDA</t>
  </si>
  <si>
    <t>FRANCISCO ELEOTERIO CHAGAS JUNIOR ---</t>
  </si>
  <si>
    <t xml:space="preserve">MARIA LUISA NONATO --- ENDOSSO </t>
  </si>
  <si>
    <t>JOSE AILTON PONTES DA SILVA</t>
  </si>
  <si>
    <t xml:space="preserve">EDSON COSTA </t>
  </si>
  <si>
    <t xml:space="preserve">BRADESCO </t>
  </si>
  <si>
    <t xml:space="preserve">TRANS CONEXÃO SOLUCOES EM LOGISTICA </t>
  </si>
  <si>
    <t xml:space="preserve">EDSON BATISTA DE MORAES </t>
  </si>
  <si>
    <t xml:space="preserve">JOHHNY GUIMARAES BISPO DIAS </t>
  </si>
  <si>
    <t xml:space="preserve">MIRIAN RIBERIO + CARTÃO </t>
  </si>
  <si>
    <t xml:space="preserve">CAIO QUEIROZ MARTINSON DE ANDRADE + CARTÃO </t>
  </si>
  <si>
    <t xml:space="preserve">CARLOS ALBERTO PINTO </t>
  </si>
  <si>
    <t>GIULIANA ANDREA PIROZZI NOUER ---</t>
  </si>
  <si>
    <t xml:space="preserve">FERNANDA GONCALVES DA SILVA ARAUJO </t>
  </si>
  <si>
    <t xml:space="preserve">ANA PAULA COSTA LIMA MOTA </t>
  </si>
  <si>
    <t>MARIA SOCORRO LIMA DE SOUSA</t>
  </si>
  <si>
    <t xml:space="preserve">VALDECI NOBERTO DA SILVA + CARTÃO </t>
  </si>
  <si>
    <t>LUCAS DE MACEDO FERREIRA</t>
  </si>
  <si>
    <t xml:space="preserve">IGNACIO TOLOSA ITARRULDE NETO </t>
  </si>
  <si>
    <t>LUCAS DOS ANJOS GALBREST</t>
  </si>
  <si>
    <t xml:space="preserve">ALINE DA SILVA OLIVEIRA </t>
  </si>
  <si>
    <t xml:space="preserve">EMERSON SOLTOSKI PINHEIRO </t>
  </si>
  <si>
    <t xml:space="preserve">JOSE MENDES MELCHIEDES XAVIER + CARTÃO </t>
  </si>
  <si>
    <t>SIDIVANIA/daniel/ignacio</t>
  </si>
  <si>
    <t xml:space="preserve">VINICIUS ALEXANDRE PATROCINIO </t>
  </si>
  <si>
    <t xml:space="preserve">SERGIO AUGUSTO PIRILLO + CARTÃO </t>
  </si>
  <si>
    <t>WAGNER MOURA DE SOUZA</t>
  </si>
  <si>
    <t>TRANS CONEXÃO SOLUCOES LOGISTICA LTDA</t>
  </si>
  <si>
    <t xml:space="preserve">RODRIGO CARRERAS DE OLIVEIRA MOTA + CARTÃO </t>
  </si>
  <si>
    <t xml:space="preserve">RAFAEL SOUZA BRITO DOS SANTOS </t>
  </si>
  <si>
    <t>VINI CABEÇÃO</t>
  </si>
  <si>
    <t xml:space="preserve">HELIO MACIEL PEREIRA </t>
  </si>
  <si>
    <t>VICTOR MALFOY</t>
  </si>
  <si>
    <t xml:space="preserve">DENISE FERREIRA NUNES </t>
  </si>
  <si>
    <t xml:space="preserve">PATY </t>
  </si>
  <si>
    <t xml:space="preserve">PATRICIA MEDES DE SOUZA FARIAS </t>
  </si>
  <si>
    <t xml:space="preserve">BRENDA JULIETE DE SOUZA </t>
  </si>
  <si>
    <t xml:space="preserve">ZÉLIA ROCHA EMPREENDIMENTOS IMOBILIARIOS </t>
  </si>
  <si>
    <t>MARIANA KAREM DE QUEIROZ</t>
  </si>
  <si>
    <t xml:space="preserve">ANA CARLA ARAUJO DE SOUZA </t>
  </si>
  <si>
    <t>ANDRE AUGUSTO DE ROCHA ---</t>
  </si>
  <si>
    <t xml:space="preserve">GABRIEL AURICHIO RODRIGUES </t>
  </si>
  <si>
    <t xml:space="preserve">TATIANE FERNANDES PERNA </t>
  </si>
  <si>
    <t>MARCIA CRISTINA PERNA</t>
  </si>
  <si>
    <t xml:space="preserve">KARINA YUMI KATSUURA + CARTÃO </t>
  </si>
  <si>
    <t xml:space="preserve">SUPER TRUCK E CAR SERVICOS </t>
  </si>
  <si>
    <t xml:space="preserve">ANDREZA PATRICIA LOPES PONTES </t>
  </si>
  <si>
    <t xml:space="preserve">ALVARO LUIZ MANCHON SARNES </t>
  </si>
  <si>
    <t xml:space="preserve">EDILENE COSTA </t>
  </si>
  <si>
    <t xml:space="preserve">MOZART DIAS DE QUEIROZ </t>
  </si>
  <si>
    <t xml:space="preserve">RENATO LEITE RODRIGUES </t>
  </si>
  <si>
    <t xml:space="preserve">JOSE MONTEIRO DE ASSIS </t>
  </si>
  <si>
    <t xml:space="preserve">ANTONIO GISLANIO JATAI LOIOLA </t>
  </si>
  <si>
    <t>2404/2021</t>
  </si>
  <si>
    <t xml:space="preserve">MAURICIO DE MACEDO MACARIO </t>
  </si>
  <si>
    <t xml:space="preserve">EDSON GALBREST </t>
  </si>
  <si>
    <t>ROSEMBERG GONCALVES DA SILVA + CARTÃO ----</t>
  </si>
  <si>
    <t xml:space="preserve">ADILSON VENCESLAU BRAZ </t>
  </si>
  <si>
    <t xml:space="preserve">ISSAMU LUIZ SIMOURA + CARTÃO </t>
  </si>
  <si>
    <t xml:space="preserve">TATIANA SAITO </t>
  </si>
  <si>
    <t xml:space="preserve">HUMBERTO ANTONIO BARONI ESPÓLIO </t>
  </si>
  <si>
    <t xml:space="preserve">MARIA MARTINS DE FREITAS </t>
  </si>
  <si>
    <t xml:space="preserve">CAROLINE CONCEICAO DEGAN </t>
  </si>
  <si>
    <t xml:space="preserve">ARIANE SAMPAIO HAUCK + CARTÃO </t>
  </si>
  <si>
    <t xml:space="preserve">SIMONE TRAJANO GOUVEIA </t>
  </si>
  <si>
    <t xml:space="preserve">GERALDO AMARINHO DE ARAUJO + CARTÃO </t>
  </si>
  <si>
    <t xml:space="preserve">GEORGE DE OLIVEIRA + CARTÃO </t>
  </si>
  <si>
    <t xml:space="preserve">LILIAN APARECIDA FILADELFO DA COSTA </t>
  </si>
  <si>
    <t xml:space="preserve">ALEXANDRA MATTOS DOS SANTOS LEITE </t>
  </si>
  <si>
    <t>Victor</t>
  </si>
  <si>
    <t xml:space="preserve">EMERSON AMARINHO DE ARAUJO </t>
  </si>
  <si>
    <t>JULIANA LOPES SANCHES</t>
  </si>
  <si>
    <t xml:space="preserve">TOKIO ROUBO </t>
  </si>
  <si>
    <t xml:space="preserve">HELCIO DE SOUZA SILVA </t>
  </si>
  <si>
    <t xml:space="preserve">MARCOS JOSE DA SILVA </t>
  </si>
  <si>
    <t xml:space="preserve">NATHALIA GERMANO DE SANT ANA </t>
  </si>
  <si>
    <t xml:space="preserve">EVANDRO FERREIRA DA COSTA + CARTÃO </t>
  </si>
  <si>
    <t xml:space="preserve">JRS ENGENHARIA </t>
  </si>
  <si>
    <t xml:space="preserve">ANA FLAVIA DE SOUZA SANTOS </t>
  </si>
  <si>
    <t>JULIO CESAR SOARES</t>
  </si>
  <si>
    <t xml:space="preserve">TRANS CONEXÃO SOLUCOES LOGISTICA </t>
  </si>
  <si>
    <t xml:space="preserve">MARCIA LOPES DE SOUSA </t>
  </si>
  <si>
    <t xml:space="preserve">MARCOS EDU BORGES DE CARVALHO JUNIOR </t>
  </si>
  <si>
    <t xml:space="preserve">WALDINEI ROSSI DA SILVA </t>
  </si>
  <si>
    <t xml:space="preserve">MARCELO JOSE DE AZEVEDO </t>
  </si>
  <si>
    <t xml:space="preserve">JORGE UILSON DE SANTANA </t>
  </si>
  <si>
    <t xml:space="preserve">Vini </t>
  </si>
  <si>
    <t xml:space="preserve">KARINA ITO DE SOUZA PIMENTEL </t>
  </si>
  <si>
    <t xml:space="preserve">LUCIANA APEZZATO JOAQUIM UNGARELLO </t>
  </si>
  <si>
    <t>Waldinei/</t>
  </si>
  <si>
    <t xml:space="preserve">JOSE FERREIRA DA SILVA </t>
  </si>
  <si>
    <t xml:space="preserve">VINI </t>
  </si>
  <si>
    <t xml:space="preserve">WILSON DE SOUZA + CARTÃO </t>
  </si>
  <si>
    <t xml:space="preserve">MARIA LUISA NONATO MARTINES </t>
  </si>
  <si>
    <t xml:space="preserve">DONIZETE GONCALVES </t>
  </si>
  <si>
    <t xml:space="preserve">ROSOLFO BOMFIM DOS SANTOS QUEIROZ </t>
  </si>
  <si>
    <t xml:space="preserve">EMMANUEL MARTINS DE ALBUQUERQUE </t>
  </si>
  <si>
    <t>FOFÃO EMPREEMDIMENTOS IMOB</t>
  </si>
  <si>
    <t xml:space="preserve">ELIZEU PINHA SANCHES </t>
  </si>
  <si>
    <t xml:space="preserve">ESLEY PEREIRA DE OLIVEIRA </t>
  </si>
  <si>
    <t xml:space="preserve">VALDIR PACHECO </t>
  </si>
  <si>
    <t xml:space="preserve">GESINALDO DIONIZIO DE SOUZA </t>
  </si>
  <si>
    <t xml:space="preserve">CLAUDIO VIERA MARQUES </t>
  </si>
  <si>
    <t xml:space="preserve">CAMILA IAZZETTA ALVES </t>
  </si>
  <si>
    <t xml:space="preserve">Captação </t>
  </si>
  <si>
    <t xml:space="preserve">JOSE AURINO DA SILVA </t>
  </si>
  <si>
    <t xml:space="preserve">Retrasmissão </t>
  </si>
  <si>
    <t>IRANI ROSA DE OLIVEIRA DA SILVA + CARTÃO</t>
  </si>
  <si>
    <t xml:space="preserve">RAQUEL DOS SANTOS GONCALVES + CARTÃO </t>
  </si>
  <si>
    <t xml:space="preserve">DUQUE DOG COMERCIO DE ARTIGOS </t>
  </si>
  <si>
    <t xml:space="preserve">LUZIA APARECIDA MACHADO ROCHA </t>
  </si>
  <si>
    <t xml:space="preserve">HUMBERTO PINHEIRO DA SILVA + CARTÃO </t>
  </si>
  <si>
    <t xml:space="preserve">DENILSON CARPINTEIRO </t>
  </si>
  <si>
    <t xml:space="preserve">ROSICLEA TAVARES SANTOS --- ENDOSSO </t>
  </si>
  <si>
    <t xml:space="preserve">PEDRO DONIZET DEL CAMPO </t>
  </si>
  <si>
    <t xml:space="preserve">RILDO DE OLIVEIRA VICENTE SOUZA </t>
  </si>
  <si>
    <t>SERGIO AUGUSTO DELLADORE --- AGRICOLA</t>
  </si>
  <si>
    <t>CATIA INTERIOR SP</t>
  </si>
  <si>
    <t xml:space="preserve">FERNANDO SERGIO VIANA MACHADO + CARTÃO </t>
  </si>
  <si>
    <t xml:space="preserve">FRANCISCO WESLEY ALVES ALMEIDA RUFINO </t>
  </si>
  <si>
    <t xml:space="preserve">RENATO DE JESUS LINS </t>
  </si>
  <si>
    <t>Capitação</t>
  </si>
  <si>
    <t xml:space="preserve">Seguro novo </t>
  </si>
  <si>
    <t xml:space="preserve">SUELI APARECIDA JORGE DE AZEVEDO </t>
  </si>
  <si>
    <t>Cartão Porto</t>
  </si>
  <si>
    <t xml:space="preserve">MARCIA ISABEL DOS SANTOS GASPAR PEREIRA </t>
  </si>
  <si>
    <t xml:space="preserve">DENISE DO SOCORRO CAMPOS HUNGRIA </t>
  </si>
  <si>
    <t xml:space="preserve">RAIMUNDO NONATO GONCALVES DA ROCHA PITA </t>
  </si>
  <si>
    <t xml:space="preserve">AZUL ROUBO </t>
  </si>
  <si>
    <t xml:space="preserve">MARTA REGINA ANDRE SILVEIRA </t>
  </si>
  <si>
    <t xml:space="preserve">VANIA SALOMON NEVES </t>
  </si>
  <si>
    <t xml:space="preserve">AZUL  </t>
  </si>
  <si>
    <t xml:space="preserve">ANGELO MARCIO ALVES NEVES </t>
  </si>
  <si>
    <t xml:space="preserve">FERNANDO NONATO MARTINES </t>
  </si>
  <si>
    <t xml:space="preserve">WALTER VINICIUS GUZMAN DE ALMEIDA </t>
  </si>
  <si>
    <t xml:space="preserve">GILVANIA GONCALVES DE ARAUJO </t>
  </si>
  <si>
    <t xml:space="preserve">DANIEL ITO DE SOUZA </t>
  </si>
  <si>
    <t xml:space="preserve">SILVIA ROSANA FERRARINI BIGOTTO </t>
  </si>
  <si>
    <t xml:space="preserve">RENATA DE CARVALHO GOES ALVES </t>
  </si>
  <si>
    <t>REGIANI APARECIDA GARDELLI DEL BUSSO + CARTÃO</t>
  </si>
  <si>
    <t xml:space="preserve">MANOEL MAXIMINO LOPES FILHO </t>
  </si>
  <si>
    <t xml:space="preserve">DORIVAL MALHEIROS CARDOSO </t>
  </si>
  <si>
    <t xml:space="preserve">SIDNEI SOARES DE SOUZA </t>
  </si>
  <si>
    <t>CANC</t>
  </si>
  <si>
    <t xml:space="preserve">KAZUJI SAITO </t>
  </si>
  <si>
    <t>Estorno</t>
  </si>
  <si>
    <t xml:space="preserve">JOENILSON DE JESUS CONCEIÇÃO + CARTÃO </t>
  </si>
  <si>
    <t>Vini + Cartão</t>
  </si>
  <si>
    <t xml:space="preserve">ANA PAULA BRAGANCA </t>
  </si>
  <si>
    <t xml:space="preserve">WILZA KARLA MARTINS DOS SANTOS </t>
  </si>
  <si>
    <t xml:space="preserve">NEUSA APARECIDA DE ARAUJO </t>
  </si>
  <si>
    <t xml:space="preserve">LUCAS SILVA ARAUJO --- EQ PORTATEIS </t>
  </si>
  <si>
    <t>endosso</t>
  </si>
  <si>
    <t>SERGIO AUGUSTO DELLORESO COELHO - AGRICOLA</t>
  </si>
  <si>
    <t xml:space="preserve">Catia - interior sp </t>
  </si>
  <si>
    <t>A DE F MARQUES TRANSPORTES</t>
  </si>
  <si>
    <t xml:space="preserve">JOSE DONIZETTI CONSTANTE </t>
  </si>
  <si>
    <t xml:space="preserve">AGOSTINHO FERNANDES PERNA JUNIOR </t>
  </si>
  <si>
    <t>Equipe</t>
  </si>
  <si>
    <t xml:space="preserve">RENATO LUCATELLI SANTIAGO </t>
  </si>
  <si>
    <t xml:space="preserve">JERISVALDO FRANCISCO DOS SANTOS </t>
  </si>
  <si>
    <t xml:space="preserve">Victor </t>
  </si>
  <si>
    <t xml:space="preserve">ANGELO DE BORTOLI FILHO </t>
  </si>
  <si>
    <t xml:space="preserve">CAMILA GUIMARAES --- ENDOSSO </t>
  </si>
  <si>
    <t xml:space="preserve">MAYARA CRISTINA DE SOUZA OLIMPIO </t>
  </si>
  <si>
    <t>EQUIPE</t>
  </si>
  <si>
    <t xml:space="preserve">LUCIA DE FATIMA CARVALHO RODRIGUES </t>
  </si>
  <si>
    <t xml:space="preserve">SEGURO NOVO </t>
  </si>
  <si>
    <t xml:space="preserve">AILSON PONTES DA SILVA ---- CARTÃO </t>
  </si>
  <si>
    <t>cartão + seguro novo</t>
  </si>
  <si>
    <t>PATRICIA MENDES DE SOUZA FARIA --- CARTÃO</t>
  </si>
  <si>
    <t>cartão</t>
  </si>
  <si>
    <t>DAVI MENDES ---- CARTÃO</t>
  </si>
  <si>
    <t xml:space="preserve">cartão </t>
  </si>
  <si>
    <t>HENRIQUE CAMPOS SILVA</t>
  </si>
  <si>
    <t xml:space="preserve">EDVALDO FRANCISCO DOS SANTOS </t>
  </si>
  <si>
    <t xml:space="preserve">SIRLE DA SILVA BATISTA ---- CARTÃO </t>
  </si>
  <si>
    <t>VINI</t>
  </si>
  <si>
    <t xml:space="preserve">STEPHANIE DI LORETO RENNA </t>
  </si>
  <si>
    <t>JUKINHA</t>
  </si>
  <si>
    <t xml:space="preserve">GELTER LOURENÇO DA SILVA </t>
  </si>
  <si>
    <t xml:space="preserve">ENIO CARLOS SILVA </t>
  </si>
  <si>
    <t xml:space="preserve">WAGNER BARBOSA KOVASCIK </t>
  </si>
  <si>
    <t xml:space="preserve">VALDEMIR DA SILVA ALMEIDA </t>
  </si>
  <si>
    <t xml:space="preserve">RENIVAL DOS SANTOS </t>
  </si>
  <si>
    <t xml:space="preserve">JUKINHA </t>
  </si>
  <si>
    <t xml:space="preserve">ALCIDESIO CAETANO DA SILVA + CARTÃO </t>
  </si>
  <si>
    <t xml:space="preserve">CARTAO </t>
  </si>
  <si>
    <t xml:space="preserve">DARCIO LIMA BARBOSA </t>
  </si>
  <si>
    <t xml:space="preserve">CAROLINE CONCEIÇÃO DEGAN </t>
  </si>
  <si>
    <t xml:space="preserve">EDNA MARTINS DOS SANTOS </t>
  </si>
  <si>
    <t xml:space="preserve">BOLA DA VEZ </t>
  </si>
  <si>
    <t xml:space="preserve">WILSON FERREIRA DO NASCIMENTO </t>
  </si>
  <si>
    <t xml:space="preserve">LIDIANE APARECIDA DA SILVA MELO </t>
  </si>
  <si>
    <t xml:space="preserve">CRYSTIAN FELIx DA SILVA </t>
  </si>
  <si>
    <t xml:space="preserve">JOSE EDIMILSON SOARES </t>
  </si>
  <si>
    <t xml:space="preserve">EDMAR COSTA DE SOUZA </t>
  </si>
  <si>
    <t xml:space="preserve">EDSON CEDRAN </t>
  </si>
  <si>
    <t xml:space="preserve">HELIO DE OLIVEIRA LOPES JUNIOR </t>
  </si>
  <si>
    <t xml:space="preserve">CAMILA APARECIDA DE LIMA </t>
  </si>
  <si>
    <t>ALCIDESIO CAETANO DA SILVA + CARTÃO ----</t>
  </si>
  <si>
    <t>MARIA ELENA DE SOUSA MATOS</t>
  </si>
  <si>
    <t xml:space="preserve"> ALECSANDRA SOUZA SANTANA</t>
  </si>
  <si>
    <t>3x</t>
  </si>
  <si>
    <t>JUKA BALA</t>
  </si>
  <si>
    <t>FRANCISCO ELEOTERIO CHAGAS JUNIOR---</t>
  </si>
  <si>
    <t>FRANCISCO DAS CHAGAS FERREIRA</t>
  </si>
  <si>
    <t>MARCIA REGINA LUCATELI SANTIAGO</t>
  </si>
  <si>
    <t>equipe</t>
  </si>
  <si>
    <t xml:space="preserve">ANTONIO DIONIZO ZARAMELLA </t>
  </si>
  <si>
    <t xml:space="preserve">RICARDO PEREIRA EVANGELISTA </t>
  </si>
  <si>
    <t xml:space="preserve">REINALDO NONATO DA SILVA + Cartão </t>
  </si>
  <si>
    <t xml:space="preserve">Cartão Porto </t>
  </si>
  <si>
    <t xml:space="preserve">ANTONIO ROSSI DA SILVA </t>
  </si>
  <si>
    <t xml:space="preserve">VIVIANE BOMFIM DOS SANTOS FERREIRA </t>
  </si>
  <si>
    <t xml:space="preserve">RONALDO CORREIA DE SOUSA DANTAS </t>
  </si>
  <si>
    <t xml:space="preserve">COND. VILLAGGIO PANAMBY </t>
  </si>
  <si>
    <t xml:space="preserve">CARMEN REGINA DOS SANTOS </t>
  </si>
  <si>
    <t xml:space="preserve">DANIELA AVELINO CUNHA ANDRADE </t>
  </si>
  <si>
    <t xml:space="preserve">DENER SILVEIRA </t>
  </si>
  <si>
    <t xml:space="preserve">MARIA DE JESUS DA SILVA BARBOSA </t>
  </si>
  <si>
    <t xml:space="preserve">RAYLSON SALES PATRIOCINIO </t>
  </si>
  <si>
    <t xml:space="preserve">WANDERLEI GUIDELLI </t>
  </si>
  <si>
    <t xml:space="preserve">ASTROGILDO ARRUDA DOS SANTOS </t>
  </si>
  <si>
    <t>AZUL LEVE</t>
  </si>
  <si>
    <t xml:space="preserve">VILMA BENTO CORDEIRO DA SILVA </t>
  </si>
  <si>
    <t xml:space="preserve">JOSE ROGERIO MONTEIRO </t>
  </si>
  <si>
    <t>REDONDO TELECOMUNICAÇÕES LTDA</t>
  </si>
  <si>
    <t xml:space="preserve">DIOGUINE WESLEI MACENE </t>
  </si>
  <si>
    <t xml:space="preserve">PARCELA FIXA </t>
  </si>
  <si>
    <t xml:space="preserve">LUCAS MARTINES FRANCO </t>
  </si>
  <si>
    <t xml:space="preserve">IRENE MARIA MORAES DA SILVA </t>
  </si>
  <si>
    <t xml:space="preserve">ANDREA CRISTINA SEBA DE OLIVEIRA </t>
  </si>
  <si>
    <t xml:space="preserve">FABIANO JERONIMO DA SILVA </t>
  </si>
  <si>
    <t>CAPITAÇÃO</t>
  </si>
  <si>
    <t>MC FRANCA SOLUCOES PECAS SERVICOS ME</t>
  </si>
  <si>
    <t xml:space="preserve">JEAN PIERRE ANTONIO DA SILVA </t>
  </si>
  <si>
    <t xml:space="preserve">EDINA EVANGELISTA DIAS LIMA </t>
  </si>
  <si>
    <t xml:space="preserve">BEATRIZ NEVES TAVARES DA SILVA </t>
  </si>
  <si>
    <t xml:space="preserve">SANDRA KUSMA </t>
  </si>
  <si>
    <t>IRIS KENNIA CORREIA</t>
  </si>
  <si>
    <t>JOHNNI FABIO BRASILINO ALVES</t>
  </si>
  <si>
    <t xml:space="preserve">cancelamento </t>
  </si>
  <si>
    <t>FABIO DOS SANTOS DE SOUZA ---</t>
  </si>
  <si>
    <t xml:space="preserve">CELIA SIMOES DE OLIVEIRA </t>
  </si>
  <si>
    <t xml:space="preserve">ALMIR ANTONIO ANSELMO </t>
  </si>
  <si>
    <t xml:space="preserve">JOSE MANOEL DOS SANTOS </t>
  </si>
  <si>
    <t xml:space="preserve">ALLIANZ </t>
  </si>
  <si>
    <t xml:space="preserve">JULIANA MAITAN BITTENCOURT BORGES </t>
  </si>
  <si>
    <t xml:space="preserve">KATHELLEN ANNE SOLANO </t>
  </si>
  <si>
    <t xml:space="preserve">JOAO VITOR MOITINHO </t>
  </si>
  <si>
    <t>ITAU ROUBO</t>
  </si>
  <si>
    <t xml:space="preserve">JOSE MATOS DE AGUIAR </t>
  </si>
  <si>
    <t xml:space="preserve">CAPITAÇÃO </t>
  </si>
  <si>
    <t xml:space="preserve">FRANCISCO DE ASSIS LOURENCO RIBEIRO </t>
  </si>
  <si>
    <t xml:space="preserve">CLAUDEMIR GONCALVES DE LIMA </t>
  </si>
  <si>
    <t xml:space="preserve">Luciano </t>
  </si>
  <si>
    <t xml:space="preserve">RODOLFO BOMFIM DOS SANTOS QUEIROZ </t>
  </si>
  <si>
    <t xml:space="preserve">victor </t>
  </si>
  <si>
    <t xml:space="preserve">ROSTLAN SANTOS </t>
  </si>
  <si>
    <t xml:space="preserve">MARCIA REGINA DE ASSIS </t>
  </si>
  <si>
    <t xml:space="preserve">JERSIVALDO FRANCISCO DOS SANTOS </t>
  </si>
  <si>
    <t xml:space="preserve">CIVALDO LUIS DA SILVA </t>
  </si>
  <si>
    <t xml:space="preserve">MARCO ANTONIO DE ANDRADE </t>
  </si>
  <si>
    <t>GILSON BATISTA DE ALMEIDA DOURADO</t>
  </si>
  <si>
    <t xml:space="preserve">ANDRE LUIZ FERNANDES </t>
  </si>
  <si>
    <t xml:space="preserve">GISELE MONTEIRO DO NASCIMENTO </t>
  </si>
  <si>
    <t xml:space="preserve">AGNES ALVES DA SILVEIRA </t>
  </si>
  <si>
    <t xml:space="preserve">ANDREY MIRANDA DA COSTA CABRAL </t>
  </si>
  <si>
    <t xml:space="preserve">MARIA ELENA DE SOUZA SANTOS </t>
  </si>
  <si>
    <t xml:space="preserve">Capitação </t>
  </si>
  <si>
    <t xml:space="preserve">TADEO BAZAN JUNIOR </t>
  </si>
  <si>
    <t xml:space="preserve">LUCIANO </t>
  </si>
  <si>
    <t xml:space="preserve">ISAAC VILLASBOAS DE OLIVEIRA </t>
  </si>
  <si>
    <t xml:space="preserve">IVANILSO HEMETERIO DA SILVEIRA </t>
  </si>
  <si>
    <t xml:space="preserve">PAULO TADEU HORACIO </t>
  </si>
  <si>
    <t xml:space="preserve">FERNANDA GONZALES DE LIMA </t>
  </si>
  <si>
    <t xml:space="preserve">MITSUI </t>
  </si>
  <si>
    <t xml:space="preserve">SERGIO MAMPRIM </t>
  </si>
  <si>
    <t xml:space="preserve">GILMARIA GOMES DOS SANTOS </t>
  </si>
  <si>
    <t>LUCIENE AP PANSARIN MEIRELES</t>
  </si>
  <si>
    <t>TRANS CONEXÃO SOLUCOES LOGISTICA</t>
  </si>
  <si>
    <t xml:space="preserve">JULIA DE CARVALHO SNATANA </t>
  </si>
  <si>
    <t>Vini</t>
  </si>
  <si>
    <t xml:space="preserve">TARCISIO ANTONIO VALENTIM </t>
  </si>
  <si>
    <t xml:space="preserve">MARCELO DONIZETE VIEIRA </t>
  </si>
  <si>
    <t xml:space="preserve">SEBASTIAO MARCIO CAPELLO </t>
  </si>
  <si>
    <t xml:space="preserve">JOSE WALLACE NORBERTO DA SILVA </t>
  </si>
  <si>
    <t xml:space="preserve">MAPFRE </t>
  </si>
  <si>
    <t>HAYLLA BARBOSA GUADAHIM</t>
  </si>
  <si>
    <t>HENRIQUE CAMPOS SILVA ----</t>
  </si>
  <si>
    <t xml:space="preserve">DALMO DA SILVA BARBOSA </t>
  </si>
  <si>
    <t xml:space="preserve">CELIA CLARICE DE MELO DEL CAMPO </t>
  </si>
  <si>
    <t xml:space="preserve">MARIA CLAUDINEIA SILVA RIBEIRO </t>
  </si>
  <si>
    <t xml:space="preserve">AZULLEVE </t>
  </si>
  <si>
    <t xml:space="preserve">SIMONE SCHLINK FERNANDES </t>
  </si>
  <si>
    <t>LILIAN AP FILADELFIO DA COSTA</t>
  </si>
  <si>
    <t xml:space="preserve">ESTANISLAU SEVERINO DE ARRUDA </t>
  </si>
  <si>
    <t xml:space="preserve">CAROLINA DELMIRO SOUZA SILVA </t>
  </si>
  <si>
    <t xml:space="preserve">1X </t>
  </si>
  <si>
    <t xml:space="preserve">JONAS LEONARDO DE LIMA </t>
  </si>
  <si>
    <t xml:space="preserve">BEATRIZ FREIRE DE CARVALHO </t>
  </si>
  <si>
    <t xml:space="preserve">GZERO SOLUCOES EM MAQUINAS </t>
  </si>
  <si>
    <t xml:space="preserve">JEOSAFA SANTANA DA SILVA </t>
  </si>
  <si>
    <t xml:space="preserve">VANESSA FERNANDES BANDEIRA </t>
  </si>
  <si>
    <t xml:space="preserve">ALIRO </t>
  </si>
  <si>
    <t xml:space="preserve">CEZAR ZAMPIERI RIBEIRO </t>
  </si>
  <si>
    <t>JACIEL BEZERRA DA SILVA</t>
  </si>
  <si>
    <t>SAMANTHA CRISTINA SOLANO</t>
  </si>
  <si>
    <t xml:space="preserve">MARTHA MARIA PEREIRA DE JESUS </t>
  </si>
  <si>
    <t xml:space="preserve">EMERSON DE PAULA BARBARA </t>
  </si>
  <si>
    <t xml:space="preserve">ADAUTO DA SILVA RODRIGUES </t>
  </si>
  <si>
    <t xml:space="preserve">DOUGLAS DOMINGOS MOTA </t>
  </si>
  <si>
    <t xml:space="preserve"> RUBIANA ALVES DE OLIVEIRA ZANPIERI</t>
  </si>
  <si>
    <t xml:space="preserve">LUIZ RODRIGUES </t>
  </si>
  <si>
    <t xml:space="preserve">TAXA ÚNCIA </t>
  </si>
  <si>
    <t xml:space="preserve">capitação </t>
  </si>
  <si>
    <t xml:space="preserve">VIVIAN PAIOLLETI DE SOUZA </t>
  </si>
  <si>
    <t xml:space="preserve">DEBORA LUANA DA SILVA FERREIRA </t>
  </si>
  <si>
    <t xml:space="preserve">ANA MARIA SOTERO DE LIMA </t>
  </si>
  <si>
    <t xml:space="preserve">CLEITON CRISTIANO AVILA </t>
  </si>
  <si>
    <t xml:space="preserve">MARCIO CARVALHO CHAVES </t>
  </si>
  <si>
    <t>SEBASTIAO FABIO OLIVEIRA SANTOS</t>
  </si>
  <si>
    <t>MARIANA DE LIRA LAMEIRAO</t>
  </si>
  <si>
    <t>ESTANISLAU SEVERINO DEARRUDA JUNIOR</t>
  </si>
  <si>
    <t xml:space="preserve">ZELIA ROCHA EMPREENDIMENTOS IMOB </t>
  </si>
  <si>
    <t xml:space="preserve">LEANDRO AUGUSTO DA SILVA RODRIGUES </t>
  </si>
  <si>
    <t xml:space="preserve">RONALD CORREIA MELO DANTAS </t>
  </si>
  <si>
    <t>LAURENCE BRIGITTE LEFEBVRE</t>
  </si>
  <si>
    <t xml:space="preserve">ROBSON PIMENTEL DOS SANTOS </t>
  </si>
  <si>
    <t xml:space="preserve">SUELI GOMES DA SILVA JURAS </t>
  </si>
  <si>
    <t xml:space="preserve">JOSE FRANCISCO PINTO CORREIA </t>
  </si>
  <si>
    <t xml:space="preserve">LIDIANE SANTOS DE OLIVEIRA </t>
  </si>
  <si>
    <t xml:space="preserve">GESIMARA DA COSTA MENDES </t>
  </si>
  <si>
    <t xml:space="preserve">EVANDRO AMARINHO DE ARAUJO </t>
  </si>
  <si>
    <t xml:space="preserve">DOMINGOS LUIS DOS SANTOS </t>
  </si>
  <si>
    <t xml:space="preserve">HDI </t>
  </si>
  <si>
    <t xml:space="preserve">CLAUDEMIRA APARECIDA BISCASSI </t>
  </si>
  <si>
    <t xml:space="preserve">ALBERTO RODRIGUES SANTOS </t>
  </si>
  <si>
    <t xml:space="preserve">FABIO SARAIVA COELHO </t>
  </si>
  <si>
    <t xml:space="preserve">ULISSES CARLOS DE OLIVEIRA </t>
  </si>
  <si>
    <t xml:space="preserve">OSVALDO GONÇALVES DE ANDRADE S </t>
  </si>
  <si>
    <t>ok</t>
  </si>
  <si>
    <t>ADRIANA MARIA PEREIRA FERREIRA</t>
  </si>
  <si>
    <t xml:space="preserve">ANTONIO CESAR ESTEVES </t>
  </si>
  <si>
    <t>Jorge</t>
  </si>
  <si>
    <t xml:space="preserve">CAIO EDUARDO ALKIMIM </t>
  </si>
  <si>
    <t xml:space="preserve">taxa única </t>
  </si>
  <si>
    <t xml:space="preserve">CAROLINA DELBOUX MINUCHI </t>
  </si>
  <si>
    <t>ADAILSON GUIMARAES DE ABREU</t>
  </si>
  <si>
    <t xml:space="preserve">RISIMARIA GOMES DOS SANTOS </t>
  </si>
  <si>
    <t xml:space="preserve">ALESSANDRO DE OLIVIERIA DA SILVA </t>
  </si>
  <si>
    <t>cancelado</t>
  </si>
  <si>
    <t xml:space="preserve">ADRIANO ALVES DE ARAUJO </t>
  </si>
  <si>
    <t>MC FRANCA SOLUCOES PECAS E SERVIÇOS</t>
  </si>
  <si>
    <t xml:space="preserve">LUCIENE APARECIDA PANSARIN </t>
  </si>
  <si>
    <t xml:space="preserve">LUCIANO MELO DAMSCENO </t>
  </si>
  <si>
    <t xml:space="preserve">DAYANE CRISTINA DE LIMA JERONYMO </t>
  </si>
  <si>
    <t xml:space="preserve">ANDRESA FERREIRA GONCALVES + CARTÃO </t>
  </si>
  <si>
    <t xml:space="preserve">Cartao </t>
  </si>
  <si>
    <t>OK</t>
  </si>
  <si>
    <t xml:space="preserve">SEGMAX COM EQUIPAMENTOS </t>
  </si>
  <si>
    <t xml:space="preserve">CANCELADO </t>
  </si>
  <si>
    <t xml:space="preserve">MARIA THEREZA NASCIMENTO DE LIMA </t>
  </si>
  <si>
    <t>ANSELMO DOS SANTOS UGARTE ---</t>
  </si>
  <si>
    <t xml:space="preserve">PAULO SERGIO GODINHO ---+ cartao </t>
  </si>
  <si>
    <t xml:space="preserve">Victor+cartao </t>
  </si>
  <si>
    <t xml:space="preserve">HENRIQUE BARROS AFFONSO VILLA </t>
  </si>
  <si>
    <t>CANCELADO</t>
  </si>
  <si>
    <t>VANDIR DE OLIVIERA MACEDO ---</t>
  </si>
  <si>
    <t xml:space="preserve">JOSE GERALDO RIBERIO JUNIOR </t>
  </si>
  <si>
    <t xml:space="preserve">CAMILA GUIMARAES </t>
  </si>
  <si>
    <t xml:space="preserve">JEFFERSON RODRIGUES </t>
  </si>
  <si>
    <t>LUIS CARLOS VENTURA</t>
  </si>
  <si>
    <t xml:space="preserve">JONATHAN SOUZA ESTEVES </t>
  </si>
  <si>
    <t>MARCIO MARTINS DA SILVA + CARTÃO</t>
  </si>
  <si>
    <t>GISLANE MENDES LOUSADA</t>
  </si>
  <si>
    <t xml:space="preserve">LUCAS DOS ANJOS GALBREST </t>
  </si>
  <si>
    <t>DANIELA CALVACANTE BARBOSA</t>
  </si>
  <si>
    <t>Vinicius</t>
  </si>
  <si>
    <t>REGINA BATISTA BUENO</t>
  </si>
  <si>
    <t>MILENA STEFANI DE AQUINO</t>
  </si>
  <si>
    <t>GABRIELA APARECIDA FIRMINIO MASSARO</t>
  </si>
  <si>
    <t xml:space="preserve">ROGERIO CARLOS GUIDELLI </t>
  </si>
  <si>
    <t xml:space="preserve">Fracionado confirmar </t>
  </si>
  <si>
    <t xml:space="preserve">GLEDISON DE PAULA BARBARA </t>
  </si>
  <si>
    <t xml:space="preserve">ALECSANDRA SOUZA SANTANA </t>
  </si>
  <si>
    <t xml:space="preserve">ARNALDO NOBRE DE LIMA </t>
  </si>
  <si>
    <t xml:space="preserve">KENER MARCONDES </t>
  </si>
  <si>
    <t xml:space="preserve">RAQUEL DOS SANTOS GONCALVES </t>
  </si>
  <si>
    <t>RENATA CRISTINE GAZELLI</t>
  </si>
  <si>
    <t xml:space="preserve">Luciano + cartão </t>
  </si>
  <si>
    <t xml:space="preserve">PABLO RODRIGUES BRANDÃO </t>
  </si>
  <si>
    <t xml:space="preserve">MARIA APARECIDA ALVES NOGUEIRA </t>
  </si>
  <si>
    <t xml:space="preserve">ANNA PATRICIA ARAUJO ALVARES </t>
  </si>
  <si>
    <t xml:space="preserve">GERSON FONSECA MENDES </t>
  </si>
  <si>
    <t xml:space="preserve">JAIRO SILVA DOS ANGELOS </t>
  </si>
  <si>
    <t xml:space="preserve">ANTONIO SOARES CARVALHO </t>
  </si>
  <si>
    <t xml:space="preserve">REGINALDO LOPES DE OLIVEIRA </t>
  </si>
  <si>
    <t xml:space="preserve">LILIANE NORY BATISTA </t>
  </si>
  <si>
    <t xml:space="preserve">LEYDIANA NERES RODRIGUES </t>
  </si>
  <si>
    <t>MARCIO CESAR BANDO ---</t>
  </si>
  <si>
    <t xml:space="preserve">endosso </t>
  </si>
  <si>
    <t>JOSE AMARO BATISTA ---</t>
  </si>
  <si>
    <t xml:space="preserve">WELLIGNTON FERNANDES PEREIRA </t>
  </si>
  <si>
    <t xml:space="preserve">TITANLOG SERVIÇOS AUXILIARES DE TRANSPORTE </t>
  </si>
  <si>
    <t>SEGMAX COM EQUIPAMENTOS DE SEG</t>
  </si>
  <si>
    <t xml:space="preserve">TRANSCONEXÃO SOLUCOES EM LOGISTICA </t>
  </si>
  <si>
    <t xml:space="preserve">Cartão </t>
  </si>
  <si>
    <t xml:space="preserve">JUNIOR SILVA DO PRADO </t>
  </si>
  <si>
    <t xml:space="preserve">JOENILSON DE JESUS CONCEICAO </t>
  </si>
  <si>
    <t xml:space="preserve">CAIO QUEIROZ MARTINSON DE ANDRADE </t>
  </si>
  <si>
    <t xml:space="preserve">SANDRA LUCIENE TOITO </t>
  </si>
  <si>
    <t>JOHNNY GUMARAES BISPO DIAS</t>
  </si>
  <si>
    <t xml:space="preserve">SANDRA REGINA FERREIRA DOS SANTOS </t>
  </si>
  <si>
    <t>LOURIVAL CASAGRANDE</t>
  </si>
  <si>
    <t xml:space="preserve">MIRIAN RIBEIRO </t>
  </si>
  <si>
    <t xml:space="preserve">VALDECI NOBERTO DA SILVA </t>
  </si>
  <si>
    <t xml:space="preserve">GIULIANA ANDREA PIROZZI NAUER </t>
  </si>
  <si>
    <t>MARCELO KURIHARA</t>
  </si>
  <si>
    <t xml:space="preserve">MARIA SOCORRO DE LIMA SOUSA </t>
  </si>
  <si>
    <t xml:space="preserve">CARTÃO </t>
  </si>
  <si>
    <t xml:space="preserve">JOÃO VICTOR DO NASCIMENTO SANTOS </t>
  </si>
  <si>
    <t xml:space="preserve">IGNACIO TOLOSA ITURRALDE NETO </t>
  </si>
  <si>
    <t>IVANILSON HEMETERIO DA SILVEIRA</t>
  </si>
  <si>
    <t>TRANSCONEXAO SOLUCOES LOGISTICA</t>
  </si>
  <si>
    <t xml:space="preserve">JOSE MENDES MELCHIEDES XAVIER </t>
  </si>
  <si>
    <t xml:space="preserve">MARIA TERESA DE JESUS SILVA </t>
  </si>
  <si>
    <t xml:space="preserve">TATIANE TERESA DE SOUSA </t>
  </si>
  <si>
    <t>TECH FIBERS TELECOM LTDA ---</t>
  </si>
  <si>
    <t xml:space="preserve">BRENDA JULIETE SOUZA </t>
  </si>
  <si>
    <t>SUPER TRUCK E CAR SERVIÇOS AUTO</t>
  </si>
  <si>
    <t>24X</t>
  </si>
  <si>
    <t xml:space="preserve">CARRO FÁCIL </t>
  </si>
  <si>
    <t>CARTÃO</t>
  </si>
  <si>
    <t xml:space="preserve">NATALIA FERREIRA LACERDA </t>
  </si>
  <si>
    <t>JORGE PREFEITURA</t>
  </si>
  <si>
    <t xml:space="preserve">SEBASTIAO RAIMUNDO HENRIQUE </t>
  </si>
  <si>
    <t>Paty</t>
  </si>
  <si>
    <t>MOZART DIAS QUEIROZ</t>
  </si>
  <si>
    <t xml:space="preserve">MARIANA KAREM DE QUEIROZ </t>
  </si>
  <si>
    <t xml:space="preserve">LUAN ANTONIO MUNIZ DE SANTANA </t>
  </si>
  <si>
    <t xml:space="preserve">ROSEMBERG GONCALVES DA SILVA </t>
  </si>
  <si>
    <t xml:space="preserve">WAGNER DE MOURA SOUZA </t>
  </si>
  <si>
    <t xml:space="preserve">SERGIO AUGUSTO PIRILLO </t>
  </si>
  <si>
    <t xml:space="preserve">CASSIA CRISTINA CARVALHO BRAZILINO </t>
  </si>
  <si>
    <t xml:space="preserve">MARCIA CRISTINA PERNA </t>
  </si>
  <si>
    <t xml:space="preserve">KARINA YUMI KATSUURA </t>
  </si>
  <si>
    <t xml:space="preserve">YGOR RODRIGO DA SILVA MEI </t>
  </si>
  <si>
    <t xml:space="preserve">GABRIELA GONCALVES BRITO </t>
  </si>
  <si>
    <t>SHIRLEY BERNADO DE OLIVEIRA</t>
  </si>
  <si>
    <t xml:space="preserve">DANIEL MARTINS RIBEIRO </t>
  </si>
  <si>
    <t>CARTÃO PORTO</t>
  </si>
  <si>
    <t xml:space="preserve">DOUGLAS OLIVEIRA DA SILVA </t>
  </si>
  <si>
    <t>PATY</t>
  </si>
  <si>
    <t xml:space="preserve">LEONARDO SILVA DE OLIVEIRA </t>
  </si>
  <si>
    <t xml:space="preserve">JULIANA GARRONI OZORIO </t>
  </si>
  <si>
    <t xml:space="preserve">FRACIONADO </t>
  </si>
  <si>
    <t xml:space="preserve">JORGE UILSON SANTANA </t>
  </si>
  <si>
    <t xml:space="preserve">ADILSON VENCESALAU BRAS </t>
  </si>
  <si>
    <t xml:space="preserve">HUMBERTO ANTONIO BARONI ESPOLIO </t>
  </si>
  <si>
    <t xml:space="preserve">FERNANDA DE CASSIA MAXIMINO </t>
  </si>
  <si>
    <t xml:space="preserve">ISSAMU LUIZ SIMOURA </t>
  </si>
  <si>
    <t>ANA CLAUDIA DO NASCIMENTO AZEVEDO</t>
  </si>
  <si>
    <t xml:space="preserve">GERALDO AMARINHO DE ARAUJO </t>
  </si>
  <si>
    <t xml:space="preserve">GEORGE DE OLIVEIRA </t>
  </si>
  <si>
    <t xml:space="preserve">HIAGO CALDEIRA BRESHACK </t>
  </si>
  <si>
    <t xml:space="preserve">EVANDRO FERREIRA DA COSTA </t>
  </si>
  <si>
    <t xml:space="preserve">NATHALIA GERMANO BARBOSA </t>
  </si>
  <si>
    <t xml:space="preserve">JOVELINA OLIVEIRA CANDIDO </t>
  </si>
  <si>
    <t>CESAR ZANPIERI RIBEIRO</t>
  </si>
  <si>
    <t xml:space="preserve">JOICE KENI DE SOUSA NASCIMENTO </t>
  </si>
  <si>
    <t xml:space="preserve">MARCOS EDU BORGES DE CARVALHO JR </t>
  </si>
  <si>
    <t>ROBERTO RIBEIRO TRINDADE (RESIDENCIAL)</t>
  </si>
  <si>
    <t xml:space="preserve">KARIN RAMOS </t>
  </si>
  <si>
    <t xml:space="preserve">CAPITAÇÃO + CARTÃO </t>
  </si>
  <si>
    <t xml:space="preserve">JOSE FRANCISCO DA SILVA </t>
  </si>
  <si>
    <t>JERISVALDO FRANCISCO DOS SANTOS</t>
  </si>
  <si>
    <t xml:space="preserve">PRISCILA GEISSE VIEIRA DE ARAUJO </t>
  </si>
  <si>
    <t xml:space="preserve">ANDRÉ EDIPO DE MORAIS </t>
  </si>
  <si>
    <t xml:space="preserve">JOYCE MAYANE OLIVEIRA BATISTA </t>
  </si>
  <si>
    <t xml:space="preserve">CLAUDIO VIEIRA MARQUES </t>
  </si>
  <si>
    <t>FOFÃO IMOVEIS ---</t>
  </si>
  <si>
    <t xml:space="preserve">ROBERTA FRANCHI </t>
  </si>
  <si>
    <t xml:space="preserve">IONE ALVES BONFIM </t>
  </si>
  <si>
    <t xml:space="preserve">ELISEU PINHA SANCHES </t>
  </si>
  <si>
    <t xml:space="preserve">CARLOS LOPES REY </t>
  </si>
  <si>
    <t xml:space="preserve">EVELLYN CRISTINY BARBOZA </t>
  </si>
  <si>
    <t xml:space="preserve">IRANI ROSA DE OLIVEIRA DA SILVA </t>
  </si>
  <si>
    <t>LUCIETE DE OLIVEIRA BARROS</t>
  </si>
  <si>
    <t xml:space="preserve">HUMBERTO PINHEIRO DA SILVA </t>
  </si>
  <si>
    <t>ERIVALDO BLADO STANESCO ---</t>
  </si>
  <si>
    <t xml:space="preserve">SEBASTIAO PAZ DE CARVALHO </t>
  </si>
  <si>
    <t>LUCIANO + CARTÃO</t>
  </si>
  <si>
    <t>JOSE MESSIAS BALBINO DO NASCIMENTO</t>
  </si>
  <si>
    <t>CONDOMINO VILLAGGIO PANAMBY</t>
  </si>
  <si>
    <t>FRACIONADO</t>
  </si>
  <si>
    <t xml:space="preserve">DENISE DO SOCORRO CAMPOS </t>
  </si>
  <si>
    <t>JOHNNY GUIMARES BISPO DIAS</t>
  </si>
  <si>
    <t xml:space="preserve">ANSELMO DE OLIVEIRA </t>
  </si>
  <si>
    <t xml:space="preserve">ENDOSSO </t>
  </si>
  <si>
    <t xml:space="preserve">AEDSON DA PAIXAO CARNEIRO </t>
  </si>
  <si>
    <t>R$ 75,84 + R$ 30,00</t>
  </si>
  <si>
    <t xml:space="preserve">LUCIANO + cartão </t>
  </si>
  <si>
    <t xml:space="preserve">MARIA JOSE RODRIGUES DOS SANTOS </t>
  </si>
  <si>
    <t>MARCIA ISABEL DOS SANTOS GASPAR</t>
  </si>
  <si>
    <t xml:space="preserve">IGOR RIBEIRO MENDES PIRES </t>
  </si>
  <si>
    <t xml:space="preserve">TRANS CONEXAO SOLUCOES LOGISTICA </t>
  </si>
  <si>
    <t xml:space="preserve">JOENILSON DE JESUS DA CONCEIÇÃO </t>
  </si>
  <si>
    <t xml:space="preserve">MARCIA ISABEL DOS SANTOS GASPAR </t>
  </si>
  <si>
    <t xml:space="preserve">FABIO DE ALMEIDA ROMA </t>
  </si>
  <si>
    <t xml:space="preserve">ORLEI HUMBERTO DA SILVA </t>
  </si>
  <si>
    <t xml:space="preserve">JAQUELINE DA SILVA DE SANTANA </t>
  </si>
  <si>
    <t>R$ 71,61 + R$ 30,00</t>
  </si>
  <si>
    <t xml:space="preserve">FERNADO NONATO MARTINES </t>
  </si>
  <si>
    <t>ANA PAULA BRAGANÇA OLIVEIRA</t>
  </si>
  <si>
    <t>HDI SEGUROS</t>
  </si>
  <si>
    <t xml:space="preserve">R$ 20,74 + R$ 2,50 </t>
  </si>
  <si>
    <t xml:space="preserve">RAFAEL CUNHA NASCIMENTO </t>
  </si>
  <si>
    <t xml:space="preserve">OTON MIGUEL DA SILVA FILHO </t>
  </si>
  <si>
    <t>R$ 92,81 + R$ 30,00</t>
  </si>
  <si>
    <t xml:space="preserve">NEUSA APARECIDA DE ARAUJO MACHADO </t>
  </si>
  <si>
    <t>SOB MEDIDA PLANEJADOS LTDA ME</t>
  </si>
  <si>
    <t xml:space="preserve">MARCELO ALMEIDA </t>
  </si>
  <si>
    <t>DIEGO STORER VIVEIROS DA COSTA</t>
  </si>
  <si>
    <t>WESLEY BARBOSA ABADE</t>
  </si>
  <si>
    <t xml:space="preserve">JOHNNY GUIMARES BISPO DIAS </t>
  </si>
  <si>
    <t>DTA TRANSM.</t>
  </si>
  <si>
    <t xml:space="preserve">JOSE DONIZETTI </t>
  </si>
  <si>
    <t>MARCIO DE OLIVEIRA</t>
  </si>
  <si>
    <t xml:space="preserve">PATRICIA MENDES DE SOUZA FARIA </t>
  </si>
  <si>
    <t>RENATO LUCATELLI SANTIAGO</t>
  </si>
  <si>
    <t xml:space="preserve">ANGELO DE BOTOLI FILHO </t>
  </si>
  <si>
    <t>DAIANE DA SILVA LIMA</t>
  </si>
  <si>
    <t xml:space="preserve">M ALMEIDA EMPREENDIMENTOS LTDA </t>
  </si>
  <si>
    <t xml:space="preserve">SIRLE DA SILVA BATISTA </t>
  </si>
  <si>
    <t>STEPHANIE DI LORETTO RENNA</t>
  </si>
  <si>
    <t xml:space="preserve">JOSE AILTON FELIX </t>
  </si>
  <si>
    <t xml:space="preserve">DAVI MENDES </t>
  </si>
  <si>
    <t xml:space="preserve">ELISETE STORER </t>
  </si>
  <si>
    <t xml:space="preserve">MINISTERIO ANUNCIANDO JESUS </t>
  </si>
  <si>
    <t xml:space="preserve">MARIA JOSE DO NASCIMENTO PROCÓPIO </t>
  </si>
  <si>
    <t>THAMIRES CORREIA DE MELLO LICARIAO</t>
  </si>
  <si>
    <t xml:space="preserve">ANDERSON EVANGELISTA COSTA </t>
  </si>
  <si>
    <t xml:space="preserve">WAGNER BARBOSA KOVASCISK </t>
  </si>
  <si>
    <t>RAFAEL GUADAHIM</t>
  </si>
  <si>
    <t xml:space="preserve">NEUSA FRANCISCA DOS SANTOS LINS </t>
  </si>
  <si>
    <t>8x</t>
  </si>
  <si>
    <t xml:space="preserve">MARIA SUELI RAMOS DA SILVA TEIXEIRA </t>
  </si>
  <si>
    <t>JULIA BARBARA DOS SANTOS</t>
  </si>
  <si>
    <t xml:space="preserve">TEREZINHA YOSHIKO DE SOUZA </t>
  </si>
  <si>
    <t xml:space="preserve">CRYSTIAN FELIX DA SILVA </t>
  </si>
  <si>
    <t xml:space="preserve">CRISTIANO ROBERTO DA SILVA </t>
  </si>
  <si>
    <t xml:space="preserve">LIDIANE APARECIDA SILVA DE MELO </t>
  </si>
  <si>
    <t xml:space="preserve">JOSE EDMILSO SOARES </t>
  </si>
  <si>
    <t xml:space="preserve">GUARULHOS IMOVEIS LTDA </t>
  </si>
  <si>
    <t>SILVIO DA SILVA LOBO</t>
  </si>
  <si>
    <t>06X</t>
  </si>
  <si>
    <t xml:space="preserve">MARCIA REGINA LUCATELLI SANTIAGO </t>
  </si>
  <si>
    <t xml:space="preserve">RENATA RODRIGUES DOS SANTOS </t>
  </si>
  <si>
    <t xml:space="preserve">MARIA SELMA DANTAS LEITE </t>
  </si>
  <si>
    <t xml:space="preserve">REINALDO NONATO DA SILVA </t>
  </si>
  <si>
    <t xml:space="preserve">RONALDO CORREIA DE SOUSA DANTAS JR </t>
  </si>
  <si>
    <t xml:space="preserve">ANGELO GOMES BAUEB </t>
  </si>
  <si>
    <t xml:space="preserve">FERNANDA GONCALVES ARAUJO </t>
  </si>
  <si>
    <t>NECIVALDO ANISIO  GOMES</t>
  </si>
  <si>
    <t>ANDREA CRISTINA SEBA DE OLIVEIRA</t>
  </si>
  <si>
    <t xml:space="preserve">CARLOS AUGUSTO </t>
  </si>
  <si>
    <t xml:space="preserve">MARIA DE JESUS DA SILVSA BARBOSA </t>
  </si>
  <si>
    <t>IRENE MARIA MORAES SILVA ---</t>
  </si>
  <si>
    <t xml:space="preserve">GEOVANA SANTOS RODRIGUES </t>
  </si>
  <si>
    <t xml:space="preserve">SEBASTIAO FLORO ALEXANDRE </t>
  </si>
  <si>
    <t xml:space="preserve">MC FRANCA COMERCIO DE MAQUINAS </t>
  </si>
  <si>
    <t xml:space="preserve">SUEMARY LOPES DE BARROS </t>
  </si>
  <si>
    <t xml:space="preserve">MARIA DE LOURDES SIQUEIRA CASTREQUINI </t>
  </si>
  <si>
    <t xml:space="preserve">SEBASTIAO JOSE DA SILVA </t>
  </si>
  <si>
    <t>JOAO VITOR MOINTINHO REIS</t>
  </si>
  <si>
    <t>AZUL ROUBO</t>
  </si>
  <si>
    <t xml:space="preserve">GISELE DO NASCIMENTO MONTEIRO </t>
  </si>
  <si>
    <t>ALLIANZ RES</t>
  </si>
  <si>
    <t xml:space="preserve">ULYSSES LOPES REZENDE </t>
  </si>
  <si>
    <t>Jorge prefeitura</t>
  </si>
  <si>
    <t xml:space="preserve">ANDRÉ LUIS FERNANDES </t>
  </si>
  <si>
    <t xml:space="preserve">ANDREY MIRANDA COSTA CABRAL </t>
  </si>
  <si>
    <t xml:space="preserve">GILSON BATISTA DE ALMEIDA DOURADO </t>
  </si>
  <si>
    <t xml:space="preserve">REIVE SILVA DE SOUZA </t>
  </si>
  <si>
    <t xml:space="preserve">ANDRE LUIS FERNANDES </t>
  </si>
  <si>
    <t xml:space="preserve">ARLETE FERREIRA PEREIRA </t>
  </si>
  <si>
    <t>MARIA ELENA DE SOUZA SANTOS</t>
  </si>
  <si>
    <t xml:space="preserve">AMANDA MENDES DE SOUZA </t>
  </si>
  <si>
    <t>endosso carolina delboux</t>
  </si>
  <si>
    <t xml:space="preserve">PAUO TADEU HORACIO </t>
  </si>
  <si>
    <t>ROSANA ARAKAKI GUIMARAES --- ECLIPSE</t>
  </si>
  <si>
    <t>ROSANA ARAKAKI GUIMARAES --- CIVIC</t>
  </si>
  <si>
    <t xml:space="preserve">SERGIO MANPRIM </t>
  </si>
  <si>
    <t xml:space="preserve">SANDRA REGINA FERREIRA SANTOS </t>
  </si>
  <si>
    <t xml:space="preserve">JOSE MARCOS DOS SANTOS </t>
  </si>
  <si>
    <t xml:space="preserve">JULIA DE CARVALHO SANTANA </t>
  </si>
  <si>
    <t xml:space="preserve">ADJAILSON PONTES DA SILVA </t>
  </si>
  <si>
    <t xml:space="preserve">MOACYR BARBOSA NETO </t>
  </si>
  <si>
    <t xml:space="preserve">JOSE WALLACE NOBERTO DA SILVA </t>
  </si>
  <si>
    <t xml:space="preserve">CAROLINA DELMIRO SOARES SILVA </t>
  </si>
  <si>
    <t>ERIVALDO BLASO STANESCO</t>
  </si>
  <si>
    <t xml:space="preserve">ARLINDO MARTINS RIBEIRO </t>
  </si>
  <si>
    <t xml:space="preserve">HAYLLA BARBOSA GUADAHIM </t>
  </si>
  <si>
    <t xml:space="preserve">JONAS LEORNARDO DE LIMA </t>
  </si>
  <si>
    <t>SEGMAX COM EQUIPAMENTOS SEGURANCA ---</t>
  </si>
  <si>
    <t>ESTANISLAU SEVERINO DE ARRUDA JR</t>
  </si>
  <si>
    <t>CARLOS AUGUSTO ---</t>
  </si>
  <si>
    <t>GZERO SOLUCOESM EM MAQUINAS</t>
  </si>
  <si>
    <t xml:space="preserve">Victor + Cartão </t>
  </si>
  <si>
    <t>TRANS CONEXÃO SOLUCOES LOGISITICA ---</t>
  </si>
  <si>
    <t xml:space="preserve">KATIA CILENE CLARO DE ANDRADE </t>
  </si>
  <si>
    <t xml:space="preserve">FERNANDA ASSIS SARNES </t>
  </si>
  <si>
    <t>SAMANTHA SOLANO DA SILVA</t>
  </si>
  <si>
    <t xml:space="preserve">OSWALDO ANTONIO MENDES </t>
  </si>
  <si>
    <t xml:space="preserve">ALQUIERES RODRIGUES DE FARIAS </t>
  </si>
  <si>
    <t>RONALD CORREIA ELO DANTAS</t>
  </si>
  <si>
    <t xml:space="preserve">VIVIAN PAILOLLETI DE SOUZA </t>
  </si>
  <si>
    <t>04X</t>
  </si>
  <si>
    <t xml:space="preserve">LAURENCE BRIGITTE LEFEBVRE </t>
  </si>
  <si>
    <t xml:space="preserve">SEBASTIAO FABIO OLIVEIRA SANTOS </t>
  </si>
  <si>
    <t xml:space="preserve">MARIANA DE LIRA LAMEIRAO </t>
  </si>
  <si>
    <t xml:space="preserve">LEANDRO AUGUSTO RODRIGUES </t>
  </si>
  <si>
    <t xml:space="preserve">ANDREIA LOPES CARDOZO </t>
  </si>
  <si>
    <t xml:space="preserve">ROBERTA GUACIRA DE SOUZA GOMES </t>
  </si>
  <si>
    <t xml:space="preserve">ESTANISLAU SEVERINO DE ARRUDA JR </t>
  </si>
  <si>
    <t xml:space="preserve">RENATA CRISTIANE GUAZELLI </t>
  </si>
  <si>
    <t xml:space="preserve">SOLANGE ALMEIDA RODRIGUES </t>
  </si>
  <si>
    <t xml:space="preserve">LEONARDO GABALDI CARDOSO </t>
  </si>
  <si>
    <t xml:space="preserve">SUELY RAMOS PRADO AMORIM </t>
  </si>
  <si>
    <t xml:space="preserve">SUELI GOMES DA SILVA </t>
  </si>
  <si>
    <t>JOSE IRINALDO SILVA SOUSA</t>
  </si>
  <si>
    <t xml:space="preserve">JOSE FRANCISCO PINTO CORREA </t>
  </si>
  <si>
    <t xml:space="preserve">CLAUDEMIRA APARECIDA BISCASSI DE ARAUJO  </t>
  </si>
  <si>
    <t>JEFFERSON RODRIGUES ---</t>
  </si>
  <si>
    <t>FRANCISCO ELEOTERIO CHAGAS JUNIOR ----</t>
  </si>
  <si>
    <t>FELIPE MOTA PENDEK ---</t>
  </si>
  <si>
    <t xml:space="preserve">ANSELMO DOS SANTOS UGARTE </t>
  </si>
  <si>
    <t xml:space="preserve">ADAILSON GUIMARAES ABREU </t>
  </si>
  <si>
    <t>OSVALDO GOMES DE ALMEIDA S</t>
  </si>
  <si>
    <t>ADRIANA MARIA PEREIRA OLIVEIRA</t>
  </si>
  <si>
    <t xml:space="preserve">ALESSANDRO DE OLIVEIRA DA SILVA </t>
  </si>
  <si>
    <t xml:space="preserve">TRANSCONEXÃO SOULUCOES LOGISTICA LTDA </t>
  </si>
  <si>
    <t xml:space="preserve">CAMILA APARECIDA LIMA </t>
  </si>
  <si>
    <t xml:space="preserve">ANDRESA FERREIRA GONCALVES </t>
  </si>
  <si>
    <t xml:space="preserve">LUCIENE APARECIDA PASSARIN MEIRELLES </t>
  </si>
  <si>
    <t xml:space="preserve">JOSE IRINALDO DA SILVA SOUSA </t>
  </si>
  <si>
    <t xml:space="preserve">MC FRANCA S.P.E SERVICOS </t>
  </si>
  <si>
    <t xml:space="preserve">REGINA BATISTA BUENO </t>
  </si>
  <si>
    <t xml:space="preserve">BRUNO DA SILVA CORREIA </t>
  </si>
  <si>
    <t>92,61 + 30</t>
  </si>
  <si>
    <t>PAULO SERGIO GODINHO</t>
  </si>
  <si>
    <t xml:space="preserve">SULEY ROCHA COSTA </t>
  </si>
  <si>
    <t>HENRIQUE BARROS AFFONSO VILLA</t>
  </si>
  <si>
    <t>PATRICIA FRANULA VIEIRA ---</t>
  </si>
  <si>
    <t xml:space="preserve">FATIMA KAZUE KINJO </t>
  </si>
  <si>
    <t>ALINE FERNANDES DOS REIS</t>
  </si>
  <si>
    <t xml:space="preserve">EVERTON CARPIENTEIRO DA SILVA </t>
  </si>
  <si>
    <t>SEVERINO BERNADO DA SILVA</t>
  </si>
  <si>
    <t>JONATHAN SOUZA ESTEVES</t>
  </si>
  <si>
    <t>ELISABETH ALVES ORIOLI</t>
  </si>
  <si>
    <t xml:space="preserve">MARCIO MARTINS DA SILVA </t>
  </si>
  <si>
    <t xml:space="preserve">GISLANE MENDES LOUSADA </t>
  </si>
  <si>
    <t xml:space="preserve">JAIR AGUENA </t>
  </si>
  <si>
    <t>LUZIA BARBOSA ---</t>
  </si>
  <si>
    <t xml:space="preserve">ESTRNO AEDSON - LUCIANO </t>
  </si>
  <si>
    <t xml:space="preserve">ESTORNO ROSTLAN - JORGE </t>
  </si>
  <si>
    <t xml:space="preserve">TATIANA FLORENCIO DOS SANTOS MORAES </t>
  </si>
  <si>
    <t xml:space="preserve">CLAUDIO ROBERTO DA SILVA RAMOS </t>
  </si>
  <si>
    <t>PATRIZIA ROSA MARCELINO</t>
  </si>
  <si>
    <t xml:space="preserve">DJALMA DOS ANJOS SILVA </t>
  </si>
  <si>
    <t xml:space="preserve">ROSICLEA TAVARES DOS SANTOS </t>
  </si>
  <si>
    <t xml:space="preserve">MILENA STEFANY DE AQUINO </t>
  </si>
  <si>
    <t xml:space="preserve">ANTONIO SOARES DE CARVALHO </t>
  </si>
  <si>
    <t xml:space="preserve">WELLINGTON FERNANDES PEREIRA SANTOS </t>
  </si>
  <si>
    <t xml:space="preserve">JOENILSON DE JESUS CONCEIÇÃO </t>
  </si>
  <si>
    <t xml:space="preserve">TITAN LOG SERVICOS AUXILIARES E TRANSPORT </t>
  </si>
  <si>
    <t xml:space="preserve">SEGMAX COMERCIO </t>
  </si>
  <si>
    <t xml:space="preserve">GILSON DAVID BASSI </t>
  </si>
  <si>
    <t xml:space="preserve">STEFANI EVANGELISTA DA SILVA </t>
  </si>
  <si>
    <t xml:space="preserve">RODOLFO PIERONI COUTINHO </t>
  </si>
  <si>
    <t xml:space="preserve">VIVIAN WARZEE LIMA </t>
  </si>
  <si>
    <t xml:space="preserve">DANIELA CAVALCANTE BARBOSA </t>
  </si>
  <si>
    <t xml:space="preserve">TAMIRES GOMES SAVIO </t>
  </si>
  <si>
    <t>JANE MARA CRESPILHO</t>
  </si>
  <si>
    <t xml:space="preserve">RENATA CRISTINE GUAZELLI </t>
  </si>
  <si>
    <t>renovção</t>
  </si>
  <si>
    <t xml:space="preserve">FERNANDO FERRZ DE MELO </t>
  </si>
  <si>
    <t xml:space="preserve">JUNIOR DA SILVA PRADO </t>
  </si>
  <si>
    <t xml:space="preserve">THAMARA MILENA DE SOUZA MARTINSON </t>
  </si>
  <si>
    <t>LUCIANO</t>
  </si>
  <si>
    <t xml:space="preserve">EDSON BATISTA MORAES </t>
  </si>
  <si>
    <t xml:space="preserve">VERA LUCIA MARQUES </t>
  </si>
  <si>
    <t xml:space="preserve">JOHNNY GUIMARAES BISPO DIAS </t>
  </si>
  <si>
    <t>novo</t>
  </si>
  <si>
    <t>FELIX NETO OLIVEIRA SANTOS</t>
  </si>
  <si>
    <t xml:space="preserve">MURILO TURQUETTI </t>
  </si>
  <si>
    <t>SANDRA REGINA FERREIRA SANTOS</t>
  </si>
  <si>
    <t>renovação</t>
  </si>
  <si>
    <t>ANA PAULA COSTA LIMA</t>
  </si>
  <si>
    <t xml:space="preserve">RONNY RODRIGUES DOS SANTOS </t>
  </si>
  <si>
    <t xml:space="preserve">MARIA SOCORRO LIMA DE SOUSA </t>
  </si>
  <si>
    <t xml:space="preserve">DAIANA LIMA FREITAS </t>
  </si>
  <si>
    <t xml:space="preserve">EUGENIO DO NASCIMENTO JUNIOR </t>
  </si>
  <si>
    <t>NOVO</t>
  </si>
  <si>
    <t xml:space="preserve">MARCELO KURIHARA </t>
  </si>
  <si>
    <t>RENOVAÇÃO</t>
  </si>
  <si>
    <t xml:space="preserve">JAILTON ROSA DE SOUSA JUNIOR </t>
  </si>
  <si>
    <t xml:space="preserve">GIULIANA ANDREA PIROZZI NOUER </t>
  </si>
  <si>
    <t xml:space="preserve">RENOVAÇÃO </t>
  </si>
  <si>
    <t xml:space="preserve">JOSE DONIZETTI CONCEICAO </t>
  </si>
  <si>
    <t xml:space="preserve">JOSE GENILSON ALVES </t>
  </si>
  <si>
    <t xml:space="preserve">TECH FIBERS </t>
  </si>
  <si>
    <t>TOKIO FROTA</t>
  </si>
  <si>
    <t xml:space="preserve">ANDRE OLIVEIRA PEREIRA </t>
  </si>
  <si>
    <t>novo + cartão</t>
  </si>
  <si>
    <t xml:space="preserve">TRANS CONEXÃO SOLUCOES LOGISITICA </t>
  </si>
  <si>
    <t xml:space="preserve">BRENDA JULIETTE DE SOUZA </t>
  </si>
  <si>
    <t xml:space="preserve">SUPER TRUCK </t>
  </si>
  <si>
    <t>SEBASTIAO RAIMUNDO HENRIQUE</t>
  </si>
  <si>
    <t>CLAUDIO ROBERTO DA SILVA RAMOS</t>
  </si>
  <si>
    <t xml:space="preserve">CANCELAMENTO </t>
  </si>
  <si>
    <t xml:space="preserve">JOSE BRITO DOS SANTOS </t>
  </si>
  <si>
    <t xml:space="preserve">SERGIO AUGUSTO PIRILLO  </t>
  </si>
  <si>
    <t xml:space="preserve">FRANCISCO ARMANDP PERES </t>
  </si>
  <si>
    <t xml:space="preserve">CASSIA CRSTINA DE CARVALHO BRAZILINO </t>
  </si>
  <si>
    <t xml:space="preserve">RODRIGO CARRERAS DE OLIVEIRA MOTA </t>
  </si>
  <si>
    <t xml:space="preserve">RENATO RODRIGUES LEITE </t>
  </si>
  <si>
    <t>MARCELO DONIZETE VIEIRA ---</t>
  </si>
  <si>
    <t xml:space="preserve">ANTONIO GISLANIO JATAI LIOLA </t>
  </si>
  <si>
    <t>RAQUEL DOS SANTOS GONCALVES CAVADAS</t>
  </si>
  <si>
    <t xml:space="preserve">EMERSON LEANDRO DA SILVA </t>
  </si>
  <si>
    <t xml:space="preserve">CELULAR </t>
  </si>
  <si>
    <t>CELULAR</t>
  </si>
  <si>
    <t>TRANS CONEXAO SOLUCOES ---</t>
  </si>
  <si>
    <t xml:space="preserve">JULIANA LOPES SANCHES </t>
  </si>
  <si>
    <t xml:space="preserve">JOSE MARCOS DA SILVA </t>
  </si>
  <si>
    <t xml:space="preserve">LEONARDO SILVA DE OLIVIERA </t>
  </si>
  <si>
    <t xml:space="preserve">WALTER BARROS BARONI </t>
  </si>
  <si>
    <t xml:space="preserve">FELIPE DANIEL SILVA BOLLETI </t>
  </si>
  <si>
    <t xml:space="preserve">YANN LIONEL SERGE MARIE OLIVIER FROMONT </t>
  </si>
  <si>
    <t xml:space="preserve">JOICE KENI SOUSA DO NASCIMENTO </t>
  </si>
  <si>
    <t>NATHALIA GERMANO BARBOSA</t>
  </si>
  <si>
    <t xml:space="preserve">NELSON JOSE DE CASTRO </t>
  </si>
  <si>
    <t>JOVELINA OLIVEIRA CANDIDO</t>
  </si>
  <si>
    <t xml:space="preserve">TAIS DE CASSIA SOBRINHO </t>
  </si>
  <si>
    <t>ANA NAZARE ALCAIDE DOS SANTOS ---</t>
  </si>
  <si>
    <t xml:space="preserve">ALAN JOSE SILVA BARTOLOMEU </t>
  </si>
  <si>
    <t xml:space="preserve">FRANCISCO WELSEY RUFINO </t>
  </si>
  <si>
    <t xml:space="preserve">REATIVAÇÃO </t>
  </si>
  <si>
    <t xml:space="preserve">PEDRO PEREIRA DA SILVA </t>
  </si>
  <si>
    <t>MARCOS EDU BORGES DE CARVALHO</t>
  </si>
  <si>
    <t xml:space="preserve">PRISCILA GEISSE V DE ARAUJO </t>
  </si>
  <si>
    <t>AZUL ASSI</t>
  </si>
  <si>
    <t xml:space="preserve">DUQ DOG COMERCIO PARA ARTIGOS DE ANIMAIS </t>
  </si>
  <si>
    <t xml:space="preserve">DONIZTE GONCALVES </t>
  </si>
  <si>
    <t xml:space="preserve">LAZARO BARRETO DE SOUZA JUNIOR </t>
  </si>
  <si>
    <t xml:space="preserve">ISABELA RIBEIRO DO CARMO </t>
  </si>
  <si>
    <t xml:space="preserve">ANDRE EDIPO DE MORAIS </t>
  </si>
  <si>
    <t xml:space="preserve">JOYCE MAYENE OLIVEIRA BATISTA </t>
  </si>
  <si>
    <t xml:space="preserve">FOFÃO IMOVEIS </t>
  </si>
  <si>
    <t xml:space="preserve">CARLOS LOPES RAY </t>
  </si>
  <si>
    <t xml:space="preserve">JONATAS AMORIM DOS SANTOS PEREIRA </t>
  </si>
  <si>
    <t>HELENO VICENTE ARAUJO DOS SANTOS</t>
  </si>
  <si>
    <t xml:space="preserve">EQUIPE </t>
  </si>
  <si>
    <t xml:space="preserve">JAQUELINE DA SILVA DE SANTANA MELO </t>
  </si>
  <si>
    <t>HEITOR NERY ARAUJO ---</t>
  </si>
  <si>
    <t xml:space="preserve">NAWA MAKSOUD VILIVAS BARBOSA </t>
  </si>
  <si>
    <t>cancelada</t>
  </si>
  <si>
    <t xml:space="preserve">CLAUDIA REGINA QUEIROZ </t>
  </si>
  <si>
    <t xml:space="preserve">WLATER VINICIUS GUZMAN DE ALMEIDA </t>
  </si>
  <si>
    <t xml:space="preserve">TRANS CONEXAO 24.250 </t>
  </si>
  <si>
    <t xml:space="preserve">SILVIA ROSANA BIGOTTO </t>
  </si>
  <si>
    <t xml:space="preserve">DORIVAL MALHEIROS </t>
  </si>
  <si>
    <t xml:space="preserve">REGIANI APARECIDA GARDELLI DEL BUSSO </t>
  </si>
  <si>
    <t xml:space="preserve">GEREMIAS NERES DOS SANTOS </t>
  </si>
  <si>
    <t xml:space="preserve">WILZA KARLA MARTINS  DOS SANTOS </t>
  </si>
  <si>
    <t xml:space="preserve">DIEGO STORER DA COSTA </t>
  </si>
  <si>
    <t xml:space="preserve">MARCELO DE ALMEIDA </t>
  </si>
  <si>
    <t xml:space="preserve">HELCIO DE SOUZA DA SILVA </t>
  </si>
  <si>
    <t xml:space="preserve">MISSLENE DE AMORIM DA MATA </t>
  </si>
  <si>
    <t xml:space="preserve">MARIA SUELI RAMOS TEIXEIRA </t>
  </si>
  <si>
    <t xml:space="preserve">cartao </t>
  </si>
  <si>
    <t xml:space="preserve">DOMINGOS ALVES DE BARROS  </t>
  </si>
  <si>
    <t xml:space="preserve">MISSILENE DE AMORIM DA MATA </t>
  </si>
  <si>
    <t xml:space="preserve">LIDIANE APARECIDA SILVA DE MELO - POLO </t>
  </si>
  <si>
    <t>JOSUE DE SANTANA ---</t>
  </si>
  <si>
    <t xml:space="preserve">NEUZA FRANCISCA DOS SANTOS </t>
  </si>
  <si>
    <t xml:space="preserve">VICTOR </t>
  </si>
  <si>
    <t xml:space="preserve">SANDRO GARCIA BARBOSA </t>
  </si>
  <si>
    <t xml:space="preserve">DAIANE SILVA LIMA </t>
  </si>
  <si>
    <t xml:space="preserve">PATRICIA MENDES BONDANCA </t>
  </si>
  <si>
    <t xml:space="preserve">CRYSTIAN FEIX DA SILVA </t>
  </si>
  <si>
    <t xml:space="preserve">MARCIO DE OLIVEIRA </t>
  </si>
  <si>
    <t xml:space="preserve">JOSE EDMILSON SOARES </t>
  </si>
  <si>
    <t>ERIC DA MATTA RIBEIRO</t>
  </si>
  <si>
    <t xml:space="preserve">LUCIENE TERESA DA SILVA </t>
  </si>
  <si>
    <t xml:space="preserve">ADEMIR ROCHA GARCIA </t>
  </si>
  <si>
    <t>liDIANE APARECIDA SILVA DE MELO - EVOQUE ---</t>
  </si>
  <si>
    <t xml:space="preserve">TRANS CONEXÃO SOLUCOES LOGISTICA LTDA </t>
  </si>
  <si>
    <t>VIVIANE BOMFIM DOS SANTOS FERREIRA</t>
  </si>
  <si>
    <t xml:space="preserve">NECIVALDO ANISIO GOMES </t>
  </si>
  <si>
    <t>FELIPE GENOVESI FERNANDES</t>
  </si>
  <si>
    <t>ANTONIO CARLOS RIBEIRO</t>
  </si>
  <si>
    <t>DANIEL MONTEIRO RABELLO</t>
  </si>
  <si>
    <t xml:space="preserve">FRANCISCO DAS CHAGAS FERREIRA DE LIMA </t>
  </si>
  <si>
    <t>CARLOS AUGUSTO</t>
  </si>
  <si>
    <t>REDONDO TELECOMUNICACOES LTDA ME</t>
  </si>
  <si>
    <t>MARIA DE JESUS DA SILVA BARBOSA</t>
  </si>
  <si>
    <t>ANDERSON DE OLIVEIRA ROSA</t>
  </si>
  <si>
    <t>SIDNEI SOARES DE SOUZA ESPOLIO</t>
  </si>
  <si>
    <t>MC FRANCA COMERCIO DE MAQUINAS E PECAS LTDA ME</t>
  </si>
  <si>
    <t>CAPTAÇÃO</t>
  </si>
  <si>
    <t xml:space="preserve">CAPTAÇÃO </t>
  </si>
  <si>
    <t xml:space="preserve">AMANDA MENDES DE SOUSA </t>
  </si>
  <si>
    <t xml:space="preserve">CLAUDEMIR GONCALVES DOS SANTOS </t>
  </si>
  <si>
    <t xml:space="preserve">RAPHAEL TORELLI GOMES SANCHEZ </t>
  </si>
  <si>
    <t xml:space="preserve">EDUARDO PASSITO GARCIA </t>
  </si>
  <si>
    <t>SANDRO GARCIA BARBOSA</t>
  </si>
  <si>
    <t xml:space="preserve">ARTUR BORGES </t>
  </si>
  <si>
    <t xml:space="preserve">ANDERSON APARECIDO DE SOUZA </t>
  </si>
  <si>
    <t xml:space="preserve">EDUARDO ARAN JALLAS </t>
  </si>
  <si>
    <t>CIVALDO LUIS DA SILVA ---</t>
  </si>
  <si>
    <t xml:space="preserve">SEBSTIAO MANDU DOS SANTOS </t>
  </si>
  <si>
    <t xml:space="preserve">ARLETE BARBOSA DA SILVA </t>
  </si>
  <si>
    <t>MISSLENE DE AMORIM DA MATTA ---</t>
  </si>
  <si>
    <t>TRANS CONEXAO SOLUCOES LOGISITICA ---</t>
  </si>
  <si>
    <t>HAYLLA BARBOSA GUADAHIM --</t>
  </si>
  <si>
    <t xml:space="preserve">TOKOIO </t>
  </si>
  <si>
    <t>JOSE BRITO DOS SANTOS ---</t>
  </si>
  <si>
    <t xml:space="preserve">ANDREIA PIMENTA DE ANDRADE </t>
  </si>
  <si>
    <t xml:space="preserve">ANDRE LUIS RODRIGO </t>
  </si>
  <si>
    <t xml:space="preserve">MARLUCE LIMA DE MATOS </t>
  </si>
  <si>
    <t xml:space="preserve">IRIS KENNIA CORREA </t>
  </si>
  <si>
    <t>REIVE SILVA DE SOUZA ---</t>
  </si>
  <si>
    <t xml:space="preserve">TARCISIO ANTONIO VALETM </t>
  </si>
  <si>
    <t xml:space="preserve">HENRIQUE CAMPOS DA SILVA </t>
  </si>
  <si>
    <t>LILIAN APARECIDA FILADELFO DA COSTA ---</t>
  </si>
  <si>
    <t>ANDREIA APARECIDA DE SOUSA ---</t>
  </si>
  <si>
    <t>JAR DOS SANTOS MANUTENCAO ---</t>
  </si>
  <si>
    <t>JEOSAFA SANATAN DA SILVA ---</t>
  </si>
  <si>
    <t>KATIA CILENE CLRO DE ANDRADE ---</t>
  </si>
  <si>
    <t xml:space="preserve">THAMARA MILENA MARTINSON </t>
  </si>
  <si>
    <t>CESAR ZAMPIERI RIBEIRO - --</t>
  </si>
  <si>
    <t xml:space="preserve">ALBERTO RODRIGUES DOS SANTOS </t>
  </si>
  <si>
    <t xml:space="preserve">PHILIPE NUNES DE SOUZA </t>
  </si>
  <si>
    <t xml:space="preserve">LAIS </t>
  </si>
  <si>
    <t xml:space="preserve">SAMANTHA CRISTINA SOLANO </t>
  </si>
  <si>
    <t xml:space="preserve">MARIA CRISTINA CHAMPE </t>
  </si>
  <si>
    <t xml:space="preserve">BEATRYS ABRANTES GERMANO </t>
  </si>
  <si>
    <t xml:space="preserve">JULIA BARBARA DOS SANTOS </t>
  </si>
  <si>
    <t xml:space="preserve">SUELY RAMOS DO PRADO AMORIM </t>
  </si>
  <si>
    <t xml:space="preserve">FERNANDA REGINA DOS SANTOS </t>
  </si>
  <si>
    <t xml:space="preserve">LEIDIANE DA SILVA VILELA </t>
  </si>
  <si>
    <t xml:space="preserve">ADAILSON GUIMARAES DE ABREU </t>
  </si>
  <si>
    <t xml:space="preserve">TRANS CONEXAO SOLUCOES LOGISITCA </t>
  </si>
  <si>
    <t xml:space="preserve">MC FRANCA S P E SERVICOS </t>
  </si>
  <si>
    <t xml:space="preserve">RITA APARECIDA JURAS REZENDE </t>
  </si>
  <si>
    <t xml:space="preserve">ALEXANDRE REZENDE </t>
  </si>
  <si>
    <t xml:space="preserve">ALINE FERNANDES DOS REIS </t>
  </si>
  <si>
    <t>PORTO CARTA</t>
  </si>
  <si>
    <t xml:space="preserve">PAULO SERGIO GODINHO </t>
  </si>
  <si>
    <t xml:space="preserve">JOSE IRINALDO SILVA SOUSA </t>
  </si>
  <si>
    <t xml:space="preserve">LUAN RIBEIRO BARBOSA </t>
  </si>
  <si>
    <t xml:space="preserve">ANA MARIA ALVES SANTANA </t>
  </si>
  <si>
    <t>ANDRESA FERREIRA GONCALVES</t>
  </si>
  <si>
    <t xml:space="preserve">HUMBETO MATIAS ALVES SILVA </t>
  </si>
  <si>
    <t xml:space="preserve">SUELY ROCHA COSTA </t>
  </si>
  <si>
    <t xml:space="preserve">HENRIQUE BARROS AFFONDO VILLA </t>
  </si>
  <si>
    <t>JAIR AGUENA ---</t>
  </si>
  <si>
    <t xml:space="preserve">EVERTON DA SILVA CARPINTEIRO </t>
  </si>
  <si>
    <t>SEVERINO BERNARDO SILVA ---</t>
  </si>
  <si>
    <t xml:space="preserve">ELISABETH ALVES ORIOLI </t>
  </si>
  <si>
    <t xml:space="preserve">LUIS CARLOS VENTURA </t>
  </si>
  <si>
    <t xml:space="preserve">12x </t>
  </si>
  <si>
    <t xml:space="preserve">PRISCILA BARROS BARONI </t>
  </si>
  <si>
    <t xml:space="preserve">MARIA APRECIDA ALVES NOGUEIRA </t>
  </si>
  <si>
    <t xml:space="preserve">RENATA DA GLORIA DIAS VIEIRA </t>
  </si>
  <si>
    <t xml:space="preserve">CLEMENTE BENITES FONTALVA JUNIOR </t>
  </si>
  <si>
    <t xml:space="preserve">WAGNER ROCHA ANTUNES </t>
  </si>
  <si>
    <t xml:space="preserve">JOSE VITALINO DO NASCIMENTO FILHO </t>
  </si>
  <si>
    <t xml:space="preserve">JANE MARA CRESPILHO </t>
  </si>
  <si>
    <t>REGINALDO LOPES DE OLIVEIRA ---</t>
  </si>
  <si>
    <t xml:space="preserve">FILIPE DE OLIVEIRA MENDES </t>
  </si>
  <si>
    <t xml:space="preserve">MATEUS </t>
  </si>
  <si>
    <t>MARCIO RICARDO SANTOS DE OLIVEIRA ---</t>
  </si>
  <si>
    <t>PORTO RESI</t>
  </si>
  <si>
    <t xml:space="preserve">MARCIA DE MOURA COELHO ---- OK </t>
  </si>
  <si>
    <t xml:space="preserve">TRANS CONEXAO SOLUCOES LOGISITICA --- OK </t>
  </si>
  <si>
    <t xml:space="preserve">MC FRANCA S P E SERVICOS --- HILUX </t>
  </si>
  <si>
    <t xml:space="preserve">MC FRANCA S P E SERVICOS --- JEEP </t>
  </si>
  <si>
    <t>TECH FIBRES ---</t>
  </si>
  <si>
    <t xml:space="preserve">GENILDA COSTA VASCONCELOS MENDES </t>
  </si>
  <si>
    <t xml:space="preserve">LOURIVAL CASAGRANDE </t>
  </si>
  <si>
    <t xml:space="preserve">ANDRÉ OLIVEIRA PEREIRA </t>
  </si>
  <si>
    <t xml:space="preserve">EDUARDO PASSITO GARCIA --- CORSA </t>
  </si>
  <si>
    <t xml:space="preserve">CARINA DE MELO SIMOES CALADO </t>
  </si>
  <si>
    <t xml:space="preserve">FELIX NETO OLIVEIRA DOS SANTOS </t>
  </si>
  <si>
    <t>VANDERLEI PEREIRA ALMEIDA</t>
  </si>
  <si>
    <t xml:space="preserve">MARCELO KUHIRARA </t>
  </si>
  <si>
    <t xml:space="preserve">GIULIANA ANDREA PIROZZI NOUER --- PAJERO </t>
  </si>
  <si>
    <t>JOSE MENDES MELCHIEDES XAVIER ---</t>
  </si>
  <si>
    <t xml:space="preserve">TRANS CONEXAO --- IVECO DAILY </t>
  </si>
  <si>
    <t xml:space="preserve">TRANS CONEXAO SOLUCOES --- FROTA </t>
  </si>
  <si>
    <t xml:space="preserve">MARIA KIMIKO ITO ANTUNES CASTILHO </t>
  </si>
  <si>
    <t xml:space="preserve">ROSEMBERG GONCALVES DA SLVA </t>
  </si>
  <si>
    <t xml:space="preserve">HDI SEGUROS </t>
  </si>
  <si>
    <t xml:space="preserve">CASSIA CRISTNA DE CARVALHO BRAZILINO </t>
  </si>
  <si>
    <t>DAIANA LIMA FREITAS ---</t>
  </si>
  <si>
    <t xml:space="preserve">RENTATO LEITE RODRIGUES </t>
  </si>
  <si>
    <t xml:space="preserve">LUIS FERNANDO DE SOUZA FIDELLI </t>
  </si>
  <si>
    <t xml:space="preserve">ALIRIO DOS PASSOS FERREIRA DE SOUZA </t>
  </si>
  <si>
    <t xml:space="preserve">FERNANDO MASIERO </t>
  </si>
  <si>
    <t>R$ 75,14 + 60,00</t>
  </si>
  <si>
    <t xml:space="preserve">Cap+cartão </t>
  </si>
  <si>
    <t xml:space="preserve">ANDRE OLIMPIO DE MEDEIROS </t>
  </si>
  <si>
    <t xml:space="preserve">YANN LIONES SERGE MARIE OLIVER FROMONT </t>
  </si>
  <si>
    <t>SILVANA PRIMAO CRUZ</t>
  </si>
  <si>
    <t xml:space="preserve">EMERSON AMARINHO DE ARAUJO --- ONIX </t>
  </si>
  <si>
    <t xml:space="preserve">LUIZ CARLOS FONTALVA </t>
  </si>
  <si>
    <t>EMERSON AMARINHO DE ARAUJO --- SPIN</t>
  </si>
  <si>
    <t xml:space="preserve">JULIO CESAR SOARES </t>
  </si>
  <si>
    <t xml:space="preserve">CLEITON RODRIGUES BARBOSA </t>
  </si>
  <si>
    <t xml:space="preserve">ELENICE APARECIDA MORAES CARDOSO </t>
  </si>
  <si>
    <t>DANIEL MARTINS RIBEIRO ----</t>
  </si>
  <si>
    <t xml:space="preserve">mês de junho </t>
  </si>
  <si>
    <t xml:space="preserve">ALEXANDRE RODRIGUES TORRES </t>
  </si>
  <si>
    <t xml:space="preserve">FRACISCO WESLEY ALVES ALMEIDA RUFINO </t>
  </si>
  <si>
    <t>MARCOS EDU BORGES DE CARVALHO JUNIOR ---</t>
  </si>
  <si>
    <t>01X</t>
  </si>
  <si>
    <t>LUCIANA APEZZATTO JOAQUIM UNGARELLO ---</t>
  </si>
  <si>
    <t xml:space="preserve">MARIA LUCELIA DA SILVA RIBEIRO </t>
  </si>
  <si>
    <t>END CANC</t>
  </si>
  <si>
    <t>END CANCELAMENTO</t>
  </si>
  <si>
    <t>TRANS CONEXAO  - FROTA 12.170</t>
  </si>
  <si>
    <t xml:space="preserve">HUMBERTO MATIAS ALVES </t>
  </si>
  <si>
    <t xml:space="preserve">MENSAL </t>
  </si>
  <si>
    <t xml:space="preserve">MARILIA APARECIDA DUARTE </t>
  </si>
  <si>
    <t xml:space="preserve">ERIC DA MATTA RIBEIRO </t>
  </si>
  <si>
    <t>TRANS CONEXAO SOLUCOES LOGISTICA - 24250</t>
  </si>
  <si>
    <t xml:space="preserve">DUQUE DOG COMERCIO DE ARTIGOS PARA ANIMAIS </t>
  </si>
  <si>
    <t>DONIZETE GONCALVES</t>
  </si>
  <si>
    <t xml:space="preserve">VINICIUS ANTONIO RIBEIRO DOS SANTOS </t>
  </si>
  <si>
    <t xml:space="preserve">BRUNO ASSUNCAO DA SILVA </t>
  </si>
  <si>
    <t xml:space="preserve">JOSINALDO JOAO DA SILVA </t>
  </si>
  <si>
    <t>EDUARDO TORRES DA CUNHA ---</t>
  </si>
  <si>
    <t xml:space="preserve">ENDEREÇO </t>
  </si>
  <si>
    <t xml:space="preserve">RESTITUIÇÃO </t>
  </si>
  <si>
    <t xml:space="preserve">CARRO </t>
  </si>
  <si>
    <t xml:space="preserve">HELENO VICENTE ARAUJO DOS SANTOS </t>
  </si>
  <si>
    <t>NICOLAS MAGALHAES DE OLIVEIRA ---</t>
  </si>
  <si>
    <t>RUBENS DANTAS TORRES --- NOTEBOOK</t>
  </si>
  <si>
    <t>FLAVIA GONZALES DE MELO ---</t>
  </si>
  <si>
    <t xml:space="preserve">SILVIA ROSANA FERRARINI BIGOTO </t>
  </si>
  <si>
    <t>DANIEL ITO DE SOUZA ---</t>
  </si>
  <si>
    <t>OTON MIGUEL DA SILVA FILHO ---</t>
  </si>
  <si>
    <t xml:space="preserve">LUCAS NOBRE ROSA DA SILVA LOBO </t>
  </si>
  <si>
    <t>NEUSA APARECIDA DE ARAUJO MACHADO ---</t>
  </si>
  <si>
    <t xml:space="preserve">DIEGO STORER VIVEIROS DA COSTA </t>
  </si>
  <si>
    <t>JULIA DE CARVAHO SANTANA ---</t>
  </si>
  <si>
    <t>ALIRIO DOS PASSOS FERREIRA DE SOUZA ---</t>
  </si>
  <si>
    <t>GUILHERME BABUYA MARTINS ---</t>
  </si>
  <si>
    <t>ANA PAULA BRAGANÇA ---</t>
  </si>
  <si>
    <t xml:space="preserve">SEGURO INCENDIO </t>
  </si>
  <si>
    <t xml:space="preserve">IMOBILIARIA </t>
  </si>
  <si>
    <t>O QUE É ?</t>
  </si>
  <si>
    <t xml:space="preserve">VILMAR DE SOUZA </t>
  </si>
  <si>
    <t xml:space="preserve">AQUINO </t>
  </si>
  <si>
    <t xml:space="preserve">NOVO </t>
  </si>
  <si>
    <t>ALINE MONICA RIBEIRO ---</t>
  </si>
  <si>
    <t>RENATA DE CARVALHO GOES --</t>
  </si>
  <si>
    <t>DAIANE SILVA LIMA ---</t>
  </si>
  <si>
    <t>RENATO LUCATELI SANTIAGO ---</t>
  </si>
  <si>
    <t xml:space="preserve">MATSY LTDA - RC PROFISSIONAL </t>
  </si>
  <si>
    <t>ERICA MARIA GOMES DE LIMA ----</t>
  </si>
  <si>
    <t>MARCIA ALVES BACK ---</t>
  </si>
  <si>
    <t>PATRICIA MENDES DE SOUZA FARIA ---</t>
  </si>
  <si>
    <t>MINISTERIO ANUNCIADO JESUS --</t>
  </si>
  <si>
    <t>JEFESON PEREIRA PIRES ---</t>
  </si>
  <si>
    <t>PAULO RAIMUNDO BAUEB ---</t>
  </si>
  <si>
    <t>SIRLE DA SILVA BATISTA ---</t>
  </si>
  <si>
    <t>SERGIO RIBEIRO TRINDADE ---</t>
  </si>
  <si>
    <t>ANDERSON EVANGELISTA COSTA ---</t>
  </si>
  <si>
    <t>THAMIRES CORREIA DE MELLO LICARIAO ---</t>
  </si>
  <si>
    <t>MARIA JOSE DO NASCIMENTO PROCOPIO ---</t>
  </si>
  <si>
    <t>VALDEMIR SILVA ALMEIDA --</t>
  </si>
  <si>
    <t>WAGNER BARBOSA KOVACSIK ---</t>
  </si>
  <si>
    <t>SERGIO ANTONIO MATTOS DOS SANTOS LEITE ---</t>
  </si>
  <si>
    <t>MARIA SUELI RAMOS DA SILVA TEIXEIRA --</t>
  </si>
  <si>
    <t>ROBERTA PRISCILA DA SILVA MATIAS ---</t>
  </si>
  <si>
    <t>KELLY CRISTINA ACACIO VICENTE SOUZA ---</t>
  </si>
  <si>
    <t>LYGIA QUEIROZ MARTINSON DE ANDRADE ---</t>
  </si>
  <si>
    <t>ALOISIO MORAES SANTOS FILHO ---</t>
  </si>
  <si>
    <t>EDILENE COSTA ---</t>
  </si>
  <si>
    <t>RENIVAL DOS SANTOS ---</t>
  </si>
  <si>
    <t>EDNA MARTINS DOS SANTOS ---</t>
  </si>
  <si>
    <t>TEREZINHA YOSHIKO ITO DE SOUZA ---</t>
  </si>
  <si>
    <t>MARIA SILVANA DE LIMA ---</t>
  </si>
  <si>
    <t>DOUGLAS DOS SANTOS GONCALVES ---</t>
  </si>
  <si>
    <t>JERISVALDO FRANCISCO DOS SANTOS ---</t>
  </si>
  <si>
    <t>SANDRO GARCIA BARBOSA ---</t>
  </si>
  <si>
    <t>ALEXANDRE VIANA DIAS ---</t>
  </si>
  <si>
    <t xml:space="preserve">PORTO CEL </t>
  </si>
  <si>
    <t>EMILIA KEIKO ISHIKURA ---</t>
  </si>
  <si>
    <t>LAZARO BARRETO DE SOUZA JUNIOR ---</t>
  </si>
  <si>
    <t>DOMINGOS ALVES DE BARROS ---</t>
  </si>
  <si>
    <t>CRYSTIAN FELIZ DA SILVA ---</t>
  </si>
  <si>
    <t>MARCIO DE OLIVEIRA ----</t>
  </si>
  <si>
    <t>NEUZA FRANCISCA LINS DOS SANTOS ---</t>
  </si>
  <si>
    <t>EDMAR COSTA DE SOUZA ---</t>
  </si>
  <si>
    <t>JOSE EDMILSON SOARES ---</t>
  </si>
  <si>
    <t>MARCIA ISABEL DOS SANTOS GASPAR PEREIRA ---</t>
  </si>
  <si>
    <t>ULISSES CARLOS DE OLIVEIRA --</t>
  </si>
  <si>
    <t>JOSE GERALDO MOREIRA ---</t>
  </si>
  <si>
    <t>LIDIANE APARECIDA SILVA DE MELO ---</t>
  </si>
  <si>
    <t>SIDNEI VIEIRA ---</t>
  </si>
  <si>
    <t>CRISTIANO ROBERTO DA SILVA ---</t>
  </si>
  <si>
    <t>CAMILA APARECIDA DE LIMA --</t>
  </si>
  <si>
    <t xml:space="preserve"> 4X</t>
  </si>
  <si>
    <t>VIVIAN WARZEE LIMA</t>
  </si>
  <si>
    <t xml:space="preserve">ROBERTO RIBERO TRINDADE </t>
  </si>
  <si>
    <t>ALECSANDRA SOUZA SANTANA</t>
  </si>
  <si>
    <t xml:space="preserve">JOSEFA BEZERRA DOS SANTOS </t>
  </si>
  <si>
    <t xml:space="preserve">TRANS CONEXAO SOLUCOES </t>
  </si>
  <si>
    <t xml:space="preserve">CONDOMINIO VILLAGGIO DE PANAMBY </t>
  </si>
  <si>
    <t xml:space="preserve">ANTONIO DIONISIO ZARAMELLA </t>
  </si>
  <si>
    <t>RENATA DE CARVALHO GOES - EMERSON</t>
  </si>
  <si>
    <t xml:space="preserve">AZUL ASS. </t>
  </si>
  <si>
    <t xml:space="preserve">VALTER ADVAL DA SILVA SOARES </t>
  </si>
  <si>
    <t xml:space="preserve">WILLIAN ANTONO GUEDES DOS SANTOS </t>
  </si>
  <si>
    <t xml:space="preserve">MARCIA DE MOURA COELHO </t>
  </si>
  <si>
    <t xml:space="preserve">SILENE MARIA SILVA E SOUSA </t>
  </si>
  <si>
    <t>IRENE MARIA MORAES SILVA --</t>
  </si>
  <si>
    <t xml:space="preserve">BRUNA SILVA GONCALVES </t>
  </si>
  <si>
    <t xml:space="preserve">REDONDO TELECOMUNICACOES </t>
  </si>
  <si>
    <t xml:space="preserve">CARLA MARIA MATTOS DOS SANTOS </t>
  </si>
  <si>
    <t>PRISCILA IRACY CEZAR GUIDINO</t>
  </si>
  <si>
    <t xml:space="preserve">MICHELE GONCALVES DA ROCHA </t>
  </si>
  <si>
    <t xml:space="preserve">EDER APARECIDO PRETO CANDIOTTA </t>
  </si>
  <si>
    <t xml:space="preserve">JOHNNI FABIO BRASILINO ALVES </t>
  </si>
  <si>
    <t>EUGENIO DO NASCIMENTO JUNIOR ---</t>
  </si>
  <si>
    <t>ERIC DA MATTA RIBEIRO ----</t>
  </si>
  <si>
    <t>MICHELINE DE MELLO SANCHES ---</t>
  </si>
  <si>
    <t xml:space="preserve">ALEXANDRE TRONCOSO GONZALEZ </t>
  </si>
  <si>
    <t>ANDERSON CRISTIANO GONCALVES</t>
  </si>
  <si>
    <t>GISELE DO NASCIMENTO MONTEIRO ---</t>
  </si>
  <si>
    <t xml:space="preserve">FRANCISCO DE ASSIS L RIBEIRO </t>
  </si>
  <si>
    <t xml:space="preserve">SAMUEL PRIMAO SILVA </t>
  </si>
  <si>
    <t>AZUL ASS</t>
  </si>
  <si>
    <t xml:space="preserve">KELLY REGINA SOBRAL </t>
  </si>
  <si>
    <t xml:space="preserve">NOVO + CARTÃO </t>
  </si>
  <si>
    <t>FRANCISCO GOMES NETO ---</t>
  </si>
  <si>
    <t xml:space="preserve">04X </t>
  </si>
  <si>
    <t>GESINALDO DIONIZIO DE SOUZA ---</t>
  </si>
  <si>
    <t>GILSON BATISTA DE ALMEIDA DOURADO ----</t>
  </si>
  <si>
    <t>MARIA ELENA DE SOUZA SANTOS ---</t>
  </si>
  <si>
    <t>ARLETE FERREIRA PEREIRA ---</t>
  </si>
  <si>
    <t>AMANDA MENDES DE SOUSA ---</t>
  </si>
  <si>
    <t>MARCIA REGINA DE ASSIS ----</t>
  </si>
  <si>
    <t>AGNES ALVES DA SILVEIRA ---</t>
  </si>
  <si>
    <t xml:space="preserve">TEREZINHA YOSHIKO ITO DE SOUSA </t>
  </si>
  <si>
    <t>MARLUCE LIMA DE MATOS</t>
  </si>
  <si>
    <t>MARIA CLAUDINEIA SILVA RIBEIRO</t>
  </si>
  <si>
    <t>JOSE MARCOS DOS SANTOS</t>
  </si>
  <si>
    <t xml:space="preserve">BRUNO HENRIQUE DA CRUZ SANTOS </t>
  </si>
  <si>
    <t xml:space="preserve">SERGIO MAMPRIN </t>
  </si>
  <si>
    <t>08X</t>
  </si>
  <si>
    <t xml:space="preserve">GZERO SOLUCOES EM MAQUINAS E EQUIPAMENTOS </t>
  </si>
  <si>
    <t xml:space="preserve">CESAR ZAMPIERI RIBEIRO - --- </t>
  </si>
  <si>
    <t xml:space="preserve">ERIC DA MATTA RIBEIRO --- HR-V </t>
  </si>
  <si>
    <t xml:space="preserve">TRANSCONEXAO --- 8.120 --- FROTA </t>
  </si>
  <si>
    <t xml:space="preserve">PATRCIIA FRANULA VIEIRA </t>
  </si>
  <si>
    <t xml:space="preserve">ERICA DA MATTA RIBEIRO --- HB20S </t>
  </si>
  <si>
    <t>ALBERTO RODRIGUES SANTOS ---</t>
  </si>
  <si>
    <t>TRANS CONEXAO --- IVECO 2019 E 2014</t>
  </si>
  <si>
    <t>ANTONIO CESAR ESTEVES ---</t>
  </si>
  <si>
    <t xml:space="preserve">FERNANDA CURCIO NUNES SOARES </t>
  </si>
  <si>
    <t>PHILIPE NUNES DE SOUZA</t>
  </si>
  <si>
    <t xml:space="preserve">VIANEI RODRIGUES BARBOSA </t>
  </si>
  <si>
    <t xml:space="preserve">LAURENCE BRIGITTE LEFBVRE </t>
  </si>
  <si>
    <t xml:space="preserve">ANA PAULA DE AMORIM MEDEIROS MARTINS </t>
  </si>
  <si>
    <t>CLAUDEMIRA APARECIDA BISCASSI DE ARAUJO ---</t>
  </si>
  <si>
    <t xml:space="preserve">SOMPO/HDI </t>
  </si>
  <si>
    <t xml:space="preserve">CRISTIANO BRUM PIRES </t>
  </si>
  <si>
    <t xml:space="preserve">MARCELO PAULO DE OLIVERIA </t>
  </si>
  <si>
    <t xml:space="preserve">CLEITON CRISTIANO DE AVILLA </t>
  </si>
  <si>
    <t xml:space="preserve">RAPHAELA MARQUES RIBEIRO DE OLIVEIRA </t>
  </si>
  <si>
    <t xml:space="preserve">ITANOBRE NEGOCIOS IMOBILIARIOS EIRELI </t>
  </si>
  <si>
    <t xml:space="preserve">LUIZ CARLOS PACHECO DE LIMA </t>
  </si>
  <si>
    <t xml:space="preserve">PAULO RAIMUNDO BAUEB --- GOL </t>
  </si>
  <si>
    <t xml:space="preserve"> 3X</t>
  </si>
  <si>
    <t>PAULO EDUARDO DA SILVA PEREIRA ---</t>
  </si>
  <si>
    <t>JEFFERSON RODRIGUES -- MOTO ---</t>
  </si>
  <si>
    <t>NICOLAS HIPPOLITO MOTA ---</t>
  </si>
  <si>
    <t xml:space="preserve">CAROLINE CONCEICAO DEGAN - PALIO </t>
  </si>
  <si>
    <t>VANDERLEIA DOS SANTOS GONCALO ---</t>
  </si>
  <si>
    <t>MARCOS DA CRUZ JURAS ---</t>
  </si>
  <si>
    <t>GABRIEL RODRIGUES ----</t>
  </si>
  <si>
    <t>MOACYR BARBOSA NETO ----</t>
  </si>
  <si>
    <t>LEIDIANE DA SILVA VILELA ---</t>
  </si>
  <si>
    <t xml:space="preserve">FRANCISCO JOSE MOREIRA --- RAMPAGE </t>
  </si>
  <si>
    <t>PATRICIA FRANULA VIEIRA --</t>
  </si>
  <si>
    <t>LAIS</t>
  </si>
  <si>
    <t xml:space="preserve">AELXANDRE REZENDE </t>
  </si>
  <si>
    <t>RENATA RODRIGUES DOS SANTOS ---</t>
  </si>
  <si>
    <t>BRUNO LIMA CORREIA ---</t>
  </si>
  <si>
    <t>PAULO SERGIO GODINHO ----</t>
  </si>
  <si>
    <t xml:space="preserve">MINISTERIO ANUNCIAÇÃO - VICTOR </t>
  </si>
  <si>
    <t>CANCELAMENTO</t>
  </si>
  <si>
    <t>LUAN RIBEIRO BARBOSA ----</t>
  </si>
  <si>
    <t>HUMBERTO MATIAS ALVES SILVA - MOTO</t>
  </si>
  <si>
    <t xml:space="preserve">JORGE MICHAEL DE OLIVEIRA SANTOS </t>
  </si>
  <si>
    <t>AZUL P ASSINATURA</t>
  </si>
  <si>
    <t xml:space="preserve">NICOLLY TAVARES LIMA </t>
  </si>
  <si>
    <t xml:space="preserve">RAIMUNDO NONATO NUNES --- ONIX </t>
  </si>
  <si>
    <t>ANDRESA FERREIRA GONCALCVES ---</t>
  </si>
  <si>
    <t>ROBERTA BOBADILLO PIRILLO ---</t>
  </si>
  <si>
    <t>LUCIENE APARECIDA PANSARIM MEIRELES ---</t>
  </si>
  <si>
    <t>LUCIA DE FATIMA CARVALHO RODRIGUES ---</t>
  </si>
  <si>
    <t xml:space="preserve">HUMBERTO MATIAS ALVES SILVA ---- TUCSON </t>
  </si>
  <si>
    <t xml:space="preserve">REGINA BATISTA BUENO --- </t>
  </si>
  <si>
    <t>SUELY ROCHA DA COSTA ---</t>
  </si>
  <si>
    <t>HENRIQUE BARROS AFFONSO VILLA ---</t>
  </si>
  <si>
    <t xml:space="preserve">SUAHI </t>
  </si>
  <si>
    <t>BRUNO YUDI AGUENA --</t>
  </si>
  <si>
    <t>CARLOS ALBERTO ROQUE DOS SANTOS ----</t>
  </si>
  <si>
    <t xml:space="preserve">JEFFERSON RODRIGUES --- JEEP </t>
  </si>
  <si>
    <t>EVERTON DA SILVA CARPINTEIRO ---</t>
  </si>
  <si>
    <t>CAMILA GUIMARAES ----</t>
  </si>
  <si>
    <t>SEVERINO BERNARDO DA SILVA ---</t>
  </si>
  <si>
    <t>ALEX GONCALVES DE ANDRADE ---</t>
  </si>
  <si>
    <t xml:space="preserve">MISSLENE DE AMORIM DA MATTA --- </t>
  </si>
  <si>
    <t xml:space="preserve">EDMAR COSTA DE SOUSA --- SENTRA </t>
  </si>
  <si>
    <t>ELISABETH ALVES ORIOLI ---</t>
  </si>
  <si>
    <t>LUIS CARLOS VENTURA ---</t>
  </si>
  <si>
    <t xml:space="preserve">08X </t>
  </si>
  <si>
    <t>ADILSON DIAS DA SILVA ----</t>
  </si>
  <si>
    <t>FELIX NETO OLIVEIRA DOS SANTOS ---</t>
  </si>
  <si>
    <t>GILVANIA GONCALVES DE ARAUJO ---</t>
  </si>
  <si>
    <t>IGNACIO TOLOSA ITURRALDE NETO ---</t>
  </si>
  <si>
    <t xml:space="preserve">EDSON BATISTA DE MORAES --- FIT </t>
  </si>
  <si>
    <t xml:space="preserve">LYGYA QUEIROZ MARTINES --- PUNTO </t>
  </si>
  <si>
    <t xml:space="preserve">MARUA AMARTINS DA COSTA </t>
  </si>
  <si>
    <t xml:space="preserve">JOSE DERNIVAL DOS SANTOS FILHO </t>
  </si>
  <si>
    <t>SEGURO NOVO</t>
  </si>
  <si>
    <t xml:space="preserve">CESAR ZAMPIERI RIBEIRO - </t>
  </si>
  <si>
    <t>PRISCILA BARROS BARONI ---</t>
  </si>
  <si>
    <t xml:space="preserve">DANILO TORRES ALVES </t>
  </si>
  <si>
    <t>CLOVIS DA SILVA</t>
  </si>
  <si>
    <t xml:space="preserve">GLEDISSON DE PAULA BARBARA </t>
  </si>
  <si>
    <t>RAQUEL DOS SANTOS GONCELVES CAVADAS ---</t>
  </si>
  <si>
    <t xml:space="preserve">06X </t>
  </si>
  <si>
    <t>MARIA APARECIDA ALVES NOGUEIRA ---</t>
  </si>
  <si>
    <t>14/02/204</t>
  </si>
  <si>
    <t>AGNALDO DE MATOS CAMPOS ---</t>
  </si>
  <si>
    <t>LUANA CARLA MARQUES ---</t>
  </si>
  <si>
    <t>RODOLFO PIERONI COUTINHO ---</t>
  </si>
  <si>
    <t>CLEMENTE BENITES FONTALVA JUNIOR ---</t>
  </si>
  <si>
    <t>JOSE VITALINO DO NASCIMENTO FILHO ---</t>
  </si>
  <si>
    <t>CARLOS EDUARDO DA SILVA ---</t>
  </si>
  <si>
    <t>KENER MARCONDES ---</t>
  </si>
  <si>
    <t>JAIRO SILVA DOS ANGELOS ---</t>
  </si>
  <si>
    <t>ANTONIO SOARES DE CARVALHO ---</t>
  </si>
  <si>
    <t>REGINALDO LOPES DE OLIVEIRA --</t>
  </si>
  <si>
    <t>JOSE MILTON REIS ---</t>
  </si>
  <si>
    <t>JOSE LUIZ VIANA ---</t>
  </si>
  <si>
    <t>05X</t>
  </si>
  <si>
    <t>ANGELA DOS SANTOS CARVALHO ---</t>
  </si>
  <si>
    <t>FILIPE OLIVEIRA MENDES ---</t>
  </si>
  <si>
    <t>ERICK LIMA TAMBORIM ---</t>
  </si>
  <si>
    <t xml:space="preserve">PATY + CARTÃO </t>
  </si>
  <si>
    <t>EMERSON NOBREGA TORRES ---</t>
  </si>
  <si>
    <t xml:space="preserve">NECIVALDO ANISIO GOMES - </t>
  </si>
  <si>
    <t xml:space="preserve">ATIVAÇÃO CARTÃO </t>
  </si>
  <si>
    <t>CARTÃO DE CRÉDITO</t>
  </si>
  <si>
    <t xml:space="preserve">TECH FIBERS - - - MOBI </t>
  </si>
  <si>
    <t xml:space="preserve">ESTORNO </t>
  </si>
  <si>
    <t xml:space="preserve">EDMAR COSTA DE SOUZA --- FIT FILHO </t>
  </si>
  <si>
    <t xml:space="preserve">VIAGEM </t>
  </si>
  <si>
    <t xml:space="preserve">KAREN CASTILHO MAIA --- VIAGEM </t>
  </si>
  <si>
    <t xml:space="preserve">CHANTAL GHANNAM </t>
  </si>
  <si>
    <t xml:space="preserve">VINICIUS HIROSHI ALEXANDRONI SHOJI </t>
  </si>
  <si>
    <t xml:space="preserve">EMERSON DOS SANTOS MORAES </t>
  </si>
  <si>
    <t>LOURIVAL CASAGRANDE ---</t>
  </si>
  <si>
    <t xml:space="preserve">NICOLAS LELES DE JESUS LOPES </t>
  </si>
  <si>
    <t>FEIX NETO OLIVEIRA DOS SANTOS</t>
  </si>
  <si>
    <t xml:space="preserve">CARLOS ALBERTO PINTO - COROLLA </t>
  </si>
  <si>
    <t xml:space="preserve">HUBERT XAVIER MARIE MAGUIN </t>
  </si>
  <si>
    <t xml:space="preserve">RENATO DE ANDRADE </t>
  </si>
  <si>
    <t>CARINA DE MELO SIMOES CALADO ---</t>
  </si>
  <si>
    <t xml:space="preserve">EDUARDO PASSITO GARCIA - CORSA </t>
  </si>
  <si>
    <t xml:space="preserve">VINI + CARTAO </t>
  </si>
  <si>
    <t xml:space="preserve">JULIANA ALEGRETTI </t>
  </si>
  <si>
    <t xml:space="preserve">VALDO FLROENCO DE AMORIM </t>
  </si>
  <si>
    <t>MC FRANCA COMERCIO DE MAQUINAS E PECAS - HILUX</t>
  </si>
  <si>
    <t xml:space="preserve">CARLOS GUSTAVO XAVIER E SILVA </t>
  </si>
  <si>
    <t>25/03/204</t>
  </si>
  <si>
    <t xml:space="preserve">MARCOS MATEUS DA SILVA </t>
  </si>
  <si>
    <t>ADRIANO DE JESUS BARBOSA ---</t>
  </si>
  <si>
    <t xml:space="preserve">CRYSTIAN FELIZ DA SILVA </t>
  </si>
  <si>
    <t xml:space="preserve">KELLY REGINA SOBRAL --- PALIO </t>
  </si>
  <si>
    <t>JOSE MENDES MELCHIEDES XAVIER ----</t>
  </si>
  <si>
    <t>JOAO CARLOS DOS SANTOS FERNANDES ---</t>
  </si>
  <si>
    <t>ELAINE PINHEIRO SOARES SANTOS ---</t>
  </si>
  <si>
    <t>vini</t>
  </si>
  <si>
    <t>PRISCILLA DOS SANTOS SOARES ----</t>
  </si>
  <si>
    <t>MC FRANCA COMERCIO DE MAQUINAS E PECAS - JEEP</t>
  </si>
  <si>
    <t xml:space="preserve">ANA PAULA DE OLIVEIRA BASTIDA </t>
  </si>
  <si>
    <t xml:space="preserve">ANDRE OLIVERIA PEREIRA --- </t>
  </si>
  <si>
    <t>TRANS CONEXAO SOLUCOES LOGISTICA ---</t>
  </si>
  <si>
    <t xml:space="preserve">KELLY REGINA SOBRAL --- ETIOS </t>
  </si>
  <si>
    <t xml:space="preserve">NICOLAS MAGALHAES DE OLIVEIRA </t>
  </si>
  <si>
    <t xml:space="preserve">ROBERTO FREDERICO --- ARGO </t>
  </si>
  <si>
    <t xml:space="preserve">TRANSMISSÃO </t>
  </si>
  <si>
    <t>TRANS CONEXAO SOLUCOES - FROTA</t>
  </si>
  <si>
    <t>SUPER TRUCK E CAR ---</t>
  </si>
  <si>
    <t>BRENDA JULIETE DE SOUZA ----</t>
  </si>
  <si>
    <t>GIULIANA ANDREA PIROZZI NAUER ----</t>
  </si>
  <si>
    <t>MARIA KIMIKO ITO ANTUNES CASTILHO ---</t>
  </si>
  <si>
    <t>EDSON GALBREST ----</t>
  </si>
  <si>
    <t>ROSEMBERG GONCALVES DA SILVA ---</t>
  </si>
  <si>
    <t>VICTOR  + CARTÃO</t>
  </si>
  <si>
    <t xml:space="preserve">WENICIUS SILVA CHAVES </t>
  </si>
  <si>
    <t>JOENILSON DE JESUS CONCEIÇÃO</t>
  </si>
  <si>
    <t xml:space="preserve">FRANCISCO DAS CHAGAS ROCHA --- </t>
  </si>
  <si>
    <t>DENISE FERREIRA NUNES ----</t>
  </si>
  <si>
    <t>JOSE DERNIVAL SANTOS FILHO - FIORINO</t>
  </si>
  <si>
    <t>JOSE DERNIVAL SANTOS FILHO - CORSA</t>
  </si>
  <si>
    <t>ARNALDO FRIAS FILHO ---</t>
  </si>
  <si>
    <t>CASSIA CRISTINA DE CARVALHO BRAZILINO ----</t>
  </si>
  <si>
    <t>MARCIA CRISTINA PERNA ---</t>
  </si>
  <si>
    <t>GABRIEL AURICHIO RODRIGUES ---</t>
  </si>
  <si>
    <t>RODRIGO CARRERAS DE OLIVEIA MOTA ---</t>
  </si>
  <si>
    <t>FERNANDO NONATO MARTINES --- T-CROSS</t>
  </si>
  <si>
    <t>ALVARO LUIZ MANCHON SARNES ---</t>
  </si>
  <si>
    <t>JOSE MONTEIRO DE ASSIS ---</t>
  </si>
  <si>
    <t>KARINA YUMI KATSUURA ---</t>
  </si>
  <si>
    <t xml:space="preserve">ORLEI HUMBERTO DA SILVA --- CR-V </t>
  </si>
  <si>
    <t>XISTO SHIGUEZI BANDO ---</t>
  </si>
  <si>
    <t>ANTONIO GISLANIO JATAI LOIOLA ----</t>
  </si>
  <si>
    <t>ALEXANDRE RODRIGUES TORRES ---</t>
  </si>
  <si>
    <t>FABIO DE ALMEIDA ROMA ----</t>
  </si>
  <si>
    <t>CLAUDIO ROBERTO DA SILVA RAMOS --</t>
  </si>
  <si>
    <t>DOUGLAS OLIVEIRA DA SILVA ---</t>
  </si>
  <si>
    <t>ALEXANDRA MATTOS DOS SANTOS LEITE --</t>
  </si>
  <si>
    <t>PAULA SAMPAIO SANTANA ---</t>
  </si>
  <si>
    <t>JOSE IRINALDO SILVA SOUSA ---</t>
  </si>
  <si>
    <t>DANILO TORRES ALVES ---</t>
  </si>
  <si>
    <t xml:space="preserve">VINI + CARTÃO </t>
  </si>
  <si>
    <t>SANDRO DA SILVA AMORIM ---</t>
  </si>
  <si>
    <t>JOVELINA OLIVEIRA CANDIDO ---</t>
  </si>
  <si>
    <t>CESAR ZAMPIERI RIBEIRO ----</t>
  </si>
  <si>
    <t>MARCIA LOPES DE SOUSA ---</t>
  </si>
  <si>
    <t>ISSAMU LUIZ SIMOURA ---</t>
  </si>
  <si>
    <t>FERNANDA GONZALES DE LIMA ---</t>
  </si>
  <si>
    <t xml:space="preserve">YANN LIONEL SERGE MARIE FROMONT </t>
  </si>
  <si>
    <t>EDSON JUNIOR GALBREST ---</t>
  </si>
  <si>
    <t>CARLOS ALBERTO PINTO - --</t>
  </si>
  <si>
    <t>ANA FLAVIA DE SOUZA SANTOS NIEMEIER ---</t>
  </si>
  <si>
    <t>CAROLINE CONCEICAO DEGAN ---</t>
  </si>
  <si>
    <t>MARCOS JOSE DA SILVA ---</t>
  </si>
  <si>
    <t>JOSE CARLOS DE MELO ---</t>
  </si>
  <si>
    <t>ANDRE OLIMPIO DE MEDEIROS ---</t>
  </si>
  <si>
    <t>EMERSON LEANDRO DA SILVA -- CELULAR</t>
  </si>
  <si>
    <t>ROBERTA AP DA SILVA MOTA JURAS ---</t>
  </si>
  <si>
    <t>GEORGE DE OLIVEIRA ---</t>
  </si>
  <si>
    <t>GERALDO AMARINHO DE ARAUJO ---</t>
  </si>
  <si>
    <t>EMERSON AMARINHO DE ARAUJO -- ONIX</t>
  </si>
  <si>
    <t>NATHALIA GERMANO BARBOSA ---</t>
  </si>
  <si>
    <t>LUIZ CARLOS FONTALVA -- CLEMENTE</t>
  </si>
  <si>
    <t>EMERSON AMARINHO DE ARAUJO -- SPIN</t>
  </si>
  <si>
    <t>JULIO CESAR SOARES ---</t>
  </si>
  <si>
    <t>CLEITON RODRIGUES BARBOSA ---</t>
  </si>
  <si>
    <t>EVANDRO FERREIRA DA COSTA ---</t>
  </si>
  <si>
    <t>ALAN JOSE SILVA BARTOLOMEU ---</t>
  </si>
  <si>
    <t>CLAUDINEI ANDRADE CARDOSO ---</t>
  </si>
  <si>
    <t>GERSON FONSECA MENDES ---</t>
  </si>
  <si>
    <t>NAWA MAKSOUD VILIVAS BARBOSA GARCIA ---</t>
  </si>
  <si>
    <t>PEDRO PEREIRA DA SILVA ----</t>
  </si>
  <si>
    <t>FRANCISCO WESLEY RUFINO ---</t>
  </si>
  <si>
    <t>MARCOS EDU BROGES DE CARVALHO JUNIOR ---</t>
  </si>
  <si>
    <t>KARINA ITO DE SOUZA PIMENTEL ---</t>
  </si>
  <si>
    <t>WILSON FERREIRA D NASCIMENTO ---</t>
  </si>
  <si>
    <t xml:space="preserve">LEONARDO LOYOLA </t>
  </si>
  <si>
    <t>CARTAO</t>
  </si>
  <si>
    <t xml:space="preserve">TRANS CONEXAO SOLUCOES LOGISTICA LTDA </t>
  </si>
  <si>
    <t xml:space="preserve">viagem </t>
  </si>
  <si>
    <t xml:space="preserve">SEG VIAGEM </t>
  </si>
  <si>
    <t xml:space="preserve">WELLINGTON GASPAR PEREIRA </t>
  </si>
  <si>
    <t xml:space="preserve">LAÍS </t>
  </si>
  <si>
    <t>CAIO EDUARDO ALKIMIM SILVA --- APP</t>
  </si>
  <si>
    <t>SEG APP</t>
  </si>
  <si>
    <t>ARGEMIRO DA SILVA ---APP</t>
  </si>
  <si>
    <t xml:space="preserve">ALESSANDRO DA CRUZ DA SILVA </t>
  </si>
  <si>
    <t xml:space="preserve">DOUGLAS FERREIRA DA SILVA </t>
  </si>
  <si>
    <t xml:space="preserve">VINICIUS ANTONIO RIBERIO DOS SANTOS </t>
  </si>
  <si>
    <t xml:space="preserve">VANDERLEI BRAZ DE SOUZA </t>
  </si>
  <si>
    <t xml:space="preserve">ROGERIO DE LIMA MAGALHAES </t>
  </si>
  <si>
    <t xml:space="preserve">PAULA SAMPAIO SANTANA </t>
  </si>
  <si>
    <t xml:space="preserve">RAYLSON SALES PATROCINIO --- </t>
  </si>
  <si>
    <t xml:space="preserve">RENATA DE CARVALHO GOES </t>
  </si>
  <si>
    <t xml:space="preserve">JOSIE APARECIDA GOMES ESCANUELLA </t>
  </si>
  <si>
    <t>NICASSIA APARECIDA DE ARAUJO ---</t>
  </si>
  <si>
    <t>FERNANDO NONATO MARTINES ---</t>
  </si>
  <si>
    <t>LUCIETE DE OLIVEIRA BARROS ----</t>
  </si>
  <si>
    <t>RAQUEL DOS SANTOS GONCALVES CAVADAS --</t>
  </si>
  <si>
    <t>LUCIANO BATTAGLIA ---</t>
  </si>
  <si>
    <t>WELSON PEREIRA ---</t>
  </si>
  <si>
    <t>DENILSON CARPINTEIRO ---</t>
  </si>
  <si>
    <t xml:space="preserve">FRANCISCO DE ASSIS MACEDO </t>
  </si>
  <si>
    <t xml:space="preserve">ALEXANDRE PINTO CORREA </t>
  </si>
  <si>
    <t xml:space="preserve">JOSE LEANDRO SILVA BARROS </t>
  </si>
  <si>
    <t>LAÍS</t>
  </si>
  <si>
    <t xml:space="preserve">CLOVIS DA SILVA </t>
  </si>
  <si>
    <t>09X</t>
  </si>
  <si>
    <t>SEG NOVO/ RENOVA</t>
  </si>
  <si>
    <t>OTON MIGUEL DA SILVA FILHO</t>
  </si>
  <si>
    <t xml:space="preserve">LUCIANO + CARTÃO </t>
  </si>
  <si>
    <t xml:space="preserve">ALCIMARA SIMONE FREITAS MOTA </t>
  </si>
  <si>
    <t xml:space="preserve">EDELSON DA SILVA LIRA </t>
  </si>
  <si>
    <t xml:space="preserve">LUCAS NOBRE ROSA DA SILVA LOBATO </t>
  </si>
  <si>
    <t xml:space="preserve">PETER OLIVEIRA LIMA </t>
  </si>
  <si>
    <t xml:space="preserve">VALDO FLORENCIO DE AMORIM </t>
  </si>
  <si>
    <t xml:space="preserve">DANIELA NASCIMENTO PAULO E SILVA </t>
  </si>
  <si>
    <t xml:space="preserve">comissão </t>
  </si>
  <si>
    <t xml:space="preserve">ELAINE PINHEIRO SOARES SANTOS </t>
  </si>
  <si>
    <t xml:space="preserve">MISSLENE DE AMORIM DA MATTA </t>
  </si>
  <si>
    <t>EDNA MARTINS DOS SANTOS</t>
  </si>
  <si>
    <t xml:space="preserve">ERASMO PEREIRA DE SOUZA </t>
  </si>
  <si>
    <t xml:space="preserve">TRANS CONEXAO - FROTA </t>
  </si>
  <si>
    <t xml:space="preserve">DOMINGOS ALVES DE BARROS </t>
  </si>
  <si>
    <t xml:space="preserve">SIDNEI VIEIRA </t>
  </si>
  <si>
    <t>ERCILIA LUCATELI DE SOUZA</t>
  </si>
  <si>
    <t xml:space="preserve">LIDIANE APARECIDA SILVA DE MELO --- POLO </t>
  </si>
  <si>
    <t>LIDIANE</t>
  </si>
  <si>
    <t>ELIUDE JOSE DE SANTANA SEGURA</t>
  </si>
  <si>
    <t>GISELE CRISTINE DE ARAUJO MALAVASE - INCENDIO</t>
  </si>
  <si>
    <t xml:space="preserve">SERGIO ANTONIO MATTOS DOS SANTOS LEITE </t>
  </si>
  <si>
    <t xml:space="preserve">DOUGLAS DOS SANTOS GONCALVES </t>
  </si>
  <si>
    <t>NEUZA FRANCISCA DOS SANTOS LINS</t>
  </si>
  <si>
    <t xml:space="preserve">VALTER SILVA MACEDO --- PCX </t>
  </si>
  <si>
    <t>VALTER SILVA MACEDO --- BMW</t>
  </si>
  <si>
    <t xml:space="preserve">DEISE CAROLINA GARCIA SALLES </t>
  </si>
  <si>
    <t xml:space="preserve">GUILHERME BABUYA MARTINS </t>
  </si>
  <si>
    <t>MARCIA ALVES BACK --</t>
  </si>
  <si>
    <t>THAMIRES EDUARDO DA SILVA</t>
  </si>
  <si>
    <t xml:space="preserve">GUSTAVO FRANCA EVANGELISTA </t>
  </si>
  <si>
    <t xml:space="preserve">RAIMUNDO NONATO VENANCIO </t>
  </si>
  <si>
    <t xml:space="preserve">VINI+CARTAO </t>
  </si>
  <si>
    <t xml:space="preserve">ALINE MONICA RIBEIRO </t>
  </si>
  <si>
    <t>MARCELO DE ALMEIDA</t>
  </si>
  <si>
    <t xml:space="preserve">CRISTIANO - GRU IMOVEIS </t>
  </si>
  <si>
    <t xml:space="preserve">NATHAN CORREIA DE MELLO LICARIAO </t>
  </si>
  <si>
    <t xml:space="preserve">TAMIRIS ELAINE SOEIRO </t>
  </si>
  <si>
    <t xml:space="preserve">LYGIA QUEIROZ MARTINSON DE ANDRADE </t>
  </si>
  <si>
    <t>EMILIA KEIKO ISHIKURA</t>
  </si>
  <si>
    <t xml:space="preserve">EDMAR COSTA DE SOUZA --- FIT </t>
  </si>
  <si>
    <t xml:space="preserve">MARCIO DE OLIVEIRA -- FIESTA </t>
  </si>
  <si>
    <t xml:space="preserve">GERSON FONSECA </t>
  </si>
  <si>
    <t>0X</t>
  </si>
  <si>
    <t>MARCELO PAULO DE OLIVERIA</t>
  </si>
  <si>
    <t xml:space="preserve"> TIPO</t>
  </si>
  <si>
    <t xml:space="preserve">CARLOS GUSTAVO MALVEIRA XAVIER E SILVA </t>
  </si>
  <si>
    <t xml:space="preserve">AGOSTINHO FERNANDES PERNA JUNIOR - ARGO </t>
  </si>
  <si>
    <t xml:space="preserve">BRUNO RODRIGUES </t>
  </si>
  <si>
    <t>LEANDRO CAMPOS REDONDO</t>
  </si>
  <si>
    <t xml:space="preserve">JOAO BATISTA DE SOUSA YAMAMOTO </t>
  </si>
  <si>
    <t xml:space="preserve">JEFERSON MACHADO SANTOS SOUZA </t>
  </si>
  <si>
    <t xml:space="preserve">YURI SANTOS SILVA </t>
  </si>
  <si>
    <t xml:space="preserve">LUAN ALVES DE JESUS </t>
  </si>
  <si>
    <t xml:space="preserve">WALTER FLAVIO DE ARRUDA GOMES </t>
  </si>
  <si>
    <t xml:space="preserve">ISRAEL VIERA DA COSTA GUEDES </t>
  </si>
  <si>
    <t xml:space="preserve">VITOR ALVES SANTOS </t>
  </si>
  <si>
    <t>EDNILSON JOSE NOBRE JUNIOR</t>
  </si>
  <si>
    <t>VINI + CARTAO + TAG</t>
  </si>
  <si>
    <t xml:space="preserve">ORLEI HUMBERTO DA SILVA --- JEEP </t>
  </si>
  <si>
    <t xml:space="preserve">YELUM </t>
  </si>
  <si>
    <t xml:space="preserve">ANDERSON DE OLIVERIA ROSA </t>
  </si>
  <si>
    <t>SILVIA ROSANA FERRARINI BIGOTTO --</t>
  </si>
  <si>
    <t xml:space="preserve">2X </t>
  </si>
  <si>
    <t xml:space="preserve">LUCAS NOBRE ROSA DA SILVA </t>
  </si>
  <si>
    <t xml:space="preserve">LAURENCE BRIGITTE LEFEBVRE --- </t>
  </si>
  <si>
    <t>SEBASTIAO FLORO ALEXANDRE --</t>
  </si>
  <si>
    <t>AZUL P ASS</t>
  </si>
  <si>
    <t>CARLA MARIA MATTOS DOS SANTOS</t>
  </si>
  <si>
    <t>FABIANO JERONIMO DA SILVA</t>
  </si>
  <si>
    <t>LIGIANE GONCALVES DE ALCANTARA --- EQUIP</t>
  </si>
  <si>
    <t xml:space="preserve">EDUARDO PASSITO GARCIA --- CRONOS </t>
  </si>
  <si>
    <t xml:space="preserve">PRISCILA IRACY CEZAR GUIDINO </t>
  </si>
  <si>
    <t>MICHELE GONCALVES DA ROCHA</t>
  </si>
  <si>
    <t xml:space="preserve">CLARA MARIA DE ALBUQUERQUE ANDRADE - breno </t>
  </si>
  <si>
    <t xml:space="preserve">KARIN AKEMI SUZUKI COTRICK </t>
  </si>
  <si>
    <t xml:space="preserve">LORYY MAQUINAS OPERATRIZES E PACAS LTDA </t>
  </si>
  <si>
    <t xml:space="preserve">ERIC DA MATTA RIBEIRO --- JEEP </t>
  </si>
  <si>
    <t xml:space="preserve">MICHELINE DE MELO SANCHES </t>
  </si>
  <si>
    <t>SERGIO RIBEIRO TRINDADE ----</t>
  </si>
  <si>
    <t xml:space="preserve">JAQUES NILSON OLIVATO </t>
  </si>
  <si>
    <t>WALTER PEREIRA DE ALMEIDA ---</t>
  </si>
  <si>
    <t>ISABELLA RIBEIRO DE OLIVEIRA ---</t>
  </si>
  <si>
    <t xml:space="preserve">CARTÃO PORTO </t>
  </si>
  <si>
    <t xml:space="preserve">MARIA ELENA DE SOUZA SANTOS --- PICANTO </t>
  </si>
  <si>
    <t>BRUNO RODRIGUES ---</t>
  </si>
  <si>
    <t>MARIA ELENA DE SOUZA SANTOS --- SONATA</t>
  </si>
  <si>
    <t>RENATA RODRIGUES DOS SANTOS ---- WR-V</t>
  </si>
  <si>
    <t xml:space="preserve">9X </t>
  </si>
  <si>
    <t>JOAO BATISTA DE SOUSA YAMAMOTO</t>
  </si>
  <si>
    <t>ELIUDE JOSE DE SANTANA SEGURA ---</t>
  </si>
  <si>
    <t>KAREN CASTILHO MAIA ----</t>
  </si>
  <si>
    <t>JEFERSON DE PAULA VIEIRA ---</t>
  </si>
  <si>
    <t>CLAUDEMIR GONCALVES DOS SANTOS ---</t>
  </si>
  <si>
    <t>RAPHAEL TORELLI GOMES SANCHEZ ---</t>
  </si>
  <si>
    <t>FABIANA VOLTAN MATHIAS --- EQUIPAMENTO</t>
  </si>
  <si>
    <t xml:space="preserve">CONCEICAO APARECIDA DE PAULA OLIVEIRA </t>
  </si>
  <si>
    <t xml:space="preserve">EDVAN PROFIRIO VILELA </t>
  </si>
  <si>
    <t xml:space="preserve">VALDINEI ROBERTO NASCIMENTO </t>
  </si>
  <si>
    <t xml:space="preserve">JONATAS SOUZA SILVA </t>
  </si>
  <si>
    <t xml:space="preserve">NOVO + TAG + CARTÃO </t>
  </si>
  <si>
    <t xml:space="preserve">FABIANO SANTOS DE SOUSA </t>
  </si>
  <si>
    <t>EDSON MONTEIRO LOIOLA</t>
  </si>
  <si>
    <t xml:space="preserve">BRUNA MARCELA JUSTI </t>
  </si>
  <si>
    <t>TAIS DE CASSIA SOBRINHO</t>
  </si>
  <si>
    <t xml:space="preserve">ROSANA CRISTIANE DOS SANTOS MOTTA </t>
  </si>
  <si>
    <t>ERIC DA MATTA RIBEIRO - TIGGO 8</t>
  </si>
  <si>
    <t xml:space="preserve">PAULA ROSA SOLTOSKI </t>
  </si>
  <si>
    <t xml:space="preserve">WELLINGTON LOPES DA ROCHA </t>
  </si>
  <si>
    <t xml:space="preserve">ANDERSON ALVES GOMES </t>
  </si>
  <si>
    <t xml:space="preserve">ERLAINE CRISTINA RODRIGUES BACELAR </t>
  </si>
  <si>
    <t>JEOSAFA SANTANA DA SILVA ---</t>
  </si>
  <si>
    <t>ALICE AUGUSTO LUCATTI ---</t>
  </si>
  <si>
    <t>ARLINDO MARTINS RIBEIRO ---</t>
  </si>
  <si>
    <t>KATIA CILENE CLARO DE ANDRADE ---</t>
  </si>
  <si>
    <t>JOSE BRITO DOS SANTOS -- ONIX</t>
  </si>
  <si>
    <t>MICHAEL DE ANDRADE SILVA ----</t>
  </si>
  <si>
    <t>29/11/20204</t>
  </si>
  <si>
    <t xml:space="preserve">SAMANTHA CRISTINA SOLANO RODRIGUES SILVA </t>
  </si>
  <si>
    <t xml:space="preserve">RENATO RAMOS </t>
  </si>
  <si>
    <t xml:space="preserve">MICHELE GONCALVES DA ROCHA PRADO </t>
  </si>
  <si>
    <t xml:space="preserve">ROMARIO DA SILVA OLIVEIRA </t>
  </si>
  <si>
    <t>ITANOBRE NEGOCIOS IMOBILIARIOS LTDA</t>
  </si>
  <si>
    <t xml:space="preserve">ROBSON PIMENTAL DOS SANTOS </t>
  </si>
  <si>
    <t xml:space="preserve">ANA CLAUDIA DOMINGUES PEREIRA </t>
  </si>
  <si>
    <t xml:space="preserve">BRUNA DE OLIVEIRA CESAR RODRIGUES </t>
  </si>
  <si>
    <t>EDNA NUNES SANT ANA</t>
  </si>
  <si>
    <t>ROSANA ARAKAKI GUIMARAES ---</t>
  </si>
  <si>
    <t>SUELI GOMES DA SILVA ---</t>
  </si>
  <si>
    <t>JEFFERSON RODRIGUES --- MOTO ---</t>
  </si>
  <si>
    <t xml:space="preserve">PAULO EDUARDO DA SILVA PEREIRA </t>
  </si>
  <si>
    <t>NICOLAS HIPPOLITO MOTA</t>
  </si>
  <si>
    <t>MOACYR BARBOSA NETO ---</t>
  </si>
  <si>
    <t>GABRIEL RODRIGUES</t>
  </si>
  <si>
    <t xml:space="preserve">BRUNO LIMA CORREIA </t>
  </si>
  <si>
    <t xml:space="preserve">RENATA DE CARVALHO GOES --- POP </t>
  </si>
  <si>
    <t xml:space="preserve">ANOTNIO CESAR ESTEVES </t>
  </si>
  <si>
    <t xml:space="preserve">ALINE FERNANDES DOS RESIS </t>
  </si>
  <si>
    <t xml:space="preserve">GUILHERME DE LIMA MACHADO </t>
  </si>
  <si>
    <t>RENATA RODRIGUES DOS SANTOS -- JEEP</t>
  </si>
  <si>
    <t xml:space="preserve">JEFFERSON RODRIGUES --- TCROS </t>
  </si>
  <si>
    <t xml:space="preserve">ADRIANA MARIA PEREIRA FERREIRA </t>
  </si>
  <si>
    <t xml:space="preserve">IMOB TAL </t>
  </si>
  <si>
    <t xml:space="preserve">CAMIALA APARECIDA DE LIMA </t>
  </si>
  <si>
    <t>JORGE MICHAEL DE OLIVEIRA SANTOS</t>
  </si>
  <si>
    <t xml:space="preserve">KHAYQUE DE SOUZA OLIVEIRA </t>
  </si>
  <si>
    <t xml:space="preserve">ORLEI HUMBERO DA SILVA </t>
  </si>
  <si>
    <t xml:space="preserve">HUMBERTO MATIAS ALVES SILVA - TUCSON </t>
  </si>
  <si>
    <t xml:space="preserve">RAPHAEL DA COSTA E SILVA TARIN SERRANO </t>
  </si>
  <si>
    <t xml:space="preserve">BRUNO YUDI AGUENA </t>
  </si>
  <si>
    <t xml:space="preserve">ALCEU MAXIMO LISBOA OLIVEIRA </t>
  </si>
  <si>
    <t>JEFFERSON RODRIGUES --- FORD</t>
  </si>
  <si>
    <t>ADILSON DIAS DA SILVA ---</t>
  </si>
  <si>
    <t>JOAO VITOR MOITINHO REIS ---</t>
  </si>
  <si>
    <t xml:space="preserve">CESAR ZAMPIERI RIBEIRO --- MOTO </t>
  </si>
  <si>
    <t>PEDRO DONIZETE DEL CAMPO</t>
  </si>
  <si>
    <t xml:space="preserve">ALINE CINTRA CARRASCO </t>
  </si>
  <si>
    <t>RENOVAÇÃO/NOVO</t>
  </si>
  <si>
    <t>JAIME MOTA FERREIRA ---</t>
  </si>
  <si>
    <t>FRANCISCO JOSE MOREIRA ---</t>
  </si>
  <si>
    <t>GERALDO MADEIRA DA COSTA --</t>
  </si>
  <si>
    <t>GENILDA PEREIRA GILIOLI ----</t>
  </si>
  <si>
    <t>ROBISON GUILHERME ALVES TEIXEIRA ---</t>
  </si>
  <si>
    <t>PATRIZIA DA ROSA MARCELINO ---</t>
  </si>
  <si>
    <t>GLEDISON DE PAULA BARBARA ---</t>
  </si>
  <si>
    <t>FERNANDA DE CASSIA MAXIMINO DA COSTA ---</t>
  </si>
  <si>
    <t>LORRY MAQUINAS ---</t>
  </si>
  <si>
    <t>RENATA DA GLORIA DIAS VIEIRA ---</t>
  </si>
  <si>
    <t>ELAINE CRISTINA DA SILVA ABREU ---</t>
  </si>
  <si>
    <t>GUILHERME DE LIMA MACHADO ---</t>
  </si>
  <si>
    <t>FABIO SARAIVA COELHO ----</t>
  </si>
  <si>
    <t>JOSE MILTON REIS ----</t>
  </si>
  <si>
    <t>MOZART DIAS DE QUEIROZ ---</t>
  </si>
  <si>
    <t>KARYN LAIS ALVES ---</t>
  </si>
  <si>
    <t>FILIPE DE OLIVEIRA MENDES ---</t>
  </si>
  <si>
    <t>MARIA JOSE RODRIGUES DOS SANTOS ---</t>
  </si>
  <si>
    <t>ERICA DA MATTA RIBEIRO ---</t>
  </si>
  <si>
    <t>CLAUDIO ROBERTO DA SILVA RAMOS ---</t>
  </si>
  <si>
    <t>HUMBERTO MATIAS ALVES SILVA ---</t>
  </si>
  <si>
    <t>HUMBERTO MATIAS ALVES SILVA - COMPASS</t>
  </si>
  <si>
    <t xml:space="preserve">SAMIR ZAMPIERI RIBERIO --- ONIX </t>
  </si>
  <si>
    <t>14/03/206</t>
  </si>
  <si>
    <t xml:space="preserve">VINICIUS HIROSHI ALEXANDRONIO SHOJI </t>
  </si>
  <si>
    <t>CHANTAL GHANNAM</t>
  </si>
  <si>
    <t xml:space="preserve">SANDRA LUCIENE TOIOTO </t>
  </si>
  <si>
    <t xml:space="preserve">GLEICIANE DE LIMA BACELAR </t>
  </si>
  <si>
    <t xml:space="preserve">PEDRO CESAR DOS SANTOS </t>
  </si>
  <si>
    <t xml:space="preserve">PATRICIA PAULINO VIEIRA DA ROCHA </t>
  </si>
  <si>
    <t xml:space="preserve">ANA PAULA DE OLIVEIRA BATISDA </t>
  </si>
  <si>
    <t xml:space="preserve">ANA PAULA COSTA DE LIMA MOTA </t>
  </si>
  <si>
    <t xml:space="preserve">JOSE MENDES MELCHIEDES XAVIER --- BOLETO </t>
  </si>
  <si>
    <t xml:space="preserve">REGINALDO DOS SANTOS </t>
  </si>
  <si>
    <t xml:space="preserve">MC FRANCA --- HILUX </t>
  </si>
  <si>
    <t xml:space="preserve">MC FRANCA --- JEEP </t>
  </si>
  <si>
    <t>FELIX NETO OLIVEIRA DOS SANTOS - CELTA</t>
  </si>
  <si>
    <t>IGNACIO TOLOSA ITURRALDE NETO - jeep</t>
  </si>
  <si>
    <t>GSX NEGOCIOS DIGITAIS LTDA ---</t>
  </si>
  <si>
    <t>FRANCISCO ARMANDO PERES ---</t>
  </si>
  <si>
    <t>DENISE FERREIRA NUNES HANSEL ----</t>
  </si>
  <si>
    <t>RISIMARIA GOMES DOS SANTOS ---</t>
  </si>
  <si>
    <t>AGOSTINHO FERNANDES PERNA JUNIOR ---</t>
  </si>
  <si>
    <t>SUPER TRUCK - FIORINO ---</t>
  </si>
  <si>
    <t>ANDRE OLIVEIRA PEREIRA ---</t>
  </si>
  <si>
    <t>CASSIA CRISTINA DE CARVALHO BRAZILINO ---</t>
  </si>
  <si>
    <t>GABRIEL AURICHIO RODRIGUES ----</t>
  </si>
  <si>
    <t>BRENDA JULIETE DE SOUZA ---</t>
  </si>
  <si>
    <t>TRANS CONEXAO - GHX9A37</t>
  </si>
  <si>
    <t>TRANS CONEXAO - GCK9I28</t>
  </si>
  <si>
    <t>TRANS CONEXAO - DEI1B96</t>
  </si>
  <si>
    <t>CIVALDO LUIS DA SILVA --</t>
  </si>
  <si>
    <t>RODRIGO CARRERAS DE OLIVEIRA MOTA ---</t>
  </si>
  <si>
    <t>TATIANA SAITO ---</t>
  </si>
  <si>
    <t>LUAN RIBEIRO DE ALMEIDA --</t>
  </si>
  <si>
    <t>DAYANE</t>
  </si>
  <si>
    <t>JRS ENGENHARIA LTDA ---</t>
  </si>
  <si>
    <t>EDSON GALBREST ---</t>
  </si>
  <si>
    <t>YANN LIONEL SERGE MARIE OLIVIER FROMONT ---</t>
  </si>
  <si>
    <t>ANTONIO GISLANIO JATAI LOIOLA ---</t>
  </si>
  <si>
    <t>VANESSA DE PAULA VIEIRA MARTINS ----</t>
  </si>
  <si>
    <t>WALTER BARROS BARONI ---</t>
  </si>
  <si>
    <t>MARUA MARTINS DA COSTA --</t>
  </si>
  <si>
    <t>SILVANA PRIMAO CRUZ ---</t>
  </si>
  <si>
    <t>CAROLINE CONCEIÇÃO DEGAN --- FIT</t>
  </si>
  <si>
    <t>AGOSTINHO FERNANDES PERNA JUNIOR - UNO</t>
  </si>
  <si>
    <t xml:space="preserve">ANA FLAVIA DE SOUZA SANTOS NIEMEIER --- </t>
  </si>
  <si>
    <t>MATHEUS SILVA CALDEIRA ---</t>
  </si>
  <si>
    <t xml:space="preserve">LETICIA </t>
  </si>
  <si>
    <t>JOAO FEALDI DE CARVALHO ---</t>
  </si>
  <si>
    <t>GERSON FONSECA MENDES --</t>
  </si>
  <si>
    <t>ANDERSON RICARDO FERNANDES CALDEIRA ---</t>
  </si>
  <si>
    <t>ROBERTA APARECIDA DA SILVA MOTA JURAS --</t>
  </si>
  <si>
    <t>EDILENE ROSA DE ARAUJO ---</t>
  </si>
  <si>
    <t xml:space="preserve">LUIZ CARLOS FONTALVA --- </t>
  </si>
  <si>
    <t xml:space="preserve">EMERSON AMARINHO DE ARAUJO - ONIX </t>
  </si>
  <si>
    <t>NATHALIA GERMANO BARBOSA ----</t>
  </si>
  <si>
    <t>JOVELINA OLIVEIRA CANDIDO ----</t>
  </si>
  <si>
    <t>VANESSA PEREIRA DE ALMEIDA ---</t>
  </si>
  <si>
    <t>JULIO CESAR SOARES ----</t>
  </si>
  <si>
    <t>EMERSON AMARINHO DE ARAUJO - SPIN</t>
  </si>
  <si>
    <t>NAWA MAKSOUD VILIVAS BARBOSA GARCIA --</t>
  </si>
  <si>
    <t>FRANCISCO WESLEY ALVES ALMEIDA RUFINO ---</t>
  </si>
  <si>
    <t>MARIA LUCELIA DA SILVA RIBEIRO ---</t>
  </si>
  <si>
    <t>FABIO DE ALMEIDA ROMA ---</t>
  </si>
  <si>
    <t>RENATA DE CARVALHO GOES --- CG 160</t>
  </si>
  <si>
    <t>MARCOS EDU BORGES DE CARVALHO JUNIOR --</t>
  </si>
  <si>
    <t>KARINA ITO DE SOUZA PIMENTAEL ---</t>
  </si>
  <si>
    <t>CARLOS EDUARDO DA SILVA --</t>
  </si>
  <si>
    <t>JOAO BATISTA DE SOUZA ---</t>
  </si>
  <si>
    <t xml:space="preserve">DAYANA </t>
  </si>
  <si>
    <t>VALDIR PACHECO ---</t>
  </si>
  <si>
    <t>TRANS CONEXAO -- EGJ7J10</t>
  </si>
  <si>
    <t>LEONARDO LOYOLA ---</t>
  </si>
  <si>
    <t>JOSINALDO JOAO DA SILVA ---</t>
  </si>
  <si>
    <t>KARIN RAMOS ---</t>
  </si>
  <si>
    <t>EMMANUEL MARTINS DE ALBUQUERQUE ---</t>
  </si>
  <si>
    <t xml:space="preserve">CESAR ZAMPIERI RIBEIRO - MOBI </t>
  </si>
  <si>
    <t xml:space="preserve">WELLINGTON GASPAR PEREIRA --- </t>
  </si>
  <si>
    <t>CLAUDIO VIEIRA MARQUES ---</t>
  </si>
  <si>
    <t xml:space="preserve">NOVO/CARTÃO </t>
  </si>
  <si>
    <t>ELIZEU PINHA SANCHES --</t>
  </si>
  <si>
    <t>ARGEMIRO DA SILVA ---</t>
  </si>
  <si>
    <t>LUIZ JOAQUIM DA SILVA ---</t>
  </si>
  <si>
    <t>ANDERSON CRISTIANO GONCALVES --</t>
  </si>
  <si>
    <t xml:space="preserve">KATIA DE SOUSA RODRIGUES </t>
  </si>
  <si>
    <t>ALESSANDRO DA CRUZ SILVA --</t>
  </si>
  <si>
    <t>LUCIETE DE OLIVEIRA BARROS ---</t>
  </si>
  <si>
    <t>CARLOS LOPEZ REY --</t>
  </si>
  <si>
    <t xml:space="preserve">RAQUEL DOS SANTOS GONCALVES - LOGAN </t>
  </si>
  <si>
    <t>LUCIANO BATAGLIA ---</t>
  </si>
  <si>
    <t>RENATA DE CARVALHO GOES --- PCX 150</t>
  </si>
  <si>
    <t>CEREALISTA MIURA LTDA ---</t>
  </si>
  <si>
    <t>JAIME MOTE FERREIRA ---</t>
  </si>
  <si>
    <t>VIVIAN WARZEE LIMA -- HR-V</t>
  </si>
  <si>
    <t>ALEXANDRE PINTO CORREA ---</t>
  </si>
  <si>
    <t>,</t>
  </si>
  <si>
    <t>ORLEI HUMBERTO DA SILVA ----</t>
  </si>
  <si>
    <t>ANGELO MARCIO ALVES NEVES ---</t>
  </si>
  <si>
    <t>MARCOS BIGOTTO ---</t>
  </si>
  <si>
    <t>FERNANDA DE OLIVEIRA MENDES PIRES --</t>
  </si>
  <si>
    <t>REINALDO NONATO DA SILVA ---</t>
  </si>
  <si>
    <t>RENATA DE CARVALHO GOES ALVES ---</t>
  </si>
  <si>
    <t>PEDRO PEREIRA DA SILVA ---</t>
  </si>
  <si>
    <t xml:space="preserve">DORIVAL MALHEIROS CARODOSO </t>
  </si>
  <si>
    <t xml:space="preserve">EQUIPE novo </t>
  </si>
  <si>
    <t>GISELE DOS SANTOS ---</t>
  </si>
  <si>
    <t>REGIANI APARECIDA GARDELLI DEL BUSSO ---</t>
  </si>
  <si>
    <t>OTON MIGUEL DA SILVA FILHO ----</t>
  </si>
  <si>
    <t>ARLINDO MARTINS RIBEIRO -- HR-V</t>
  </si>
  <si>
    <t>ALCIMARA SIMONE FREITAS MOTA --</t>
  </si>
  <si>
    <t>EQUIPE +CARTA</t>
  </si>
  <si>
    <t>LUCAS NOBRE ROSA DA SILVA LOBATO ---</t>
  </si>
  <si>
    <t>ROBERTO FREDERICO ---</t>
  </si>
  <si>
    <t>CRISTIANO RICARDO JORGE DA SILVA CANATTO--</t>
  </si>
  <si>
    <t>MARCELO DE ALMEIDA - FIT ---</t>
  </si>
  <si>
    <t>GEREMIAS NERES DOS SANTOS ---</t>
  </si>
  <si>
    <t>WILZA KARLA MARTINS DOS SANTOS ---</t>
  </si>
  <si>
    <t>HELLEN KENELUX DE OLIVEIRA NASCIMENTO ---</t>
  </si>
  <si>
    <t>MAYARA CRISTINA DE SOUZA OLIMPIO ---</t>
  </si>
  <si>
    <t>FELIX NETO OLIVERA DOS SANTOS -- CANCEL</t>
  </si>
  <si>
    <t>DANIELA NASCIMENTO PAULO E SILVA --</t>
  </si>
  <si>
    <t>CESAR ZAMPIERI RIBEIRO - GOL - ---</t>
  </si>
  <si>
    <t xml:space="preserve">NICASSIA APARECIDA ARAUJO </t>
  </si>
  <si>
    <t>NICOLAS MAGALHAES DE OLIVEIRA</t>
  </si>
  <si>
    <t xml:space="preserve">RENATO JESUS LINS </t>
  </si>
  <si>
    <t xml:space="preserve">AGOSTINHO FERNANDES PERNA JUNIOR --- HB20 </t>
  </si>
  <si>
    <t>KELLY CRISITNA ACACIO VICENTE --</t>
  </si>
  <si>
    <t>ALINE MONICA RIBEIRO</t>
  </si>
  <si>
    <t>TAMIRIS ELAINE SOEIRO ---</t>
  </si>
  <si>
    <t>SERGIO ANTONIO MATTOS DOS SANTOS LEITE --=</t>
  </si>
  <si>
    <t>RENATO LUCATELLI SANTIAGO ---</t>
  </si>
  <si>
    <t>NATHAN CORREIA DE MELLO LICARIAO ---</t>
  </si>
  <si>
    <t>DALMO DA SILVA BARBOSA ---</t>
  </si>
  <si>
    <t xml:space="preserve">MARCELO DE ALMEIDA - HR-V </t>
  </si>
  <si>
    <t>CRISTIANO RICARDO JORGE DA SILVA CANATTO --</t>
  </si>
  <si>
    <t>THAMIRES CORRERIA DE MELLO LICARIAO ---</t>
  </si>
  <si>
    <t>PATRICIA MENDES BONDANCA ---</t>
  </si>
  <si>
    <t>ERICA MARIA GOMES DE LIMA ---</t>
  </si>
  <si>
    <t>LUCAS NOBRE ROSA DA SILVA LOBATO -- HR-V</t>
  </si>
  <si>
    <t xml:space="preserve">RENIVAL DOS SANTOS --- </t>
  </si>
  <si>
    <t>ENIO CARLOS SILVA --</t>
  </si>
  <si>
    <t>YELUM</t>
  </si>
  <si>
    <t>DANIEL ALMEIDA DE OLIVEIRA --</t>
  </si>
  <si>
    <t>DOUGLAS DOS SANTOS GONCALVES --</t>
  </si>
  <si>
    <t>ROBERTA PRISCILA DA SILVA MATIAS --- CIVIC</t>
  </si>
  <si>
    <t>LYGIA QUIEROZ MARTINSON DE ANDRADE --</t>
  </si>
  <si>
    <t>ALOISIO MORAES SANTOS FILHO --</t>
  </si>
  <si>
    <t>BEATRIZ ALVES RAFAEL ---</t>
  </si>
  <si>
    <t xml:space="preserve">ROBERTA PRISCILA DA SILVA MATIAS --- FIORINO </t>
  </si>
  <si>
    <t>MONIQUE REIS DE FRANÇA ---</t>
  </si>
  <si>
    <t xml:space="preserve">NOVO RENOVAÇÃO </t>
  </si>
  <si>
    <t>JOSE EDIMILSON SOARES ---</t>
  </si>
  <si>
    <t>NEUZA FRANCISCA DOS SANTOS LINS ---</t>
  </si>
  <si>
    <t xml:space="preserve">ADRIANA MARIA PEREIRA OLIVEIRA -- JEEP </t>
  </si>
  <si>
    <t>JERISVALDO FRANCISCO DOS SANTOS -- CROSS</t>
  </si>
  <si>
    <t xml:space="preserve">PAULO RAIMUNDO BAUEB --- UNO </t>
  </si>
  <si>
    <t xml:space="preserve">GLEDISON DE PAULA BARBARA --- PULSE </t>
  </si>
  <si>
    <t>DOMINGOS ALVES DE BARROS --</t>
  </si>
  <si>
    <t xml:space="preserve">AGOSTINHO FERNANDES PERNA JUNIOR --- FOX </t>
  </si>
  <si>
    <t xml:space="preserve">CAMILA APARECIDA DE LIMA --- VOYAGE </t>
  </si>
  <si>
    <t>EDMAR COSTA DE SOUZA --- FIT</t>
  </si>
  <si>
    <t>RAIMUNDO NONATO NUNES --</t>
  </si>
  <si>
    <t>MARIA LUISA NONATO MARTINES ---</t>
  </si>
  <si>
    <t xml:space="preserve">MARIA ELENA DE SOUZA SANTOS - PORSCHE </t>
  </si>
  <si>
    <t xml:space="preserve">RENOVAÇÃO + CARTAO </t>
  </si>
  <si>
    <t>31/08/206</t>
  </si>
  <si>
    <t>ULISSES CARLOS DE OLIVEIRA ---</t>
  </si>
  <si>
    <t>MARCIA REGINA LUCATELI SANTIAGO ---</t>
  </si>
  <si>
    <t>RENATA DE CARVALHO GOES --- INSTALAR RASTRE</t>
  </si>
  <si>
    <t>MARCIA ISABEL DOS SANTOS GASPAR PEREIRA --</t>
  </si>
  <si>
    <t>JERISVALDO FRANCISCO DOS SANTOS -- DUSTER</t>
  </si>
  <si>
    <t>LUCIENE TEREZA DA SILVA --</t>
  </si>
  <si>
    <t xml:space="preserve">AGOSTINHO FERNANDES PERNA JUNIOR -- ARGO </t>
  </si>
  <si>
    <t xml:space="preserve">ANDREA CRISTINA SEBA DE OLIVEIRA - FIESTA </t>
  </si>
  <si>
    <t>JOHNNY GUIMARAES BISPO DIAS - DOMINAR</t>
  </si>
  <si>
    <t>ANDREA CRISTINA SEBA DE OLIVEIRA - COROLLA</t>
  </si>
  <si>
    <t>CLEMENTE BENITES FONTALVA JUNIOR --</t>
  </si>
  <si>
    <t xml:space="preserve">EMERSON SOLTOSKI PINHEIRO - JEEP </t>
  </si>
  <si>
    <t>PRISCILLA CUNHA DOS SANTOS --</t>
  </si>
  <si>
    <t xml:space="preserve">ANTONIO DIONISIO ZARAMELLA - </t>
  </si>
  <si>
    <t>SILVIO DA SILVA LOBO ---</t>
  </si>
  <si>
    <t>STELLA RAIMUNDO ---</t>
  </si>
  <si>
    <t>MARILIA APARECIDA DUARTE --</t>
  </si>
  <si>
    <t>ALECSANDRA SOUZA SANTANA ---</t>
  </si>
  <si>
    <t>VALDECI NOBERTO DA SILVA</t>
  </si>
  <si>
    <t>RICARDO PEREIRA EVANGELISTA --</t>
  </si>
  <si>
    <t>RAFAEL BRAULIO ROCHA ---</t>
  </si>
  <si>
    <t>ASTROGILDO ARRUDA DOS SANTOS ---</t>
  </si>
  <si>
    <t>ALMIR BENEDITO ALGIZI --</t>
  </si>
  <si>
    <t>EDSON GOMES JUNIOR --</t>
  </si>
  <si>
    <t>VALTER ADVAL DA SILVA SOARES ---</t>
  </si>
  <si>
    <t xml:space="preserve">DENER SILVEIRA -- COROLLA </t>
  </si>
  <si>
    <t xml:space="preserve">ANGELO DE BORTOLI FILHO -- </t>
  </si>
  <si>
    <t>WILLIAN ANTONIO GUEDES DOS SANTOS ---</t>
  </si>
  <si>
    <t>ALEXANDRE ALFREDO LAMEIRAO ---</t>
  </si>
  <si>
    <t>JOSEFA BEZERRA DOS SANTOS ---</t>
  </si>
  <si>
    <t>KATIA BUTEIKIS CAMARGO ---</t>
  </si>
  <si>
    <t xml:space="preserve">DARWIN </t>
  </si>
  <si>
    <t xml:space="preserve">JOHNNY GUIMARAES BISPO DIAS - UNO </t>
  </si>
  <si>
    <t>MARIA CRISTINA CHAMPE ---</t>
  </si>
  <si>
    <t>JOSE ROGERIO MONTEIRO ---</t>
  </si>
  <si>
    <t>GILSON DAVID BASSI ---</t>
  </si>
  <si>
    <t>03X</t>
  </si>
  <si>
    <t>ORLEI HUMBERTO DA SILVA --</t>
  </si>
  <si>
    <t xml:space="preserve">LUCIANO BATAGLIA - CITY </t>
  </si>
  <si>
    <t>ANDERSON DE OLIVEIRA ROSA ---</t>
  </si>
  <si>
    <t>LEANDRO CAMPOS REDONDO ---</t>
  </si>
  <si>
    <t>DANIEL ALMEIDA DE OLIVERIA ---</t>
  </si>
  <si>
    <t>JAIRO SILVA DOS ANGELOS ----</t>
  </si>
  <si>
    <t>SAZUL</t>
  </si>
  <si>
    <t>RENOVAÇÃO NOVA</t>
  </si>
  <si>
    <t>VIANEI RODRIGUES BARBOSA ---</t>
  </si>
  <si>
    <t xml:space="preserve">O QUE É </t>
  </si>
  <si>
    <t>CARLA MARIA MATTOS DOS SANTOS ---</t>
  </si>
  <si>
    <t>EDINA EVANGELISTA DIAS LIMA ---</t>
  </si>
  <si>
    <t>FABIANO JERONIMO DA SILVA ---</t>
  </si>
  <si>
    <t>BEATRIZ NEVES TAVARES DA SILVA ---</t>
  </si>
  <si>
    <t xml:space="preserve">KARIN AKEMI SUZUKI COTRICK --- </t>
  </si>
  <si>
    <t>SUEMARY DE BARROS FERNANDES --</t>
  </si>
  <si>
    <t>PRISCILA IRACY CEZAR GUIDINO ---</t>
  </si>
  <si>
    <t>JULIANA LOPES SANCHES ---</t>
  </si>
  <si>
    <t>CLARA MARIA DE ALBUQUERQUE ANDRADE ---</t>
  </si>
  <si>
    <t>JOHNNI FABIO BRASILINO ALVES --</t>
  </si>
  <si>
    <t>JAQUELINE SILVA OVANDO ---</t>
  </si>
  <si>
    <t>ELIUDE JOSE DE SANTANA --</t>
  </si>
  <si>
    <t xml:space="preserve">ERIC DA MATTA RIBEIRO -- JEEP </t>
  </si>
  <si>
    <t>ROSANA ARAKAKI GUIMARAES --</t>
  </si>
  <si>
    <t>SEBASTIAO JOSE DA SILVA --</t>
  </si>
  <si>
    <t xml:space="preserve">FELIPE GENOVESI FERNANDES --- </t>
  </si>
  <si>
    <t>GISELE DO NASCIMENTO MONTEIRO --</t>
  </si>
  <si>
    <t>JOVENAL SILVA DE JESUS ---</t>
  </si>
  <si>
    <t>ALCIDES REIS MOTA ---</t>
  </si>
  <si>
    <t>JAQUES NILSON OLIVATTO ---</t>
  </si>
  <si>
    <t>FRANCISCO DE ASSIS LOURENCO RIBEIRO ---</t>
  </si>
  <si>
    <t>GESINALDO DIONIZIO DE SOUZA --</t>
  </si>
  <si>
    <t>KELLY REGINA SOBRAL ---</t>
  </si>
  <si>
    <t>WALTER PEREIRA DE ALMEIDA --</t>
  </si>
  <si>
    <t>JEAN PIERRE ANTONIO DA SILVA --</t>
  </si>
  <si>
    <t>GILSON BATISTA DE ALMEIDA DOURADO --</t>
  </si>
  <si>
    <t>MARCIA REGINA DE ASSIS ---</t>
  </si>
  <si>
    <t>ANDREIA PIMENTA DE ANDRADE --</t>
  </si>
  <si>
    <t xml:space="preserve">IVANIDIO DOS SANTOS --- </t>
  </si>
  <si>
    <t>CESAR ZAMPIERI RIBEIRO --- MOBI CONDUTOR</t>
  </si>
  <si>
    <t>ANDRE BARBOSA DA SILVA ---</t>
  </si>
  <si>
    <t>PAULO TADEU HORACIO ---</t>
  </si>
  <si>
    <t>GILMARIA GOMES DOS SANTOS ---</t>
  </si>
  <si>
    <t>VALDINEI ROBERTO NASCIMENTO ---</t>
  </si>
  <si>
    <t>CONCEICAO APARECIDA De PAULA OLIVEIRA --</t>
  </si>
  <si>
    <t xml:space="preserve">DALMO DA SILVA BARBOSA - MOTO </t>
  </si>
  <si>
    <t>MARIA CLAUDINEIA SILVA RIBEIRO ---</t>
  </si>
  <si>
    <t>MARLUCE LIMA DE MATOS ---</t>
  </si>
  <si>
    <t>JOSE MARCOS DOS SANTOS ---</t>
  </si>
  <si>
    <t>ADEMIR CYRINO GARCIA ---</t>
  </si>
  <si>
    <t>TARCISIO ANTONIO VALENTIM ---</t>
  </si>
  <si>
    <t xml:space="preserve">JULIO CESAR SOARES --- VIRTUS </t>
  </si>
  <si>
    <t>MANOEL MAXIMINO LOPES FILHO ---</t>
  </si>
  <si>
    <t>DOMINGOS BENTO DE FREITAS --</t>
  </si>
  <si>
    <t>MARIA ELZA DA SILVA ---</t>
  </si>
  <si>
    <t>EDUARDO TORRES DA CUNHA --</t>
  </si>
  <si>
    <t>SEBASTIAO MARCIO CAPELLO ---</t>
  </si>
  <si>
    <t>ARLINDO MARTINS RIBEIRO --</t>
  </si>
  <si>
    <t>EMERSON NOBREGA TORRES --</t>
  </si>
  <si>
    <t>RENATA CRISTINE GUAZZELLI ---</t>
  </si>
  <si>
    <t>PAULA ROSA SOLTOSKI ---</t>
  </si>
  <si>
    <t>ADIGAR XAVIER DOS SANTOS ---</t>
  </si>
  <si>
    <t>CELIA CLARICE DE MELO DEL CAMPO --</t>
  </si>
  <si>
    <t>JONAS LEONARDO DE LIMA ---</t>
  </si>
  <si>
    <t>THAIS CRISTINA ROBLES MELCHIADES ---</t>
  </si>
  <si>
    <t xml:space="preserve">LUAN RIBEIRO DE ALMEIDA --- </t>
  </si>
  <si>
    <t>DAY</t>
  </si>
  <si>
    <t>MICHAEL DE ANDRADE SILVA ---</t>
  </si>
  <si>
    <t>ANDRESSA DA SILVA OLIVEIRA ---</t>
  </si>
  <si>
    <t>FERNANDA ASSIS SARNES ---</t>
  </si>
  <si>
    <t>JOSE GENILSON ALVES ---</t>
  </si>
  <si>
    <t>DARWIN</t>
  </si>
  <si>
    <t xml:space="preserve">KELLY CRISTINA </t>
  </si>
  <si>
    <t xml:space="preserve">NOVO + CARTAO </t>
  </si>
  <si>
    <t>ANDRE LUIS FERNANDES --</t>
  </si>
  <si>
    <t xml:space="preserve">VILMAR BONITO OLIVEIRA </t>
  </si>
  <si>
    <t xml:space="preserve">PIER </t>
  </si>
  <si>
    <t xml:space="preserve">CESAR ZAMPIERI RIBEIRO --- MOBI </t>
  </si>
  <si>
    <t>ANA PAULA DE AMORIM MEDEIROS MARTINS</t>
  </si>
  <si>
    <t xml:space="preserve">VICTOR DOS SANTOS QUEIROZ </t>
  </si>
  <si>
    <t xml:space="preserve">ANDRE RICARDO PAVIN </t>
  </si>
  <si>
    <t xml:space="preserve">DEBORAH GONCALVES BARONI </t>
  </si>
  <si>
    <t>FERNANDA REGINA DOS SANTOS</t>
  </si>
  <si>
    <t xml:space="preserve">JOAO MARCOS ALVES NOGUEIRA </t>
  </si>
  <si>
    <t>ANA CLAUDIA DOMINGUES PEREIRA</t>
  </si>
  <si>
    <t xml:space="preserve">RAPHAEL MARQUES RIBEIRO DE OLIVEIRA </t>
  </si>
  <si>
    <t>FABIANO SANTOS DE SOUZA</t>
  </si>
  <si>
    <t xml:space="preserve">MARCOS AURELIO SOUZA RODRIGUES </t>
  </si>
  <si>
    <t>ALBERTO RODRIGUES SANTOS</t>
  </si>
  <si>
    <t>BRUNA DE OLIVEIRA CESAR RODRIGUES</t>
  </si>
  <si>
    <t xml:space="preserve">JEFFERSON RODRIGUES - MOTO </t>
  </si>
  <si>
    <t xml:space="preserve">GABRIEL RODRIGUES </t>
  </si>
  <si>
    <t>VANDERLEIA DOS SANTOS GONCALO</t>
  </si>
  <si>
    <t xml:space="preserve">CAROINE CONCEICAO DEGAN DE LIMA </t>
  </si>
  <si>
    <t>PHILIEPE NUNES DE SOUZA</t>
  </si>
  <si>
    <t>ADRIANA MARIA PEREIRA OLIVEIRA --</t>
  </si>
  <si>
    <t>FELIPE AURICHIO RODRIGUES --</t>
  </si>
  <si>
    <t>PIER</t>
  </si>
  <si>
    <t>HUMBERTO MARTIAS ALVES SILVA --</t>
  </si>
  <si>
    <t xml:space="preserve">CAMILA APARECIDA DE LIMA -- MONTANA </t>
  </si>
  <si>
    <t xml:space="preserve">PREMIO LIQUIDO EMITIDO </t>
  </si>
  <si>
    <t>JOSE MANOEL DOS SANTOS ---</t>
  </si>
  <si>
    <t>MARCOS RODRIGUES DOS SANTOS ---</t>
  </si>
  <si>
    <t>JORGE MICHAEL DE OLIVEIRA SANTOS --</t>
  </si>
  <si>
    <t>ANDRESA FERREIRA GONCALVES ---</t>
  </si>
  <si>
    <t>KHAYQUE DE SOUZA OLIVEIRA ---</t>
  </si>
  <si>
    <t>RENATO LEITE RODRIGUES ---</t>
  </si>
  <si>
    <t>CAROLINA DELBOUX MINUCHI ---</t>
  </si>
  <si>
    <t>MARCOS NUNES PINTO ---</t>
  </si>
  <si>
    <t xml:space="preserve">JEAN PIERRE ANTONIO DA SILVA - SAVEIRO </t>
  </si>
  <si>
    <t xml:space="preserve">DOMINGOS ALVES DE BARROS - COROLLA </t>
  </si>
  <si>
    <t>KATIA REGINA DA SILVA ---</t>
  </si>
  <si>
    <t>ANDRE LUIS RODRIGO ---</t>
  </si>
  <si>
    <t>REGINA BATISTA BUENO ---</t>
  </si>
  <si>
    <t>ROBERTA BOBADILLO PIRILLO --</t>
  </si>
  <si>
    <t>CONVÉS SEGUROS</t>
  </si>
  <si>
    <t xml:space="preserve">HUMBERTO MATIAS ALVES SILVA - JEEP 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</si>
  <si>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</si>
  <si>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</si>
  <si>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</si>
  <si>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</si>
  <si>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</si>
  <si>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</si>
  <si>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</si>
  <si>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</si>
  <si>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</si>
  <si>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</si>
  <si>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</si>
  <si>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</si>
  <si>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 xml:space="preserve">P. LIQUIDO </t>
  </si>
  <si>
    <t>ADRIANA ALMEIDA OLIVEIRA SANTOS ---</t>
  </si>
  <si>
    <t>TOTAL</t>
  </si>
  <si>
    <t xml:space="preserve">Comissão </t>
  </si>
  <si>
    <t xml:space="preserve">VOLTAR </t>
  </si>
  <si>
    <t>VOLTAR</t>
  </si>
  <si>
    <t>LUCIENE APARECIDA PANSARIN MEIRELES --</t>
  </si>
  <si>
    <t>BRUNO MIRANDA NOGUEIRA --</t>
  </si>
  <si>
    <t xml:space="preserve">ANDREIA LOPES CARDOSO </t>
  </si>
  <si>
    <t>JRJ FORMACAO PROFISSIONAL LIMITADA</t>
  </si>
  <si>
    <t>RITA APARECIDA JURAS REZENDE</t>
  </si>
  <si>
    <t>ALEXANDRE REZENDE --</t>
  </si>
  <si>
    <t>CARLOS ALBERTO ROQUE DOS SANTOS --</t>
  </si>
  <si>
    <t>ALINE FERNANDES DOS REIS --</t>
  </si>
  <si>
    <t>ALEX GONCALVES DE ANDRADE --</t>
  </si>
  <si>
    <t>GUILHERME DE LIMA MACHADO WEINSTOCK --</t>
  </si>
  <si>
    <t xml:space="preserve">MARILIA APARECIDA DUARTE - CANCEL </t>
  </si>
  <si>
    <t xml:space="preserve">HAYLLA GUADAHIM - CANCEL </t>
  </si>
  <si>
    <t>CANCEL</t>
  </si>
  <si>
    <t>EDVALDO FRANCISCO DOS SANTOS --</t>
  </si>
  <si>
    <t>CAMILA GUIMARAES ---</t>
  </si>
  <si>
    <t>ELISABETH ALVES PIROZZI ---</t>
  </si>
  <si>
    <t>ALINE CINTRA CARRASCO ---</t>
  </si>
  <si>
    <t>MATHEUS CALIXTO DE ALMEIDA ---</t>
  </si>
  <si>
    <t xml:space="preserve">ERIC DA MATTA RIBEIRO --- ONIX </t>
  </si>
  <si>
    <t>RAPHAEL DA COSTA E SILVA TARIN SERRANO --</t>
  </si>
  <si>
    <t xml:space="preserve">IGNACIO TOLOSA ITURRALDE NETO -- COROLLA </t>
  </si>
  <si>
    <t>ADILSON DIAS DA SILVA --</t>
  </si>
  <si>
    <t>DJALMA DOS ANJOS SILVA --</t>
  </si>
  <si>
    <t xml:space="preserve">MARCIA CRISTINA PERNA -- JEEP </t>
  </si>
  <si>
    <t>NICASSIA APARECIDA DE ARAUJO - CELU</t>
  </si>
  <si>
    <t>HENRIQUE BARROS AFFONSO VILLA - CORSA</t>
  </si>
  <si>
    <t>FRANCISCO JOSE MOREIRA --</t>
  </si>
  <si>
    <t xml:space="preserve">REBECA DE PAULA VIEIRA REIS </t>
  </si>
  <si>
    <t xml:space="preserve">NAJILA THAIS TOITO DOS REIS </t>
  </si>
  <si>
    <t xml:space="preserve">CANCEL </t>
  </si>
  <si>
    <t>JAIME MOTA FERREIRA ----</t>
  </si>
  <si>
    <t>LUCIANA APEZZATTO JOAQUIM UNGARELLO --</t>
  </si>
  <si>
    <t>PEDRO DONIZETI DEL CAMPO ---</t>
  </si>
  <si>
    <t>JOSE DERNIVAL SANTOS FILHO --</t>
  </si>
  <si>
    <t>MARCUS VINICIUS DE SOUZA OLIMPIO --</t>
  </si>
  <si>
    <t>EMERSON AMARINHO DE ARAUJO - TIGGO 8</t>
  </si>
  <si>
    <t>FELIX NETO OLIVEIRA DOS SANTOS</t>
  </si>
  <si>
    <t>GERALDO MADEIRA DA COSTA ---</t>
  </si>
  <si>
    <t>FERNANDA DE CASSIA MAXIMINO DA COSTA --</t>
  </si>
  <si>
    <t>RICARDO MARTINS DE ANDRADE ---</t>
  </si>
  <si>
    <t>CESAR ZAMPIERI RIBEIRO - MOTO - ---</t>
  </si>
  <si>
    <t>ALESSANDRO ROLIM LUQEUZI --</t>
  </si>
  <si>
    <t>FABIO SARAIVA COELHO --</t>
  </si>
  <si>
    <t xml:space="preserve">RAQUEL DOS SANTOS GONCALVES - JEEP </t>
  </si>
  <si>
    <t>MARIA APARECIDA ALVES NOGUEIRA --</t>
  </si>
  <si>
    <t>GENILDA PEREIRA GILIOLI --</t>
  </si>
  <si>
    <t>JOSE VITALINO DO NASCIMENTO FILHO --</t>
  </si>
  <si>
    <t>REGINALDO DOS SANTOS---</t>
  </si>
  <si>
    <t>LUANA CARLA MARQUES---</t>
  </si>
  <si>
    <t>RENATA DA GLORIA DIAS VIERIA ---</t>
  </si>
  <si>
    <t xml:space="preserve">RENATA DE CARVALHO GOES -- POP </t>
  </si>
  <si>
    <t>VICTOR GARCIA GRAMOLA --</t>
  </si>
  <si>
    <t>REGINALDO LOPES DE OLIVERIA ---</t>
  </si>
  <si>
    <t>FILIPE DE OLIVEIRA MENDES -</t>
  </si>
  <si>
    <t>MOZART DIAS DE QUEIROZ --</t>
  </si>
  <si>
    <t>JOSE LUIZ VIANA --</t>
  </si>
  <si>
    <t>LUCIA DE FATIMA CARVALHO RODRIGUES --</t>
  </si>
  <si>
    <t xml:space="preserve">LUAN RIBEIRO DE ALMEIDA --- CLIO </t>
  </si>
  <si>
    <t>IRIS KENNIA CORREA ---</t>
  </si>
  <si>
    <t>REGINALDO PEREIRA DE ALMEIDA ---</t>
  </si>
  <si>
    <t>JEFFERSON RODRIGUES --- TERRITORY</t>
  </si>
  <si>
    <t>CANDIDA MARIA CAMPOS --</t>
  </si>
  <si>
    <t>MARCOS AURELIO SOUZA RODRIGUES --</t>
  </si>
  <si>
    <t>JOSE DERNIVAL DOS SANTOS FILHO -- HR</t>
  </si>
  <si>
    <t>MARIA JOSE RODRIGUES DOS SANTOS --</t>
  </si>
  <si>
    <t xml:space="preserve">MAURO LEONILDO GRAMOLA </t>
  </si>
  <si>
    <t>FABIO LUIS DO CARMOS</t>
  </si>
  <si>
    <t xml:space="preserve">SAMIR ZAMPIERI RIBEIRO -- ONIX </t>
  </si>
  <si>
    <t>PAULO EDUARDO DA SILVA PEREIRA --</t>
  </si>
  <si>
    <t xml:space="preserve">GSX NEGOCIOS DIGITAIS LTDA </t>
  </si>
  <si>
    <t xml:space="preserve">CARLOS NETO DE MEDEIROS </t>
  </si>
  <si>
    <t xml:space="preserve">MARTIM DA CRUZ JURAS JUNIOR </t>
  </si>
  <si>
    <t xml:space="preserve">ANDRIELE CAROLINE DOS SANTOS </t>
  </si>
  <si>
    <t>JONAS PEREIRA SILVA --</t>
  </si>
  <si>
    <t xml:space="preserve">MC FRANCA COMERCIO - JEEP </t>
  </si>
  <si>
    <t xml:space="preserve">FLAVIA GONZALES DE MELO </t>
  </si>
  <si>
    <t xml:space="preserve">PAULO EDUARDO DA SILVA PEREIRA - SPIN </t>
  </si>
  <si>
    <t>PATRICIA PAULINO VIEIRA DA ROCHA</t>
  </si>
  <si>
    <t>OSVALDO PAIXAO DE OLIVEIRA</t>
  </si>
  <si>
    <t>CEREALISTA MIURA LTDA - BMW</t>
  </si>
  <si>
    <t>GRAZIELA SILVA CAJAS</t>
  </si>
  <si>
    <t>GILSON DAVID BASSI - AEROX</t>
  </si>
  <si>
    <t xml:space="preserve">EDMILSON SANTOS DO CARMO </t>
  </si>
  <si>
    <t xml:space="preserve">FABIO FALLIS </t>
  </si>
  <si>
    <t>ERIC DA MATTA RIBEIRO - HB20S</t>
  </si>
  <si>
    <t xml:space="preserve">FATIMA FERREIRA BRITO </t>
  </si>
  <si>
    <t>RISIMARIA GOMES DOS SANTOS</t>
  </si>
  <si>
    <t xml:space="preserve">DENISE FERREIRAS NUNES HANSEL </t>
  </si>
  <si>
    <t>AGOSTINHO FERNANDES PERNA JR - IX35</t>
  </si>
  <si>
    <t>LUCIO JOSE DE OLIVEIRA - tio vanessa de paula</t>
  </si>
  <si>
    <t>BRUNO PANAIA GRANEIRO</t>
  </si>
  <si>
    <t xml:space="preserve">SUPER TRUCK -- FIORINO </t>
  </si>
  <si>
    <t>JOSE MENDES MELCHIEDES XAVIER</t>
  </si>
  <si>
    <t>SEBASTIAO JOSE DA SILVA -- COROLLA CROSS</t>
  </si>
  <si>
    <t xml:space="preserve">JOHNNY GUIMARAES BISPO DIAS - NIVUS </t>
  </si>
  <si>
    <t xml:space="preserve">VANESSA DE PAULA VIEIRA MARTINS </t>
  </si>
  <si>
    <t xml:space="preserve">PATRICIA DA SILVA ESCALADA </t>
  </si>
  <si>
    <t xml:space="preserve">EDNEY JOVENAZE DE OLIVEIRA MELO </t>
  </si>
  <si>
    <t xml:space="preserve">ANA CLAUDIA NASCIMENTO DE AZEVEDO </t>
  </si>
  <si>
    <t>DIOGUNE WESLEI MECENE ---</t>
  </si>
  <si>
    <t xml:space="preserve">JOAO FEALDI DE CARVALHO </t>
  </si>
  <si>
    <t xml:space="preserve">CAROLINE CONCEICAO DEGAN DE LIMA </t>
  </si>
  <si>
    <t>ANA FLAVIA DE SOUZA SANTOS</t>
  </si>
  <si>
    <t>ROBERTA APARECIDA DA SILVA MOTA JURAS</t>
  </si>
  <si>
    <t xml:space="preserve">EMERSON AMARINHO DE ARAUJO --- tigoo </t>
  </si>
  <si>
    <t>MARCIA LOPES DE SOUSA --</t>
  </si>
  <si>
    <t xml:space="preserve">EDUARDO </t>
  </si>
  <si>
    <t>PATY B</t>
  </si>
  <si>
    <t xml:space="preserve">IVO GONZALEZ </t>
  </si>
  <si>
    <t>ERIC DA MATTA RIBEIRO - CIVIC</t>
  </si>
  <si>
    <t>KILDER RIBEIRO DA SILVA</t>
  </si>
  <si>
    <t xml:space="preserve">ALEXANDRA MATTOS DOS SANTOS </t>
  </si>
  <si>
    <t xml:space="preserve">EMERSON AMARINHO DE ARAUJO ME </t>
  </si>
  <si>
    <t xml:space="preserve">NATHALIA GERMANDO BARBOSA </t>
  </si>
  <si>
    <t>VERA LUCIA PEREIRA REIS DA SILVA</t>
  </si>
  <si>
    <t>LUIZ CARLOS FONTALVA</t>
  </si>
  <si>
    <t xml:space="preserve">SIDNEI VIERIA </t>
  </si>
  <si>
    <t xml:space="preserve">JEAN FELIPE DE ALENCAR LIMA </t>
  </si>
  <si>
    <t>NAWA MAKSOUD VILIVAS BARBOSA GARCIA</t>
  </si>
  <si>
    <t xml:space="preserve">ANDERSON RICARDO FERNANDES CALDEIRA </t>
  </si>
  <si>
    <t xml:space="preserve">JOAO BATISTA DE SOUZA </t>
  </si>
  <si>
    <t>FATIMA MATTOS</t>
  </si>
  <si>
    <t xml:space="preserve">MICHELLA KARINA DE QUEIROZ </t>
  </si>
  <si>
    <t xml:space="preserve">MARIA LUISA NONATO MARTINES - YARIS </t>
  </si>
  <si>
    <t xml:space="preserve">RENATA DE CARAVLHO GOES - CG 160 </t>
  </si>
  <si>
    <t xml:space="preserve">MARIO SERGIO BORGES DE SOUSA </t>
  </si>
  <si>
    <t>KARIN RAMOS</t>
  </si>
  <si>
    <t xml:space="preserve">JANE GLAUCIA GERALDO ALVES </t>
  </si>
  <si>
    <t xml:space="preserve">CLAUDINEI CONRADO DA SILVA </t>
  </si>
  <si>
    <t>AZUL ASSINA</t>
  </si>
  <si>
    <t xml:space="preserve">FABIOLA MOREIRA SANTOS NEVES </t>
  </si>
  <si>
    <t xml:space="preserve">DAISY CAROLINE SANTOS </t>
  </si>
  <si>
    <t xml:space="preserve">WELLINGTON GASPAR FERREIRA </t>
  </si>
  <si>
    <t>HILDA RIBEIRO DE MACENA</t>
  </si>
  <si>
    <t xml:space="preserve">ALISSON  DA SILVA BARBOSA </t>
  </si>
  <si>
    <t xml:space="preserve">RENOVAÇÃO C SINISTRO </t>
  </si>
  <si>
    <t>CARLOS LOPEZ REY</t>
  </si>
  <si>
    <t xml:space="preserve">ISAIAS DE SOUZA OLIVERIA </t>
  </si>
  <si>
    <t xml:space="preserve">WELSON PEREIRA </t>
  </si>
  <si>
    <t>ALEXANDRE PINTO CORREA</t>
  </si>
  <si>
    <t xml:space="preserve">FERNANDO NONATO MARTINES -- COROLLA </t>
  </si>
  <si>
    <t>FRANCISCO DE ASSIS MACEDO</t>
  </si>
  <si>
    <t xml:space="preserve">CLAUDIA REGINA DIAS QUEIROS SOUZA </t>
  </si>
  <si>
    <t>BIANCA BAPTISTA SANTOS</t>
  </si>
  <si>
    <t xml:space="preserve">ANTERO MANUEL MORGADO LOPES </t>
  </si>
  <si>
    <t xml:space="preserve">NICASSIA APARECIDA DE ARAUJO </t>
  </si>
  <si>
    <t>ROSEMBERG GONCALVES DA SILVA</t>
  </si>
  <si>
    <t>ANGELO MARCIO ALVES NEVES --</t>
  </si>
  <si>
    <t>FLAVIA GONZALES DE MELO</t>
  </si>
  <si>
    <t xml:space="preserve">BRUNO PANAIA GRANERO </t>
  </si>
  <si>
    <t xml:space="preserve">MARCOS BIGOTTO </t>
  </si>
  <si>
    <t>FERNANDA DE OLIVEIRA MENDES PIRES</t>
  </si>
  <si>
    <t>SAVIO MACHADO DE SOUZA -- INTERNET</t>
  </si>
  <si>
    <t xml:space="preserve">azul roubo </t>
  </si>
  <si>
    <t>DORIVAL MALHEIROS CARDOSO --</t>
  </si>
  <si>
    <t>ENDOSSO -</t>
  </si>
  <si>
    <t xml:space="preserve">ERIC DA MATTA RIBEIRO - TCROSS </t>
  </si>
  <si>
    <t xml:space="preserve">EUQIPE </t>
  </si>
  <si>
    <t>GISELE DOS SANTOS 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</si>
</sst>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_-[$R$-416]\ * #,##0.00_-;\-[$R$-416]\ * #,##0.00_-;_-[$R$-416]\ * &quot;-&quot;??_-;_-@_-"/>
  </numFmts>
  <fonts count="96">
    <font>
      <sz val="11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5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theme="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F33CC"/>
      <name val="Calibri"/>
      <family val="2"/>
      <scheme val="minor"/>
    </font>
    <font>
      <b/>
      <i/>
      <sz val="11"/>
      <color theme="3" tint="0.3999755851924192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color rgb="FF00B050"/>
      <name val="Calibri"/>
      <family val="2"/>
      <scheme val="minor"/>
    </font>
    <font>
      <i/>
      <sz val="11"/>
      <color theme="3" tint="0.3999755851924192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4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i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i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i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2"/>
      <color rgb="FF00B050"/>
      <name val="Calibri"/>
      <family val="2"/>
      <scheme val="minor"/>
    </font>
    <font>
      <b/>
      <i/>
      <sz val="12"/>
      <color rgb="FF7030A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b/>
      <i/>
      <sz val="12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i/>
      <sz val="12"/>
      <color theme="9" tint="-0.249977111117893"/>
      <name val="Calibri"/>
      <family val="2"/>
      <scheme val="minor"/>
    </font>
    <font>
      <b/>
      <i/>
      <sz val="12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i/>
      <sz val="11"/>
      <color rgb="FFFF33CC"/>
      <name val="Calibri"/>
      <family val="2"/>
      <scheme val="minor"/>
    </font>
    <font>
      <b/>
      <i/>
      <sz val="12"/>
      <color rgb="FFFF33CC"/>
      <name val="Calibri"/>
      <family val="2"/>
      <scheme val="minor"/>
    </font>
    <font>
      <sz val="11"/>
      <color rgb="FFFF33CC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b/>
      <i/>
      <sz val="12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i/>
      <sz val="12"/>
      <color theme="5" tint="-0.249977111117893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i/>
      <sz val="11"/>
      <color rgb="FF00B050"/>
      <name val="Calibri "/>
    </font>
    <font>
      <b/>
      <i/>
      <sz val="11"/>
      <name val="Calibri "/>
    </font>
    <font>
      <b/>
      <i/>
      <sz val="11"/>
      <color rgb="FFFFC000"/>
      <name val="Calibri"/>
      <family val="2"/>
      <scheme val="minor"/>
    </font>
    <font>
      <b/>
      <i/>
      <sz val="12"/>
      <color rgb="FFFFC00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i/>
      <sz val="11"/>
      <color rgb="FF002060"/>
      <name val="Calibri "/>
    </font>
    <font>
      <b/>
      <i/>
      <sz val="11"/>
      <color theme="4" tint="-0.499984740745262"/>
      <name val="Calibri"/>
      <family val="2"/>
      <scheme val="minor"/>
    </font>
    <font>
      <b/>
      <i/>
      <sz val="12"/>
      <color theme="4" tint="-0.49998474074526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 "/>
    </font>
    <font>
      <b/>
      <sz val="2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i/>
      <sz val="11"/>
      <color theme="5" tint="-0.499984740745262"/>
      <name val="Calibri"/>
      <family val="2"/>
      <scheme val="minor"/>
    </font>
    <font>
      <b/>
      <i/>
      <sz val="12"/>
      <color theme="5" tint="-0.499984740745262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b/>
      <sz val="10"/>
      <name val="Open Sans"/>
    </font>
    <font>
      <b/>
      <sz val="10"/>
      <color rgb="FF0070C0"/>
      <name val="Open Sans"/>
    </font>
    <font>
      <b/>
      <sz val="10"/>
      <name val="Arial"/>
      <family val="2"/>
    </font>
    <font>
      <b/>
      <sz val="10"/>
      <color rgb="FF00B0F0"/>
      <name val="Arial"/>
      <family val="2"/>
    </font>
    <font>
      <b/>
      <sz val="10"/>
      <color rgb="FF00B05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84" fillId="0" borderId="0" applyNumberFormat="0" applyFill="0" applyBorder="0" applyAlignment="0" applyProtection="0"/>
  </cellStyleXfs>
  <cellXfs count="2002">
    <xf numFmtId="0" fontId="0" fillId="0" borderId="0" xfId="0"/>
    <xf numFmtId="0" fontId="2" fillId="0" borderId="0" xfId="0" applyFont="1"/>
    <xf numFmtId="14" fontId="2" fillId="4" borderId="17" xfId="0" applyNumberFormat="1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164" fontId="2" fillId="4" borderId="19" xfId="0" applyNumberFormat="1" applyFont="1" applyFill="1" applyBorder="1" applyAlignment="1">
      <alignment horizontal="right"/>
    </xf>
    <xf numFmtId="14" fontId="2" fillId="0" borderId="14" xfId="0" applyNumberFormat="1" applyFont="1" applyBorder="1" applyAlignment="1">
      <alignment horizontal="center"/>
    </xf>
    <xf numFmtId="14" fontId="2" fillId="0" borderId="15" xfId="0" applyNumberFormat="1" applyFont="1" applyBorder="1" applyAlignment="1">
      <alignment horizontal="center"/>
    </xf>
    <xf numFmtId="0" fontId="2" fillId="0" borderId="15" xfId="0" applyFont="1" applyBorder="1"/>
    <xf numFmtId="0" fontId="2" fillId="0" borderId="15" xfId="0" applyFont="1" applyBorder="1" applyAlignment="1">
      <alignment horizontal="center"/>
    </xf>
    <xf numFmtId="9" fontId="2" fillId="0" borderId="15" xfId="0" applyNumberFormat="1" applyFont="1" applyBorder="1" applyAlignment="1">
      <alignment horizontal="center"/>
    </xf>
    <xf numFmtId="164" fontId="2" fillId="0" borderId="16" xfId="0" applyNumberFormat="1" applyFont="1" applyBorder="1" applyAlignment="1">
      <alignment horizontal="right"/>
    </xf>
    <xf numFmtId="14" fontId="2" fillId="0" borderId="5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right"/>
    </xf>
    <xf numFmtId="164" fontId="3" fillId="3" borderId="7" xfId="0" applyNumberFormat="1" applyFont="1" applyFill="1" applyBorder="1" applyAlignment="1">
      <alignment horizontal="right"/>
    </xf>
    <xf numFmtId="14" fontId="2" fillId="4" borderId="5" xfId="0" applyNumberFormat="1" applyFont="1" applyFill="1" applyBorder="1"/>
    <xf numFmtId="1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4" borderId="6" xfId="0" applyNumberFormat="1" applyFont="1" applyFill="1" applyBorder="1"/>
    <xf numFmtId="14" fontId="2" fillId="0" borderId="5" xfId="0" applyNumberFormat="1" applyFont="1" applyBorder="1"/>
    <xf numFmtId="164" fontId="2" fillId="0" borderId="6" xfId="0" applyNumberFormat="1" applyFont="1" applyBorder="1"/>
    <xf numFmtId="164" fontId="3" fillId="3" borderId="7" xfId="0" applyNumberFormat="1" applyFont="1" applyFill="1" applyBorder="1"/>
    <xf numFmtId="0" fontId="2" fillId="4" borderId="6" xfId="0" applyFont="1" applyFill="1" applyBorder="1"/>
    <xf numFmtId="14" fontId="2" fillId="0" borderId="1" xfId="0" applyNumberFormat="1" applyFont="1" applyBorder="1"/>
    <xf numFmtId="9" fontId="2" fillId="0" borderId="1" xfId="0" applyNumberFormat="1" applyFont="1" applyBorder="1"/>
    <xf numFmtId="0" fontId="2" fillId="0" borderId="6" xfId="0" applyFont="1" applyBorder="1"/>
    <xf numFmtId="0" fontId="3" fillId="3" borderId="7" xfId="0" applyFont="1" applyFill="1" applyBorder="1"/>
    <xf numFmtId="14" fontId="2" fillId="4" borderId="17" xfId="0" applyNumberFormat="1" applyFont="1" applyFill="1" applyBorder="1"/>
    <xf numFmtId="14" fontId="2" fillId="0" borderId="14" xfId="0" applyNumberFormat="1" applyFont="1" applyBorder="1"/>
    <xf numFmtId="14" fontId="2" fillId="0" borderId="15" xfId="0" applyNumberFormat="1" applyFont="1" applyBorder="1"/>
    <xf numFmtId="8" fontId="2" fillId="0" borderId="6" xfId="0" applyNumberFormat="1" applyFont="1" applyBorder="1"/>
    <xf numFmtId="10" fontId="2" fillId="0" borderId="1" xfId="0" applyNumberFormat="1" applyFont="1" applyBorder="1"/>
    <xf numFmtId="0" fontId="1" fillId="2" borderId="0" xfId="0" applyFont="1" applyFill="1" applyAlignment="1">
      <alignment horizontal="center"/>
    </xf>
    <xf numFmtId="0" fontId="3" fillId="3" borderId="0" xfId="0" applyFont="1" applyFill="1"/>
    <xf numFmtId="8" fontId="2" fillId="0" borderId="26" xfId="0" applyNumberFormat="1" applyFont="1" applyBorder="1" applyAlignment="1">
      <alignment horizontal="center"/>
    </xf>
    <xf numFmtId="8" fontId="2" fillId="0" borderId="27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8" fontId="2" fillId="0" borderId="24" xfId="0" applyNumberFormat="1" applyFont="1" applyBorder="1" applyAlignment="1">
      <alignment horizontal="center"/>
    </xf>
    <xf numFmtId="8" fontId="2" fillId="0" borderId="25" xfId="0" applyNumberFormat="1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2" fillId="0" borderId="28" xfId="0" applyFont="1" applyBorder="1"/>
    <xf numFmtId="0" fontId="2" fillId="0" borderId="35" xfId="0" applyFont="1" applyBorder="1"/>
    <xf numFmtId="9" fontId="2" fillId="0" borderId="1" xfId="0" applyNumberFormat="1" applyFont="1" applyBorder="1" applyAlignment="1">
      <alignment horizontal="right"/>
    </xf>
    <xf numFmtId="0" fontId="2" fillId="0" borderId="29" xfId="0" applyFont="1" applyBorder="1"/>
    <xf numFmtId="0" fontId="2" fillId="0" borderId="30" xfId="0" applyFont="1" applyBorder="1"/>
    <xf numFmtId="0" fontId="2" fillId="2" borderId="28" xfId="0" applyFont="1" applyFill="1" applyBorder="1"/>
    <xf numFmtId="0" fontId="2" fillId="2" borderId="0" xfId="0" applyFont="1" applyFill="1"/>
    <xf numFmtId="0" fontId="2" fillId="2" borderId="35" xfId="0" applyFont="1" applyFill="1" applyBorder="1"/>
    <xf numFmtId="0" fontId="2" fillId="0" borderId="31" xfId="0" applyFont="1" applyBorder="1"/>
    <xf numFmtId="9" fontId="2" fillId="0" borderId="15" xfId="1" applyFont="1" applyBorder="1"/>
    <xf numFmtId="9" fontId="2" fillId="0" borderId="1" xfId="1" applyFont="1" applyBorder="1"/>
    <xf numFmtId="165" fontId="2" fillId="4" borderId="19" xfId="0" applyNumberFormat="1" applyFont="1" applyFill="1" applyBorder="1"/>
    <xf numFmtId="165" fontId="2" fillId="0" borderId="16" xfId="0" applyNumberFormat="1" applyFont="1" applyBorder="1"/>
    <xf numFmtId="165" fontId="2" fillId="0" borderId="6" xfId="0" applyNumberFormat="1" applyFont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5" xfId="0" applyBorder="1"/>
    <xf numFmtId="0" fontId="0" fillId="0" borderId="31" xfId="0" applyBorder="1"/>
    <xf numFmtId="165" fontId="2" fillId="0" borderId="36" xfId="0" applyNumberFormat="1" applyFont="1" applyBorder="1"/>
    <xf numFmtId="0" fontId="0" fillId="0" borderId="37" xfId="0" applyBorder="1"/>
    <xf numFmtId="0" fontId="0" fillId="0" borderId="2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5" xfId="0" applyBorder="1" applyAlignment="1">
      <alignment horizontal="center"/>
    </xf>
    <xf numFmtId="165" fontId="2" fillId="4" borderId="18" xfId="0" applyNumberFormat="1" applyFont="1" applyFill="1" applyBorder="1"/>
    <xf numFmtId="165" fontId="2" fillId="0" borderId="3" xfId="0" applyNumberFormat="1" applyFont="1" applyBorder="1"/>
    <xf numFmtId="165" fontId="2" fillId="0" borderId="38" xfId="0" applyNumberFormat="1" applyFont="1" applyBorder="1"/>
    <xf numFmtId="165" fontId="2" fillId="0" borderId="0" xfId="0" applyNumberFormat="1" applyFont="1"/>
    <xf numFmtId="165" fontId="2" fillId="6" borderId="18" xfId="0" applyNumberFormat="1" applyFont="1" applyFill="1" applyBorder="1"/>
    <xf numFmtId="0" fontId="5" fillId="6" borderId="39" xfId="0" applyFont="1" applyFill="1" applyBorder="1"/>
    <xf numFmtId="165" fontId="2" fillId="0" borderId="41" xfId="0" applyNumberFormat="1" applyFont="1" applyBorder="1"/>
    <xf numFmtId="165" fontId="2" fillId="0" borderId="40" xfId="0" applyNumberFormat="1" applyFont="1" applyBorder="1"/>
    <xf numFmtId="165" fontId="2" fillId="0" borderId="35" xfId="0" applyNumberFormat="1" applyFont="1" applyBorder="1"/>
    <xf numFmtId="165" fontId="2" fillId="0" borderId="30" xfId="0" applyNumberFormat="1" applyFont="1" applyBorder="1"/>
    <xf numFmtId="165" fontId="2" fillId="0" borderId="31" xfId="0" applyNumberFormat="1" applyFont="1" applyBorder="1"/>
    <xf numFmtId="165" fontId="2" fillId="0" borderId="1" xfId="0" applyNumberFormat="1" applyFont="1" applyBorder="1"/>
    <xf numFmtId="165" fontId="2" fillId="0" borderId="15" xfId="0" applyNumberFormat="1" applyFont="1" applyBorder="1"/>
    <xf numFmtId="0" fontId="0" fillId="0" borderId="41" xfId="0" applyBorder="1"/>
    <xf numFmtId="0" fontId="0" fillId="0" borderId="40" xfId="0" applyBorder="1"/>
    <xf numFmtId="14" fontId="2" fillId="0" borderId="5" xfId="0" applyNumberFormat="1" applyFont="1" applyBorder="1" applyAlignment="1">
      <alignment horizontal="right"/>
    </xf>
    <xf numFmtId="165" fontId="2" fillId="4" borderId="39" xfId="0" applyNumberFormat="1" applyFont="1" applyFill="1" applyBorder="1"/>
    <xf numFmtId="165" fontId="2" fillId="0" borderId="11" xfId="0" applyNumberFormat="1" applyFont="1" applyBorder="1"/>
    <xf numFmtId="165" fontId="2" fillId="4" borderId="44" xfId="0" applyNumberFormat="1" applyFont="1" applyFill="1" applyBorder="1"/>
    <xf numFmtId="0" fontId="3" fillId="3" borderId="44" xfId="0" applyFont="1" applyFill="1" applyBorder="1"/>
    <xf numFmtId="14" fontId="2" fillId="0" borderId="24" xfId="0" applyNumberFormat="1" applyFont="1" applyBorder="1"/>
    <xf numFmtId="14" fontId="2" fillId="0" borderId="26" xfId="0" applyNumberFormat="1" applyFont="1" applyBorder="1"/>
    <xf numFmtId="0" fontId="2" fillId="0" borderId="26" xfId="0" applyFont="1" applyBorder="1"/>
    <xf numFmtId="0" fontId="2" fillId="0" borderId="26" xfId="0" applyFont="1" applyBorder="1" applyAlignment="1">
      <alignment horizontal="center"/>
    </xf>
    <xf numFmtId="9" fontId="2" fillId="0" borderId="26" xfId="1" applyFont="1" applyBorder="1"/>
    <xf numFmtId="165" fontId="2" fillId="0" borderId="48" xfId="0" applyNumberFormat="1" applyFont="1" applyBorder="1"/>
    <xf numFmtId="165" fontId="2" fillId="0" borderId="49" xfId="0" applyNumberFormat="1" applyFont="1" applyBorder="1"/>
    <xf numFmtId="165" fontId="2" fillId="0" borderId="50" xfId="0" applyNumberFormat="1" applyFont="1" applyBorder="1"/>
    <xf numFmtId="165" fontId="2" fillId="0" borderId="51" xfId="0" applyNumberFormat="1" applyFont="1" applyBorder="1"/>
    <xf numFmtId="165" fontId="2" fillId="0" borderId="52" xfId="0" applyNumberFormat="1" applyFont="1" applyBorder="1"/>
    <xf numFmtId="44" fontId="3" fillId="3" borderId="44" xfId="2" applyFont="1" applyFill="1" applyBorder="1"/>
    <xf numFmtId="0" fontId="6" fillId="0" borderId="26" xfId="0" applyFont="1" applyBorder="1"/>
    <xf numFmtId="165" fontId="2" fillId="0" borderId="53" xfId="0" applyNumberFormat="1" applyFont="1" applyBorder="1"/>
    <xf numFmtId="165" fontId="2" fillId="0" borderId="54" xfId="2" applyNumberFormat="1" applyFont="1" applyBorder="1"/>
    <xf numFmtId="165" fontId="2" fillId="0" borderId="23" xfId="2" applyNumberFormat="1" applyFont="1" applyBorder="1"/>
    <xf numFmtId="165" fontId="2" fillId="0" borderId="32" xfId="2" applyNumberFormat="1" applyFont="1" applyBorder="1"/>
    <xf numFmtId="165" fontId="2" fillId="0" borderId="8" xfId="2" applyNumberFormat="1" applyFont="1" applyBorder="1"/>
    <xf numFmtId="165" fontId="3" fillId="3" borderId="44" xfId="2" applyNumberFormat="1" applyFont="1" applyFill="1" applyBorder="1"/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7" fillId="4" borderId="35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14" fontId="2" fillId="4" borderId="25" xfId="0" applyNumberFormat="1" applyFont="1" applyFill="1" applyBorder="1"/>
    <xf numFmtId="0" fontId="2" fillId="4" borderId="27" xfId="0" applyFont="1" applyFill="1" applyBorder="1" applyAlignment="1">
      <alignment horizontal="center"/>
    </xf>
    <xf numFmtId="165" fontId="2" fillId="4" borderId="37" xfId="0" applyNumberFormat="1" applyFont="1" applyFill="1" applyBorder="1"/>
    <xf numFmtId="0" fontId="2" fillId="4" borderId="0" xfId="0" applyFont="1" applyFill="1" applyAlignment="1">
      <alignment horizontal="center"/>
    </xf>
    <xf numFmtId="0" fontId="2" fillId="4" borderId="27" xfId="0" applyFont="1" applyFill="1" applyBorder="1" applyAlignment="1">
      <alignment horizontal="left"/>
    </xf>
    <xf numFmtId="9" fontId="2" fillId="4" borderId="27" xfId="0" applyNumberFormat="1" applyFont="1" applyFill="1" applyBorder="1" applyAlignment="1">
      <alignment horizontal="right"/>
    </xf>
    <xf numFmtId="0" fontId="2" fillId="4" borderId="27" xfId="0" applyFont="1" applyFill="1" applyBorder="1"/>
    <xf numFmtId="14" fontId="2" fillId="4" borderId="27" xfId="0" applyNumberFormat="1" applyFont="1" applyFill="1" applyBorder="1" applyAlignment="1">
      <alignment horizontal="right"/>
    </xf>
    <xf numFmtId="165" fontId="2" fillId="4" borderId="55" xfId="0" applyNumberFormat="1" applyFont="1" applyFill="1" applyBorder="1"/>
    <xf numFmtId="14" fontId="2" fillId="4" borderId="1" xfId="0" applyNumberFormat="1" applyFont="1" applyFill="1" applyBorder="1"/>
    <xf numFmtId="14" fontId="2" fillId="4" borderId="1" xfId="0" applyNumberFormat="1" applyFont="1" applyFill="1" applyBorder="1" applyAlignment="1">
      <alignment horizontal="righ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9" fontId="2" fillId="4" borderId="1" xfId="0" applyNumberFormat="1" applyFont="1" applyFill="1" applyBorder="1" applyAlignment="1">
      <alignment horizontal="right"/>
    </xf>
    <xf numFmtId="165" fontId="2" fillId="4" borderId="1" xfId="0" applyNumberFormat="1" applyFont="1" applyFill="1" applyBorder="1"/>
    <xf numFmtId="165" fontId="2" fillId="0" borderId="1" xfId="2" applyNumberFormat="1" applyFont="1" applyBorder="1"/>
    <xf numFmtId="0" fontId="2" fillId="4" borderId="11" xfId="0" applyFont="1" applyFill="1" applyBorder="1" applyAlignment="1">
      <alignment horizontal="center"/>
    </xf>
    <xf numFmtId="165" fontId="3" fillId="3" borderId="44" xfId="0" applyNumberFormat="1" applyFont="1" applyFill="1" applyBorder="1"/>
    <xf numFmtId="14" fontId="2" fillId="4" borderId="35" xfId="0" applyNumberFormat="1" applyFont="1" applyFill="1" applyBorder="1"/>
    <xf numFmtId="165" fontId="2" fillId="4" borderId="0" xfId="0" applyNumberFormat="1" applyFont="1" applyFill="1"/>
    <xf numFmtId="165" fontId="2" fillId="0" borderId="29" xfId="2" applyNumberFormat="1" applyFont="1" applyBorder="1"/>
    <xf numFmtId="165" fontId="8" fillId="0" borderId="11" xfId="0" applyNumberFormat="1" applyFont="1" applyBorder="1"/>
    <xf numFmtId="0" fontId="5" fillId="0" borderId="1" xfId="0" applyFont="1" applyBorder="1"/>
    <xf numFmtId="0" fontId="6" fillId="0" borderId="1" xfId="0" applyFont="1" applyBorder="1"/>
    <xf numFmtId="14" fontId="6" fillId="0" borderId="5" xfId="0" applyNumberFormat="1" applyFont="1" applyBorder="1"/>
    <xf numFmtId="0" fontId="2" fillId="0" borderId="27" xfId="0" applyFont="1" applyBorder="1"/>
    <xf numFmtId="0" fontId="0" fillId="0" borderId="56" xfId="0" applyBorder="1"/>
    <xf numFmtId="0" fontId="2" fillId="0" borderId="57" xfId="0" applyFont="1" applyBorder="1"/>
    <xf numFmtId="0" fontId="2" fillId="0" borderId="58" xfId="0" applyFont="1" applyBorder="1"/>
    <xf numFmtId="165" fontId="2" fillId="4" borderId="18" xfId="0" applyNumberFormat="1" applyFont="1" applyFill="1" applyBorder="1" applyAlignment="1">
      <alignment horizontal="center"/>
    </xf>
    <xf numFmtId="165" fontId="0" fillId="0" borderId="0" xfId="0" applyNumberFormat="1"/>
    <xf numFmtId="14" fontId="3" fillId="3" borderId="47" xfId="0" applyNumberFormat="1" applyFont="1" applyFill="1" applyBorder="1"/>
    <xf numFmtId="44" fontId="2" fillId="0" borderId="15" xfId="2" applyFont="1" applyBorder="1"/>
    <xf numFmtId="44" fontId="2" fillId="0" borderId="1" xfId="2" applyFont="1" applyBorder="1"/>
    <xf numFmtId="44" fontId="2" fillId="0" borderId="26" xfId="2" applyFont="1" applyBorder="1"/>
    <xf numFmtId="44" fontId="3" fillId="3" borderId="46" xfId="2" applyFont="1" applyFill="1" applyBorder="1" applyAlignment="1"/>
    <xf numFmtId="14" fontId="6" fillId="0" borderId="1" xfId="0" applyNumberFormat="1" applyFont="1" applyBorder="1"/>
    <xf numFmtId="0" fontId="6" fillId="0" borderId="1" xfId="0" applyFont="1" applyBorder="1" applyAlignment="1">
      <alignment horizontal="center"/>
    </xf>
    <xf numFmtId="44" fontId="6" fillId="0" borderId="1" xfId="2" applyFont="1" applyBorder="1"/>
    <xf numFmtId="9" fontId="6" fillId="0" borderId="1" xfId="1" applyFont="1" applyBorder="1"/>
    <xf numFmtId="165" fontId="6" fillId="0" borderId="11" xfId="0" applyNumberFormat="1" applyFont="1" applyBorder="1"/>
    <xf numFmtId="165" fontId="6" fillId="0" borderId="23" xfId="2" applyNumberFormat="1" applyFont="1" applyBorder="1"/>
    <xf numFmtId="9" fontId="2" fillId="0" borderId="1" xfId="1" applyFont="1" applyBorder="1" applyAlignment="1">
      <alignment horizontal="center"/>
    </xf>
    <xf numFmtId="9" fontId="2" fillId="0" borderId="1" xfId="1" applyFont="1" applyBorder="1" applyAlignment="1">
      <alignment horizontal="right"/>
    </xf>
    <xf numFmtId="9" fontId="2" fillId="0" borderId="26" xfId="1" quotePrefix="1" applyFont="1" applyBorder="1"/>
    <xf numFmtId="165" fontId="2" fillId="0" borderId="54" xfId="1" applyNumberFormat="1" applyFont="1" applyBorder="1"/>
    <xf numFmtId="165" fontId="2" fillId="0" borderId="23" xfId="1" applyNumberFormat="1" applyFont="1" applyBorder="1"/>
    <xf numFmtId="165" fontId="2" fillId="0" borderId="32" xfId="1" applyNumberFormat="1" applyFont="1" applyBorder="1"/>
    <xf numFmtId="165" fontId="2" fillId="0" borderId="8" xfId="1" applyNumberFormat="1" applyFont="1" applyBorder="1"/>
    <xf numFmtId="0" fontId="11" fillId="0" borderId="1" xfId="0" applyFont="1" applyBorder="1"/>
    <xf numFmtId="0" fontId="0" fillId="0" borderId="1" xfId="0" applyBorder="1" applyAlignment="1">
      <alignment horizontal="center"/>
    </xf>
    <xf numFmtId="44" fontId="3" fillId="3" borderId="42" xfId="2" applyFont="1" applyFill="1" applyBorder="1" applyAlignment="1"/>
    <xf numFmtId="14" fontId="3" fillId="3" borderId="60" xfId="0" applyNumberFormat="1" applyFont="1" applyFill="1" applyBorder="1"/>
    <xf numFmtId="165" fontId="3" fillId="3" borderId="61" xfId="0" applyNumberFormat="1" applyFont="1" applyFill="1" applyBorder="1"/>
    <xf numFmtId="165" fontId="3" fillId="3" borderId="61" xfId="2" applyNumberFormat="1" applyFont="1" applyFill="1" applyBorder="1"/>
    <xf numFmtId="165" fontId="2" fillId="0" borderId="1" xfId="1" applyNumberFormat="1" applyFont="1" applyBorder="1"/>
    <xf numFmtId="0" fontId="2" fillId="2" borderId="26" xfId="0" applyFont="1" applyFill="1" applyBorder="1"/>
    <xf numFmtId="0" fontId="2" fillId="5" borderId="26" xfId="0" applyFont="1" applyFill="1" applyBorder="1"/>
    <xf numFmtId="165" fontId="2" fillId="2" borderId="11" xfId="0" applyNumberFormat="1" applyFont="1" applyFill="1" applyBorder="1"/>
    <xf numFmtId="14" fontId="2" fillId="2" borderId="5" xfId="0" applyNumberFormat="1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44" fontId="2" fillId="2" borderId="1" xfId="2" applyFont="1" applyFill="1" applyBorder="1"/>
    <xf numFmtId="9" fontId="2" fillId="2" borderId="1" xfId="1" applyFont="1" applyFill="1" applyBorder="1"/>
    <xf numFmtId="165" fontId="2" fillId="2" borderId="23" xfId="1" applyNumberFormat="1" applyFont="1" applyFill="1" applyBorder="1"/>
    <xf numFmtId="14" fontId="2" fillId="2" borderId="1" xfId="0" applyNumberFormat="1" applyFont="1" applyFill="1" applyBorder="1" applyAlignment="1">
      <alignment horizontal="center"/>
    </xf>
    <xf numFmtId="0" fontId="2" fillId="5" borderId="58" xfId="0" applyFont="1" applyFill="1" applyBorder="1"/>
    <xf numFmtId="14" fontId="2" fillId="7" borderId="1" xfId="0" applyNumberFormat="1" applyFont="1" applyFill="1" applyBorder="1"/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44" fontId="2" fillId="7" borderId="1" xfId="2" applyFont="1" applyFill="1" applyBorder="1"/>
    <xf numFmtId="9" fontId="2" fillId="7" borderId="1" xfId="1" applyFont="1" applyFill="1" applyBorder="1"/>
    <xf numFmtId="165" fontId="2" fillId="7" borderId="11" xfId="0" applyNumberFormat="1" applyFont="1" applyFill="1" applyBorder="1"/>
    <xf numFmtId="165" fontId="2" fillId="7" borderId="23" xfId="1" applyNumberFormat="1" applyFont="1" applyFill="1" applyBorder="1"/>
    <xf numFmtId="14" fontId="2" fillId="8" borderId="24" xfId="0" applyNumberFormat="1" applyFont="1" applyFill="1" applyBorder="1"/>
    <xf numFmtId="14" fontId="2" fillId="8" borderId="26" xfId="0" applyNumberFormat="1" applyFont="1" applyFill="1" applyBorder="1"/>
    <xf numFmtId="0" fontId="2" fillId="8" borderId="26" xfId="0" applyFont="1" applyFill="1" applyBorder="1"/>
    <xf numFmtId="0" fontId="2" fillId="8" borderId="26" xfId="0" applyFont="1" applyFill="1" applyBorder="1" applyAlignment="1">
      <alignment horizontal="center"/>
    </xf>
    <xf numFmtId="44" fontId="2" fillId="8" borderId="26" xfId="2" applyFont="1" applyFill="1" applyBorder="1"/>
    <xf numFmtId="9" fontId="2" fillId="8" borderId="26" xfId="1" applyFont="1" applyFill="1" applyBorder="1"/>
    <xf numFmtId="165" fontId="2" fillId="8" borderId="48" xfId="0" applyNumberFormat="1" applyFont="1" applyFill="1" applyBorder="1"/>
    <xf numFmtId="165" fontId="2" fillId="8" borderId="32" xfId="1" applyNumberFormat="1" applyFont="1" applyFill="1" applyBorder="1"/>
    <xf numFmtId="165" fontId="2" fillId="9" borderId="11" xfId="0" applyNumberFormat="1" applyFont="1" applyFill="1" applyBorder="1"/>
    <xf numFmtId="165" fontId="2" fillId="9" borderId="23" xfId="1" applyNumberFormat="1" applyFont="1" applyFill="1" applyBorder="1"/>
    <xf numFmtId="14" fontId="2" fillId="9" borderId="5" xfId="0" applyNumberFormat="1" applyFont="1" applyFill="1" applyBorder="1" applyAlignment="1">
      <alignment horizontal="right"/>
    </xf>
    <xf numFmtId="14" fontId="2" fillId="9" borderId="1" xfId="0" applyNumberFormat="1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44" fontId="2" fillId="9" borderId="1" xfId="2" applyFont="1" applyFill="1" applyBorder="1"/>
    <xf numFmtId="9" fontId="2" fillId="9" borderId="1" xfId="1" applyFont="1" applyFill="1" applyBorder="1"/>
    <xf numFmtId="14" fontId="2" fillId="7" borderId="5" xfId="0" applyNumberFormat="1" applyFont="1" applyFill="1" applyBorder="1" applyAlignment="1">
      <alignment horizontal="right"/>
    </xf>
    <xf numFmtId="14" fontId="2" fillId="9" borderId="5" xfId="0" applyNumberFormat="1" applyFont="1" applyFill="1" applyBorder="1"/>
    <xf numFmtId="0" fontId="11" fillId="9" borderId="1" xfId="0" applyFont="1" applyFill="1" applyBorder="1"/>
    <xf numFmtId="0" fontId="0" fillId="7" borderId="11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14" fontId="2" fillId="5" borderId="24" xfId="0" applyNumberFormat="1" applyFont="1" applyFill="1" applyBorder="1"/>
    <xf numFmtId="14" fontId="2" fillId="5" borderId="26" xfId="0" applyNumberFormat="1" applyFont="1" applyFill="1" applyBorder="1"/>
    <xf numFmtId="0" fontId="2" fillId="5" borderId="26" xfId="0" applyFont="1" applyFill="1" applyBorder="1" applyAlignment="1">
      <alignment horizontal="center"/>
    </xf>
    <xf numFmtId="44" fontId="2" fillId="5" borderId="26" xfId="2" applyFont="1" applyFill="1" applyBorder="1"/>
    <xf numFmtId="9" fontId="2" fillId="5" borderId="26" xfId="1" applyFont="1" applyFill="1" applyBorder="1"/>
    <xf numFmtId="165" fontId="2" fillId="5" borderId="48" xfId="0" applyNumberFormat="1" applyFont="1" applyFill="1" applyBorder="1"/>
    <xf numFmtId="165" fontId="2" fillId="5" borderId="32" xfId="1" applyNumberFormat="1" applyFont="1" applyFill="1" applyBorder="1"/>
    <xf numFmtId="165" fontId="2" fillId="5" borderId="11" xfId="0" applyNumberFormat="1" applyFont="1" applyFill="1" applyBorder="1"/>
    <xf numFmtId="165" fontId="2" fillId="5" borderId="23" xfId="1" applyNumberFormat="1" applyFont="1" applyFill="1" applyBorder="1"/>
    <xf numFmtId="14" fontId="2" fillId="5" borderId="5" xfId="0" applyNumberFormat="1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44" fontId="2" fillId="5" borderId="1" xfId="2" applyFont="1" applyFill="1" applyBorder="1"/>
    <xf numFmtId="9" fontId="2" fillId="5" borderId="1" xfId="1" applyFont="1" applyFill="1" applyBorder="1"/>
    <xf numFmtId="14" fontId="2" fillId="5" borderId="1" xfId="0" applyNumberFormat="1" applyFont="1" applyFill="1" applyBorder="1"/>
    <xf numFmtId="9" fontId="2" fillId="5" borderId="26" xfId="1" quotePrefix="1" applyFont="1" applyFill="1" applyBorder="1"/>
    <xf numFmtId="0" fontId="0" fillId="5" borderId="11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right"/>
    </xf>
    <xf numFmtId="14" fontId="2" fillId="9" borderId="24" xfId="0" applyNumberFormat="1" applyFont="1" applyFill="1" applyBorder="1"/>
    <xf numFmtId="14" fontId="2" fillId="9" borderId="26" xfId="0" applyNumberFormat="1" applyFont="1" applyFill="1" applyBorder="1"/>
    <xf numFmtId="0" fontId="2" fillId="9" borderId="26" xfId="0" applyFont="1" applyFill="1" applyBorder="1" applyAlignment="1">
      <alignment horizontal="center"/>
    </xf>
    <xf numFmtId="0" fontId="2" fillId="9" borderId="26" xfId="0" applyFont="1" applyFill="1" applyBorder="1"/>
    <xf numFmtId="44" fontId="2" fillId="9" borderId="26" xfId="2" applyFont="1" applyFill="1" applyBorder="1"/>
    <xf numFmtId="9" fontId="2" fillId="9" borderId="26" xfId="1" applyFont="1" applyFill="1" applyBorder="1"/>
    <xf numFmtId="165" fontId="2" fillId="9" borderId="48" xfId="0" applyNumberFormat="1" applyFont="1" applyFill="1" applyBorder="1"/>
    <xf numFmtId="165" fontId="2" fillId="9" borderId="32" xfId="1" applyNumberFormat="1" applyFont="1" applyFill="1" applyBorder="1"/>
    <xf numFmtId="0" fontId="5" fillId="9" borderId="11" xfId="0" applyFont="1" applyFill="1" applyBorder="1" applyAlignment="1">
      <alignment horizontal="center"/>
    </xf>
    <xf numFmtId="0" fontId="5" fillId="9" borderId="13" xfId="0" applyFont="1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14" fontId="12" fillId="0" borderId="24" xfId="0" applyNumberFormat="1" applyFont="1" applyBorder="1"/>
    <xf numFmtId="14" fontId="12" fillId="0" borderId="26" xfId="0" applyNumberFormat="1" applyFont="1" applyBorder="1"/>
    <xf numFmtId="0" fontId="12" fillId="0" borderId="26" xfId="0" applyFont="1" applyBorder="1"/>
    <xf numFmtId="0" fontId="12" fillId="0" borderId="26" xfId="0" applyFont="1" applyBorder="1" applyAlignment="1">
      <alignment horizontal="center"/>
    </xf>
    <xf numFmtId="44" fontId="12" fillId="0" borderId="26" xfId="2" applyFont="1" applyBorder="1"/>
    <xf numFmtId="9" fontId="12" fillId="0" borderId="26" xfId="1" applyFont="1" applyBorder="1"/>
    <xf numFmtId="165" fontId="12" fillId="0" borderId="48" xfId="0" applyNumberFormat="1" applyFont="1" applyBorder="1"/>
    <xf numFmtId="165" fontId="12" fillId="0" borderId="32" xfId="1" applyNumberFormat="1" applyFont="1" applyBorder="1"/>
    <xf numFmtId="14" fontId="14" fillId="0" borderId="24" xfId="0" applyNumberFormat="1" applyFont="1" applyBorder="1"/>
    <xf numFmtId="14" fontId="14" fillId="0" borderId="26" xfId="0" applyNumberFormat="1" applyFont="1" applyBorder="1"/>
    <xf numFmtId="0" fontId="14" fillId="0" borderId="26" xfId="0" applyFont="1" applyBorder="1"/>
    <xf numFmtId="0" fontId="14" fillId="0" borderId="26" xfId="0" applyFont="1" applyBorder="1" applyAlignment="1">
      <alignment horizontal="center"/>
    </xf>
    <xf numFmtId="44" fontId="14" fillId="0" borderId="26" xfId="2" applyFont="1" applyBorder="1"/>
    <xf numFmtId="9" fontId="14" fillId="0" borderId="26" xfId="1" applyFont="1" applyBorder="1"/>
    <xf numFmtId="165" fontId="14" fillId="0" borderId="48" xfId="0" applyNumberFormat="1" applyFont="1" applyBorder="1"/>
    <xf numFmtId="165" fontId="14" fillId="0" borderId="32" xfId="1" applyNumberFormat="1" applyFont="1" applyBorder="1"/>
    <xf numFmtId="0" fontId="14" fillId="0" borderId="0" xfId="0" applyFont="1"/>
    <xf numFmtId="14" fontId="12" fillId="5" borderId="24" xfId="0" applyNumberFormat="1" applyFont="1" applyFill="1" applyBorder="1"/>
    <xf numFmtId="14" fontId="12" fillId="5" borderId="26" xfId="0" applyNumberFormat="1" applyFont="1" applyFill="1" applyBorder="1"/>
    <xf numFmtId="0" fontId="12" fillId="5" borderId="26" xfId="0" applyFont="1" applyFill="1" applyBorder="1"/>
    <xf numFmtId="0" fontId="12" fillId="5" borderId="26" xfId="0" applyFont="1" applyFill="1" applyBorder="1" applyAlignment="1">
      <alignment horizontal="center"/>
    </xf>
    <xf numFmtId="44" fontId="12" fillId="5" borderId="26" xfId="2" applyFont="1" applyFill="1" applyBorder="1"/>
    <xf numFmtId="9" fontId="12" fillId="5" borderId="26" xfId="1" applyFont="1" applyFill="1" applyBorder="1"/>
    <xf numFmtId="165" fontId="12" fillId="5" borderId="48" xfId="0" applyNumberFormat="1" applyFont="1" applyFill="1" applyBorder="1"/>
    <xf numFmtId="165" fontId="12" fillId="5" borderId="32" xfId="1" applyNumberFormat="1" applyFont="1" applyFill="1" applyBorder="1"/>
    <xf numFmtId="0" fontId="13" fillId="0" borderId="11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14" fontId="5" fillId="0" borderId="24" xfId="0" applyNumberFormat="1" applyFont="1" applyBorder="1"/>
    <xf numFmtId="14" fontId="5" fillId="0" borderId="26" xfId="0" applyNumberFormat="1" applyFont="1" applyBorder="1"/>
    <xf numFmtId="0" fontId="5" fillId="0" borderId="26" xfId="0" applyFont="1" applyBorder="1"/>
    <xf numFmtId="0" fontId="5" fillId="0" borderId="26" xfId="0" applyFont="1" applyBorder="1" applyAlignment="1">
      <alignment horizontal="center"/>
    </xf>
    <xf numFmtId="44" fontId="5" fillId="0" borderId="26" xfId="2" applyFont="1" applyBorder="1"/>
    <xf numFmtId="9" fontId="5" fillId="0" borderId="26" xfId="1" applyFont="1" applyBorder="1"/>
    <xf numFmtId="165" fontId="5" fillId="0" borderId="48" xfId="0" applyNumberFormat="1" applyFont="1" applyBorder="1"/>
    <xf numFmtId="165" fontId="5" fillId="0" borderId="32" xfId="1" applyNumberFormat="1" applyFont="1" applyBorder="1"/>
    <xf numFmtId="0" fontId="14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14" fontId="11" fillId="5" borderId="26" xfId="0" applyNumberFormat="1" applyFont="1" applyFill="1" applyBorder="1"/>
    <xf numFmtId="14" fontId="14" fillId="5" borderId="24" xfId="0" applyNumberFormat="1" applyFont="1" applyFill="1" applyBorder="1"/>
    <xf numFmtId="14" fontId="14" fillId="5" borderId="26" xfId="0" applyNumberFormat="1" applyFont="1" applyFill="1" applyBorder="1"/>
    <xf numFmtId="0" fontId="14" fillId="5" borderId="26" xfId="0" applyFont="1" applyFill="1" applyBorder="1"/>
    <xf numFmtId="0" fontId="14" fillId="5" borderId="26" xfId="0" applyFont="1" applyFill="1" applyBorder="1" applyAlignment="1">
      <alignment horizontal="center"/>
    </xf>
    <xf numFmtId="44" fontId="14" fillId="5" borderId="26" xfId="2" applyFont="1" applyFill="1" applyBorder="1"/>
    <xf numFmtId="9" fontId="14" fillId="5" borderId="26" xfId="1" quotePrefix="1" applyFont="1" applyFill="1" applyBorder="1"/>
    <xf numFmtId="165" fontId="14" fillId="5" borderId="48" xfId="0" applyNumberFormat="1" applyFont="1" applyFill="1" applyBorder="1"/>
    <xf numFmtId="165" fontId="14" fillId="5" borderId="32" xfId="1" applyNumberFormat="1" applyFont="1" applyFill="1" applyBorder="1"/>
    <xf numFmtId="165" fontId="2" fillId="0" borderId="32" xfId="1" quotePrefix="1" applyNumberFormat="1" applyFont="1" applyBorder="1"/>
    <xf numFmtId="165" fontId="16" fillId="0" borderId="32" xfId="1" applyNumberFormat="1" applyFont="1" applyBorder="1"/>
    <xf numFmtId="0" fontId="2" fillId="5" borderId="27" xfId="0" applyFont="1" applyFill="1" applyBorder="1"/>
    <xf numFmtId="14" fontId="15" fillId="5" borderId="24" xfId="0" applyNumberFormat="1" applyFont="1" applyFill="1" applyBorder="1"/>
    <xf numFmtId="14" fontId="15" fillId="5" borderId="26" xfId="0" applyNumberFormat="1" applyFont="1" applyFill="1" applyBorder="1"/>
    <xf numFmtId="0" fontId="15" fillId="5" borderId="26" xfId="0" applyFont="1" applyFill="1" applyBorder="1" applyAlignment="1">
      <alignment horizontal="center"/>
    </xf>
    <xf numFmtId="0" fontId="15" fillId="5" borderId="26" xfId="0" applyFont="1" applyFill="1" applyBorder="1"/>
    <xf numFmtId="44" fontId="15" fillId="5" borderId="26" xfId="2" applyFont="1" applyFill="1" applyBorder="1"/>
    <xf numFmtId="9" fontId="15" fillId="5" borderId="26" xfId="1" applyFont="1" applyFill="1" applyBorder="1"/>
    <xf numFmtId="165" fontId="15" fillId="5" borderId="48" xfId="0" applyNumberFormat="1" applyFont="1" applyFill="1" applyBorder="1"/>
    <xf numFmtId="165" fontId="15" fillId="5" borderId="32" xfId="1" applyNumberFormat="1" applyFont="1" applyFill="1" applyBorder="1"/>
    <xf numFmtId="0" fontId="10" fillId="0" borderId="11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14" fontId="6" fillId="0" borderId="24" xfId="0" applyNumberFormat="1" applyFont="1" applyBorder="1"/>
    <xf numFmtId="14" fontId="6" fillId="0" borderId="26" xfId="0" applyNumberFormat="1" applyFont="1" applyBorder="1"/>
    <xf numFmtId="0" fontId="6" fillId="0" borderId="26" xfId="0" applyFont="1" applyBorder="1" applyAlignment="1">
      <alignment horizontal="center"/>
    </xf>
    <xf numFmtId="44" fontId="6" fillId="0" borderId="26" xfId="2" applyFont="1" applyBorder="1"/>
    <xf numFmtId="9" fontId="6" fillId="0" borderId="26" xfId="1" applyFont="1" applyBorder="1"/>
    <xf numFmtId="165" fontId="6" fillId="0" borderId="48" xfId="0" applyNumberFormat="1" applyFont="1" applyBorder="1"/>
    <xf numFmtId="165" fontId="6" fillId="0" borderId="32" xfId="1" applyNumberFormat="1" applyFont="1" applyBorder="1"/>
    <xf numFmtId="0" fontId="12" fillId="0" borderId="58" xfId="0" applyFont="1" applyBorder="1"/>
    <xf numFmtId="14" fontId="2" fillId="10" borderId="15" xfId="0" applyNumberFormat="1" applyFont="1" applyFill="1" applyBorder="1"/>
    <xf numFmtId="0" fontId="2" fillId="10" borderId="1" xfId="0" applyFont="1" applyFill="1" applyBorder="1"/>
    <xf numFmtId="0" fontId="13" fillId="5" borderId="11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9" fontId="2" fillId="0" borderId="26" xfId="1" applyFont="1" applyBorder="1" applyAlignment="1">
      <alignment horizontal="center"/>
    </xf>
    <xf numFmtId="165" fontId="2" fillId="5" borderId="1" xfId="2" applyNumberFormat="1" applyFont="1" applyFill="1" applyBorder="1"/>
    <xf numFmtId="9" fontId="12" fillId="5" borderId="26" xfId="1" quotePrefix="1" applyFont="1" applyFill="1" applyBorder="1"/>
    <xf numFmtId="14" fontId="17" fillId="0" borderId="24" xfId="0" applyNumberFormat="1" applyFont="1" applyBorder="1"/>
    <xf numFmtId="14" fontId="17" fillId="0" borderId="26" xfId="0" applyNumberFormat="1" applyFont="1" applyBorder="1"/>
    <xf numFmtId="0" fontId="17" fillId="0" borderId="26" xfId="0" applyFont="1" applyBorder="1"/>
    <xf numFmtId="0" fontId="17" fillId="0" borderId="26" xfId="0" applyFont="1" applyBorder="1" applyAlignment="1">
      <alignment horizontal="center"/>
    </xf>
    <xf numFmtId="9" fontId="17" fillId="0" borderId="26" xfId="1" applyFont="1" applyBorder="1"/>
    <xf numFmtId="165" fontId="17" fillId="0" borderId="48" xfId="0" applyNumberFormat="1" applyFont="1" applyBorder="1"/>
    <xf numFmtId="165" fontId="17" fillId="0" borderId="32" xfId="1" applyNumberFormat="1" applyFont="1" applyBorder="1"/>
    <xf numFmtId="165" fontId="2" fillId="4" borderId="18" xfId="2" applyNumberFormat="1" applyFont="1" applyFill="1" applyBorder="1" applyAlignment="1">
      <alignment horizontal="center"/>
    </xf>
    <xf numFmtId="165" fontId="2" fillId="5" borderId="26" xfId="2" applyNumberFormat="1" applyFont="1" applyFill="1" applyBorder="1"/>
    <xf numFmtId="165" fontId="12" fillId="5" borderId="26" xfId="2" applyNumberFormat="1" applyFont="1" applyFill="1" applyBorder="1"/>
    <xf numFmtId="165" fontId="2" fillId="0" borderId="26" xfId="2" applyNumberFormat="1" applyFont="1" applyBorder="1"/>
    <xf numFmtId="165" fontId="12" fillId="0" borderId="26" xfId="2" applyNumberFormat="1" applyFont="1" applyBorder="1"/>
    <xf numFmtId="165" fontId="17" fillId="0" borderId="26" xfId="2" applyNumberFormat="1" applyFont="1" applyBorder="1"/>
    <xf numFmtId="165" fontId="2" fillId="4" borderId="45" xfId="0" applyNumberFormat="1" applyFont="1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13" fillId="5" borderId="1" xfId="0" applyFont="1" applyFill="1" applyBorder="1"/>
    <xf numFmtId="0" fontId="0" fillId="0" borderId="1" xfId="0" applyBorder="1"/>
    <xf numFmtId="0" fontId="13" fillId="0" borderId="1" xfId="0" applyFont="1" applyBorder="1" applyAlignment="1">
      <alignment horizontal="center"/>
    </xf>
    <xf numFmtId="0" fontId="17" fillId="0" borderId="1" xfId="0" applyFont="1" applyBorder="1"/>
    <xf numFmtId="165" fontId="3" fillId="3" borderId="42" xfId="2" applyNumberFormat="1" applyFont="1" applyFill="1" applyBorder="1" applyAlignment="1"/>
    <xf numFmtId="44" fontId="5" fillId="0" borderId="1" xfId="2" applyFont="1" applyBorder="1" applyAlignment="1">
      <alignment horizontal="center"/>
    </xf>
    <xf numFmtId="14" fontId="5" fillId="0" borderId="1" xfId="2" applyNumberFormat="1" applyFont="1" applyBorder="1" applyAlignment="1">
      <alignment horizontal="center"/>
    </xf>
    <xf numFmtId="14" fontId="2" fillId="2" borderId="15" xfId="0" applyNumberFormat="1" applyFont="1" applyFill="1" applyBorder="1"/>
    <xf numFmtId="0" fontId="2" fillId="2" borderId="15" xfId="0" applyFont="1" applyFill="1" applyBorder="1"/>
    <xf numFmtId="165" fontId="15" fillId="5" borderId="26" xfId="2" applyNumberFormat="1" applyFont="1" applyFill="1" applyBorder="1"/>
    <xf numFmtId="165" fontId="3" fillId="3" borderId="46" xfId="2" applyNumberFormat="1" applyFont="1" applyFill="1" applyBorder="1" applyAlignment="1"/>
    <xf numFmtId="44" fontId="2" fillId="4" borderId="18" xfId="2" applyFont="1" applyFill="1" applyBorder="1" applyAlignment="1">
      <alignment horizontal="center"/>
    </xf>
    <xf numFmtId="165" fontId="6" fillId="0" borderId="26" xfId="2" applyNumberFormat="1" applyFont="1" applyBorder="1"/>
    <xf numFmtId="0" fontId="10" fillId="0" borderId="1" xfId="0" applyFont="1" applyBorder="1" applyAlignment="1">
      <alignment horizontal="center"/>
    </xf>
    <xf numFmtId="0" fontId="2" fillId="10" borderId="57" xfId="0" applyFont="1" applyFill="1" applyBorder="1"/>
    <xf numFmtId="165" fontId="6" fillId="0" borderId="33" xfId="1" applyNumberFormat="1" applyFont="1" applyBorder="1"/>
    <xf numFmtId="14" fontId="15" fillId="0" borderId="34" xfId="0" applyNumberFormat="1" applyFont="1" applyBorder="1"/>
    <xf numFmtId="14" fontId="15" fillId="0" borderId="26" xfId="0" applyNumberFormat="1" applyFont="1" applyBorder="1"/>
    <xf numFmtId="0" fontId="15" fillId="0" borderId="26" xfId="0" applyFont="1" applyBorder="1"/>
    <xf numFmtId="0" fontId="15" fillId="0" borderId="26" xfId="0" applyFont="1" applyBorder="1" applyAlignment="1">
      <alignment horizontal="center"/>
    </xf>
    <xf numFmtId="165" fontId="15" fillId="0" borderId="26" xfId="2" applyNumberFormat="1" applyFont="1" applyBorder="1"/>
    <xf numFmtId="9" fontId="15" fillId="0" borderId="26" xfId="1" applyFont="1" applyBorder="1"/>
    <xf numFmtId="165" fontId="15" fillId="0" borderId="48" xfId="0" applyNumberFormat="1" applyFont="1" applyBorder="1"/>
    <xf numFmtId="165" fontId="15" fillId="0" borderId="32" xfId="1" applyNumberFormat="1" applyFont="1" applyBorder="1"/>
    <xf numFmtId="14" fontId="15" fillId="0" borderId="24" xfId="0" applyNumberFormat="1" applyFont="1" applyBorder="1" applyAlignment="1">
      <alignment horizontal="right"/>
    </xf>
    <xf numFmtId="0" fontId="2" fillId="2" borderId="27" xfId="0" applyFont="1" applyFill="1" applyBorder="1"/>
    <xf numFmtId="0" fontId="2" fillId="11" borderId="26" xfId="0" applyFont="1" applyFill="1" applyBorder="1"/>
    <xf numFmtId="0" fontId="2" fillId="11" borderId="1" xfId="0" applyFont="1" applyFill="1" applyBorder="1"/>
    <xf numFmtId="14" fontId="2" fillId="11" borderId="1" xfId="0" applyNumberFormat="1" applyFont="1" applyFill="1" applyBorder="1"/>
    <xf numFmtId="0" fontId="6" fillId="0" borderId="57" xfId="0" applyFont="1" applyBorder="1"/>
    <xf numFmtId="0" fontId="2" fillId="2" borderId="58" xfId="0" applyFont="1" applyFill="1" applyBorder="1"/>
    <xf numFmtId="14" fontId="15" fillId="0" borderId="24" xfId="0" applyNumberFormat="1" applyFont="1" applyBorder="1"/>
    <xf numFmtId="14" fontId="2" fillId="5" borderId="5" xfId="0" applyNumberFormat="1" applyFont="1" applyFill="1" applyBorder="1" applyAlignment="1">
      <alignment horizontal="right"/>
    </xf>
    <xf numFmtId="0" fontId="0" fillId="9" borderId="11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12" fillId="0" borderId="1" xfId="0" applyFont="1" applyBorder="1"/>
    <xf numFmtId="0" fontId="2" fillId="9" borderId="58" xfId="0" applyFont="1" applyFill="1" applyBorder="1"/>
    <xf numFmtId="14" fontId="2" fillId="9" borderId="14" xfId="0" applyNumberFormat="1" applyFont="1" applyFill="1" applyBorder="1"/>
    <xf numFmtId="14" fontId="2" fillId="9" borderId="15" xfId="0" applyNumberFormat="1" applyFont="1" applyFill="1" applyBorder="1"/>
    <xf numFmtId="0" fontId="2" fillId="9" borderId="15" xfId="0" applyFont="1" applyFill="1" applyBorder="1" applyAlignment="1">
      <alignment horizontal="center"/>
    </xf>
    <xf numFmtId="0" fontId="2" fillId="9" borderId="15" xfId="0" applyFont="1" applyFill="1" applyBorder="1"/>
    <xf numFmtId="44" fontId="2" fillId="9" borderId="15" xfId="2" applyFont="1" applyFill="1" applyBorder="1"/>
    <xf numFmtId="9" fontId="2" fillId="9" borderId="15" xfId="1" applyFont="1" applyFill="1" applyBorder="1"/>
    <xf numFmtId="165" fontId="2" fillId="5" borderId="1" xfId="1" applyNumberFormat="1" applyFont="1" applyFill="1" applyBorder="1"/>
    <xf numFmtId="165" fontId="12" fillId="5" borderId="26" xfId="1" applyNumberFormat="1" applyFont="1" applyFill="1" applyBorder="1"/>
    <xf numFmtId="165" fontId="2" fillId="5" borderId="26" xfId="1" applyNumberFormat="1" applyFont="1" applyFill="1" applyBorder="1"/>
    <xf numFmtId="165" fontId="2" fillId="0" borderId="26" xfId="1" applyNumberFormat="1" applyFont="1" applyBorder="1"/>
    <xf numFmtId="165" fontId="3" fillId="3" borderId="46" xfId="1" applyNumberFormat="1" applyFont="1" applyFill="1" applyBorder="1" applyAlignment="1"/>
    <xf numFmtId="165" fontId="12" fillId="0" borderId="26" xfId="1" applyNumberFormat="1" applyFont="1" applyBorder="1"/>
    <xf numFmtId="165" fontId="15" fillId="0" borderId="26" xfId="1" applyNumberFormat="1" applyFont="1" applyBorder="1"/>
    <xf numFmtId="165" fontId="5" fillId="0" borderId="26" xfId="1" applyNumberFormat="1" applyFont="1" applyBorder="1"/>
    <xf numFmtId="14" fontId="12" fillId="5" borderId="5" xfId="0" applyNumberFormat="1" applyFont="1" applyFill="1" applyBorder="1"/>
    <xf numFmtId="14" fontId="12" fillId="5" borderId="1" xfId="0" applyNumberFormat="1" applyFont="1" applyFill="1" applyBorder="1" applyAlignment="1">
      <alignment horizontal="right"/>
    </xf>
    <xf numFmtId="0" fontId="12" fillId="5" borderId="1" xfId="0" applyFont="1" applyFill="1" applyBorder="1"/>
    <xf numFmtId="0" fontId="12" fillId="5" borderId="1" xfId="0" applyFont="1" applyFill="1" applyBorder="1" applyAlignment="1">
      <alignment horizontal="center"/>
    </xf>
    <xf numFmtId="9" fontId="12" fillId="5" borderId="1" xfId="1" applyFont="1" applyFill="1" applyBorder="1"/>
    <xf numFmtId="165" fontId="12" fillId="5" borderId="11" xfId="0" applyNumberFormat="1" applyFont="1" applyFill="1" applyBorder="1"/>
    <xf numFmtId="165" fontId="12" fillId="5" borderId="23" xfId="1" applyNumberFormat="1" applyFont="1" applyFill="1" applyBorder="1"/>
    <xf numFmtId="165" fontId="12" fillId="5" borderId="1" xfId="2" applyNumberFormat="1" applyFont="1" applyFill="1" applyBorder="1"/>
    <xf numFmtId="0" fontId="2" fillId="2" borderId="57" xfId="0" applyFont="1" applyFill="1" applyBorder="1"/>
    <xf numFmtId="14" fontId="19" fillId="0" borderId="24" xfId="0" applyNumberFormat="1" applyFont="1" applyBorder="1"/>
    <xf numFmtId="14" fontId="19" fillId="0" borderId="26" xfId="0" applyNumberFormat="1" applyFont="1" applyBorder="1"/>
    <xf numFmtId="0" fontId="19" fillId="0" borderId="26" xfId="0" applyFont="1" applyBorder="1"/>
    <xf numFmtId="0" fontId="19" fillId="0" borderId="26" xfId="0" applyFont="1" applyBorder="1" applyAlignment="1">
      <alignment horizontal="center"/>
    </xf>
    <xf numFmtId="165" fontId="19" fillId="0" borderId="26" xfId="2" applyNumberFormat="1" applyFont="1" applyBorder="1"/>
    <xf numFmtId="9" fontId="19" fillId="0" borderId="26" xfId="1" applyFont="1" applyBorder="1"/>
    <xf numFmtId="165" fontId="19" fillId="0" borderId="48" xfId="0" applyNumberFormat="1" applyFont="1" applyBorder="1"/>
    <xf numFmtId="165" fontId="19" fillId="0" borderId="32" xfId="1" applyNumberFormat="1" applyFont="1" applyBorder="1"/>
    <xf numFmtId="0" fontId="17" fillId="0" borderId="0" xfId="0" applyFont="1"/>
    <xf numFmtId="0" fontId="6" fillId="0" borderId="27" xfId="0" applyFont="1" applyBorder="1"/>
    <xf numFmtId="14" fontId="20" fillId="0" borderId="24" xfId="0" applyNumberFormat="1" applyFont="1" applyBorder="1"/>
    <xf numFmtId="14" fontId="20" fillId="0" borderId="26" xfId="0" applyNumberFormat="1" applyFont="1" applyBorder="1"/>
    <xf numFmtId="0" fontId="20" fillId="0" borderId="26" xfId="0" applyFont="1" applyBorder="1"/>
    <xf numFmtId="0" fontId="20" fillId="0" borderId="26" xfId="0" applyFont="1" applyBorder="1" applyAlignment="1">
      <alignment horizontal="center"/>
    </xf>
    <xf numFmtId="165" fontId="20" fillId="0" borderId="26" xfId="2" applyNumberFormat="1" applyFont="1" applyBorder="1"/>
    <xf numFmtId="9" fontId="20" fillId="0" borderId="26" xfId="1" applyFont="1" applyBorder="1"/>
    <xf numFmtId="165" fontId="20" fillId="0" borderId="48" xfId="0" applyNumberFormat="1" applyFont="1" applyBorder="1"/>
    <xf numFmtId="165" fontId="20" fillId="0" borderId="32" xfId="1" applyNumberFormat="1" applyFont="1" applyBorder="1"/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2" fillId="2" borderId="26" xfId="0" applyFont="1" applyFill="1" applyBorder="1"/>
    <xf numFmtId="0" fontId="14" fillId="2" borderId="26" xfId="0" applyFont="1" applyFill="1" applyBorder="1"/>
    <xf numFmtId="0" fontId="6" fillId="5" borderId="26" xfId="0" applyFont="1" applyFill="1" applyBorder="1"/>
    <xf numFmtId="9" fontId="12" fillId="5" borderId="1" xfId="1" quotePrefix="1" applyFont="1" applyFill="1" applyBorder="1"/>
    <xf numFmtId="165" fontId="14" fillId="0" borderId="1" xfId="2" applyNumberFormat="1" applyFont="1" applyBorder="1"/>
    <xf numFmtId="0" fontId="5" fillId="2" borderId="26" xfId="0" applyFont="1" applyFill="1" applyBorder="1"/>
    <xf numFmtId="14" fontId="2" fillId="5" borderId="25" xfId="0" applyNumberFormat="1" applyFont="1" applyFill="1" applyBorder="1"/>
    <xf numFmtId="14" fontId="2" fillId="5" borderId="27" xfId="0" applyNumberFormat="1" applyFont="1" applyFill="1" applyBorder="1"/>
    <xf numFmtId="0" fontId="2" fillId="5" borderId="27" xfId="0" applyFont="1" applyFill="1" applyBorder="1" applyAlignment="1">
      <alignment horizontal="center"/>
    </xf>
    <xf numFmtId="165" fontId="2" fillId="5" borderId="27" xfId="2" applyNumberFormat="1" applyFont="1" applyFill="1" applyBorder="1"/>
    <xf numFmtId="9" fontId="2" fillId="5" borderId="27" xfId="1" applyFont="1" applyFill="1" applyBorder="1"/>
    <xf numFmtId="165" fontId="2" fillId="5" borderId="37" xfId="0" applyNumberFormat="1" applyFont="1" applyFill="1" applyBorder="1"/>
    <xf numFmtId="165" fontId="2" fillId="5" borderId="28" xfId="1" applyNumberFormat="1" applyFont="1" applyFill="1" applyBorder="1"/>
    <xf numFmtId="0" fontId="0" fillId="5" borderId="38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14" fontId="12" fillId="0" borderId="1" xfId="0" applyNumberFormat="1" applyFont="1" applyBorder="1"/>
    <xf numFmtId="0" fontId="12" fillId="0" borderId="1" xfId="0" applyFont="1" applyBorder="1" applyAlignment="1">
      <alignment horizontal="center"/>
    </xf>
    <xf numFmtId="165" fontId="12" fillId="0" borderId="1" xfId="2" applyNumberFormat="1" applyFont="1" applyBorder="1"/>
    <xf numFmtId="9" fontId="12" fillId="0" borderId="1" xfId="1" applyFont="1" applyBorder="1"/>
    <xf numFmtId="165" fontId="12" fillId="0" borderId="1" xfId="0" applyNumberFormat="1" applyFont="1" applyBorder="1"/>
    <xf numFmtId="165" fontId="12" fillId="0" borderId="1" xfId="1" applyNumberFormat="1" applyFont="1" applyBorder="1"/>
    <xf numFmtId="0" fontId="18" fillId="0" borderId="1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165" fontId="14" fillId="0" borderId="26" xfId="2" applyNumberFormat="1" applyFont="1" applyBorder="1"/>
    <xf numFmtId="0" fontId="15" fillId="5" borderId="1" xfId="0" applyFont="1" applyFill="1" applyBorder="1"/>
    <xf numFmtId="165" fontId="17" fillId="0" borderId="1" xfId="2" applyNumberFormat="1" applyFont="1" applyBorder="1"/>
    <xf numFmtId="9" fontId="15" fillId="5" borderId="1" xfId="1" quotePrefix="1" applyFont="1" applyFill="1" applyBorder="1"/>
    <xf numFmtId="14" fontId="5" fillId="0" borderId="0" xfId="0" applyNumberFormat="1" applyFont="1"/>
    <xf numFmtId="0" fontId="12" fillId="2" borderId="1" xfId="0" applyFont="1" applyFill="1" applyBorder="1"/>
    <xf numFmtId="0" fontId="9" fillId="0" borderId="26" xfId="0" applyFont="1" applyBorder="1"/>
    <xf numFmtId="0" fontId="6" fillId="5" borderId="58" xfId="0" applyFont="1" applyFill="1" applyBorder="1"/>
    <xf numFmtId="0" fontId="18" fillId="5" borderId="11" xfId="0" applyFont="1" applyFill="1" applyBorder="1" applyAlignment="1">
      <alignment horizontal="center"/>
    </xf>
    <xf numFmtId="0" fontId="18" fillId="5" borderId="13" xfId="0" applyFont="1" applyFill="1" applyBorder="1" applyAlignment="1">
      <alignment horizontal="center"/>
    </xf>
    <xf numFmtId="14" fontId="14" fillId="0" borderId="0" xfId="0" applyNumberFormat="1" applyFont="1"/>
    <xf numFmtId="14" fontId="15" fillId="2" borderId="26" xfId="0" applyNumberFormat="1" applyFont="1" applyFill="1" applyBorder="1"/>
    <xf numFmtId="165" fontId="12" fillId="0" borderId="33" xfId="1" applyNumberFormat="1" applyFont="1" applyBorder="1"/>
    <xf numFmtId="165" fontId="2" fillId="0" borderId="33" xfId="1" applyNumberFormat="1" applyFont="1" applyBorder="1"/>
    <xf numFmtId="44" fontId="0" fillId="0" borderId="1" xfId="2" applyFont="1" applyBorder="1"/>
    <xf numFmtId="9" fontId="0" fillId="0" borderId="1" xfId="1" applyFont="1" applyBorder="1"/>
    <xf numFmtId="14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44" fontId="5" fillId="0" borderId="1" xfId="2" applyFont="1" applyBorder="1"/>
    <xf numFmtId="9" fontId="5" fillId="0" borderId="1" xfId="1" applyFont="1" applyBorder="1"/>
    <xf numFmtId="0" fontId="12" fillId="2" borderId="58" xfId="0" applyFont="1" applyFill="1" applyBorder="1"/>
    <xf numFmtId="0" fontId="6" fillId="5" borderId="1" xfId="0" applyFont="1" applyFill="1" applyBorder="1"/>
    <xf numFmtId="0" fontId="15" fillId="0" borderId="1" xfId="0" applyFont="1" applyBorder="1"/>
    <xf numFmtId="14" fontId="15" fillId="0" borderId="1" xfId="0" applyNumberFormat="1" applyFont="1" applyBorder="1"/>
    <xf numFmtId="165" fontId="15" fillId="0" borderId="1" xfId="2" applyNumberFormat="1" applyFont="1" applyBorder="1"/>
    <xf numFmtId="9" fontId="15" fillId="0" borderId="1" xfId="1" applyFont="1" applyBorder="1"/>
    <xf numFmtId="165" fontId="15" fillId="0" borderId="1" xfId="0" applyNumberFormat="1" applyFont="1" applyBorder="1"/>
    <xf numFmtId="165" fontId="15" fillId="0" borderId="1" xfId="1" applyNumberFormat="1" applyFont="1" applyBorder="1"/>
    <xf numFmtId="0" fontId="22" fillId="0" borderId="26" xfId="0" applyFont="1" applyBorder="1"/>
    <xf numFmtId="14" fontId="22" fillId="0" borderId="24" xfId="0" applyNumberFormat="1" applyFont="1" applyBorder="1"/>
    <xf numFmtId="14" fontId="22" fillId="0" borderId="26" xfId="0" applyNumberFormat="1" applyFont="1" applyBorder="1"/>
    <xf numFmtId="0" fontId="22" fillId="0" borderId="26" xfId="0" applyFont="1" applyBorder="1" applyAlignment="1">
      <alignment horizontal="center"/>
    </xf>
    <xf numFmtId="165" fontId="22" fillId="0" borderId="26" xfId="2" applyNumberFormat="1" applyFont="1" applyBorder="1"/>
    <xf numFmtId="9" fontId="22" fillId="0" borderId="26" xfId="1" applyFont="1" applyBorder="1"/>
    <xf numFmtId="165" fontId="22" fillId="0" borderId="48" xfId="0" applyNumberFormat="1" applyFont="1" applyBorder="1"/>
    <xf numFmtId="165" fontId="22" fillId="0" borderId="32" xfId="1" applyNumberFormat="1" applyFont="1" applyBorder="1"/>
    <xf numFmtId="14" fontId="24" fillId="0" borderId="0" xfId="0" applyNumberFormat="1" applyFont="1"/>
    <xf numFmtId="165" fontId="2" fillId="0" borderId="48" xfId="0" quotePrefix="1" applyNumberFormat="1" applyFont="1" applyBorder="1"/>
    <xf numFmtId="14" fontId="25" fillId="0" borderId="24" xfId="0" applyNumberFormat="1" applyFont="1" applyBorder="1"/>
    <xf numFmtId="14" fontId="25" fillId="0" borderId="26" xfId="0" applyNumberFormat="1" applyFont="1" applyBorder="1"/>
    <xf numFmtId="0" fontId="25" fillId="0" borderId="26" xfId="0" applyFont="1" applyBorder="1"/>
    <xf numFmtId="0" fontId="25" fillId="0" borderId="26" xfId="0" applyFont="1" applyBorder="1" applyAlignment="1">
      <alignment horizontal="center"/>
    </xf>
    <xf numFmtId="165" fontId="25" fillId="0" borderId="26" xfId="2" applyNumberFormat="1" applyFont="1" applyBorder="1"/>
    <xf numFmtId="9" fontId="25" fillId="0" borderId="26" xfId="1" applyFont="1" applyBorder="1"/>
    <xf numFmtId="165" fontId="25" fillId="0" borderId="48" xfId="0" applyNumberFormat="1" applyFont="1" applyBorder="1"/>
    <xf numFmtId="165" fontId="25" fillId="0" borderId="32" xfId="1" applyNumberFormat="1" applyFont="1" applyBorder="1"/>
    <xf numFmtId="165" fontId="15" fillId="0" borderId="33" xfId="1" applyNumberFormat="1" applyFont="1" applyBorder="1"/>
    <xf numFmtId="14" fontId="15" fillId="5" borderId="5" xfId="0" applyNumberFormat="1" applyFont="1" applyFill="1" applyBorder="1"/>
    <xf numFmtId="14" fontId="15" fillId="5" borderId="1" xfId="0" applyNumberFormat="1" applyFont="1" applyFill="1" applyBorder="1"/>
    <xf numFmtId="165" fontId="15" fillId="5" borderId="1" xfId="2" applyNumberFormat="1" applyFont="1" applyFill="1" applyBorder="1"/>
    <xf numFmtId="9" fontId="15" fillId="5" borderId="1" xfId="1" applyFont="1" applyFill="1" applyBorder="1"/>
    <xf numFmtId="165" fontId="15" fillId="5" borderId="11" xfId="0" applyNumberFormat="1" applyFont="1" applyFill="1" applyBorder="1"/>
    <xf numFmtId="165" fontId="15" fillId="5" borderId="23" xfId="1" applyNumberFormat="1" applyFont="1" applyFill="1" applyBorder="1"/>
    <xf numFmtId="165" fontId="15" fillId="5" borderId="1" xfId="1" applyNumberFormat="1" applyFont="1" applyFill="1" applyBorder="1"/>
    <xf numFmtId="14" fontId="17" fillId="0" borderId="0" xfId="0" applyNumberFormat="1" applyFont="1"/>
    <xf numFmtId="14" fontId="15" fillId="5" borderId="25" xfId="0" applyNumberFormat="1" applyFont="1" applyFill="1" applyBorder="1"/>
    <xf numFmtId="14" fontId="15" fillId="5" borderId="27" xfId="0" applyNumberFormat="1" applyFont="1" applyFill="1" applyBorder="1"/>
    <xf numFmtId="0" fontId="15" fillId="5" borderId="27" xfId="0" applyFont="1" applyFill="1" applyBorder="1"/>
    <xf numFmtId="0" fontId="15" fillId="5" borderId="27" xfId="0" applyFont="1" applyFill="1" applyBorder="1" applyAlignment="1">
      <alignment horizontal="center"/>
    </xf>
    <xf numFmtId="165" fontId="15" fillId="5" borderId="27" xfId="2" applyNumberFormat="1" applyFont="1" applyFill="1" applyBorder="1"/>
    <xf numFmtId="9" fontId="15" fillId="5" borderId="27" xfId="1" applyFont="1" applyFill="1" applyBorder="1"/>
    <xf numFmtId="165" fontId="15" fillId="5" borderId="37" xfId="0" applyNumberFormat="1" applyFont="1" applyFill="1" applyBorder="1"/>
    <xf numFmtId="165" fontId="15" fillId="5" borderId="28" xfId="1" applyNumberFormat="1" applyFont="1" applyFill="1" applyBorder="1"/>
    <xf numFmtId="0" fontId="18" fillId="5" borderId="38" xfId="0" applyFont="1" applyFill="1" applyBorder="1" applyAlignment="1">
      <alignment horizontal="center"/>
    </xf>
    <xf numFmtId="0" fontId="18" fillId="5" borderId="31" xfId="0" applyFont="1" applyFill="1" applyBorder="1" applyAlignment="1">
      <alignment horizontal="center"/>
    </xf>
    <xf numFmtId="0" fontId="15" fillId="0" borderId="58" xfId="0" applyFont="1" applyBorder="1"/>
    <xf numFmtId="165" fontId="15" fillId="0" borderId="48" xfId="0" quotePrefix="1" applyNumberFormat="1" applyFont="1" applyBorder="1"/>
    <xf numFmtId="14" fontId="17" fillId="0" borderId="1" xfId="0" applyNumberFormat="1" applyFont="1" applyBorder="1"/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44" fontId="17" fillId="0" borderId="1" xfId="2" applyFont="1" applyBorder="1"/>
    <xf numFmtId="9" fontId="17" fillId="0" borderId="1" xfId="1" applyFont="1" applyBorder="1"/>
    <xf numFmtId="44" fontId="15" fillId="0" borderId="1" xfId="2" applyFont="1" applyBorder="1"/>
    <xf numFmtId="0" fontId="6" fillId="0" borderId="58" xfId="0" applyFont="1" applyBorder="1"/>
    <xf numFmtId="14" fontId="22" fillId="5" borderId="24" xfId="0" applyNumberFormat="1" applyFont="1" applyFill="1" applyBorder="1"/>
    <xf numFmtId="14" fontId="22" fillId="5" borderId="26" xfId="0" applyNumberFormat="1" applyFont="1" applyFill="1" applyBorder="1"/>
    <xf numFmtId="0" fontId="22" fillId="5" borderId="26" xfId="0" applyFont="1" applyFill="1" applyBorder="1"/>
    <xf numFmtId="0" fontId="22" fillId="5" borderId="26" xfId="0" applyFont="1" applyFill="1" applyBorder="1" applyAlignment="1">
      <alignment horizontal="center"/>
    </xf>
    <xf numFmtId="165" fontId="22" fillId="5" borderId="26" xfId="2" applyNumberFormat="1" applyFont="1" applyFill="1" applyBorder="1"/>
    <xf numFmtId="9" fontId="22" fillId="5" borderId="26" xfId="1" applyFont="1" applyFill="1" applyBorder="1"/>
    <xf numFmtId="165" fontId="22" fillId="5" borderId="48" xfId="0" applyNumberFormat="1" applyFont="1" applyFill="1" applyBorder="1"/>
    <xf numFmtId="165" fontId="22" fillId="5" borderId="32" xfId="1" applyNumberFormat="1" applyFont="1" applyFill="1" applyBorder="1"/>
    <xf numFmtId="0" fontId="22" fillId="5" borderId="1" xfId="0" applyFont="1" applyFill="1" applyBorder="1"/>
    <xf numFmtId="165" fontId="24" fillId="0" borderId="1" xfId="2" applyNumberFormat="1" applyFont="1" applyBorder="1"/>
    <xf numFmtId="9" fontId="22" fillId="5" borderId="1" xfId="1" quotePrefix="1" applyFont="1" applyFill="1" applyBorder="1"/>
    <xf numFmtId="0" fontId="6" fillId="2" borderId="26" xfId="0" applyFont="1" applyFill="1" applyBorder="1"/>
    <xf numFmtId="165" fontId="15" fillId="0" borderId="32" xfId="1" applyNumberFormat="1" applyFont="1" applyBorder="1" applyAlignment="1">
      <alignment horizontal="center"/>
    </xf>
    <xf numFmtId="14" fontId="27" fillId="5" borderId="24" xfId="0" applyNumberFormat="1" applyFont="1" applyFill="1" applyBorder="1"/>
    <xf numFmtId="14" fontId="27" fillId="5" borderId="26" xfId="0" applyNumberFormat="1" applyFont="1" applyFill="1" applyBorder="1"/>
    <xf numFmtId="0" fontId="27" fillId="5" borderId="26" xfId="0" applyFont="1" applyFill="1" applyBorder="1"/>
    <xf numFmtId="0" fontId="27" fillId="5" borderId="26" xfId="0" applyFont="1" applyFill="1" applyBorder="1" applyAlignment="1">
      <alignment horizontal="center"/>
    </xf>
    <xf numFmtId="165" fontId="27" fillId="5" borderId="26" xfId="2" applyNumberFormat="1" applyFont="1" applyFill="1" applyBorder="1"/>
    <xf numFmtId="9" fontId="27" fillId="5" borderId="26" xfId="1" applyFont="1" applyFill="1" applyBorder="1"/>
    <xf numFmtId="165" fontId="27" fillId="5" borderId="48" xfId="0" applyNumberFormat="1" applyFont="1" applyFill="1" applyBorder="1"/>
    <xf numFmtId="165" fontId="27" fillId="5" borderId="32" xfId="1" applyNumberFormat="1" applyFont="1" applyFill="1" applyBorder="1"/>
    <xf numFmtId="0" fontId="12" fillId="0" borderId="27" xfId="0" applyFont="1" applyBorder="1"/>
    <xf numFmtId="14" fontId="6" fillId="5" borderId="24" xfId="0" applyNumberFormat="1" applyFont="1" applyFill="1" applyBorder="1"/>
    <xf numFmtId="14" fontId="6" fillId="5" borderId="26" xfId="0" applyNumberFormat="1" applyFont="1" applyFill="1" applyBorder="1"/>
    <xf numFmtId="0" fontId="6" fillId="5" borderId="26" xfId="0" applyFont="1" applyFill="1" applyBorder="1" applyAlignment="1">
      <alignment horizontal="center"/>
    </xf>
    <xf numFmtId="165" fontId="6" fillId="5" borderId="26" xfId="2" applyNumberFormat="1" applyFont="1" applyFill="1" applyBorder="1"/>
    <xf numFmtId="9" fontId="6" fillId="5" borderId="26" xfId="1" applyFont="1" applyFill="1" applyBorder="1"/>
    <xf numFmtId="165" fontId="6" fillId="5" borderId="48" xfId="0" applyNumberFormat="1" applyFont="1" applyFill="1" applyBorder="1"/>
    <xf numFmtId="165" fontId="6" fillId="5" borderId="32" xfId="1" applyNumberFormat="1" applyFont="1" applyFill="1" applyBorder="1"/>
    <xf numFmtId="0" fontId="6" fillId="5" borderId="57" xfId="0" applyFont="1" applyFill="1" applyBorder="1"/>
    <xf numFmtId="14" fontId="27" fillId="0" borderId="24" xfId="0" applyNumberFormat="1" applyFont="1" applyBorder="1"/>
    <xf numFmtId="14" fontId="27" fillId="0" borderId="26" xfId="0" applyNumberFormat="1" applyFont="1" applyBorder="1"/>
    <xf numFmtId="0" fontId="27" fillId="0" borderId="26" xfId="0" applyFont="1" applyBorder="1"/>
    <xf numFmtId="0" fontId="27" fillId="0" borderId="26" xfId="0" applyFont="1" applyBorder="1" applyAlignment="1">
      <alignment horizontal="center"/>
    </xf>
    <xf numFmtId="165" fontId="27" fillId="0" borderId="26" xfId="2" applyNumberFormat="1" applyFont="1" applyBorder="1"/>
    <xf numFmtId="9" fontId="27" fillId="0" borderId="26" xfId="1" applyFont="1" applyBorder="1"/>
    <xf numFmtId="165" fontId="27" fillId="0" borderId="48" xfId="0" applyNumberFormat="1" applyFont="1" applyBorder="1"/>
    <xf numFmtId="165" fontId="27" fillId="0" borderId="32" xfId="1" applyNumberFormat="1" applyFont="1" applyBorder="1"/>
    <xf numFmtId="0" fontId="28" fillId="0" borderId="1" xfId="0" applyFont="1" applyBorder="1" applyAlignment="1">
      <alignment horizontal="center"/>
    </xf>
    <xf numFmtId="165" fontId="15" fillId="0" borderId="32" xfId="1" applyNumberFormat="1" applyFont="1" applyBorder="1" applyAlignment="1">
      <alignment horizontal="left"/>
    </xf>
    <xf numFmtId="0" fontId="15" fillId="0" borderId="27" xfId="0" applyFont="1" applyBorder="1"/>
    <xf numFmtId="0" fontId="17" fillId="2" borderId="26" xfId="0" applyFont="1" applyFill="1" applyBorder="1"/>
    <xf numFmtId="165" fontId="6" fillId="0" borderId="32" xfId="1" applyNumberFormat="1" applyFont="1" applyBorder="1" applyAlignment="1">
      <alignment horizontal="center"/>
    </xf>
    <xf numFmtId="165" fontId="22" fillId="5" borderId="32" xfId="1" applyNumberFormat="1" applyFont="1" applyFill="1" applyBorder="1" applyAlignment="1">
      <alignment horizontal="center"/>
    </xf>
    <xf numFmtId="165" fontId="22" fillId="5" borderId="1" xfId="1" applyNumberFormat="1" applyFont="1" applyFill="1" applyBorder="1" applyAlignment="1">
      <alignment horizontal="center"/>
    </xf>
    <xf numFmtId="0" fontId="30" fillId="5" borderId="11" xfId="0" applyFont="1" applyFill="1" applyBorder="1" applyAlignment="1">
      <alignment horizontal="center"/>
    </xf>
    <xf numFmtId="0" fontId="30" fillId="5" borderId="13" xfId="0" applyFont="1" applyFill="1" applyBorder="1" applyAlignment="1">
      <alignment horizontal="center"/>
    </xf>
    <xf numFmtId="0" fontId="31" fillId="5" borderId="11" xfId="0" applyFont="1" applyFill="1" applyBorder="1" applyAlignment="1">
      <alignment horizontal="center"/>
    </xf>
    <xf numFmtId="0" fontId="31" fillId="5" borderId="13" xfId="0" applyFont="1" applyFill="1" applyBorder="1" applyAlignment="1">
      <alignment horizontal="center"/>
    </xf>
    <xf numFmtId="0" fontId="31" fillId="5" borderId="38" xfId="0" applyFont="1" applyFill="1" applyBorder="1" applyAlignment="1">
      <alignment horizontal="center"/>
    </xf>
    <xf numFmtId="0" fontId="31" fillId="5" borderId="3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27" fillId="2" borderId="26" xfId="0" applyFont="1" applyFill="1" applyBorder="1"/>
    <xf numFmtId="0" fontId="15" fillId="2" borderId="26" xfId="0" applyFont="1" applyFill="1" applyBorder="1"/>
    <xf numFmtId="14" fontId="12" fillId="5" borderId="1" xfId="0" applyNumberFormat="1" applyFont="1" applyFill="1" applyBorder="1"/>
    <xf numFmtId="165" fontId="12" fillId="5" borderId="1" xfId="1" applyNumberFormat="1" applyFont="1" applyFill="1" applyBorder="1" applyAlignment="1">
      <alignment horizontal="center"/>
    </xf>
    <xf numFmtId="0" fontId="12" fillId="2" borderId="57" xfId="0" applyFont="1" applyFill="1" applyBorder="1"/>
    <xf numFmtId="14" fontId="25" fillId="0" borderId="1" xfId="0" applyNumberFormat="1" applyFont="1" applyBorder="1"/>
    <xf numFmtId="0" fontId="17" fillId="0" borderId="15" xfId="0" applyFont="1" applyBorder="1"/>
    <xf numFmtId="14" fontId="33" fillId="5" borderId="24" xfId="0" applyNumberFormat="1" applyFont="1" applyFill="1" applyBorder="1"/>
    <xf numFmtId="14" fontId="33" fillId="5" borderId="26" xfId="0" applyNumberFormat="1" applyFont="1" applyFill="1" applyBorder="1"/>
    <xf numFmtId="0" fontId="33" fillId="5" borderId="26" xfId="0" applyFont="1" applyFill="1" applyBorder="1"/>
    <xf numFmtId="0" fontId="33" fillId="5" borderId="26" xfId="0" applyFont="1" applyFill="1" applyBorder="1" applyAlignment="1">
      <alignment horizontal="center"/>
    </xf>
    <xf numFmtId="165" fontId="33" fillId="5" borderId="26" xfId="2" applyNumberFormat="1" applyFont="1" applyFill="1" applyBorder="1"/>
    <xf numFmtId="9" fontId="33" fillId="5" borderId="26" xfId="1" applyFont="1" applyFill="1" applyBorder="1"/>
    <xf numFmtId="165" fontId="33" fillId="5" borderId="48" xfId="0" applyNumberFormat="1" applyFont="1" applyFill="1" applyBorder="1"/>
    <xf numFmtId="165" fontId="33" fillId="5" borderId="32" xfId="1" applyNumberFormat="1" applyFont="1" applyFill="1" applyBorder="1" applyAlignment="1">
      <alignment horizontal="center"/>
    </xf>
    <xf numFmtId="165" fontId="15" fillId="5" borderId="32" xfId="1" applyNumberFormat="1" applyFont="1" applyFill="1" applyBorder="1" applyAlignment="1">
      <alignment horizontal="center"/>
    </xf>
    <xf numFmtId="165" fontId="15" fillId="5" borderId="1" xfId="1" applyNumberFormat="1" applyFont="1" applyFill="1" applyBorder="1" applyAlignment="1">
      <alignment horizontal="center"/>
    </xf>
    <xf numFmtId="165" fontId="12" fillId="5" borderId="32" xfId="1" applyNumberFormat="1" applyFont="1" applyFill="1" applyBorder="1" applyAlignment="1">
      <alignment horizontal="center"/>
    </xf>
    <xf numFmtId="0" fontId="9" fillId="2" borderId="26" xfId="0" applyFont="1" applyFill="1" applyBorder="1"/>
    <xf numFmtId="0" fontId="15" fillId="2" borderId="58" xfId="0" applyFont="1" applyFill="1" applyBorder="1"/>
    <xf numFmtId="0" fontId="15" fillId="2" borderId="1" xfId="0" applyFont="1" applyFill="1" applyBorder="1"/>
    <xf numFmtId="165" fontId="12" fillId="0" borderId="32" xfId="1" applyNumberFormat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14" fontId="6" fillId="5" borderId="5" xfId="0" applyNumberFormat="1" applyFont="1" applyFill="1" applyBorder="1"/>
    <xf numFmtId="14" fontId="6" fillId="5" borderId="1" xfId="0" quotePrefix="1" applyNumberFormat="1" applyFont="1" applyFill="1" applyBorder="1"/>
    <xf numFmtId="0" fontId="6" fillId="5" borderId="1" xfId="0" applyFont="1" applyFill="1" applyBorder="1" applyAlignment="1">
      <alignment horizontal="center"/>
    </xf>
    <xf numFmtId="165" fontId="6" fillId="5" borderId="1" xfId="2" applyNumberFormat="1" applyFont="1" applyFill="1" applyBorder="1"/>
    <xf numFmtId="9" fontId="6" fillId="5" borderId="1" xfId="1" applyFont="1" applyFill="1" applyBorder="1"/>
    <xf numFmtId="165" fontId="6" fillId="5" borderId="11" xfId="0" applyNumberFormat="1" applyFont="1" applyFill="1" applyBorder="1"/>
    <xf numFmtId="165" fontId="6" fillId="5" borderId="23" xfId="1" applyNumberFormat="1" applyFont="1" applyFill="1" applyBorder="1"/>
    <xf numFmtId="0" fontId="10" fillId="5" borderId="0" xfId="0" quotePrefix="1" applyFont="1" applyFill="1"/>
    <xf numFmtId="14" fontId="33" fillId="0" borderId="24" xfId="0" applyNumberFormat="1" applyFont="1" applyBorder="1"/>
    <xf numFmtId="14" fontId="33" fillId="0" borderId="26" xfId="0" applyNumberFormat="1" applyFont="1" applyBorder="1"/>
    <xf numFmtId="0" fontId="33" fillId="0" borderId="26" xfId="0" applyFont="1" applyBorder="1"/>
    <xf numFmtId="0" fontId="33" fillId="0" borderId="26" xfId="0" applyFont="1" applyBorder="1" applyAlignment="1">
      <alignment horizontal="center"/>
    </xf>
    <xf numFmtId="165" fontId="33" fillId="0" borderId="26" xfId="2" applyNumberFormat="1" applyFont="1" applyBorder="1"/>
    <xf numFmtId="9" fontId="33" fillId="0" borderId="26" xfId="1" applyFont="1" applyBorder="1"/>
    <xf numFmtId="165" fontId="33" fillId="0" borderId="48" xfId="0" applyNumberFormat="1" applyFont="1" applyBorder="1"/>
    <xf numFmtId="165" fontId="33" fillId="0" borderId="32" xfId="1" applyNumberFormat="1" applyFont="1" applyBorder="1"/>
    <xf numFmtId="14" fontId="36" fillId="0" borderId="0" xfId="0" applyNumberFormat="1" applyFont="1"/>
    <xf numFmtId="165" fontId="6" fillId="5" borderId="32" xfId="1" applyNumberFormat="1" applyFont="1" applyFill="1" applyBorder="1" applyAlignment="1">
      <alignment horizontal="center"/>
    </xf>
    <xf numFmtId="0" fontId="19" fillId="2" borderId="26" xfId="0" applyFont="1" applyFill="1" applyBorder="1"/>
    <xf numFmtId="165" fontId="12" fillId="0" borderId="48" xfId="0" quotePrefix="1" applyNumberFormat="1" applyFont="1" applyBorder="1"/>
    <xf numFmtId="0" fontId="33" fillId="0" borderId="1" xfId="0" applyFont="1" applyBorder="1"/>
    <xf numFmtId="14" fontId="33" fillId="0" borderId="1" xfId="0" applyNumberFormat="1" applyFont="1" applyBorder="1"/>
    <xf numFmtId="0" fontId="33" fillId="0" borderId="1" xfId="0" applyFont="1" applyBorder="1" applyAlignment="1">
      <alignment horizontal="center"/>
    </xf>
    <xf numFmtId="44" fontId="33" fillId="0" borderId="1" xfId="2" applyFont="1" applyBorder="1"/>
    <xf numFmtId="9" fontId="33" fillId="0" borderId="1" xfId="1" applyFont="1" applyBorder="1"/>
    <xf numFmtId="165" fontId="33" fillId="0" borderId="33" xfId="1" applyNumberFormat="1" applyFont="1" applyBorder="1"/>
    <xf numFmtId="0" fontId="20" fillId="2" borderId="26" xfId="0" applyFont="1" applyFill="1" applyBorder="1"/>
    <xf numFmtId="14" fontId="12" fillId="2" borderId="26" xfId="0" applyNumberFormat="1" applyFont="1" applyFill="1" applyBorder="1"/>
    <xf numFmtId="0" fontId="12" fillId="2" borderId="26" xfId="0" applyFont="1" applyFill="1" applyBorder="1" applyAlignment="1">
      <alignment horizontal="center"/>
    </xf>
    <xf numFmtId="165" fontId="12" fillId="2" borderId="26" xfId="2" applyNumberFormat="1" applyFont="1" applyFill="1" applyBorder="1"/>
    <xf numFmtId="9" fontId="12" fillId="2" borderId="26" xfId="1" applyFont="1" applyFill="1" applyBorder="1"/>
    <xf numFmtId="165" fontId="12" fillId="2" borderId="48" xfId="0" applyNumberFormat="1" applyFont="1" applyFill="1" applyBorder="1"/>
    <xf numFmtId="14" fontId="12" fillId="2" borderId="24" xfId="0" applyNumberFormat="1" applyFont="1" applyFill="1" applyBorder="1"/>
    <xf numFmtId="165" fontId="12" fillId="5" borderId="1" xfId="0" applyNumberFormat="1" applyFont="1" applyFill="1" applyBorder="1"/>
    <xf numFmtId="165" fontId="12" fillId="5" borderId="1" xfId="1" applyNumberFormat="1" applyFont="1" applyFill="1" applyBorder="1"/>
    <xf numFmtId="14" fontId="12" fillId="5" borderId="25" xfId="0" applyNumberFormat="1" applyFont="1" applyFill="1" applyBorder="1"/>
    <xf numFmtId="14" fontId="12" fillId="5" borderId="27" xfId="0" applyNumberFormat="1" applyFont="1" applyFill="1" applyBorder="1"/>
    <xf numFmtId="0" fontId="12" fillId="5" borderId="27" xfId="0" applyFont="1" applyFill="1" applyBorder="1"/>
    <xf numFmtId="0" fontId="12" fillId="5" borderId="27" xfId="0" applyFont="1" applyFill="1" applyBorder="1" applyAlignment="1">
      <alignment horizontal="center"/>
    </xf>
    <xf numFmtId="165" fontId="12" fillId="5" borderId="27" xfId="2" applyNumberFormat="1" applyFont="1" applyFill="1" applyBorder="1"/>
    <xf numFmtId="9" fontId="12" fillId="5" borderId="27" xfId="1" applyFont="1" applyFill="1" applyBorder="1"/>
    <xf numFmtId="165" fontId="12" fillId="5" borderId="37" xfId="0" applyNumberFormat="1" applyFont="1" applyFill="1" applyBorder="1"/>
    <xf numFmtId="165" fontId="12" fillId="5" borderId="28" xfId="1" applyNumberFormat="1" applyFont="1" applyFill="1" applyBorder="1"/>
    <xf numFmtId="44" fontId="12" fillId="0" borderId="1" xfId="2" applyFont="1" applyBorder="1"/>
    <xf numFmtId="165" fontId="15" fillId="5" borderId="1" xfId="0" applyNumberFormat="1" applyFont="1" applyFill="1" applyBorder="1"/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14" fontId="3" fillId="3" borderId="11" xfId="0" applyNumberFormat="1" applyFont="1" applyFill="1" applyBorder="1" applyAlignment="1">
      <alignment horizontal="center"/>
    </xf>
    <xf numFmtId="14" fontId="3" fillId="3" borderId="12" xfId="0" applyNumberFormat="1" applyFont="1" applyFill="1" applyBorder="1" applyAlignment="1">
      <alignment horizontal="center"/>
    </xf>
    <xf numFmtId="14" fontId="3" fillId="3" borderId="13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4" fontId="3" fillId="3" borderId="8" xfId="0" applyNumberFormat="1" applyFont="1" applyFill="1" applyBorder="1" applyAlignment="1">
      <alignment horizontal="center"/>
    </xf>
    <xf numFmtId="14" fontId="3" fillId="3" borderId="9" xfId="0" applyNumberFormat="1" applyFont="1" applyFill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5" borderId="29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35" xfId="0" applyNumberFormat="1" applyFont="1" applyBorder="1" applyAlignment="1">
      <alignment horizontal="center"/>
    </xf>
    <xf numFmtId="165" fontId="2" fillId="0" borderId="28" xfId="0" applyNumberFormat="1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14" fontId="3" fillId="3" borderId="45" xfId="0" applyNumberFormat="1" applyFont="1" applyFill="1" applyBorder="1" applyAlignment="1">
      <alignment horizontal="center"/>
    </xf>
    <xf numFmtId="14" fontId="3" fillId="3" borderId="46" xfId="0" applyNumberFormat="1" applyFont="1" applyFill="1" applyBorder="1" applyAlignment="1">
      <alignment horizontal="center"/>
    </xf>
    <xf numFmtId="14" fontId="3" fillId="3" borderId="47" xfId="0" applyNumberFormat="1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1" xfId="0" applyBorder="1" applyAlignment="1">
      <alignment horizontal="center"/>
    </xf>
    <xf numFmtId="0" fontId="2" fillId="0" borderId="11" xfId="0" applyFont="1" applyBorder="1" applyAlignment="1">
      <alignment horizontal="center"/>
    </xf>
    <xf numFmtId="14" fontId="3" fillId="3" borderId="59" xfId="0" applyNumberFormat="1" applyFont="1" applyFill="1" applyBorder="1" applyAlignment="1">
      <alignment horizontal="center"/>
    </xf>
    <xf numFmtId="14" fontId="3" fillId="3" borderId="42" xfId="0" applyNumberFormat="1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4" fillId="5" borderId="11" xfId="0" applyFont="1" applyFill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14" fillId="0" borderId="48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0" fontId="17" fillId="5" borderId="13" xfId="0" applyFont="1" applyFill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26" fillId="0" borderId="13" xfId="0" applyFont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3" fillId="5" borderId="11" xfId="0" applyFont="1" applyFill="1" applyBorder="1" applyAlignment="1">
      <alignment horizontal="center"/>
    </xf>
    <xf numFmtId="0" fontId="23" fillId="5" borderId="13" xfId="0" applyFont="1" applyFill="1" applyBorder="1" applyAlignment="1">
      <alignment horizontal="center"/>
    </xf>
    <xf numFmtId="0" fontId="28" fillId="5" borderId="11" xfId="0" applyFont="1" applyFill="1" applyBorder="1" applyAlignment="1">
      <alignment horizontal="center"/>
    </xf>
    <xf numFmtId="0" fontId="28" fillId="5" borderId="13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9" fillId="5" borderId="11" xfId="0" applyFont="1" applyFill="1" applyBorder="1" applyAlignment="1">
      <alignment horizontal="center"/>
    </xf>
    <xf numFmtId="0" fontId="29" fillId="5" borderId="13" xfId="0" applyFont="1" applyFill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29" fillId="0" borderId="13" xfId="0" applyFont="1" applyBorder="1" applyAlignment="1">
      <alignment horizontal="center"/>
    </xf>
    <xf numFmtId="0" fontId="34" fillId="5" borderId="11" xfId="0" applyFont="1" applyFill="1" applyBorder="1" applyAlignment="1">
      <alignment horizontal="center"/>
    </xf>
    <xf numFmtId="0" fontId="34" fillId="5" borderId="13" xfId="0" applyFont="1" applyFill="1" applyBorder="1" applyAlignment="1">
      <alignment horizontal="center"/>
    </xf>
    <xf numFmtId="0" fontId="35" fillId="0" borderId="11" xfId="0" applyFont="1" applyBorder="1" applyAlignment="1">
      <alignment horizontal="center"/>
    </xf>
    <xf numFmtId="0" fontId="35" fillId="0" borderId="13" xfId="0" applyFont="1" applyBorder="1" applyAlignment="1">
      <alignment horizontal="center"/>
    </xf>
    <xf numFmtId="0" fontId="35" fillId="5" borderId="11" xfId="0" applyFont="1" applyFill="1" applyBorder="1" applyAlignment="1">
      <alignment horizontal="center"/>
    </xf>
    <xf numFmtId="0" fontId="35" fillId="5" borderId="13" xfId="0" applyFont="1" applyFill="1" applyBorder="1" applyAlignment="1">
      <alignment horizontal="center"/>
    </xf>
    <xf numFmtId="0" fontId="34" fillId="0" borderId="11" xfId="0" applyFont="1" applyBorder="1" applyAlignment="1">
      <alignment horizontal="center"/>
    </xf>
    <xf numFmtId="0" fontId="34" fillId="0" borderId="13" xfId="0" applyFont="1" applyBorder="1" applyAlignment="1">
      <alignment horizontal="center"/>
    </xf>
    <xf numFmtId="0" fontId="10" fillId="0" borderId="0" xfId="0" applyFont="1"/>
    <xf numFmtId="0" fontId="13" fillId="0" borderId="0" xfId="0" applyFont="1"/>
    <xf numFmtId="14" fontId="2" fillId="12" borderId="24" xfId="0" applyNumberFormat="1" applyFont="1" applyFill="1" applyBorder="1"/>
    <xf numFmtId="14" fontId="2" fillId="12" borderId="26" xfId="0" applyNumberFormat="1" applyFont="1" applyFill="1" applyBorder="1"/>
    <xf numFmtId="0" fontId="2" fillId="12" borderId="26" xfId="0" applyFont="1" applyFill="1" applyBorder="1"/>
    <xf numFmtId="0" fontId="2" fillId="12" borderId="26" xfId="0" applyFont="1" applyFill="1" applyBorder="1" applyAlignment="1">
      <alignment horizontal="center"/>
    </xf>
    <xf numFmtId="165" fontId="2" fillId="12" borderId="26" xfId="2" applyNumberFormat="1" applyFont="1" applyFill="1" applyBorder="1"/>
    <xf numFmtId="9" fontId="2" fillId="12" borderId="26" xfId="1" applyFont="1" applyFill="1" applyBorder="1"/>
    <xf numFmtId="165" fontId="2" fillId="12" borderId="48" xfId="0" applyNumberFormat="1" applyFont="1" applyFill="1" applyBorder="1"/>
    <xf numFmtId="0" fontId="18" fillId="0" borderId="0" xfId="0" applyFont="1"/>
    <xf numFmtId="14" fontId="2" fillId="2" borderId="26" xfId="0" applyNumberFormat="1" applyFont="1" applyFill="1" applyBorder="1"/>
    <xf numFmtId="0" fontId="13" fillId="5" borderId="0" xfId="0" applyFont="1" applyFill="1"/>
    <xf numFmtId="0" fontId="14" fillId="2" borderId="0" xfId="0" applyFont="1" applyFill="1"/>
    <xf numFmtId="0" fontId="6" fillId="5" borderId="27" xfId="0" applyFont="1" applyFill="1" applyBorder="1"/>
    <xf numFmtId="0" fontId="15" fillId="0" borderId="0" xfId="0" applyFont="1"/>
    <xf numFmtId="0" fontId="5" fillId="2" borderId="0" xfId="0" applyFont="1" applyFill="1"/>
    <xf numFmtId="0" fontId="17" fillId="2" borderId="0" xfId="0" applyFont="1" applyFill="1"/>
    <xf numFmtId="0" fontId="37" fillId="0" borderId="0" xfId="0" applyFont="1"/>
    <xf numFmtId="165" fontId="33" fillId="5" borderId="32" xfId="1" applyNumberFormat="1" applyFont="1" applyFill="1" applyBorder="1"/>
    <xf numFmtId="14" fontId="38" fillId="5" borderId="24" xfId="0" applyNumberFormat="1" applyFont="1" applyFill="1" applyBorder="1"/>
    <xf numFmtId="14" fontId="38" fillId="5" borderId="26" xfId="0" applyNumberFormat="1" applyFont="1" applyFill="1" applyBorder="1"/>
    <xf numFmtId="0" fontId="38" fillId="5" borderId="26" xfId="0" applyFont="1" applyFill="1" applyBorder="1" applyAlignment="1">
      <alignment horizontal="center"/>
    </xf>
    <xf numFmtId="0" fontId="38" fillId="5" borderId="26" xfId="0" applyFont="1" applyFill="1" applyBorder="1"/>
    <xf numFmtId="165" fontId="38" fillId="5" borderId="26" xfId="2" applyNumberFormat="1" applyFont="1" applyFill="1" applyBorder="1"/>
    <xf numFmtId="9" fontId="38" fillId="5" borderId="26" xfId="1" applyFont="1" applyFill="1" applyBorder="1"/>
    <xf numFmtId="165" fontId="38" fillId="5" borderId="48" xfId="0" applyNumberFormat="1" applyFont="1" applyFill="1" applyBorder="1"/>
    <xf numFmtId="165" fontId="38" fillId="5" borderId="32" xfId="1" applyNumberFormat="1" applyFont="1" applyFill="1" applyBorder="1" applyAlignment="1">
      <alignment horizontal="center"/>
    </xf>
    <xf numFmtId="0" fontId="39" fillId="0" borderId="0" xfId="0" applyFont="1"/>
    <xf numFmtId="14" fontId="38" fillId="0" borderId="24" xfId="0" applyNumberFormat="1" applyFont="1" applyBorder="1"/>
    <xf numFmtId="14" fontId="38" fillId="0" borderId="26" xfId="0" applyNumberFormat="1" applyFont="1" applyBorder="1"/>
    <xf numFmtId="0" fontId="38" fillId="0" borderId="26" xfId="0" applyFont="1" applyBorder="1"/>
    <xf numFmtId="0" fontId="38" fillId="0" borderId="26" xfId="0" applyFont="1" applyBorder="1" applyAlignment="1">
      <alignment horizontal="center"/>
    </xf>
    <xf numFmtId="165" fontId="38" fillId="0" borderId="26" xfId="2" applyNumberFormat="1" applyFont="1" applyBorder="1"/>
    <xf numFmtId="9" fontId="38" fillId="0" borderId="26" xfId="1" applyFont="1" applyBorder="1"/>
    <xf numFmtId="165" fontId="38" fillId="0" borderId="48" xfId="0" applyNumberFormat="1" applyFont="1" applyBorder="1"/>
    <xf numFmtId="165" fontId="38" fillId="0" borderId="32" xfId="1" applyNumberFormat="1" applyFont="1" applyBorder="1"/>
    <xf numFmtId="165" fontId="38" fillId="5" borderId="32" xfId="1" applyNumberFormat="1" applyFont="1" applyFill="1" applyBorder="1"/>
    <xf numFmtId="14" fontId="6" fillId="5" borderId="25" xfId="0" applyNumberFormat="1" applyFont="1" applyFill="1" applyBorder="1"/>
    <xf numFmtId="14" fontId="6" fillId="5" borderId="27" xfId="0" applyNumberFormat="1" applyFont="1" applyFill="1" applyBorder="1"/>
    <xf numFmtId="0" fontId="6" fillId="5" borderId="27" xfId="0" applyFont="1" applyFill="1" applyBorder="1" applyAlignment="1">
      <alignment horizontal="center"/>
    </xf>
    <xf numFmtId="165" fontId="6" fillId="5" borderId="27" xfId="2" applyNumberFormat="1" applyFont="1" applyFill="1" applyBorder="1"/>
    <xf numFmtId="9" fontId="6" fillId="5" borderId="27" xfId="1" applyFont="1" applyFill="1" applyBorder="1"/>
    <xf numFmtId="165" fontId="6" fillId="5" borderId="37" xfId="0" applyNumberFormat="1" applyFont="1" applyFill="1" applyBorder="1"/>
    <xf numFmtId="165" fontId="6" fillId="5" borderId="28" xfId="1" applyNumberFormat="1" applyFont="1" applyFill="1" applyBorder="1"/>
    <xf numFmtId="0" fontId="12" fillId="0" borderId="0" xfId="0" applyFont="1"/>
    <xf numFmtId="0" fontId="38" fillId="5" borderId="1" xfId="0" applyFont="1" applyFill="1" applyBorder="1"/>
    <xf numFmtId="0" fontId="33" fillId="5" borderId="1" xfId="0" applyFont="1" applyFill="1" applyBorder="1"/>
    <xf numFmtId="0" fontId="33" fillId="5" borderId="1" xfId="0" applyFont="1" applyFill="1" applyBorder="1" applyAlignment="1">
      <alignment horizontal="center"/>
    </xf>
    <xf numFmtId="0" fontId="22" fillId="2" borderId="26" xfId="0" applyFont="1" applyFill="1" applyBorder="1"/>
    <xf numFmtId="0" fontId="22" fillId="2" borderId="27" xfId="0" applyFont="1" applyFill="1" applyBorder="1"/>
    <xf numFmtId="14" fontId="22" fillId="2" borderId="26" xfId="0" applyNumberFormat="1" applyFont="1" applyFill="1" applyBorder="1"/>
    <xf numFmtId="0" fontId="9" fillId="0" borderId="0" xfId="0" applyFont="1"/>
    <xf numFmtId="14" fontId="9" fillId="0" borderId="24" xfId="0" applyNumberFormat="1" applyFont="1" applyBorder="1"/>
    <xf numFmtId="14" fontId="9" fillId="0" borderId="26" xfId="0" applyNumberFormat="1" applyFont="1" applyBorder="1"/>
    <xf numFmtId="0" fontId="9" fillId="0" borderId="26" xfId="0" applyFont="1" applyBorder="1" applyAlignment="1">
      <alignment horizontal="center"/>
    </xf>
    <xf numFmtId="165" fontId="9" fillId="0" borderId="26" xfId="2" applyNumberFormat="1" applyFont="1" applyBorder="1"/>
    <xf numFmtId="9" fontId="9" fillId="0" borderId="26" xfId="1" applyFont="1" applyBorder="1"/>
    <xf numFmtId="165" fontId="9" fillId="0" borderId="48" xfId="0" applyNumberFormat="1" applyFont="1" applyBorder="1"/>
    <xf numFmtId="165" fontId="9" fillId="0" borderId="32" xfId="1" applyNumberFormat="1" applyFont="1" applyBorder="1"/>
    <xf numFmtId="0" fontId="25" fillId="2" borderId="26" xfId="0" applyFont="1" applyFill="1" applyBorder="1"/>
    <xf numFmtId="14" fontId="15" fillId="0" borderId="1" xfId="0" applyNumberFormat="1" applyFont="1" applyBorder="1" applyAlignment="1">
      <alignment horizontal="right"/>
    </xf>
    <xf numFmtId="14" fontId="12" fillId="0" borderId="26" xfId="0" applyNumberFormat="1" applyFont="1" applyBorder="1" applyAlignment="1">
      <alignment horizontal="right"/>
    </xf>
    <xf numFmtId="14" fontId="15" fillId="0" borderId="26" xfId="0" applyNumberFormat="1" applyFont="1" applyBorder="1" applyAlignment="1">
      <alignment horizontal="right"/>
    </xf>
    <xf numFmtId="0" fontId="15" fillId="0" borderId="15" xfId="0" applyFont="1" applyBorder="1"/>
    <xf numFmtId="0" fontId="12" fillId="2" borderId="27" xfId="0" applyFont="1" applyFill="1" applyBorder="1"/>
    <xf numFmtId="0" fontId="15" fillId="2" borderId="57" xfId="0" applyFont="1" applyFill="1" applyBorder="1"/>
    <xf numFmtId="0" fontId="15" fillId="2" borderId="27" xfId="0" applyFont="1" applyFill="1" applyBorder="1"/>
    <xf numFmtId="0" fontId="17" fillId="2" borderId="1" xfId="0" applyFont="1" applyFill="1" applyBorder="1"/>
    <xf numFmtId="14" fontId="2" fillId="0" borderId="0" xfId="0" applyNumberFormat="1" applyFont="1"/>
    <xf numFmtId="44" fontId="2" fillId="0" borderId="0" xfId="2" applyFont="1"/>
    <xf numFmtId="9" fontId="2" fillId="0" borderId="0" xfId="1" applyFont="1"/>
    <xf numFmtId="165" fontId="2" fillId="4" borderId="44" xfId="0" applyNumberFormat="1" applyFont="1" applyFill="1" applyBorder="1" applyAlignment="1">
      <alignment horizontal="center"/>
    </xf>
    <xf numFmtId="165" fontId="15" fillId="0" borderId="33" xfId="1" applyNumberFormat="1" applyFont="1" applyBorder="1" applyAlignment="1">
      <alignment horizontal="center"/>
    </xf>
    <xf numFmtId="165" fontId="3" fillId="3" borderId="44" xfId="2" applyNumberFormat="1" applyFont="1" applyFill="1" applyBorder="1" applyAlignment="1">
      <alignment horizontal="center"/>
    </xf>
    <xf numFmtId="44" fontId="2" fillId="0" borderId="0" xfId="2" applyFont="1" applyAlignment="1">
      <alignment horizontal="center"/>
    </xf>
    <xf numFmtId="14" fontId="38" fillId="5" borderId="1" xfId="0" applyNumberFormat="1" applyFont="1" applyFill="1" applyBorder="1"/>
    <xf numFmtId="0" fontId="38" fillId="5" borderId="1" xfId="0" applyFont="1" applyFill="1" applyBorder="1" applyAlignment="1">
      <alignment horizontal="center"/>
    </xf>
    <xf numFmtId="165" fontId="38" fillId="5" borderId="1" xfId="2" applyNumberFormat="1" applyFont="1" applyFill="1" applyBorder="1"/>
    <xf numFmtId="9" fontId="38" fillId="5" borderId="1" xfId="1" applyFont="1" applyFill="1" applyBorder="1"/>
    <xf numFmtId="165" fontId="38" fillId="5" borderId="1" xfId="0" applyNumberFormat="1" applyFont="1" applyFill="1" applyBorder="1"/>
    <xf numFmtId="165" fontId="38" fillId="5" borderId="1" xfId="1" applyNumberFormat="1" applyFont="1" applyFill="1" applyBorder="1"/>
    <xf numFmtId="0" fontId="22" fillId="2" borderId="1" xfId="0" applyFont="1" applyFill="1" applyBorder="1"/>
    <xf numFmtId="0" fontId="38" fillId="0" borderId="0" xfId="0" applyFont="1"/>
    <xf numFmtId="14" fontId="12" fillId="5" borderId="34" xfId="0" applyNumberFormat="1" applyFont="1" applyFill="1" applyBorder="1"/>
    <xf numFmtId="165" fontId="12" fillId="5" borderId="33" xfId="1" applyNumberFormat="1" applyFont="1" applyFill="1" applyBorder="1" applyAlignment="1">
      <alignment horizontal="center"/>
    </xf>
    <xf numFmtId="14" fontId="38" fillId="5" borderId="25" xfId="0" applyNumberFormat="1" applyFont="1" applyFill="1" applyBorder="1"/>
    <xf numFmtId="14" fontId="38" fillId="5" borderId="27" xfId="0" applyNumberFormat="1" applyFont="1" applyFill="1" applyBorder="1"/>
    <xf numFmtId="0" fontId="38" fillId="5" borderId="27" xfId="0" applyFont="1" applyFill="1" applyBorder="1"/>
    <xf numFmtId="0" fontId="38" fillId="5" borderId="27" xfId="0" applyFont="1" applyFill="1" applyBorder="1" applyAlignment="1">
      <alignment horizontal="center"/>
    </xf>
    <xf numFmtId="165" fontId="38" fillId="5" borderId="27" xfId="2" applyNumberFormat="1" applyFont="1" applyFill="1" applyBorder="1"/>
    <xf numFmtId="9" fontId="38" fillId="5" borderId="27" xfId="1" applyFont="1" applyFill="1" applyBorder="1"/>
    <xf numFmtId="165" fontId="38" fillId="5" borderId="37" xfId="0" applyNumberFormat="1" applyFont="1" applyFill="1" applyBorder="1"/>
    <xf numFmtId="165" fontId="38" fillId="5" borderId="28" xfId="1" applyNumberFormat="1" applyFont="1" applyFill="1" applyBorder="1"/>
    <xf numFmtId="0" fontId="38" fillId="0" borderId="58" xfId="0" applyFont="1" applyBorder="1"/>
    <xf numFmtId="165" fontId="38" fillId="0" borderId="48" xfId="0" quotePrefix="1" applyNumberFormat="1" applyFont="1" applyBorder="1"/>
    <xf numFmtId="44" fontId="38" fillId="0" borderId="32" xfId="2" applyFont="1" applyBorder="1" applyAlignment="1">
      <alignment horizontal="center"/>
    </xf>
    <xf numFmtId="44" fontId="15" fillId="0" borderId="32" xfId="2" applyFont="1" applyBorder="1" applyAlignment="1">
      <alignment horizontal="center"/>
    </xf>
    <xf numFmtId="0" fontId="15" fillId="7" borderId="26" xfId="0" applyFont="1" applyFill="1" applyBorder="1"/>
    <xf numFmtId="0" fontId="15" fillId="7" borderId="1" xfId="0" applyFont="1" applyFill="1" applyBorder="1"/>
    <xf numFmtId="0" fontId="15" fillId="7" borderId="57" xfId="0" applyFont="1" applyFill="1" applyBorder="1"/>
    <xf numFmtId="0" fontId="15" fillId="7" borderId="58" xfId="0" applyFont="1" applyFill="1" applyBorder="1"/>
    <xf numFmtId="14" fontId="15" fillId="7" borderId="26" xfId="0" applyNumberFormat="1" applyFont="1" applyFill="1" applyBorder="1"/>
    <xf numFmtId="0" fontId="17" fillId="2" borderId="15" xfId="0" applyFont="1" applyFill="1" applyBorder="1"/>
    <xf numFmtId="0" fontId="2" fillId="13" borderId="1" xfId="0" applyFont="1" applyFill="1" applyBorder="1"/>
    <xf numFmtId="0" fontId="15" fillId="13" borderId="26" xfId="0" applyFont="1" applyFill="1" applyBorder="1"/>
    <xf numFmtId="0" fontId="15" fillId="13" borderId="1" xfId="0" applyFont="1" applyFill="1" applyBorder="1"/>
    <xf numFmtId="0" fontId="12" fillId="13" borderId="26" xfId="0" applyFont="1" applyFill="1" applyBorder="1"/>
    <xf numFmtId="14" fontId="33" fillId="13" borderId="26" xfId="0" applyNumberFormat="1" applyFont="1" applyFill="1" applyBorder="1"/>
    <xf numFmtId="0" fontId="33" fillId="13" borderId="26" xfId="0" applyFont="1" applyFill="1" applyBorder="1"/>
    <xf numFmtId="0" fontId="15" fillId="13" borderId="27" xfId="0" applyFont="1" applyFill="1" applyBorder="1"/>
    <xf numFmtId="0" fontId="15" fillId="13" borderId="57" xfId="0" applyFont="1" applyFill="1" applyBorder="1"/>
    <xf numFmtId="0" fontId="33" fillId="2" borderId="26" xfId="0" applyFont="1" applyFill="1" applyBorder="1"/>
    <xf numFmtId="14" fontId="14" fillId="0" borderId="1" xfId="0" applyNumberFormat="1" applyFont="1" applyBorder="1"/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44" fontId="14" fillId="0" borderId="1" xfId="2" applyFont="1" applyBorder="1"/>
    <xf numFmtId="9" fontId="14" fillId="0" borderId="1" xfId="1" applyFont="1" applyBorder="1"/>
    <xf numFmtId="14" fontId="15" fillId="0" borderId="25" xfId="0" applyNumberFormat="1" applyFont="1" applyBorder="1"/>
    <xf numFmtId="14" fontId="15" fillId="0" borderId="15" xfId="0" applyNumberFormat="1" applyFont="1" applyBorder="1"/>
    <xf numFmtId="0" fontId="15" fillId="0" borderId="27" xfId="0" applyFont="1" applyBorder="1" applyAlignment="1">
      <alignment horizontal="center"/>
    </xf>
    <xf numFmtId="165" fontId="15" fillId="0" borderId="27" xfId="2" applyNumberFormat="1" applyFont="1" applyBorder="1"/>
    <xf numFmtId="9" fontId="15" fillId="0" borderId="27" xfId="1" applyFont="1" applyBorder="1"/>
    <xf numFmtId="165" fontId="15" fillId="0" borderId="37" xfId="0" applyNumberFormat="1" applyFont="1" applyBorder="1"/>
    <xf numFmtId="165" fontId="15" fillId="0" borderId="28" xfId="1" applyNumberFormat="1" applyFont="1" applyBorder="1"/>
    <xf numFmtId="14" fontId="12" fillId="0" borderId="1" xfId="0" applyNumberFormat="1" applyFont="1" applyBorder="1" applyAlignment="1">
      <alignment horizontal="right"/>
    </xf>
    <xf numFmtId="14" fontId="15" fillId="7" borderId="5" xfId="0" applyNumberFormat="1" applyFont="1" applyFill="1" applyBorder="1"/>
    <xf numFmtId="14" fontId="15" fillId="7" borderId="1" xfId="0" applyNumberFormat="1" applyFont="1" applyFill="1" applyBorder="1"/>
    <xf numFmtId="0" fontId="15" fillId="7" borderId="1" xfId="0" applyFont="1" applyFill="1" applyBorder="1" applyAlignment="1">
      <alignment horizontal="center"/>
    </xf>
    <xf numFmtId="165" fontId="15" fillId="7" borderId="1" xfId="2" applyNumberFormat="1" applyFont="1" applyFill="1" applyBorder="1"/>
    <xf numFmtId="9" fontId="15" fillId="7" borderId="1" xfId="1" applyFont="1" applyFill="1" applyBorder="1"/>
    <xf numFmtId="165" fontId="15" fillId="7" borderId="11" xfId="0" applyNumberFormat="1" applyFont="1" applyFill="1" applyBorder="1"/>
    <xf numFmtId="165" fontId="15" fillId="7" borderId="23" xfId="1" applyNumberFormat="1" applyFont="1" applyFill="1" applyBorder="1"/>
    <xf numFmtId="0" fontId="0" fillId="7" borderId="0" xfId="0" applyFill="1"/>
    <xf numFmtId="14" fontId="15" fillId="7" borderId="24" xfId="0" applyNumberFormat="1" applyFont="1" applyFill="1" applyBorder="1"/>
    <xf numFmtId="0" fontId="15" fillId="7" borderId="26" xfId="0" applyFont="1" applyFill="1" applyBorder="1" applyAlignment="1">
      <alignment horizontal="center"/>
    </xf>
    <xf numFmtId="165" fontId="15" fillId="7" borderId="26" xfId="2" applyNumberFormat="1" applyFont="1" applyFill="1" applyBorder="1"/>
    <xf numFmtId="9" fontId="15" fillId="7" borderId="26" xfId="1" applyFont="1" applyFill="1" applyBorder="1"/>
    <xf numFmtId="165" fontId="15" fillId="7" borderId="48" xfId="0" applyNumberFormat="1" applyFont="1" applyFill="1" applyBorder="1"/>
    <xf numFmtId="165" fontId="15" fillId="7" borderId="32" xfId="1" applyNumberFormat="1" applyFont="1" applyFill="1" applyBorder="1" applyAlignment="1">
      <alignment horizontal="center"/>
    </xf>
    <xf numFmtId="0" fontId="33" fillId="7" borderId="11" xfId="0" applyFont="1" applyFill="1" applyBorder="1" applyAlignment="1">
      <alignment horizontal="center"/>
    </xf>
    <xf numFmtId="0" fontId="33" fillId="7" borderId="13" xfId="0" applyFont="1" applyFill="1" applyBorder="1" applyAlignment="1">
      <alignment horizontal="center"/>
    </xf>
    <xf numFmtId="165" fontId="15" fillId="7" borderId="32" xfId="1" applyNumberFormat="1" applyFont="1" applyFill="1" applyBorder="1"/>
    <xf numFmtId="165" fontId="15" fillId="7" borderId="1" xfId="1" applyNumberFormat="1" applyFont="1" applyFill="1" applyBorder="1" applyAlignment="1">
      <alignment horizontal="center"/>
    </xf>
    <xf numFmtId="165" fontId="17" fillId="7" borderId="1" xfId="2" applyNumberFormat="1" applyFont="1" applyFill="1" applyBorder="1"/>
    <xf numFmtId="9" fontId="15" fillId="7" borderId="1" xfId="1" quotePrefix="1" applyFont="1" applyFill="1" applyBorder="1"/>
    <xf numFmtId="0" fontId="18" fillId="7" borderId="0" xfId="0" applyFont="1" applyFill="1"/>
    <xf numFmtId="0" fontId="15" fillId="7" borderId="27" xfId="0" applyFont="1" applyFill="1" applyBorder="1"/>
    <xf numFmtId="14" fontId="17" fillId="7" borderId="0" xfId="0" applyNumberFormat="1" applyFont="1" applyFill="1"/>
    <xf numFmtId="165" fontId="15" fillId="7" borderId="1" xfId="0" applyNumberFormat="1" applyFont="1" applyFill="1" applyBorder="1"/>
    <xf numFmtId="165" fontId="15" fillId="7" borderId="1" xfId="1" applyNumberFormat="1" applyFont="1" applyFill="1" applyBorder="1"/>
    <xf numFmtId="14" fontId="15" fillId="7" borderId="25" xfId="0" applyNumberFormat="1" applyFont="1" applyFill="1" applyBorder="1"/>
    <xf numFmtId="14" fontId="15" fillId="7" borderId="27" xfId="0" applyNumberFormat="1" applyFont="1" applyFill="1" applyBorder="1"/>
    <xf numFmtId="0" fontId="15" fillId="7" borderId="27" xfId="0" applyFont="1" applyFill="1" applyBorder="1" applyAlignment="1">
      <alignment horizontal="center"/>
    </xf>
    <xf numFmtId="165" fontId="15" fillId="7" borderId="27" xfId="2" applyNumberFormat="1" applyFont="1" applyFill="1" applyBorder="1"/>
    <xf numFmtId="9" fontId="15" fillId="7" borderId="27" xfId="1" applyFont="1" applyFill="1" applyBorder="1"/>
    <xf numFmtId="165" fontId="15" fillId="7" borderId="37" xfId="0" applyNumberFormat="1" applyFont="1" applyFill="1" applyBorder="1"/>
    <xf numFmtId="165" fontId="15" fillId="7" borderId="28" xfId="1" applyNumberFormat="1" applyFont="1" applyFill="1" applyBorder="1"/>
    <xf numFmtId="165" fontId="15" fillId="7" borderId="33" xfId="1" applyNumberFormat="1" applyFont="1" applyFill="1" applyBorder="1"/>
    <xf numFmtId="14" fontId="17" fillId="7" borderId="1" xfId="0" applyNumberFormat="1" applyFont="1" applyFill="1" applyBorder="1"/>
    <xf numFmtId="0" fontId="17" fillId="7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left"/>
    </xf>
    <xf numFmtId="44" fontId="17" fillId="7" borderId="1" xfId="2" applyFont="1" applyFill="1" applyBorder="1"/>
    <xf numFmtId="9" fontId="17" fillId="7" borderId="1" xfId="1" applyFont="1" applyFill="1" applyBorder="1"/>
    <xf numFmtId="14" fontId="6" fillId="5" borderId="1" xfId="0" applyNumberFormat="1" applyFont="1" applyFill="1" applyBorder="1"/>
    <xf numFmtId="165" fontId="6" fillId="0" borderId="48" xfId="0" quotePrefix="1" applyNumberFormat="1" applyFont="1" applyBorder="1"/>
    <xf numFmtId="0" fontId="15" fillId="5" borderId="0" xfId="0" applyFont="1" applyFill="1"/>
    <xf numFmtId="14" fontId="15" fillId="5" borderId="26" xfId="0" applyNumberFormat="1" applyFont="1" applyFill="1" applyBorder="1" applyAlignment="1">
      <alignment horizontal="right"/>
    </xf>
    <xf numFmtId="14" fontId="15" fillId="5" borderId="15" xfId="0" applyNumberFormat="1" applyFont="1" applyFill="1" applyBorder="1"/>
    <xf numFmtId="0" fontId="15" fillId="5" borderId="58" xfId="0" applyFont="1" applyFill="1" applyBorder="1"/>
    <xf numFmtId="0" fontId="15" fillId="5" borderId="15" xfId="0" applyFont="1" applyFill="1" applyBorder="1"/>
    <xf numFmtId="14" fontId="17" fillId="5" borderId="1" xfId="0" applyNumberFormat="1" applyFont="1" applyFill="1" applyBorder="1"/>
    <xf numFmtId="0" fontId="17" fillId="5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left"/>
    </xf>
    <xf numFmtId="44" fontId="17" fillId="5" borderId="1" xfId="2" applyFont="1" applyFill="1" applyBorder="1"/>
    <xf numFmtId="9" fontId="17" fillId="5" borderId="1" xfId="1" applyFont="1" applyFill="1" applyBorder="1"/>
    <xf numFmtId="165" fontId="15" fillId="5" borderId="33" xfId="1" applyNumberFormat="1" applyFont="1" applyFill="1" applyBorder="1"/>
    <xf numFmtId="44" fontId="15" fillId="5" borderId="1" xfId="2" applyFont="1" applyFill="1" applyBorder="1"/>
    <xf numFmtId="165" fontId="15" fillId="5" borderId="33" xfId="1" applyNumberFormat="1" applyFont="1" applyFill="1" applyBorder="1" applyAlignment="1">
      <alignment horizontal="center"/>
    </xf>
    <xf numFmtId="165" fontId="15" fillId="5" borderId="13" xfId="1" applyNumberFormat="1" applyFont="1" applyFill="1" applyBorder="1"/>
    <xf numFmtId="165" fontId="15" fillId="5" borderId="0" xfId="1" applyNumberFormat="1" applyFont="1" applyFill="1" applyBorder="1"/>
    <xf numFmtId="44" fontId="15" fillId="5" borderId="33" xfId="2" applyFont="1" applyFill="1" applyBorder="1" applyAlignment="1">
      <alignment horizontal="center"/>
    </xf>
    <xf numFmtId="165" fontId="15" fillId="5" borderId="1" xfId="0" quotePrefix="1" applyNumberFormat="1" applyFont="1" applyFill="1" applyBorder="1"/>
    <xf numFmtId="14" fontId="15" fillId="0" borderId="0" xfId="0" applyNumberFormat="1" applyFont="1"/>
    <xf numFmtId="0" fontId="15" fillId="0" borderId="0" xfId="0" applyFont="1" applyAlignment="1">
      <alignment horizontal="center"/>
    </xf>
    <xf numFmtId="165" fontId="15" fillId="0" borderId="0" xfId="2" applyNumberFormat="1" applyFont="1" applyBorder="1"/>
    <xf numFmtId="9" fontId="15" fillId="0" borderId="0" xfId="1" applyFont="1" applyBorder="1"/>
    <xf numFmtId="165" fontId="15" fillId="0" borderId="0" xfId="0" applyNumberFormat="1" applyFont="1"/>
    <xf numFmtId="165" fontId="15" fillId="0" borderId="0" xfId="1" applyNumberFormat="1" applyFont="1" applyBorder="1"/>
    <xf numFmtId="165" fontId="12" fillId="5" borderId="12" xfId="1" applyNumberFormat="1" applyFont="1" applyFill="1" applyBorder="1"/>
    <xf numFmtId="165" fontId="40" fillId="5" borderId="1" xfId="0" applyNumberFormat="1" applyFont="1" applyFill="1" applyBorder="1"/>
    <xf numFmtId="0" fontId="41" fillId="0" borderId="0" xfId="0" applyFont="1"/>
    <xf numFmtId="0" fontId="12" fillId="5" borderId="0" xfId="0" applyFont="1" applyFill="1"/>
    <xf numFmtId="165" fontId="15" fillId="5" borderId="0" xfId="1" applyNumberFormat="1" applyFont="1" applyFill="1" applyBorder="1" applyAlignment="1">
      <alignment horizontal="center"/>
    </xf>
    <xf numFmtId="0" fontId="2" fillId="5" borderId="0" xfId="0" applyFont="1" applyFill="1"/>
    <xf numFmtId="0" fontId="15" fillId="5" borderId="0" xfId="0" applyFont="1" applyFill="1" applyAlignment="1">
      <alignment horizontal="center"/>
    </xf>
    <xf numFmtId="165" fontId="12" fillId="5" borderId="33" xfId="1" applyNumberFormat="1" applyFont="1" applyFill="1" applyBorder="1"/>
    <xf numFmtId="0" fontId="2" fillId="5" borderId="18" xfId="0" applyFont="1" applyFill="1" applyBorder="1" applyAlignment="1">
      <alignment horizontal="center"/>
    </xf>
    <xf numFmtId="0" fontId="6" fillId="5" borderId="0" xfId="0" applyFont="1" applyFill="1"/>
    <xf numFmtId="14" fontId="3" fillId="5" borderId="46" xfId="0" applyNumberFormat="1" applyFont="1" applyFill="1" applyBorder="1" applyAlignment="1">
      <alignment horizontal="center"/>
    </xf>
    <xf numFmtId="0" fontId="0" fillId="5" borderId="0" xfId="0" applyFill="1"/>
    <xf numFmtId="0" fontId="18" fillId="0" borderId="1" xfId="0" applyFont="1" applyBorder="1" applyAlignment="1">
      <alignment horizontal="center"/>
    </xf>
    <xf numFmtId="0" fontId="33" fillId="2" borderId="1" xfId="0" applyFont="1" applyFill="1" applyBorder="1"/>
    <xf numFmtId="0" fontId="38" fillId="2" borderId="1" xfId="0" applyFont="1" applyFill="1" applyBorder="1"/>
    <xf numFmtId="0" fontId="15" fillId="2" borderId="0" xfId="0" applyFont="1" applyFill="1"/>
    <xf numFmtId="0" fontId="38" fillId="2" borderId="26" xfId="0" applyFont="1" applyFill="1" applyBorder="1"/>
    <xf numFmtId="165" fontId="2" fillId="5" borderId="1" xfId="0" applyNumberFormat="1" applyFont="1" applyFill="1" applyBorder="1"/>
    <xf numFmtId="165" fontId="2" fillId="5" borderId="33" xfId="1" applyNumberFormat="1" applyFont="1" applyFill="1" applyBorder="1" applyAlignment="1">
      <alignment horizontal="center"/>
    </xf>
    <xf numFmtId="165" fontId="2" fillId="5" borderId="0" xfId="1" applyNumberFormat="1" applyFont="1" applyFill="1" applyBorder="1" applyAlignment="1">
      <alignment horizontal="center"/>
    </xf>
    <xf numFmtId="165" fontId="2" fillId="5" borderId="1" xfId="0" quotePrefix="1" applyNumberFormat="1" applyFont="1" applyFill="1" applyBorder="1"/>
    <xf numFmtId="14" fontId="42" fillId="3" borderId="45" xfId="0" applyNumberFormat="1" applyFont="1" applyFill="1" applyBorder="1" applyAlignment="1">
      <alignment horizontal="center"/>
    </xf>
    <xf numFmtId="14" fontId="42" fillId="3" borderId="46" xfId="0" applyNumberFormat="1" applyFont="1" applyFill="1" applyBorder="1" applyAlignment="1">
      <alignment horizontal="center"/>
    </xf>
    <xf numFmtId="165" fontId="42" fillId="3" borderId="46" xfId="2" applyNumberFormat="1" applyFont="1" applyFill="1" applyBorder="1" applyAlignment="1"/>
    <xf numFmtId="14" fontId="42" fillId="3" borderId="47" xfId="0" applyNumberFormat="1" applyFont="1" applyFill="1" applyBorder="1"/>
    <xf numFmtId="165" fontId="42" fillId="3" borderId="61" xfId="0" applyNumberFormat="1" applyFont="1" applyFill="1" applyBorder="1"/>
    <xf numFmtId="165" fontId="3" fillId="3" borderId="59" xfId="2" applyNumberFormat="1" applyFont="1" applyFill="1" applyBorder="1"/>
    <xf numFmtId="0" fontId="12" fillId="5" borderId="0" xfId="0" applyFont="1" applyFill="1" applyAlignment="1">
      <alignment horizontal="center"/>
    </xf>
    <xf numFmtId="0" fontId="14" fillId="5" borderId="1" xfId="0" applyFont="1" applyFill="1" applyBorder="1" applyAlignment="1">
      <alignment horizontal="center"/>
    </xf>
    <xf numFmtId="44" fontId="14" fillId="5" borderId="1" xfId="2" applyFont="1" applyFill="1" applyBorder="1"/>
    <xf numFmtId="0" fontId="43" fillId="0" borderId="0" xfId="0" applyFont="1"/>
    <xf numFmtId="0" fontId="44" fillId="0" borderId="0" xfId="0" applyFont="1"/>
    <xf numFmtId="165" fontId="2" fillId="4" borderId="45" xfId="0" applyNumberFormat="1" applyFont="1" applyFill="1" applyBorder="1" applyAlignment="1">
      <alignment horizontal="center"/>
    </xf>
    <xf numFmtId="165" fontId="2" fillId="5" borderId="12" xfId="1" applyNumberFormat="1" applyFont="1" applyFill="1" applyBorder="1" applyAlignment="1">
      <alignment horizontal="center"/>
    </xf>
    <xf numFmtId="165" fontId="42" fillId="3" borderId="45" xfId="2" applyNumberFormat="1" applyFont="1" applyFill="1" applyBorder="1" applyAlignment="1">
      <alignment horizontal="center"/>
    </xf>
    <xf numFmtId="165" fontId="15" fillId="5" borderId="12" xfId="1" applyNumberFormat="1" applyFont="1" applyFill="1" applyBorder="1" applyAlignment="1">
      <alignment horizontal="center"/>
    </xf>
    <xf numFmtId="14" fontId="15" fillId="5" borderId="24" xfId="0" applyNumberFormat="1" applyFont="1" applyFill="1" applyBorder="1" applyAlignment="1">
      <alignment horizontal="center"/>
    </xf>
    <xf numFmtId="14" fontId="15" fillId="5" borderId="26" xfId="0" applyNumberFormat="1" applyFont="1" applyFill="1" applyBorder="1" applyAlignment="1">
      <alignment horizontal="center"/>
    </xf>
    <xf numFmtId="165" fontId="15" fillId="5" borderId="26" xfId="2" applyNumberFormat="1" applyFont="1" applyFill="1" applyBorder="1" applyAlignment="1">
      <alignment horizontal="center"/>
    </xf>
    <xf numFmtId="9" fontId="15" fillId="5" borderId="26" xfId="1" applyFont="1" applyFill="1" applyBorder="1" applyAlignment="1">
      <alignment horizontal="center"/>
    </xf>
    <xf numFmtId="165" fontId="15" fillId="5" borderId="1" xfId="0" applyNumberFormat="1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14" fontId="15" fillId="5" borderId="1" xfId="0" applyNumberFormat="1" applyFont="1" applyFill="1" applyBorder="1" applyAlignment="1">
      <alignment horizontal="center"/>
    </xf>
    <xf numFmtId="165" fontId="15" fillId="5" borderId="1" xfId="2" applyNumberFormat="1" applyFont="1" applyFill="1" applyBorder="1" applyAlignment="1">
      <alignment horizontal="center"/>
    </xf>
    <xf numFmtId="9" fontId="15" fillId="5" borderId="1" xfId="1" applyFont="1" applyFill="1" applyBorder="1" applyAlignment="1">
      <alignment horizontal="center"/>
    </xf>
    <xf numFmtId="14" fontId="15" fillId="5" borderId="25" xfId="0" applyNumberFormat="1" applyFont="1" applyFill="1" applyBorder="1" applyAlignment="1">
      <alignment horizontal="center"/>
    </xf>
    <xf numFmtId="14" fontId="15" fillId="5" borderId="15" xfId="0" applyNumberFormat="1" applyFont="1" applyFill="1" applyBorder="1" applyAlignment="1">
      <alignment horizontal="center"/>
    </xf>
    <xf numFmtId="165" fontId="15" fillId="5" borderId="27" xfId="2" applyNumberFormat="1" applyFont="1" applyFill="1" applyBorder="1" applyAlignment="1">
      <alignment horizontal="center"/>
    </xf>
    <xf numFmtId="9" fontId="15" fillId="5" borderId="27" xfId="1" applyFont="1" applyFill="1" applyBorder="1" applyAlignment="1">
      <alignment horizontal="center"/>
    </xf>
    <xf numFmtId="14" fontId="15" fillId="5" borderId="27" xfId="0" applyNumberFormat="1" applyFont="1" applyFill="1" applyBorder="1" applyAlignment="1">
      <alignment horizontal="center"/>
    </xf>
    <xf numFmtId="0" fontId="15" fillId="5" borderId="58" xfId="0" applyFont="1" applyFill="1" applyBorder="1" applyAlignment="1">
      <alignment horizontal="center"/>
    </xf>
    <xf numFmtId="165" fontId="15" fillId="5" borderId="1" xfId="0" quotePrefix="1" applyNumberFormat="1" applyFont="1" applyFill="1" applyBorder="1" applyAlignment="1">
      <alignment horizontal="center"/>
    </xf>
    <xf numFmtId="0" fontId="15" fillId="5" borderId="15" xfId="0" applyFont="1" applyFill="1" applyBorder="1" applyAlignment="1">
      <alignment horizontal="center"/>
    </xf>
    <xf numFmtId="44" fontId="15" fillId="5" borderId="1" xfId="2" applyFont="1" applyFill="1" applyBorder="1" applyAlignment="1">
      <alignment horizontal="center"/>
    </xf>
    <xf numFmtId="14" fontId="12" fillId="5" borderId="24" xfId="0" applyNumberFormat="1" applyFont="1" applyFill="1" applyBorder="1" applyAlignment="1">
      <alignment horizontal="center"/>
    </xf>
    <xf numFmtId="14" fontId="12" fillId="5" borderId="26" xfId="0" applyNumberFormat="1" applyFont="1" applyFill="1" applyBorder="1" applyAlignment="1">
      <alignment horizontal="center"/>
    </xf>
    <xf numFmtId="165" fontId="12" fillId="5" borderId="26" xfId="2" applyNumberFormat="1" applyFont="1" applyFill="1" applyBorder="1" applyAlignment="1">
      <alignment horizontal="center"/>
    </xf>
    <xf numFmtId="9" fontId="12" fillId="5" borderId="26" xfId="1" applyFont="1" applyFill="1" applyBorder="1" applyAlignment="1">
      <alignment horizontal="center"/>
    </xf>
    <xf numFmtId="165" fontId="12" fillId="5" borderId="1" xfId="0" applyNumberFormat="1" applyFont="1" applyFill="1" applyBorder="1" applyAlignment="1">
      <alignment horizontal="center"/>
    </xf>
    <xf numFmtId="0" fontId="46" fillId="0" borderId="0" xfId="0" applyFont="1" applyAlignment="1">
      <alignment horizontal="center"/>
    </xf>
    <xf numFmtId="14" fontId="12" fillId="5" borderId="1" xfId="0" applyNumberFormat="1" applyFont="1" applyFill="1" applyBorder="1" applyAlignment="1">
      <alignment horizontal="center"/>
    </xf>
    <xf numFmtId="165" fontId="12" fillId="5" borderId="1" xfId="2" applyNumberFormat="1" applyFont="1" applyFill="1" applyBorder="1" applyAlignment="1">
      <alignment horizontal="center"/>
    </xf>
    <xf numFmtId="9" fontId="12" fillId="5" borderId="1" xfId="1" applyFont="1" applyFill="1" applyBorder="1" applyAlignment="1">
      <alignment horizontal="center"/>
    </xf>
    <xf numFmtId="165" fontId="12" fillId="5" borderId="12" xfId="1" applyNumberFormat="1" applyFont="1" applyFill="1" applyBorder="1" applyAlignment="1">
      <alignment horizontal="center"/>
    </xf>
    <xf numFmtId="14" fontId="33" fillId="5" borderId="24" xfId="0" applyNumberFormat="1" applyFont="1" applyFill="1" applyBorder="1" applyAlignment="1">
      <alignment horizontal="center"/>
    </xf>
    <xf numFmtId="14" fontId="33" fillId="5" borderId="26" xfId="0" applyNumberFormat="1" applyFont="1" applyFill="1" applyBorder="1" applyAlignment="1">
      <alignment horizontal="center"/>
    </xf>
    <xf numFmtId="165" fontId="33" fillId="5" borderId="26" xfId="2" applyNumberFormat="1" applyFont="1" applyFill="1" applyBorder="1" applyAlignment="1">
      <alignment horizontal="center"/>
    </xf>
    <xf numFmtId="9" fontId="33" fillId="5" borderId="26" xfId="1" applyFont="1" applyFill="1" applyBorder="1" applyAlignment="1">
      <alignment horizontal="center"/>
    </xf>
    <xf numFmtId="165" fontId="33" fillId="5" borderId="1" xfId="0" applyNumberFormat="1" applyFont="1" applyFill="1" applyBorder="1" applyAlignment="1">
      <alignment horizontal="center"/>
    </xf>
    <xf numFmtId="165" fontId="33" fillId="5" borderId="33" xfId="1" applyNumberFormat="1" applyFont="1" applyFill="1" applyBorder="1" applyAlignment="1">
      <alignment horizontal="center"/>
    </xf>
    <xf numFmtId="0" fontId="47" fillId="0" borderId="0" xfId="0" applyFont="1" applyAlignment="1">
      <alignment horizontal="center"/>
    </xf>
    <xf numFmtId="44" fontId="12" fillId="5" borderId="1" xfId="2" applyFont="1" applyFill="1" applyBorder="1" applyAlignment="1">
      <alignment horizontal="center"/>
    </xf>
    <xf numFmtId="14" fontId="6" fillId="5" borderId="24" xfId="0" applyNumberFormat="1" applyFont="1" applyFill="1" applyBorder="1" applyAlignment="1">
      <alignment horizontal="center"/>
    </xf>
    <xf numFmtId="14" fontId="6" fillId="5" borderId="26" xfId="0" applyNumberFormat="1" applyFont="1" applyFill="1" applyBorder="1" applyAlignment="1">
      <alignment horizontal="center"/>
    </xf>
    <xf numFmtId="165" fontId="6" fillId="5" borderId="26" xfId="2" applyNumberFormat="1" applyFont="1" applyFill="1" applyBorder="1" applyAlignment="1">
      <alignment horizontal="center"/>
    </xf>
    <xf numFmtId="9" fontId="6" fillId="5" borderId="26" xfId="1" applyFont="1" applyFill="1" applyBorder="1" applyAlignment="1">
      <alignment horizontal="center"/>
    </xf>
    <xf numFmtId="165" fontId="6" fillId="5" borderId="1" xfId="0" applyNumberFormat="1" applyFont="1" applyFill="1" applyBorder="1" applyAlignment="1">
      <alignment horizontal="center"/>
    </xf>
    <xf numFmtId="165" fontId="6" fillId="5" borderId="33" xfId="1" applyNumberFormat="1" applyFont="1" applyFill="1" applyBorder="1" applyAlignment="1">
      <alignment horizontal="center"/>
    </xf>
    <xf numFmtId="0" fontId="48" fillId="0" borderId="0" xfId="0" applyFont="1" applyAlignment="1">
      <alignment horizontal="center"/>
    </xf>
    <xf numFmtId="0" fontId="46" fillId="5" borderId="0" xfId="0" applyFont="1" applyFill="1" applyAlignment="1">
      <alignment horizontal="center"/>
    </xf>
    <xf numFmtId="0" fontId="45" fillId="5" borderId="0" xfId="0" applyFont="1" applyFill="1" applyAlignment="1">
      <alignment horizontal="center"/>
    </xf>
    <xf numFmtId="0" fontId="18" fillId="5" borderId="1" xfId="0" applyFont="1" applyFill="1" applyBorder="1"/>
    <xf numFmtId="0" fontId="18" fillId="5" borderId="0" xfId="0" applyFont="1" applyFill="1" applyAlignment="1">
      <alignment horizontal="center"/>
    </xf>
    <xf numFmtId="4" fontId="18" fillId="5" borderId="0" xfId="0" applyNumberFormat="1" applyFont="1" applyFill="1"/>
    <xf numFmtId="44" fontId="12" fillId="5" borderId="26" xfId="2" applyFont="1" applyFill="1" applyBorder="1" applyAlignment="1">
      <alignment horizontal="center"/>
    </xf>
    <xf numFmtId="44" fontId="15" fillId="5" borderId="26" xfId="2" applyFont="1" applyFill="1" applyBorder="1" applyAlignment="1">
      <alignment horizontal="center"/>
    </xf>
    <xf numFmtId="44" fontId="15" fillId="5" borderId="27" xfId="2" applyFont="1" applyFill="1" applyBorder="1" applyAlignment="1">
      <alignment horizontal="center"/>
    </xf>
    <xf numFmtId="44" fontId="42" fillId="3" borderId="46" xfId="2" applyFont="1" applyFill="1" applyBorder="1" applyAlignment="1"/>
    <xf numFmtId="44" fontId="5" fillId="0" borderId="0" xfId="2" applyFont="1"/>
    <xf numFmtId="0" fontId="17" fillId="5" borderId="0" xfId="0" applyFont="1" applyFill="1"/>
    <xf numFmtId="0" fontId="48" fillId="5" borderId="0" xfId="0" applyFont="1" applyFill="1" applyAlignment="1">
      <alignment horizontal="center"/>
    </xf>
    <xf numFmtId="0" fontId="10" fillId="5" borderId="0" xfId="0" applyFont="1" applyFill="1"/>
    <xf numFmtId="0" fontId="5" fillId="0" borderId="0" xfId="0" applyFont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17" fillId="5" borderId="26" xfId="0" applyFont="1" applyFill="1" applyBorder="1" applyAlignment="1">
      <alignment horizontal="center"/>
    </xf>
    <xf numFmtId="0" fontId="17" fillId="5" borderId="27" xfId="0" applyFont="1" applyFill="1" applyBorder="1" applyAlignment="1">
      <alignment horizontal="center"/>
    </xf>
    <xf numFmtId="0" fontId="17" fillId="5" borderId="58" xfId="0" applyFont="1" applyFill="1" applyBorder="1" applyAlignment="1">
      <alignment horizontal="center"/>
    </xf>
    <xf numFmtId="0" fontId="17" fillId="5" borderId="15" xfId="0" applyFont="1" applyFill="1" applyBorder="1" applyAlignment="1">
      <alignment horizontal="center"/>
    </xf>
    <xf numFmtId="14" fontId="49" fillId="3" borderId="46" xfId="0" applyNumberFormat="1" applyFont="1" applyFill="1" applyBorder="1" applyAlignment="1">
      <alignment horizontal="center"/>
    </xf>
    <xf numFmtId="0" fontId="12" fillId="0" borderId="11" xfId="0" applyFont="1" applyBorder="1"/>
    <xf numFmtId="0" fontId="12" fillId="0" borderId="13" xfId="0" applyFont="1" applyBorder="1"/>
    <xf numFmtId="0" fontId="15" fillId="0" borderId="11" xfId="0" applyFont="1" applyBorder="1"/>
    <xf numFmtId="0" fontId="15" fillId="0" borderId="13" xfId="0" applyFont="1" applyBorder="1"/>
    <xf numFmtId="165" fontId="15" fillId="5" borderId="0" xfId="2" applyNumberFormat="1" applyFont="1" applyFill="1" applyBorder="1" applyAlignment="1">
      <alignment horizontal="center"/>
    </xf>
    <xf numFmtId="4" fontId="17" fillId="5" borderId="1" xfId="0" applyNumberFormat="1" applyFont="1" applyFill="1" applyBorder="1"/>
    <xf numFmtId="44" fontId="15" fillId="5" borderId="1" xfId="2" applyFont="1" applyFill="1" applyBorder="1" applyAlignment="1">
      <alignment horizontal="left"/>
    </xf>
    <xf numFmtId="0" fontId="2" fillId="4" borderId="18" xfId="0" applyFont="1" applyFill="1" applyBorder="1" applyAlignment="1">
      <alignment horizontal="left"/>
    </xf>
    <xf numFmtId="0" fontId="15" fillId="5" borderId="1" xfId="0" applyFont="1" applyFill="1" applyBorder="1" applyAlignment="1">
      <alignment horizontal="left"/>
    </xf>
    <xf numFmtId="0" fontId="15" fillId="5" borderId="26" xfId="0" applyFont="1" applyFill="1" applyBorder="1" applyAlignment="1">
      <alignment horizontal="left"/>
    </xf>
    <xf numFmtId="0" fontId="12" fillId="5" borderId="1" xfId="0" applyFont="1" applyFill="1" applyBorder="1" applyAlignment="1">
      <alignment horizontal="left"/>
    </xf>
    <xf numFmtId="0" fontId="12" fillId="5" borderId="27" xfId="0" applyFont="1" applyFill="1" applyBorder="1" applyAlignment="1">
      <alignment horizontal="left"/>
    </xf>
    <xf numFmtId="0" fontId="17" fillId="5" borderId="0" xfId="0" applyFont="1" applyFill="1" applyAlignment="1">
      <alignment horizontal="left"/>
    </xf>
    <xf numFmtId="0" fontId="12" fillId="5" borderId="26" xfId="0" applyFont="1" applyFill="1" applyBorder="1" applyAlignment="1">
      <alignment horizontal="left"/>
    </xf>
    <xf numFmtId="0" fontId="12" fillId="5" borderId="0" xfId="0" applyFont="1" applyFill="1" applyAlignment="1">
      <alignment horizontal="left"/>
    </xf>
    <xf numFmtId="0" fontId="15" fillId="5" borderId="0" xfId="0" applyFont="1" applyFill="1" applyAlignment="1">
      <alignment horizontal="left"/>
    </xf>
    <xf numFmtId="0" fontId="15" fillId="0" borderId="1" xfId="0" applyFont="1" applyBorder="1" applyAlignment="1">
      <alignment horizontal="left"/>
    </xf>
    <xf numFmtId="14" fontId="42" fillId="3" borderId="46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14" fontId="2" fillId="4" borderId="17" xfId="0" applyNumberFormat="1" applyFont="1" applyFill="1" applyBorder="1" applyAlignment="1">
      <alignment horizontal="left"/>
    </xf>
    <xf numFmtId="14" fontId="15" fillId="5" borderId="24" xfId="0" applyNumberFormat="1" applyFont="1" applyFill="1" applyBorder="1" applyAlignment="1">
      <alignment horizontal="left"/>
    </xf>
    <xf numFmtId="14" fontId="15" fillId="5" borderId="26" xfId="0" applyNumberFormat="1" applyFont="1" applyFill="1" applyBorder="1" applyAlignment="1">
      <alignment horizontal="left"/>
    </xf>
    <xf numFmtId="14" fontId="15" fillId="5" borderId="1" xfId="0" applyNumberFormat="1" applyFont="1" applyFill="1" applyBorder="1" applyAlignment="1">
      <alignment horizontal="left"/>
    </xf>
    <xf numFmtId="14" fontId="12" fillId="5" borderId="24" xfId="0" applyNumberFormat="1" applyFont="1" applyFill="1" applyBorder="1" applyAlignment="1">
      <alignment horizontal="left"/>
    </xf>
    <xf numFmtId="14" fontId="12" fillId="5" borderId="1" xfId="0" applyNumberFormat="1" applyFont="1" applyFill="1" applyBorder="1" applyAlignment="1">
      <alignment horizontal="left"/>
    </xf>
    <xf numFmtId="14" fontId="12" fillId="5" borderId="26" xfId="0" applyNumberFormat="1" applyFont="1" applyFill="1" applyBorder="1" applyAlignment="1">
      <alignment horizontal="left"/>
    </xf>
    <xf numFmtId="14" fontId="15" fillId="5" borderId="25" xfId="0" applyNumberFormat="1" applyFont="1" applyFill="1" applyBorder="1" applyAlignment="1">
      <alignment horizontal="left"/>
    </xf>
    <xf numFmtId="14" fontId="15" fillId="5" borderId="15" xfId="0" applyNumberFormat="1" applyFont="1" applyFill="1" applyBorder="1" applyAlignment="1">
      <alignment horizontal="left"/>
    </xf>
    <xf numFmtId="14" fontId="15" fillId="5" borderId="27" xfId="0" applyNumberFormat="1" applyFont="1" applyFill="1" applyBorder="1" applyAlignment="1">
      <alignment horizontal="left"/>
    </xf>
    <xf numFmtId="14" fontId="6" fillId="5" borderId="24" xfId="0" applyNumberFormat="1" applyFont="1" applyFill="1" applyBorder="1" applyAlignment="1">
      <alignment horizontal="left"/>
    </xf>
    <xf numFmtId="14" fontId="6" fillId="5" borderId="26" xfId="0" applyNumberFormat="1" applyFont="1" applyFill="1" applyBorder="1" applyAlignment="1">
      <alignment horizontal="left"/>
    </xf>
    <xf numFmtId="14" fontId="42" fillId="3" borderId="45" xfId="0" applyNumberFormat="1" applyFont="1" applyFill="1" applyBorder="1" applyAlignment="1">
      <alignment horizontal="left"/>
    </xf>
    <xf numFmtId="165" fontId="2" fillId="4" borderId="18" xfId="0" applyNumberFormat="1" applyFont="1" applyFill="1" applyBorder="1" applyAlignment="1">
      <alignment horizontal="left"/>
    </xf>
    <xf numFmtId="165" fontId="2" fillId="4" borderId="37" xfId="0" applyNumberFormat="1" applyFont="1" applyFill="1" applyBorder="1" applyAlignment="1">
      <alignment horizontal="left"/>
    </xf>
    <xf numFmtId="165" fontId="2" fillId="4" borderId="45" xfId="0" applyNumberFormat="1" applyFont="1" applyFill="1" applyBorder="1" applyAlignment="1">
      <alignment horizontal="left"/>
    </xf>
    <xf numFmtId="0" fontId="43" fillId="0" borderId="0" xfId="0" applyFont="1" applyAlignment="1">
      <alignment horizontal="left"/>
    </xf>
    <xf numFmtId="44" fontId="15" fillId="5" borderId="26" xfId="2" applyFont="1" applyFill="1" applyBorder="1" applyAlignment="1">
      <alignment horizontal="left"/>
    </xf>
    <xf numFmtId="9" fontId="15" fillId="5" borderId="26" xfId="1" applyFont="1" applyFill="1" applyBorder="1" applyAlignment="1">
      <alignment horizontal="left"/>
    </xf>
    <xf numFmtId="165" fontId="15" fillId="5" borderId="1" xfId="0" applyNumberFormat="1" applyFont="1" applyFill="1" applyBorder="1" applyAlignment="1">
      <alignment horizontal="left"/>
    </xf>
    <xf numFmtId="165" fontId="15" fillId="5" borderId="33" xfId="1" applyNumberFormat="1" applyFont="1" applyFill="1" applyBorder="1" applyAlignment="1">
      <alignment horizontal="left"/>
    </xf>
    <xf numFmtId="0" fontId="45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165" fontId="15" fillId="5" borderId="26" xfId="2" applyNumberFormat="1" applyFont="1" applyFill="1" applyBorder="1" applyAlignment="1">
      <alignment horizontal="left"/>
    </xf>
    <xf numFmtId="0" fontId="45" fillId="5" borderId="0" xfId="0" applyFont="1" applyFill="1" applyAlignment="1">
      <alignment horizontal="left"/>
    </xf>
    <xf numFmtId="165" fontId="15" fillId="5" borderId="1" xfId="2" applyNumberFormat="1" applyFont="1" applyFill="1" applyBorder="1" applyAlignment="1">
      <alignment horizontal="left"/>
    </xf>
    <xf numFmtId="9" fontId="15" fillId="5" borderId="1" xfId="1" applyFont="1" applyFill="1" applyBorder="1" applyAlignment="1">
      <alignment horizontal="left"/>
    </xf>
    <xf numFmtId="165" fontId="15" fillId="5" borderId="12" xfId="1" applyNumberFormat="1" applyFont="1" applyFill="1" applyBorder="1" applyAlignment="1">
      <alignment horizontal="left"/>
    </xf>
    <xf numFmtId="44" fontId="17" fillId="0" borderId="26" xfId="2" applyFont="1" applyBorder="1" applyAlignment="1">
      <alignment horizontal="left"/>
    </xf>
    <xf numFmtId="165" fontId="12" fillId="5" borderId="1" xfId="2" applyNumberFormat="1" applyFont="1" applyFill="1" applyBorder="1" applyAlignment="1">
      <alignment horizontal="left"/>
    </xf>
    <xf numFmtId="9" fontId="12" fillId="5" borderId="1" xfId="1" applyFont="1" applyFill="1" applyBorder="1" applyAlignment="1">
      <alignment horizontal="left"/>
    </xf>
    <xf numFmtId="165" fontId="12" fillId="5" borderId="1" xfId="0" applyNumberFormat="1" applyFont="1" applyFill="1" applyBorder="1" applyAlignment="1">
      <alignment horizontal="left"/>
    </xf>
    <xf numFmtId="165" fontId="12" fillId="5" borderId="33" xfId="1" applyNumberFormat="1" applyFont="1" applyFill="1" applyBorder="1" applyAlignment="1">
      <alignment horizontal="left"/>
    </xf>
    <xf numFmtId="0" fontId="46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165" fontId="15" fillId="5" borderId="0" xfId="2" applyNumberFormat="1" applyFont="1" applyFill="1" applyBorder="1" applyAlignment="1">
      <alignment horizontal="left"/>
    </xf>
    <xf numFmtId="165" fontId="12" fillId="5" borderId="26" xfId="2" applyNumberFormat="1" applyFont="1" applyFill="1" applyBorder="1" applyAlignment="1">
      <alignment horizontal="left"/>
    </xf>
    <xf numFmtId="9" fontId="12" fillId="5" borderId="26" xfId="1" applyFont="1" applyFill="1" applyBorder="1" applyAlignment="1">
      <alignment horizontal="left"/>
    </xf>
    <xf numFmtId="0" fontId="46" fillId="5" borderId="0" xfId="0" applyFont="1" applyFill="1" applyAlignment="1">
      <alignment horizontal="left"/>
    </xf>
    <xf numFmtId="0" fontId="15" fillId="5" borderId="27" xfId="0" applyFont="1" applyFill="1" applyBorder="1" applyAlignment="1">
      <alignment horizontal="left"/>
    </xf>
    <xf numFmtId="9" fontId="15" fillId="5" borderId="27" xfId="1" applyFont="1" applyFill="1" applyBorder="1" applyAlignment="1">
      <alignment horizontal="left"/>
    </xf>
    <xf numFmtId="165" fontId="15" fillId="5" borderId="0" xfId="1" applyNumberFormat="1" applyFont="1" applyFill="1" applyBorder="1" applyAlignment="1">
      <alignment horizontal="left"/>
    </xf>
    <xf numFmtId="0" fontId="18" fillId="5" borderId="0" xfId="0" applyFont="1" applyFill="1" applyAlignment="1">
      <alignment horizontal="left"/>
    </xf>
    <xf numFmtId="44" fontId="17" fillId="5" borderId="27" xfId="2" applyFont="1" applyFill="1" applyBorder="1" applyAlignment="1">
      <alignment horizontal="left"/>
    </xf>
    <xf numFmtId="0" fontId="6" fillId="5" borderId="26" xfId="0" applyFont="1" applyFill="1" applyBorder="1" applyAlignment="1">
      <alignment horizontal="left"/>
    </xf>
    <xf numFmtId="165" fontId="6" fillId="5" borderId="26" xfId="2" applyNumberFormat="1" applyFont="1" applyFill="1" applyBorder="1" applyAlignment="1">
      <alignment horizontal="left"/>
    </xf>
    <xf numFmtId="9" fontId="6" fillId="5" borderId="26" xfId="1" applyFont="1" applyFill="1" applyBorder="1" applyAlignment="1">
      <alignment horizontal="left"/>
    </xf>
    <xf numFmtId="165" fontId="6" fillId="5" borderId="1" xfId="0" applyNumberFormat="1" applyFont="1" applyFill="1" applyBorder="1" applyAlignment="1">
      <alignment horizontal="left"/>
    </xf>
    <xf numFmtId="165" fontId="6" fillId="5" borderId="33" xfId="1" applyNumberFormat="1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48" fillId="5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165" fontId="15" fillId="5" borderId="1" xfId="0" quotePrefix="1" applyNumberFormat="1" applyFont="1" applyFill="1" applyBorder="1" applyAlignment="1">
      <alignment horizontal="left"/>
    </xf>
    <xf numFmtId="44" fontId="15" fillId="5" borderId="33" xfId="2" applyFont="1" applyFill="1" applyBorder="1" applyAlignment="1">
      <alignment horizontal="left"/>
    </xf>
    <xf numFmtId="44" fontId="12" fillId="5" borderId="1" xfId="2" applyFont="1" applyFill="1" applyBorder="1" applyAlignment="1">
      <alignment horizontal="left"/>
    </xf>
    <xf numFmtId="44" fontId="18" fillId="5" borderId="1" xfId="2" applyFont="1" applyFill="1" applyBorder="1" applyAlignment="1">
      <alignment horizontal="left"/>
    </xf>
    <xf numFmtId="44" fontId="17" fillId="5" borderId="1" xfId="2" applyFont="1" applyFill="1" applyBorder="1" applyAlignment="1">
      <alignment horizontal="left"/>
    </xf>
    <xf numFmtId="165" fontId="42" fillId="3" borderId="46" xfId="2" applyNumberFormat="1" applyFont="1" applyFill="1" applyBorder="1" applyAlignment="1">
      <alignment horizontal="left"/>
    </xf>
    <xf numFmtId="14" fontId="42" fillId="3" borderId="47" xfId="0" applyNumberFormat="1" applyFont="1" applyFill="1" applyBorder="1" applyAlignment="1">
      <alignment horizontal="left"/>
    </xf>
    <xf numFmtId="165" fontId="42" fillId="3" borderId="61" xfId="0" applyNumberFormat="1" applyFont="1" applyFill="1" applyBorder="1" applyAlignment="1">
      <alignment horizontal="left"/>
    </xf>
    <xf numFmtId="165" fontId="42" fillId="3" borderId="45" xfId="2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44" fontId="17" fillId="5" borderId="0" xfId="2" applyFont="1" applyFill="1" applyBorder="1" applyAlignment="1">
      <alignment horizontal="left"/>
    </xf>
    <xf numFmtId="0" fontId="17" fillId="5" borderId="26" xfId="0" applyFont="1" applyFill="1" applyBorder="1" applyAlignment="1">
      <alignment horizontal="left"/>
    </xf>
    <xf numFmtId="44" fontId="9" fillId="5" borderId="1" xfId="2" applyFont="1" applyFill="1" applyBorder="1" applyAlignment="1">
      <alignment horizontal="left"/>
    </xf>
    <xf numFmtId="9" fontId="6" fillId="5" borderId="1" xfId="1" applyFont="1" applyFill="1" applyBorder="1" applyAlignment="1">
      <alignment horizontal="left"/>
    </xf>
    <xf numFmtId="165" fontId="15" fillId="5" borderId="27" xfId="2" applyNumberFormat="1" applyFont="1" applyFill="1" applyBorder="1" applyAlignment="1">
      <alignment horizontal="left"/>
    </xf>
    <xf numFmtId="44" fontId="17" fillId="5" borderId="26" xfId="2" applyFont="1" applyFill="1" applyBorder="1" applyAlignment="1">
      <alignment horizontal="left"/>
    </xf>
    <xf numFmtId="44" fontId="15" fillId="5" borderId="0" xfId="2" applyFont="1" applyFill="1" applyBorder="1" applyAlignment="1">
      <alignment horizontal="left"/>
    </xf>
    <xf numFmtId="0" fontId="12" fillId="0" borderId="1" xfId="0" applyFont="1" applyBorder="1" applyAlignment="1">
      <alignment horizontal="left"/>
    </xf>
    <xf numFmtId="165" fontId="2" fillId="4" borderId="44" xfId="0" applyNumberFormat="1" applyFont="1" applyFill="1" applyBorder="1" applyAlignment="1">
      <alignment horizontal="left"/>
    </xf>
    <xf numFmtId="14" fontId="2" fillId="4" borderId="20" xfId="0" applyNumberFormat="1" applyFont="1" applyFill="1" applyBorder="1" applyAlignment="1">
      <alignment horizontal="left"/>
    </xf>
    <xf numFmtId="0" fontId="2" fillId="4" borderId="21" xfId="0" applyFont="1" applyFill="1" applyBorder="1" applyAlignment="1">
      <alignment horizontal="left"/>
    </xf>
    <xf numFmtId="165" fontId="2" fillId="4" borderId="21" xfId="0" applyNumberFormat="1" applyFont="1" applyFill="1" applyBorder="1" applyAlignment="1">
      <alignment horizontal="left"/>
    </xf>
    <xf numFmtId="0" fontId="2" fillId="4" borderId="62" xfId="0" applyFont="1" applyFill="1" applyBorder="1" applyAlignment="1">
      <alignment horizontal="left"/>
    </xf>
    <xf numFmtId="0" fontId="15" fillId="5" borderId="11" xfId="0" applyFont="1" applyFill="1" applyBorder="1" applyAlignment="1">
      <alignment horizontal="left"/>
    </xf>
    <xf numFmtId="0" fontId="12" fillId="5" borderId="11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43" fillId="0" borderId="1" xfId="0" applyFont="1" applyBorder="1" applyAlignment="1">
      <alignment horizontal="left"/>
    </xf>
    <xf numFmtId="0" fontId="45" fillId="5" borderId="1" xfId="0" applyFont="1" applyFill="1" applyBorder="1" applyAlignment="1">
      <alignment horizontal="left"/>
    </xf>
    <xf numFmtId="0" fontId="45" fillId="0" borderId="1" xfId="0" applyFont="1" applyBorder="1" applyAlignment="1">
      <alignment horizontal="left"/>
    </xf>
    <xf numFmtId="0" fontId="46" fillId="5" borderId="1" xfId="0" applyFont="1" applyFill="1" applyBorder="1" applyAlignment="1">
      <alignment horizontal="left"/>
    </xf>
    <xf numFmtId="44" fontId="18" fillId="5" borderId="26" xfId="2" applyFont="1" applyFill="1" applyBorder="1" applyAlignment="1">
      <alignment horizontal="left"/>
    </xf>
    <xf numFmtId="0" fontId="15" fillId="5" borderId="58" xfId="0" applyFont="1" applyFill="1" applyBorder="1" applyAlignment="1">
      <alignment horizontal="left"/>
    </xf>
    <xf numFmtId="44" fontId="12" fillId="5" borderId="26" xfId="2" applyFont="1" applyFill="1" applyBorder="1" applyAlignment="1">
      <alignment horizontal="left"/>
    </xf>
    <xf numFmtId="44" fontId="17" fillId="0" borderId="27" xfId="2" applyFont="1" applyBorder="1" applyAlignment="1">
      <alignment horizontal="left"/>
    </xf>
    <xf numFmtId="165" fontId="12" fillId="5" borderId="12" xfId="1" applyNumberFormat="1" applyFont="1" applyFill="1" applyBorder="1" applyAlignment="1">
      <alignment horizontal="left"/>
    </xf>
    <xf numFmtId="0" fontId="8" fillId="0" borderId="0" xfId="0" applyFont="1" applyAlignment="1">
      <alignment horizontal="left"/>
    </xf>
    <xf numFmtId="14" fontId="12" fillId="5" borderId="25" xfId="0" applyNumberFormat="1" applyFont="1" applyFill="1" applyBorder="1" applyAlignment="1">
      <alignment horizontal="left"/>
    </xf>
    <xf numFmtId="14" fontId="12" fillId="5" borderId="27" xfId="0" applyNumberFormat="1" applyFont="1" applyFill="1" applyBorder="1" applyAlignment="1">
      <alignment horizontal="left"/>
    </xf>
    <xf numFmtId="165" fontId="12" fillId="5" borderId="27" xfId="2" applyNumberFormat="1" applyFont="1" applyFill="1" applyBorder="1" applyAlignment="1">
      <alignment horizontal="left"/>
    </xf>
    <xf numFmtId="9" fontId="12" fillId="5" borderId="27" xfId="1" applyFont="1" applyFill="1" applyBorder="1" applyAlignment="1">
      <alignment horizontal="left"/>
    </xf>
    <xf numFmtId="165" fontId="12" fillId="5" borderId="15" xfId="0" applyNumberFormat="1" applyFont="1" applyFill="1" applyBorder="1" applyAlignment="1">
      <alignment horizontal="left"/>
    </xf>
    <xf numFmtId="165" fontId="12" fillId="5" borderId="0" xfId="1" applyNumberFormat="1" applyFont="1" applyFill="1" applyBorder="1" applyAlignment="1">
      <alignment horizontal="left"/>
    </xf>
    <xf numFmtId="0" fontId="12" fillId="5" borderId="38" xfId="0" applyFont="1" applyFill="1" applyBorder="1" applyAlignment="1">
      <alignment horizontal="left"/>
    </xf>
    <xf numFmtId="0" fontId="46" fillId="0" borderId="1" xfId="0" applyFont="1" applyBorder="1" applyAlignment="1">
      <alignment horizontal="left"/>
    </xf>
    <xf numFmtId="44" fontId="14" fillId="5" borderId="26" xfId="2" applyFont="1" applyFill="1" applyBorder="1" applyAlignment="1">
      <alignment horizontal="left"/>
    </xf>
    <xf numFmtId="14" fontId="17" fillId="5" borderId="24" xfId="0" applyNumberFormat="1" applyFont="1" applyFill="1" applyBorder="1"/>
    <xf numFmtId="14" fontId="17" fillId="5" borderId="26" xfId="0" applyNumberFormat="1" applyFont="1" applyFill="1" applyBorder="1"/>
    <xf numFmtId="44" fontId="17" fillId="5" borderId="26" xfId="2" applyFont="1" applyFill="1" applyBorder="1"/>
    <xf numFmtId="9" fontId="17" fillId="5" borderId="26" xfId="1" applyFont="1" applyFill="1" applyBorder="1"/>
    <xf numFmtId="165" fontId="6" fillId="5" borderId="1" xfId="0" applyNumberFormat="1" applyFont="1" applyFill="1" applyBorder="1"/>
    <xf numFmtId="165" fontId="6" fillId="5" borderId="33" xfId="1" applyNumberFormat="1" applyFont="1" applyFill="1" applyBorder="1"/>
    <xf numFmtId="0" fontId="6" fillId="5" borderId="0" xfId="0" applyFont="1" applyFill="1" applyAlignment="1">
      <alignment horizontal="center"/>
    </xf>
    <xf numFmtId="0" fontId="15" fillId="0" borderId="26" xfId="0" applyFont="1" applyBorder="1" applyAlignment="1">
      <alignment horizontal="left"/>
    </xf>
    <xf numFmtId="14" fontId="2" fillId="2" borderId="24" xfId="0" applyNumberFormat="1" applyFont="1" applyFill="1" applyBorder="1"/>
    <xf numFmtId="14" fontId="2" fillId="2" borderId="1" xfId="0" applyNumberFormat="1" applyFont="1" applyFill="1" applyBorder="1"/>
    <xf numFmtId="14" fontId="2" fillId="2" borderId="25" xfId="0" applyNumberFormat="1" applyFont="1" applyFill="1" applyBorder="1"/>
    <xf numFmtId="14" fontId="2" fillId="2" borderId="27" xfId="0" applyNumberFormat="1" applyFont="1" applyFill="1" applyBorder="1"/>
    <xf numFmtId="14" fontId="6" fillId="2" borderId="24" xfId="0" applyNumberFormat="1" applyFont="1" applyFill="1" applyBorder="1"/>
    <xf numFmtId="14" fontId="6" fillId="2" borderId="26" xfId="0" applyNumberFormat="1" applyFont="1" applyFill="1" applyBorder="1" applyAlignment="1">
      <alignment horizontal="right"/>
    </xf>
    <xf numFmtId="0" fontId="50" fillId="0" borderId="0" xfId="0" applyFont="1"/>
    <xf numFmtId="14" fontId="6" fillId="2" borderId="26" xfId="0" applyNumberFormat="1" applyFont="1" applyFill="1" applyBorder="1"/>
    <xf numFmtId="0" fontId="14" fillId="5" borderId="26" xfId="0" applyFont="1" applyFill="1" applyBorder="1" applyAlignment="1">
      <alignment horizontal="left"/>
    </xf>
    <xf numFmtId="9" fontId="14" fillId="5" borderId="26" xfId="1" applyFont="1" applyFill="1" applyBorder="1"/>
    <xf numFmtId="14" fontId="15" fillId="4" borderId="20" xfId="0" applyNumberFormat="1" applyFont="1" applyFill="1" applyBorder="1" applyAlignment="1">
      <alignment horizontal="left"/>
    </xf>
    <xf numFmtId="0" fontId="15" fillId="4" borderId="21" xfId="0" applyFont="1" applyFill="1" applyBorder="1" applyAlignment="1">
      <alignment horizontal="left"/>
    </xf>
    <xf numFmtId="165" fontId="15" fillId="4" borderId="21" xfId="0" applyNumberFormat="1" applyFont="1" applyFill="1" applyBorder="1" applyAlignment="1">
      <alignment horizontal="left"/>
    </xf>
    <xf numFmtId="0" fontId="15" fillId="4" borderId="62" xfId="0" applyFont="1" applyFill="1" applyBorder="1" applyAlignment="1">
      <alignment horizontal="left"/>
    </xf>
    <xf numFmtId="165" fontId="15" fillId="4" borderId="44" xfId="0" applyNumberFormat="1" applyFont="1" applyFill="1" applyBorder="1" applyAlignment="1">
      <alignment horizontal="left"/>
    </xf>
    <xf numFmtId="165" fontId="15" fillId="4" borderId="45" xfId="0" applyNumberFormat="1" applyFont="1" applyFill="1" applyBorder="1" applyAlignment="1">
      <alignment horizontal="left"/>
    </xf>
    <xf numFmtId="0" fontId="51" fillId="0" borderId="1" xfId="0" applyFont="1" applyBorder="1" applyAlignment="1">
      <alignment horizontal="left"/>
    </xf>
    <xf numFmtId="14" fontId="3" fillId="3" borderId="45" xfId="0" applyNumberFormat="1" applyFont="1" applyFill="1" applyBorder="1" applyAlignment="1">
      <alignment horizontal="left"/>
    </xf>
    <xf numFmtId="14" fontId="3" fillId="3" borderId="46" xfId="0" applyNumberFormat="1" applyFont="1" applyFill="1" applyBorder="1" applyAlignment="1">
      <alignment horizontal="left"/>
    </xf>
    <xf numFmtId="165" fontId="3" fillId="3" borderId="46" xfId="2" applyNumberFormat="1" applyFont="1" applyFill="1" applyBorder="1" applyAlignment="1">
      <alignment horizontal="left"/>
    </xf>
    <xf numFmtId="14" fontId="3" fillId="3" borderId="47" xfId="0" applyNumberFormat="1" applyFont="1" applyFill="1" applyBorder="1" applyAlignment="1">
      <alignment horizontal="left"/>
    </xf>
    <xf numFmtId="165" fontId="3" fillId="3" borderId="61" xfId="0" applyNumberFormat="1" applyFont="1" applyFill="1" applyBorder="1" applyAlignment="1">
      <alignment horizontal="left"/>
    </xf>
    <xf numFmtId="165" fontId="3" fillId="3" borderId="45" xfId="2" applyNumberFormat="1" applyFont="1" applyFill="1" applyBorder="1" applyAlignment="1">
      <alignment horizontal="left"/>
    </xf>
    <xf numFmtId="0" fontId="18" fillId="0" borderId="11" xfId="0" applyFont="1" applyBorder="1" applyAlignment="1">
      <alignment horizontal="left"/>
    </xf>
    <xf numFmtId="0" fontId="31" fillId="0" borderId="0" xfId="0" applyFont="1" applyAlignment="1">
      <alignment horizontal="left"/>
    </xf>
    <xf numFmtId="165" fontId="15" fillId="5" borderId="12" xfId="1" applyNumberFormat="1" applyFont="1" applyFill="1" applyBorder="1"/>
    <xf numFmtId="0" fontId="6" fillId="2" borderId="1" xfId="0" applyFont="1" applyFill="1" applyBorder="1"/>
    <xf numFmtId="44" fontId="2" fillId="5" borderId="0" xfId="2" applyFont="1" applyFill="1" applyBorder="1" applyAlignment="1">
      <alignment horizontal="center"/>
    </xf>
    <xf numFmtId="0" fontId="12" fillId="5" borderId="58" xfId="0" applyFont="1" applyFill="1" applyBorder="1"/>
    <xf numFmtId="0" fontId="6" fillId="5" borderId="15" xfId="0" applyFont="1" applyFill="1" applyBorder="1"/>
    <xf numFmtId="44" fontId="15" fillId="5" borderId="0" xfId="2" applyFont="1" applyFill="1" applyBorder="1" applyAlignment="1">
      <alignment horizontal="center"/>
    </xf>
    <xf numFmtId="44" fontId="13" fillId="5" borderId="26" xfId="2" applyFont="1" applyFill="1" applyBorder="1" applyAlignment="1">
      <alignment horizontal="left"/>
    </xf>
    <xf numFmtId="0" fontId="48" fillId="5" borderId="1" xfId="0" applyFont="1" applyFill="1" applyBorder="1" applyAlignment="1">
      <alignment horizontal="left"/>
    </xf>
    <xf numFmtId="44" fontId="17" fillId="0" borderId="1" xfId="2" applyFont="1" applyBorder="1" applyAlignment="1">
      <alignment horizontal="left"/>
    </xf>
    <xf numFmtId="0" fontId="13" fillId="5" borderId="0" xfId="0" applyFont="1" applyFill="1" applyAlignment="1">
      <alignment horizontal="left"/>
    </xf>
    <xf numFmtId="0" fontId="15" fillId="2" borderId="26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2" borderId="27" xfId="0" applyFont="1" applyFill="1" applyBorder="1" applyAlignment="1">
      <alignment horizontal="center"/>
    </xf>
    <xf numFmtId="0" fontId="15" fillId="2" borderId="58" xfId="0" applyFont="1" applyFill="1" applyBorder="1" applyAlignment="1">
      <alignment horizontal="center"/>
    </xf>
    <xf numFmtId="14" fontId="14" fillId="2" borderId="24" xfId="0" applyNumberFormat="1" applyFont="1" applyFill="1" applyBorder="1"/>
    <xf numFmtId="14" fontId="14" fillId="2" borderId="26" xfId="0" applyNumberFormat="1" applyFont="1" applyFill="1" applyBorder="1"/>
    <xf numFmtId="14" fontId="2" fillId="2" borderId="1" xfId="0" applyNumberFormat="1" applyFont="1" applyFill="1" applyBorder="1" applyAlignment="1">
      <alignment horizontal="right"/>
    </xf>
    <xf numFmtId="44" fontId="15" fillId="5" borderId="12" xfId="2" applyFont="1" applyFill="1" applyBorder="1" applyAlignment="1">
      <alignment horizontal="left"/>
    </xf>
    <xf numFmtId="0" fontId="6" fillId="5" borderId="11" xfId="0" applyFont="1" applyFill="1" applyBorder="1" applyAlignment="1">
      <alignment horizontal="left"/>
    </xf>
    <xf numFmtId="0" fontId="15" fillId="2" borderId="15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14" fontId="12" fillId="5" borderId="5" xfId="0" applyNumberFormat="1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0" fontId="14" fillId="5" borderId="0" xfId="0" applyFont="1" applyFill="1" applyAlignment="1">
      <alignment horizontal="left"/>
    </xf>
    <xf numFmtId="0" fontId="15" fillId="0" borderId="0" xfId="0" applyFont="1" applyAlignment="1">
      <alignment horizontal="left"/>
    </xf>
    <xf numFmtId="44" fontId="15" fillId="0" borderId="26" xfId="2" applyFont="1" applyBorder="1" applyAlignment="1">
      <alignment horizontal="left"/>
    </xf>
    <xf numFmtId="0" fontId="6" fillId="0" borderId="0" xfId="0" applyFont="1" applyAlignment="1">
      <alignment horizontal="left"/>
    </xf>
    <xf numFmtId="0" fontId="15" fillId="0" borderId="11" xfId="0" applyFont="1" applyBorder="1" applyAlignment="1">
      <alignment horizontal="left"/>
    </xf>
    <xf numFmtId="0" fontId="15" fillId="5" borderId="11" xfId="0" applyFont="1" applyFill="1" applyBorder="1"/>
    <xf numFmtId="0" fontId="15" fillId="5" borderId="13" xfId="0" applyFont="1" applyFill="1" applyBorder="1"/>
    <xf numFmtId="0" fontId="38" fillId="5" borderId="11" xfId="0" applyFont="1" applyFill="1" applyBorder="1"/>
    <xf numFmtId="0" fontId="38" fillId="5" borderId="13" xfId="0" applyFont="1" applyFill="1" applyBorder="1"/>
    <xf numFmtId="0" fontId="33" fillId="0" borderId="11" xfId="0" applyFont="1" applyBorder="1"/>
    <xf numFmtId="0" fontId="33" fillId="0" borderId="13" xfId="0" applyFont="1" applyBorder="1"/>
    <xf numFmtId="0" fontId="33" fillId="5" borderId="11" xfId="0" applyFont="1" applyFill="1" applyBorder="1"/>
    <xf numFmtId="0" fontId="33" fillId="5" borderId="13" xfId="0" applyFont="1" applyFill="1" applyBorder="1"/>
    <xf numFmtId="0" fontId="12" fillId="5" borderId="11" xfId="0" applyFont="1" applyFill="1" applyBorder="1"/>
    <xf numFmtId="0" fontId="12" fillId="5" borderId="13" xfId="0" applyFont="1" applyFill="1" applyBorder="1"/>
    <xf numFmtId="0" fontId="2" fillId="4" borderId="29" xfId="0" applyFont="1" applyFill="1" applyBorder="1"/>
    <xf numFmtId="0" fontId="2" fillId="4" borderId="31" xfId="0" applyFont="1" applyFill="1" applyBorder="1"/>
    <xf numFmtId="14" fontId="15" fillId="0" borderId="27" xfId="0" applyNumberFormat="1" applyFont="1" applyBorder="1"/>
    <xf numFmtId="0" fontId="33" fillId="5" borderId="0" xfId="0" applyFont="1" applyFill="1"/>
    <xf numFmtId="44" fontId="15" fillId="0" borderId="26" xfId="2" applyFont="1" applyBorder="1"/>
    <xf numFmtId="44" fontId="12" fillId="0" borderId="48" xfId="2" applyFont="1" applyBorder="1"/>
    <xf numFmtId="44" fontId="15" fillId="0" borderId="48" xfId="2" applyFont="1" applyBorder="1"/>
    <xf numFmtId="165" fontId="12" fillId="5" borderId="23" xfId="1" applyNumberFormat="1" applyFont="1" applyFill="1" applyBorder="1" applyAlignment="1">
      <alignment horizontal="center"/>
    </xf>
    <xf numFmtId="165" fontId="15" fillId="0" borderId="28" xfId="1" applyNumberFormat="1" applyFont="1" applyBorder="1" applyAlignment="1">
      <alignment horizontal="center"/>
    </xf>
    <xf numFmtId="14" fontId="12" fillId="0" borderId="5" xfId="0" applyNumberFormat="1" applyFont="1" applyBorder="1"/>
    <xf numFmtId="14" fontId="15" fillId="5" borderId="0" xfId="0" applyNumberFormat="1" applyFont="1" applyFill="1"/>
    <xf numFmtId="14" fontId="15" fillId="0" borderId="58" xfId="0" applyNumberFormat="1" applyFont="1" applyBorder="1"/>
    <xf numFmtId="0" fontId="17" fillId="0" borderId="26" xfId="0" applyFont="1" applyBorder="1" applyAlignment="1">
      <alignment horizontal="left"/>
    </xf>
    <xf numFmtId="44" fontId="17" fillId="0" borderId="26" xfId="2" applyFont="1" applyBorder="1"/>
    <xf numFmtId="165" fontId="12" fillId="0" borderId="11" xfId="0" applyNumberFormat="1" applyFont="1" applyBorder="1"/>
    <xf numFmtId="44" fontId="17" fillId="0" borderId="48" xfId="2" applyFont="1" applyBorder="1"/>
    <xf numFmtId="165" fontId="12" fillId="0" borderId="23" xfId="1" applyNumberFormat="1" applyFont="1" applyBorder="1" applyAlignment="1">
      <alignment horizontal="center"/>
    </xf>
    <xf numFmtId="165" fontId="15" fillId="0" borderId="1" xfId="1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14" fontId="27" fillId="5" borderId="24" xfId="0" applyNumberFormat="1" applyFont="1" applyFill="1" applyBorder="1" applyAlignment="1">
      <alignment horizontal="left"/>
    </xf>
    <xf numFmtId="0" fontId="27" fillId="5" borderId="1" xfId="0" applyFont="1" applyFill="1" applyBorder="1" applyAlignment="1">
      <alignment horizontal="left"/>
    </xf>
    <xf numFmtId="0" fontId="27" fillId="5" borderId="26" xfId="0" applyFont="1" applyFill="1" applyBorder="1" applyAlignment="1">
      <alignment horizontal="left"/>
    </xf>
    <xf numFmtId="165" fontId="27" fillId="5" borderId="1" xfId="0" applyNumberFormat="1" applyFont="1" applyFill="1" applyBorder="1" applyAlignment="1">
      <alignment horizontal="left"/>
    </xf>
    <xf numFmtId="165" fontId="27" fillId="5" borderId="33" xfId="1" applyNumberFormat="1" applyFont="1" applyFill="1" applyBorder="1" applyAlignment="1">
      <alignment horizontal="left"/>
    </xf>
    <xf numFmtId="0" fontId="27" fillId="5" borderId="11" xfId="0" applyFont="1" applyFill="1" applyBorder="1" applyAlignment="1">
      <alignment horizontal="left"/>
    </xf>
    <xf numFmtId="0" fontId="52" fillId="0" borderId="1" xfId="0" applyFont="1" applyBorder="1" applyAlignment="1">
      <alignment horizontal="left"/>
    </xf>
    <xf numFmtId="0" fontId="27" fillId="0" borderId="0" xfId="0" applyFont="1" applyAlignment="1">
      <alignment horizontal="left"/>
    </xf>
    <xf numFmtId="0" fontId="52" fillId="5" borderId="1" xfId="0" applyFont="1" applyFill="1" applyBorder="1" applyAlignment="1">
      <alignment horizontal="left"/>
    </xf>
    <xf numFmtId="44" fontId="27" fillId="5" borderId="1" xfId="2" applyFont="1" applyFill="1" applyBorder="1" applyAlignment="1">
      <alignment horizontal="left"/>
    </xf>
    <xf numFmtId="165" fontId="12" fillId="5" borderId="1" xfId="0" quotePrefix="1" applyNumberFormat="1" applyFont="1" applyFill="1" applyBorder="1" applyAlignment="1">
      <alignment horizontal="left"/>
    </xf>
    <xf numFmtId="44" fontId="12" fillId="5" borderId="33" xfId="2" applyFont="1" applyFill="1" applyBorder="1" applyAlignment="1">
      <alignment horizontal="left"/>
    </xf>
    <xf numFmtId="14" fontId="15" fillId="4" borderId="63" xfId="0" applyNumberFormat="1" applyFont="1" applyFill="1" applyBorder="1" applyAlignment="1">
      <alignment horizontal="left"/>
    </xf>
    <xf numFmtId="0" fontId="15" fillId="4" borderId="64" xfId="0" applyFont="1" applyFill="1" applyBorder="1" applyAlignment="1">
      <alignment horizontal="left"/>
    </xf>
    <xf numFmtId="165" fontId="15" fillId="4" borderId="64" xfId="0" applyNumberFormat="1" applyFont="1" applyFill="1" applyBorder="1" applyAlignment="1">
      <alignment horizontal="left"/>
    </xf>
    <xf numFmtId="0" fontId="15" fillId="4" borderId="65" xfId="0" applyFont="1" applyFill="1" applyBorder="1" applyAlignment="1">
      <alignment horizontal="left"/>
    </xf>
    <xf numFmtId="165" fontId="15" fillId="4" borderId="55" xfId="0" applyNumberFormat="1" applyFont="1" applyFill="1" applyBorder="1" applyAlignment="1">
      <alignment horizontal="left"/>
    </xf>
    <xf numFmtId="165" fontId="15" fillId="4" borderId="66" xfId="0" applyNumberFormat="1" applyFont="1" applyFill="1" applyBorder="1" applyAlignment="1">
      <alignment horizontal="left"/>
    </xf>
    <xf numFmtId="0" fontId="51" fillId="0" borderId="26" xfId="0" applyFont="1" applyBorder="1" applyAlignment="1">
      <alignment horizontal="left"/>
    </xf>
    <xf numFmtId="165" fontId="15" fillId="5" borderId="1" xfId="1" applyNumberFormat="1" applyFont="1" applyFill="1" applyBorder="1" applyAlignment="1">
      <alignment horizontal="left"/>
    </xf>
    <xf numFmtId="165" fontId="12" fillId="5" borderId="1" xfId="1" applyNumberFormat="1" applyFont="1" applyFill="1" applyBorder="1" applyAlignment="1">
      <alignment horizontal="left"/>
    </xf>
    <xf numFmtId="14" fontId="15" fillId="2" borderId="24" xfId="0" applyNumberFormat="1" applyFont="1" applyFill="1" applyBorder="1" applyAlignment="1">
      <alignment horizontal="center"/>
    </xf>
    <xf numFmtId="14" fontId="15" fillId="2" borderId="26" xfId="0" applyNumberFormat="1" applyFont="1" applyFill="1" applyBorder="1" applyAlignment="1">
      <alignment horizontal="center"/>
    </xf>
    <xf numFmtId="0" fontId="15" fillId="2" borderId="26" xfId="0" applyFont="1" applyFill="1" applyBorder="1" applyAlignment="1">
      <alignment horizontal="left"/>
    </xf>
    <xf numFmtId="14" fontId="15" fillId="2" borderId="1" xfId="0" applyNumberFormat="1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5" fillId="2" borderId="27" xfId="0" applyFont="1" applyFill="1" applyBorder="1" applyAlignment="1">
      <alignment horizontal="left"/>
    </xf>
    <xf numFmtId="14" fontId="15" fillId="2" borderId="25" xfId="0" applyNumberFormat="1" applyFont="1" applyFill="1" applyBorder="1" applyAlignment="1">
      <alignment horizontal="center"/>
    </xf>
    <xf numFmtId="14" fontId="15" fillId="2" borderId="15" xfId="0" applyNumberFormat="1" applyFont="1" applyFill="1" applyBorder="1" applyAlignment="1">
      <alignment horizontal="center"/>
    </xf>
    <xf numFmtId="0" fontId="15" fillId="2" borderId="0" xfId="0" applyFont="1" applyFill="1" applyAlignment="1">
      <alignment horizontal="left"/>
    </xf>
    <xf numFmtId="14" fontId="15" fillId="2" borderId="27" xfId="0" applyNumberFormat="1" applyFont="1" applyFill="1" applyBorder="1" applyAlignment="1">
      <alignment horizontal="center"/>
    </xf>
    <xf numFmtId="0" fontId="15" fillId="2" borderId="58" xfId="0" applyFont="1" applyFill="1" applyBorder="1" applyAlignment="1">
      <alignment horizontal="left"/>
    </xf>
    <xf numFmtId="0" fontId="15" fillId="2" borderId="15" xfId="0" applyFont="1" applyFill="1" applyBorder="1" applyAlignment="1">
      <alignment horizontal="left"/>
    </xf>
    <xf numFmtId="14" fontId="12" fillId="2" borderId="24" xfId="0" applyNumberFormat="1" applyFont="1" applyFill="1" applyBorder="1" applyAlignment="1">
      <alignment horizontal="center"/>
    </xf>
    <xf numFmtId="14" fontId="12" fillId="2" borderId="26" xfId="0" applyNumberFormat="1" applyFont="1" applyFill="1" applyBorder="1" applyAlignment="1">
      <alignment horizontal="center"/>
    </xf>
    <xf numFmtId="0" fontId="12" fillId="2" borderId="26" xfId="0" applyFont="1" applyFill="1" applyBorder="1" applyAlignment="1">
      <alignment horizontal="left"/>
    </xf>
    <xf numFmtId="44" fontId="14" fillId="0" borderId="1" xfId="2" applyFont="1" applyBorder="1" applyAlignment="1">
      <alignment horizontal="left"/>
    </xf>
    <xf numFmtId="165" fontId="15" fillId="5" borderId="15" xfId="0" applyNumberFormat="1" applyFont="1" applyFill="1" applyBorder="1" applyAlignment="1">
      <alignment horizontal="left"/>
    </xf>
    <xf numFmtId="0" fontId="15" fillId="5" borderId="38" xfId="0" applyFont="1" applyFill="1" applyBorder="1" applyAlignment="1">
      <alignment horizontal="left"/>
    </xf>
    <xf numFmtId="0" fontId="18" fillId="0" borderId="1" xfId="0" applyFont="1" applyBorder="1" applyAlignment="1">
      <alignment horizontal="left"/>
    </xf>
    <xf numFmtId="14" fontId="53" fillId="5" borderId="1" xfId="0" applyNumberFormat="1" applyFont="1" applyFill="1" applyBorder="1" applyAlignment="1">
      <alignment horizontal="left"/>
    </xf>
    <xf numFmtId="0" fontId="53" fillId="5" borderId="1" xfId="0" applyFont="1" applyFill="1" applyBorder="1" applyAlignment="1">
      <alignment horizontal="left"/>
    </xf>
    <xf numFmtId="9" fontId="53" fillId="5" borderId="1" xfId="1" applyFont="1" applyFill="1" applyBorder="1" applyAlignment="1">
      <alignment horizontal="left"/>
    </xf>
    <xf numFmtId="165" fontId="53" fillId="5" borderId="1" xfId="0" applyNumberFormat="1" applyFont="1" applyFill="1" applyBorder="1" applyAlignment="1">
      <alignment horizontal="left"/>
    </xf>
    <xf numFmtId="0" fontId="54" fillId="5" borderId="1" xfId="0" applyFont="1" applyFill="1" applyBorder="1" applyAlignment="1">
      <alignment horizontal="left"/>
    </xf>
    <xf numFmtId="0" fontId="55" fillId="0" borderId="0" xfId="0" applyFont="1" applyAlignment="1">
      <alignment horizontal="left"/>
    </xf>
    <xf numFmtId="165" fontId="15" fillId="5" borderId="26" xfId="0" applyNumberFormat="1" applyFont="1" applyFill="1" applyBorder="1" applyAlignment="1">
      <alignment horizontal="left"/>
    </xf>
    <xf numFmtId="165" fontId="3" fillId="3" borderId="44" xfId="0" applyNumberFormat="1" applyFont="1" applyFill="1" applyBorder="1" applyAlignment="1">
      <alignment horizontal="left"/>
    </xf>
    <xf numFmtId="0" fontId="9" fillId="5" borderId="1" xfId="0" applyFont="1" applyFill="1" applyBorder="1" applyAlignment="1">
      <alignment horizontal="center"/>
    </xf>
    <xf numFmtId="165" fontId="15" fillId="4" borderId="64" xfId="0" applyNumberFormat="1" applyFont="1" applyFill="1" applyBorder="1" applyAlignment="1">
      <alignment horizontal="center"/>
    </xf>
    <xf numFmtId="44" fontId="17" fillId="5" borderId="26" xfId="2" applyFont="1" applyFill="1" applyBorder="1" applyAlignment="1">
      <alignment horizontal="center"/>
    </xf>
    <xf numFmtId="44" fontId="14" fillId="5" borderId="1" xfId="2" applyFont="1" applyFill="1" applyBorder="1" applyAlignment="1">
      <alignment horizontal="center"/>
    </xf>
    <xf numFmtId="165" fontId="3" fillId="3" borderId="46" xfId="2" applyNumberFormat="1" applyFont="1" applyFill="1" applyBorder="1" applyAlignment="1">
      <alignment horizontal="center"/>
    </xf>
    <xf numFmtId="44" fontId="17" fillId="0" borderId="1" xfId="2" applyFont="1" applyBorder="1" applyAlignment="1">
      <alignment horizontal="center"/>
    </xf>
    <xf numFmtId="0" fontId="18" fillId="0" borderId="0" xfId="0" applyFont="1" applyAlignment="1">
      <alignment horizontal="center"/>
    </xf>
    <xf numFmtId="165" fontId="53" fillId="5" borderId="1" xfId="2" applyNumberFormat="1" applyFont="1" applyFill="1" applyBorder="1" applyAlignment="1">
      <alignment horizontal="center"/>
    </xf>
    <xf numFmtId="0" fontId="56" fillId="0" borderId="1" xfId="0" applyFont="1" applyBorder="1" applyAlignment="1">
      <alignment horizontal="left"/>
    </xf>
    <xf numFmtId="44" fontId="17" fillId="5" borderId="1" xfId="2" applyFont="1" applyFill="1" applyBorder="1" applyAlignment="1">
      <alignment horizontal="center"/>
    </xf>
    <xf numFmtId="14" fontId="12" fillId="2" borderId="5" xfId="0" applyNumberFormat="1" applyFont="1" applyFill="1" applyBorder="1" applyAlignment="1">
      <alignment horizontal="center"/>
    </xf>
    <xf numFmtId="14" fontId="12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14" fontId="53" fillId="5" borderId="24" xfId="0" applyNumberFormat="1" applyFont="1" applyFill="1" applyBorder="1" applyAlignment="1">
      <alignment horizontal="left"/>
    </xf>
    <xf numFmtId="0" fontId="53" fillId="5" borderId="26" xfId="0" applyFont="1" applyFill="1" applyBorder="1" applyAlignment="1">
      <alignment horizontal="left"/>
    </xf>
    <xf numFmtId="165" fontId="53" fillId="5" borderId="33" xfId="1" applyNumberFormat="1" applyFont="1" applyFill="1" applyBorder="1" applyAlignment="1">
      <alignment horizontal="left"/>
    </xf>
    <xf numFmtId="0" fontId="53" fillId="5" borderId="11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center"/>
    </xf>
    <xf numFmtId="0" fontId="15" fillId="5" borderId="48" xfId="0" applyFont="1" applyFill="1" applyBorder="1" applyAlignment="1">
      <alignment horizontal="left"/>
    </xf>
    <xf numFmtId="0" fontId="45" fillId="5" borderId="26" xfId="0" applyFont="1" applyFill="1" applyBorder="1" applyAlignment="1">
      <alignment horizontal="left"/>
    </xf>
    <xf numFmtId="0" fontId="45" fillId="5" borderId="15" xfId="0" applyFont="1" applyFill="1" applyBorder="1" applyAlignment="1">
      <alignment horizontal="left"/>
    </xf>
    <xf numFmtId="14" fontId="17" fillId="0" borderId="1" xfId="0" applyNumberFormat="1" applyFont="1" applyBorder="1" applyAlignment="1">
      <alignment horizontal="left"/>
    </xf>
    <xf numFmtId="165" fontId="3" fillId="3" borderId="1" xfId="0" applyNumberFormat="1" applyFont="1" applyFill="1" applyBorder="1" applyAlignment="1">
      <alignment horizontal="left"/>
    </xf>
    <xf numFmtId="14" fontId="6" fillId="5" borderId="1" xfId="0" applyNumberFormat="1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165" fontId="6" fillId="5" borderId="1" xfId="2" applyNumberFormat="1" applyFont="1" applyFill="1" applyBorder="1" applyAlignment="1">
      <alignment horizontal="left"/>
    </xf>
    <xf numFmtId="0" fontId="17" fillId="2" borderId="1" xfId="0" applyFont="1" applyFill="1" applyBorder="1" applyAlignment="1">
      <alignment horizontal="left"/>
    </xf>
    <xf numFmtId="14" fontId="15" fillId="5" borderId="67" xfId="0" applyNumberFormat="1" applyFont="1" applyFill="1" applyBorder="1" applyAlignment="1">
      <alignment horizontal="left"/>
    </xf>
    <xf numFmtId="0" fontId="15" fillId="5" borderId="67" xfId="0" applyFont="1" applyFill="1" applyBorder="1" applyAlignment="1">
      <alignment horizontal="left"/>
    </xf>
    <xf numFmtId="9" fontId="15" fillId="5" borderId="67" xfId="1" applyFont="1" applyFill="1" applyBorder="1" applyAlignment="1">
      <alignment horizontal="left"/>
    </xf>
    <xf numFmtId="165" fontId="15" fillId="5" borderId="67" xfId="0" applyNumberFormat="1" applyFont="1" applyFill="1" applyBorder="1" applyAlignment="1">
      <alignment horizontal="left"/>
    </xf>
    <xf numFmtId="165" fontId="15" fillId="5" borderId="67" xfId="1" applyNumberFormat="1" applyFont="1" applyFill="1" applyBorder="1" applyAlignment="1">
      <alignment horizontal="left"/>
    </xf>
    <xf numFmtId="0" fontId="45" fillId="5" borderId="67" xfId="0" applyFont="1" applyFill="1" applyBorder="1" applyAlignment="1">
      <alignment horizontal="left"/>
    </xf>
    <xf numFmtId="0" fontId="14" fillId="5" borderId="1" xfId="0" applyFont="1" applyFill="1" applyBorder="1" applyAlignment="1">
      <alignment horizontal="left"/>
    </xf>
    <xf numFmtId="0" fontId="17" fillId="2" borderId="26" xfId="0" applyFont="1" applyFill="1" applyBorder="1" applyAlignment="1">
      <alignment horizontal="left"/>
    </xf>
    <xf numFmtId="0" fontId="17" fillId="5" borderId="27" xfId="0" applyFont="1" applyFill="1" applyBorder="1" applyAlignment="1">
      <alignment horizontal="left"/>
    </xf>
    <xf numFmtId="165" fontId="15" fillId="5" borderId="67" xfId="2" applyNumberFormat="1" applyFont="1" applyFill="1" applyBorder="1" applyAlignment="1">
      <alignment horizontal="left"/>
    </xf>
    <xf numFmtId="0" fontId="45" fillId="0" borderId="26" xfId="0" applyFont="1" applyBorder="1" applyAlignment="1">
      <alignment horizontal="left"/>
    </xf>
    <xf numFmtId="44" fontId="15" fillId="0" borderId="1" xfId="2" applyFont="1" applyBorder="1" applyAlignment="1">
      <alignment horizontal="left"/>
    </xf>
    <xf numFmtId="0" fontId="53" fillId="0" borderId="0" xfId="0" applyFont="1" applyAlignment="1">
      <alignment horizontal="left"/>
    </xf>
    <xf numFmtId="14" fontId="15" fillId="0" borderId="1" xfId="0" applyNumberFormat="1" applyFont="1" applyBorder="1" applyAlignment="1">
      <alignment horizontal="left"/>
    </xf>
    <xf numFmtId="0" fontId="12" fillId="2" borderId="15" xfId="0" applyFont="1" applyFill="1" applyBorder="1" applyAlignment="1">
      <alignment horizontal="left"/>
    </xf>
    <xf numFmtId="0" fontId="6" fillId="5" borderId="0" xfId="0" applyFont="1" applyFill="1" applyAlignment="1">
      <alignment horizontal="left"/>
    </xf>
    <xf numFmtId="14" fontId="15" fillId="5" borderId="42" xfId="0" applyNumberFormat="1" applyFont="1" applyFill="1" applyBorder="1" applyAlignment="1">
      <alignment horizontal="left"/>
    </xf>
    <xf numFmtId="0" fontId="15" fillId="5" borderId="42" xfId="0" applyFont="1" applyFill="1" applyBorder="1" applyAlignment="1">
      <alignment horizontal="left"/>
    </xf>
    <xf numFmtId="9" fontId="15" fillId="5" borderId="42" xfId="1" applyFont="1" applyFill="1" applyBorder="1" applyAlignment="1">
      <alignment horizontal="left"/>
    </xf>
    <xf numFmtId="165" fontId="15" fillId="5" borderId="42" xfId="0" applyNumberFormat="1" applyFont="1" applyFill="1" applyBorder="1" applyAlignment="1">
      <alignment horizontal="left"/>
    </xf>
    <xf numFmtId="165" fontId="15" fillId="5" borderId="42" xfId="2" applyNumberFormat="1" applyFont="1" applyFill="1" applyBorder="1" applyAlignment="1">
      <alignment horizontal="left"/>
    </xf>
    <xf numFmtId="14" fontId="40" fillId="5" borderId="1" xfId="0" applyNumberFormat="1" applyFont="1" applyFill="1" applyBorder="1"/>
    <xf numFmtId="0" fontId="40" fillId="5" borderId="1" xfId="0" applyFont="1" applyFill="1" applyBorder="1"/>
    <xf numFmtId="0" fontId="40" fillId="5" borderId="1" xfId="0" applyFont="1" applyFill="1" applyBorder="1" applyAlignment="1">
      <alignment horizontal="center"/>
    </xf>
    <xf numFmtId="165" fontId="40" fillId="5" borderId="1" xfId="2" applyNumberFormat="1" applyFont="1" applyFill="1" applyBorder="1"/>
    <xf numFmtId="9" fontId="40" fillId="5" borderId="1" xfId="1" applyFont="1" applyFill="1" applyBorder="1"/>
    <xf numFmtId="165" fontId="40" fillId="5" borderId="13" xfId="1" applyNumberFormat="1" applyFont="1" applyFill="1" applyBorder="1"/>
    <xf numFmtId="14" fontId="15" fillId="5" borderId="11" xfId="0" applyNumberFormat="1" applyFont="1" applyFill="1" applyBorder="1" applyAlignment="1">
      <alignment horizontal="left"/>
    </xf>
    <xf numFmtId="0" fontId="15" fillId="5" borderId="34" xfId="0" applyFont="1" applyFill="1" applyBorder="1" applyAlignment="1">
      <alignment horizontal="left"/>
    </xf>
    <xf numFmtId="0" fontId="31" fillId="0" borderId="1" xfId="0" applyFont="1" applyBorder="1" applyAlignment="1">
      <alignment horizontal="left"/>
    </xf>
    <xf numFmtId="0" fontId="18" fillId="0" borderId="26" xfId="0" applyFont="1" applyBorder="1" applyAlignment="1">
      <alignment horizontal="left"/>
    </xf>
    <xf numFmtId="14" fontId="12" fillId="5" borderId="15" xfId="0" applyNumberFormat="1" applyFont="1" applyFill="1" applyBorder="1" applyAlignment="1">
      <alignment horizontal="left"/>
    </xf>
    <xf numFmtId="0" fontId="12" fillId="2" borderId="0" xfId="0" applyFont="1" applyFill="1" applyAlignment="1">
      <alignment horizontal="left"/>
    </xf>
    <xf numFmtId="14" fontId="38" fillId="5" borderId="1" xfId="0" applyNumberFormat="1" applyFont="1" applyFill="1" applyBorder="1" applyAlignment="1">
      <alignment horizontal="left"/>
    </xf>
    <xf numFmtId="0" fontId="38" fillId="5" borderId="1" xfId="0" applyFont="1" applyFill="1" applyBorder="1" applyAlignment="1">
      <alignment horizontal="left"/>
    </xf>
    <xf numFmtId="165" fontId="38" fillId="5" borderId="1" xfId="2" applyNumberFormat="1" applyFont="1" applyFill="1" applyBorder="1" applyAlignment="1">
      <alignment horizontal="left"/>
    </xf>
    <xf numFmtId="9" fontId="38" fillId="5" borderId="1" xfId="1" applyFont="1" applyFill="1" applyBorder="1" applyAlignment="1">
      <alignment horizontal="left"/>
    </xf>
    <xf numFmtId="165" fontId="38" fillId="5" borderId="1" xfId="0" applyNumberFormat="1" applyFont="1" applyFill="1" applyBorder="1" applyAlignment="1">
      <alignment horizontal="left"/>
    </xf>
    <xf numFmtId="165" fontId="38" fillId="5" borderId="1" xfId="1" applyNumberFormat="1" applyFont="1" applyFill="1" applyBorder="1" applyAlignment="1">
      <alignment horizontal="left"/>
    </xf>
    <xf numFmtId="0" fontId="57" fillId="5" borderId="1" xfId="0" applyFont="1" applyFill="1" applyBorder="1" applyAlignment="1">
      <alignment horizontal="left"/>
    </xf>
    <xf numFmtId="0" fontId="39" fillId="0" borderId="0" xfId="0" applyFont="1" applyAlignment="1">
      <alignment horizontal="left"/>
    </xf>
    <xf numFmtId="44" fontId="38" fillId="5" borderId="1" xfId="2" applyFont="1" applyFill="1" applyBorder="1" applyAlignment="1">
      <alignment horizontal="left"/>
    </xf>
    <xf numFmtId="165" fontId="59" fillId="5" borderId="1" xfId="0" applyNumberFormat="1" applyFont="1" applyFill="1" applyBorder="1" applyAlignment="1">
      <alignment horizontal="left"/>
    </xf>
    <xf numFmtId="0" fontId="60" fillId="5" borderId="1" xfId="0" applyFont="1" applyFill="1" applyBorder="1" applyAlignment="1">
      <alignment horizontal="left"/>
    </xf>
    <xf numFmtId="0" fontId="61" fillId="0" borderId="0" xfId="0" applyFont="1" applyAlignment="1">
      <alignment horizontal="left"/>
    </xf>
    <xf numFmtId="165" fontId="53" fillId="5" borderId="1" xfId="2" applyNumberFormat="1" applyFont="1" applyFill="1" applyBorder="1" applyAlignment="1">
      <alignment horizontal="left"/>
    </xf>
    <xf numFmtId="14" fontId="62" fillId="5" borderId="1" xfId="0" applyNumberFormat="1" applyFont="1" applyFill="1" applyBorder="1" applyAlignment="1">
      <alignment horizontal="left"/>
    </xf>
    <xf numFmtId="0" fontId="62" fillId="5" borderId="1" xfId="0" applyFont="1" applyFill="1" applyBorder="1" applyAlignment="1">
      <alignment horizontal="left"/>
    </xf>
    <xf numFmtId="165" fontId="62" fillId="5" borderId="1" xfId="2" applyNumberFormat="1" applyFont="1" applyFill="1" applyBorder="1" applyAlignment="1">
      <alignment horizontal="left"/>
    </xf>
    <xf numFmtId="9" fontId="62" fillId="5" borderId="1" xfId="1" applyFont="1" applyFill="1" applyBorder="1" applyAlignment="1">
      <alignment horizontal="left"/>
    </xf>
    <xf numFmtId="165" fontId="62" fillId="5" borderId="1" xfId="0" applyNumberFormat="1" applyFont="1" applyFill="1" applyBorder="1" applyAlignment="1">
      <alignment horizontal="left"/>
    </xf>
    <xf numFmtId="165" fontId="62" fillId="5" borderId="1" xfId="1" applyNumberFormat="1" applyFont="1" applyFill="1" applyBorder="1" applyAlignment="1">
      <alignment horizontal="left"/>
    </xf>
    <xf numFmtId="0" fontId="63" fillId="5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14" fontId="62" fillId="5" borderId="25" xfId="0" applyNumberFormat="1" applyFont="1" applyFill="1" applyBorder="1" applyAlignment="1">
      <alignment horizontal="left"/>
    </xf>
    <xf numFmtId="14" fontId="62" fillId="5" borderId="27" xfId="0" applyNumberFormat="1" applyFont="1" applyFill="1" applyBorder="1" applyAlignment="1">
      <alignment horizontal="left"/>
    </xf>
    <xf numFmtId="0" fontId="62" fillId="5" borderId="27" xfId="0" applyFont="1" applyFill="1" applyBorder="1" applyAlignment="1">
      <alignment horizontal="left"/>
    </xf>
    <xf numFmtId="9" fontId="62" fillId="5" borderId="27" xfId="1" applyFont="1" applyFill="1" applyBorder="1" applyAlignment="1">
      <alignment horizontal="left"/>
    </xf>
    <xf numFmtId="165" fontId="62" fillId="5" borderId="0" xfId="1" applyNumberFormat="1" applyFont="1" applyFill="1" applyBorder="1" applyAlignment="1">
      <alignment horizontal="left"/>
    </xf>
    <xf numFmtId="0" fontId="64" fillId="0" borderId="0" xfId="0" applyFont="1" applyAlignment="1">
      <alignment horizontal="left"/>
    </xf>
    <xf numFmtId="14" fontId="62" fillId="5" borderId="24" xfId="0" applyNumberFormat="1" applyFont="1" applyFill="1" applyBorder="1" applyAlignment="1">
      <alignment horizontal="left"/>
    </xf>
    <xf numFmtId="14" fontId="62" fillId="5" borderId="26" xfId="0" applyNumberFormat="1" applyFont="1" applyFill="1" applyBorder="1" applyAlignment="1">
      <alignment horizontal="left"/>
    </xf>
    <xf numFmtId="0" fontId="62" fillId="5" borderId="26" xfId="0" applyFont="1" applyFill="1" applyBorder="1" applyAlignment="1">
      <alignment horizontal="left"/>
    </xf>
    <xf numFmtId="9" fontId="62" fillId="5" borderId="26" xfId="1" applyFont="1" applyFill="1" applyBorder="1" applyAlignment="1">
      <alignment horizontal="left"/>
    </xf>
    <xf numFmtId="165" fontId="62" fillId="5" borderId="33" xfId="1" applyNumberFormat="1" applyFont="1" applyFill="1" applyBorder="1" applyAlignment="1">
      <alignment horizontal="left"/>
    </xf>
    <xf numFmtId="0" fontId="62" fillId="5" borderId="11" xfId="0" applyFont="1" applyFill="1" applyBorder="1" applyAlignment="1">
      <alignment horizontal="left"/>
    </xf>
    <xf numFmtId="44" fontId="62" fillId="5" borderId="1" xfId="2" applyFont="1" applyFill="1" applyBorder="1" applyAlignment="1">
      <alignment horizontal="left"/>
    </xf>
    <xf numFmtId="0" fontId="63" fillId="0" borderId="1" xfId="0" applyFont="1" applyBorder="1" applyAlignment="1">
      <alignment horizontal="left"/>
    </xf>
    <xf numFmtId="165" fontId="62" fillId="5" borderId="27" xfId="2" applyNumberFormat="1" applyFont="1" applyFill="1" applyBorder="1" applyAlignment="1">
      <alignment horizontal="left"/>
    </xf>
    <xf numFmtId="14" fontId="59" fillId="5" borderId="24" xfId="0" applyNumberFormat="1" applyFont="1" applyFill="1" applyBorder="1" applyAlignment="1">
      <alignment horizontal="left"/>
    </xf>
    <xf numFmtId="0" fontId="59" fillId="5" borderId="26" xfId="0" applyFont="1" applyFill="1" applyBorder="1" applyAlignment="1">
      <alignment horizontal="left"/>
    </xf>
    <xf numFmtId="165" fontId="59" fillId="5" borderId="33" xfId="1" applyNumberFormat="1" applyFont="1" applyFill="1" applyBorder="1" applyAlignment="1">
      <alignment horizontal="left"/>
    </xf>
    <xf numFmtId="0" fontId="59" fillId="5" borderId="11" xfId="0" applyFont="1" applyFill="1" applyBorder="1" applyAlignment="1">
      <alignment horizontal="left"/>
    </xf>
    <xf numFmtId="0" fontId="57" fillId="0" borderId="1" xfId="0" applyFont="1" applyBorder="1" applyAlignment="1">
      <alignment horizontal="left"/>
    </xf>
    <xf numFmtId="14" fontId="38" fillId="5" borderId="24" xfId="0" applyNumberFormat="1" applyFont="1" applyFill="1" applyBorder="1" applyAlignment="1">
      <alignment horizontal="left"/>
    </xf>
    <xf numFmtId="14" fontId="38" fillId="5" borderId="26" xfId="0" applyNumberFormat="1" applyFont="1" applyFill="1" applyBorder="1" applyAlignment="1">
      <alignment horizontal="left"/>
    </xf>
    <xf numFmtId="165" fontId="38" fillId="5" borderId="33" xfId="1" applyNumberFormat="1" applyFont="1" applyFill="1" applyBorder="1" applyAlignment="1">
      <alignment horizontal="left"/>
    </xf>
    <xf numFmtId="0" fontId="38" fillId="5" borderId="11" xfId="0" applyFont="1" applyFill="1" applyBorder="1" applyAlignment="1">
      <alignment horizontal="left"/>
    </xf>
    <xf numFmtId="44" fontId="65" fillId="5" borderId="1" xfId="2" applyFont="1" applyFill="1" applyBorder="1" applyAlignment="1">
      <alignment horizontal="left"/>
    </xf>
    <xf numFmtId="0" fontId="38" fillId="5" borderId="26" xfId="0" applyFont="1" applyFill="1" applyBorder="1" applyAlignment="1">
      <alignment horizontal="left"/>
    </xf>
    <xf numFmtId="9" fontId="38" fillId="5" borderId="26" xfId="1" applyFont="1" applyFill="1" applyBorder="1" applyAlignment="1">
      <alignment horizontal="left"/>
    </xf>
    <xf numFmtId="14" fontId="59" fillId="5" borderId="1" xfId="0" applyNumberFormat="1" applyFont="1" applyFill="1" applyBorder="1" applyAlignment="1">
      <alignment horizontal="left"/>
    </xf>
    <xf numFmtId="0" fontId="59" fillId="5" borderId="1" xfId="0" applyFont="1" applyFill="1" applyBorder="1" applyAlignment="1">
      <alignment horizontal="left"/>
    </xf>
    <xf numFmtId="165" fontId="59" fillId="5" borderId="1" xfId="2" applyNumberFormat="1" applyFont="1" applyFill="1" applyBorder="1" applyAlignment="1">
      <alignment horizontal="left"/>
    </xf>
    <xf numFmtId="44" fontId="65" fillId="5" borderId="26" xfId="2" applyFont="1" applyFill="1" applyBorder="1" applyAlignment="1">
      <alignment horizontal="left"/>
    </xf>
    <xf numFmtId="44" fontId="58" fillId="5" borderId="1" xfId="2" applyFont="1" applyFill="1" applyBorder="1" applyAlignment="1">
      <alignment horizontal="left"/>
    </xf>
    <xf numFmtId="9" fontId="59" fillId="5" borderId="1" xfId="1" applyFont="1" applyFill="1" applyBorder="1" applyAlignment="1">
      <alignment horizontal="left"/>
    </xf>
    <xf numFmtId="165" fontId="62" fillId="5" borderId="15" xfId="0" applyNumberFormat="1" applyFont="1" applyFill="1" applyBorder="1" applyAlignment="1">
      <alignment horizontal="left"/>
    </xf>
    <xf numFmtId="165" fontId="62" fillId="5" borderId="12" xfId="1" applyNumberFormat="1" applyFont="1" applyFill="1" applyBorder="1" applyAlignment="1">
      <alignment horizontal="left"/>
    </xf>
    <xf numFmtId="165" fontId="53" fillId="5" borderId="1" xfId="1" applyNumberFormat="1" applyFont="1" applyFill="1" applyBorder="1" applyAlignment="1">
      <alignment horizontal="left"/>
    </xf>
    <xf numFmtId="0" fontId="62" fillId="5" borderId="38" xfId="0" applyFont="1" applyFill="1" applyBorder="1" applyAlignment="1">
      <alignment horizontal="left"/>
    </xf>
    <xf numFmtId="0" fontId="63" fillId="5" borderId="15" xfId="0" applyFont="1" applyFill="1" applyBorder="1" applyAlignment="1">
      <alignment horizontal="left"/>
    </xf>
    <xf numFmtId="14" fontId="59" fillId="5" borderId="26" xfId="0" applyNumberFormat="1" applyFont="1" applyFill="1" applyBorder="1" applyAlignment="1">
      <alignment horizontal="left"/>
    </xf>
    <xf numFmtId="14" fontId="38" fillId="5" borderId="25" xfId="0" applyNumberFormat="1" applyFont="1" applyFill="1" applyBorder="1" applyAlignment="1">
      <alignment horizontal="left"/>
    </xf>
    <xf numFmtId="14" fontId="38" fillId="5" borderId="27" xfId="0" applyNumberFormat="1" applyFont="1" applyFill="1" applyBorder="1" applyAlignment="1">
      <alignment horizontal="left"/>
    </xf>
    <xf numFmtId="14" fontId="62" fillId="5" borderId="11" xfId="0" applyNumberFormat="1" applyFont="1" applyFill="1" applyBorder="1" applyAlignment="1">
      <alignment horizontal="left"/>
    </xf>
    <xf numFmtId="0" fontId="38" fillId="5" borderId="27" xfId="0" applyFont="1" applyFill="1" applyBorder="1" applyAlignment="1">
      <alignment horizontal="left"/>
    </xf>
    <xf numFmtId="44" fontId="58" fillId="5" borderId="27" xfId="2" applyFont="1" applyFill="1" applyBorder="1" applyAlignment="1">
      <alignment horizontal="left"/>
    </xf>
    <xf numFmtId="9" fontId="38" fillId="5" borderId="27" xfId="1" applyFont="1" applyFill="1" applyBorder="1" applyAlignment="1">
      <alignment horizontal="left"/>
    </xf>
    <xf numFmtId="165" fontId="38" fillId="5" borderId="0" xfId="1" applyNumberFormat="1" applyFont="1" applyFill="1" applyBorder="1" applyAlignment="1">
      <alignment horizontal="left"/>
    </xf>
    <xf numFmtId="44" fontId="62" fillId="5" borderId="33" xfId="2" applyFont="1" applyFill="1" applyBorder="1" applyAlignment="1">
      <alignment horizontal="left"/>
    </xf>
    <xf numFmtId="14" fontId="53" fillId="5" borderId="26" xfId="0" applyNumberFormat="1" applyFont="1" applyFill="1" applyBorder="1" applyAlignment="1">
      <alignment horizontal="left"/>
    </xf>
    <xf numFmtId="44" fontId="13" fillId="5" borderId="1" xfId="2" applyFont="1" applyFill="1" applyBorder="1" applyAlignment="1">
      <alignment horizontal="left"/>
    </xf>
    <xf numFmtId="44" fontId="14" fillId="5" borderId="1" xfId="2" applyFont="1" applyFill="1" applyBorder="1" applyAlignment="1">
      <alignment horizontal="left"/>
    </xf>
    <xf numFmtId="165" fontId="38" fillId="5" borderId="26" xfId="2" applyNumberFormat="1" applyFont="1" applyFill="1" applyBorder="1" applyAlignment="1">
      <alignment horizontal="left"/>
    </xf>
    <xf numFmtId="0" fontId="12" fillId="5" borderId="15" xfId="0" applyFont="1" applyFill="1" applyBorder="1" applyAlignment="1">
      <alignment horizontal="left"/>
    </xf>
    <xf numFmtId="0" fontId="62" fillId="5" borderId="0" xfId="0" applyFont="1" applyFill="1" applyAlignment="1">
      <alignment horizontal="left"/>
    </xf>
    <xf numFmtId="0" fontId="6" fillId="5" borderId="58" xfId="0" applyFont="1" applyFill="1" applyBorder="1" applyAlignment="1">
      <alignment horizontal="left"/>
    </xf>
    <xf numFmtId="14" fontId="27" fillId="5" borderId="1" xfId="0" applyNumberFormat="1" applyFont="1" applyFill="1" applyBorder="1" applyAlignment="1">
      <alignment horizontal="left"/>
    </xf>
    <xf numFmtId="165" fontId="27" fillId="5" borderId="1" xfId="2" applyNumberFormat="1" applyFont="1" applyFill="1" applyBorder="1" applyAlignment="1">
      <alignment horizontal="left"/>
    </xf>
    <xf numFmtId="165" fontId="27" fillId="5" borderId="0" xfId="2" applyNumberFormat="1" applyFont="1" applyFill="1" applyBorder="1" applyAlignment="1">
      <alignment horizontal="left"/>
    </xf>
    <xf numFmtId="9" fontId="27" fillId="5" borderId="1" xfId="1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66" fillId="5" borderId="1" xfId="0" applyFont="1" applyFill="1" applyBorder="1" applyAlignment="1">
      <alignment horizontal="left"/>
    </xf>
    <xf numFmtId="165" fontId="66" fillId="5" borderId="1" xfId="2" applyNumberFormat="1" applyFont="1" applyFill="1" applyBorder="1" applyAlignment="1">
      <alignment horizontal="left"/>
    </xf>
    <xf numFmtId="9" fontId="66" fillId="5" borderId="1" xfId="1" applyFont="1" applyFill="1" applyBorder="1" applyAlignment="1">
      <alignment horizontal="left"/>
    </xf>
    <xf numFmtId="165" fontId="66" fillId="5" borderId="1" xfId="0" applyNumberFormat="1" applyFont="1" applyFill="1" applyBorder="1" applyAlignment="1">
      <alignment horizontal="left"/>
    </xf>
    <xf numFmtId="0" fontId="67" fillId="5" borderId="1" xfId="0" applyFont="1" applyFill="1" applyBorder="1" applyAlignment="1">
      <alignment horizontal="left"/>
    </xf>
    <xf numFmtId="0" fontId="68" fillId="0" borderId="0" xfId="0" applyFont="1" applyAlignment="1">
      <alignment horizontal="left"/>
    </xf>
    <xf numFmtId="14" fontId="66" fillId="5" borderId="1" xfId="0" applyNumberFormat="1" applyFont="1" applyFill="1" applyBorder="1" applyAlignment="1">
      <alignment horizontal="left"/>
    </xf>
    <xf numFmtId="0" fontId="66" fillId="0" borderId="1" xfId="0" applyFont="1" applyBorder="1" applyAlignment="1">
      <alignment horizontal="left"/>
    </xf>
    <xf numFmtId="165" fontId="62" fillId="5" borderId="26" xfId="2" applyNumberFormat="1" applyFont="1" applyFill="1" applyBorder="1" applyAlignment="1">
      <alignment horizontal="left"/>
    </xf>
    <xf numFmtId="0" fontId="40" fillId="0" borderId="1" xfId="0" applyFont="1" applyBorder="1" applyAlignment="1">
      <alignment horizontal="left"/>
    </xf>
    <xf numFmtId="0" fontId="40" fillId="5" borderId="1" xfId="0" applyFont="1" applyFill="1" applyBorder="1" applyAlignment="1">
      <alignment horizontal="left"/>
    </xf>
    <xf numFmtId="165" fontId="40" fillId="5" borderId="1" xfId="2" applyNumberFormat="1" applyFont="1" applyFill="1" applyBorder="1" applyAlignment="1">
      <alignment horizontal="left"/>
    </xf>
    <xf numFmtId="9" fontId="40" fillId="5" borderId="1" xfId="1" applyFont="1" applyFill="1" applyBorder="1" applyAlignment="1">
      <alignment horizontal="left"/>
    </xf>
    <xf numFmtId="165" fontId="40" fillId="5" borderId="1" xfId="0" applyNumberFormat="1" applyFont="1" applyFill="1" applyBorder="1" applyAlignment="1">
      <alignment horizontal="left"/>
    </xf>
    <xf numFmtId="0" fontId="69" fillId="5" borderId="1" xfId="0" applyFont="1" applyFill="1" applyBorder="1" applyAlignment="1">
      <alignment horizontal="left"/>
    </xf>
    <xf numFmtId="0" fontId="41" fillId="0" borderId="0" xfId="0" applyFont="1" applyAlignment="1">
      <alignment horizontal="left"/>
    </xf>
    <xf numFmtId="14" fontId="40" fillId="5" borderId="1" xfId="0" applyNumberFormat="1" applyFont="1" applyFill="1" applyBorder="1" applyAlignment="1">
      <alignment horizontal="left"/>
    </xf>
    <xf numFmtId="0" fontId="17" fillId="5" borderId="26" xfId="0" applyFont="1" applyFill="1" applyBorder="1"/>
    <xf numFmtId="44" fontId="59" fillId="5" borderId="26" xfId="2" applyFont="1" applyFill="1" applyBorder="1" applyAlignment="1">
      <alignment horizontal="left"/>
    </xf>
    <xf numFmtId="9" fontId="59" fillId="5" borderId="26" xfId="1" applyFont="1" applyFill="1" applyBorder="1" applyAlignment="1">
      <alignment horizontal="left"/>
    </xf>
    <xf numFmtId="44" fontId="59" fillId="5" borderId="1" xfId="2" applyFont="1" applyFill="1" applyBorder="1" applyAlignment="1">
      <alignment horizontal="left"/>
    </xf>
    <xf numFmtId="44" fontId="59" fillId="5" borderId="33" xfId="2" applyFont="1" applyFill="1" applyBorder="1" applyAlignment="1">
      <alignment horizontal="left"/>
    </xf>
    <xf numFmtId="14" fontId="59" fillId="5" borderId="11" xfId="0" applyNumberFormat="1" applyFont="1" applyFill="1" applyBorder="1" applyAlignment="1">
      <alignment horizontal="left"/>
    </xf>
    <xf numFmtId="44" fontId="14" fillId="0" borderId="26" xfId="2" applyFont="1" applyBorder="1" applyAlignment="1">
      <alignment horizontal="left"/>
    </xf>
    <xf numFmtId="0" fontId="6" fillId="5" borderId="27" xfId="0" applyFont="1" applyFill="1" applyBorder="1" applyAlignment="1">
      <alignment horizontal="left"/>
    </xf>
    <xf numFmtId="14" fontId="3" fillId="3" borderId="42" xfId="0" applyNumberFormat="1" applyFont="1" applyFill="1" applyBorder="1"/>
    <xf numFmtId="165" fontId="3" fillId="3" borderId="42" xfId="0" applyNumberFormat="1" applyFont="1" applyFill="1" applyBorder="1"/>
    <xf numFmtId="165" fontId="3" fillId="3" borderId="0" xfId="2" applyNumberFormat="1" applyFont="1" applyFill="1" applyBorder="1" applyAlignment="1"/>
    <xf numFmtId="165" fontId="27" fillId="5" borderId="1" xfId="1" applyNumberFormat="1" applyFont="1" applyFill="1" applyBorder="1" applyAlignment="1">
      <alignment horizontal="left"/>
    </xf>
    <xf numFmtId="0" fontId="28" fillId="0" borderId="0" xfId="0" applyFont="1" applyAlignment="1">
      <alignment horizontal="left"/>
    </xf>
    <xf numFmtId="0" fontId="55" fillId="0" borderId="1" xfId="0" applyFont="1" applyBorder="1" applyAlignment="1">
      <alignment horizontal="left"/>
    </xf>
    <xf numFmtId="0" fontId="33" fillId="5" borderId="1" xfId="0" applyFont="1" applyFill="1" applyBorder="1" applyAlignment="1">
      <alignment horizontal="left"/>
    </xf>
    <xf numFmtId="165" fontId="33" fillId="5" borderId="1" xfId="2" applyNumberFormat="1" applyFont="1" applyFill="1" applyBorder="1" applyAlignment="1">
      <alignment horizontal="left"/>
    </xf>
    <xf numFmtId="9" fontId="33" fillId="5" borderId="1" xfId="1" applyFont="1" applyFill="1" applyBorder="1" applyAlignment="1">
      <alignment horizontal="left"/>
    </xf>
    <xf numFmtId="165" fontId="33" fillId="5" borderId="1" xfId="0" applyNumberFormat="1" applyFont="1" applyFill="1" applyBorder="1" applyAlignment="1">
      <alignment horizontal="left"/>
    </xf>
    <xf numFmtId="0" fontId="47" fillId="5" borderId="1" xfId="0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7" fillId="0" borderId="0" xfId="0" applyFont="1" applyAlignment="1">
      <alignment horizontal="left"/>
    </xf>
    <xf numFmtId="44" fontId="36" fillId="5" borderId="1" xfId="2" applyFont="1" applyFill="1" applyBorder="1" applyAlignment="1">
      <alignment horizontal="left"/>
    </xf>
    <xf numFmtId="0" fontId="33" fillId="5" borderId="11" xfId="0" applyFont="1" applyFill="1" applyBorder="1" applyAlignment="1">
      <alignment horizontal="left"/>
    </xf>
    <xf numFmtId="14" fontId="33" fillId="5" borderId="24" xfId="0" applyNumberFormat="1" applyFont="1" applyFill="1" applyBorder="1" applyAlignment="1">
      <alignment horizontal="left"/>
    </xf>
    <xf numFmtId="14" fontId="33" fillId="5" borderId="26" xfId="0" applyNumberFormat="1" applyFont="1" applyFill="1" applyBorder="1" applyAlignment="1">
      <alignment horizontal="left"/>
    </xf>
    <xf numFmtId="0" fontId="33" fillId="5" borderId="26" xfId="0" applyFont="1" applyFill="1" applyBorder="1" applyAlignment="1">
      <alignment horizontal="left"/>
    </xf>
    <xf numFmtId="9" fontId="33" fillId="5" borderId="26" xfId="1" applyFont="1" applyFill="1" applyBorder="1" applyAlignment="1">
      <alignment horizontal="left"/>
    </xf>
    <xf numFmtId="165" fontId="33" fillId="5" borderId="33" xfId="1" applyNumberFormat="1" applyFont="1" applyFill="1" applyBorder="1" applyAlignment="1">
      <alignment horizontal="left"/>
    </xf>
    <xf numFmtId="165" fontId="33" fillId="5" borderId="26" xfId="2" applyNumberFormat="1" applyFont="1" applyFill="1" applyBorder="1" applyAlignment="1">
      <alignment horizontal="left"/>
    </xf>
    <xf numFmtId="44" fontId="70" fillId="5" borderId="1" xfId="2" applyFont="1" applyFill="1" applyBorder="1" applyAlignment="1">
      <alignment horizontal="left"/>
    </xf>
    <xf numFmtId="44" fontId="18" fillId="5" borderId="26" xfId="2" applyFont="1" applyFill="1" applyBorder="1" applyAlignment="1">
      <alignment horizontal="center"/>
    </xf>
    <xf numFmtId="0" fontId="10" fillId="5" borderId="0" xfId="0" applyFont="1" applyFill="1" applyAlignment="1">
      <alignment horizontal="left"/>
    </xf>
    <xf numFmtId="0" fontId="64" fillId="5" borderId="0" xfId="0" applyFont="1" applyFill="1" applyAlignment="1">
      <alignment horizontal="left"/>
    </xf>
    <xf numFmtId="0" fontId="28" fillId="0" borderId="1" xfId="0" applyFont="1" applyBorder="1" applyAlignment="1">
      <alignment horizontal="left"/>
    </xf>
    <xf numFmtId="0" fontId="61" fillId="0" borderId="1" xfId="0" applyFont="1" applyBorder="1" applyAlignment="1">
      <alignment horizontal="left"/>
    </xf>
    <xf numFmtId="165" fontId="59" fillId="5" borderId="1" xfId="1" applyNumberFormat="1" applyFont="1" applyFill="1" applyBorder="1" applyAlignment="1">
      <alignment horizontal="left"/>
    </xf>
    <xf numFmtId="0" fontId="27" fillId="5" borderId="0" xfId="0" applyFont="1" applyFill="1" applyAlignment="1">
      <alignment horizontal="left"/>
    </xf>
    <xf numFmtId="0" fontId="65" fillId="5" borderId="1" xfId="0" applyFont="1" applyFill="1" applyBorder="1"/>
    <xf numFmtId="165" fontId="59" fillId="5" borderId="1" xfId="0" quotePrefix="1" applyNumberFormat="1" applyFont="1" applyFill="1" applyBorder="1" applyAlignment="1">
      <alignment horizontal="left"/>
    </xf>
    <xf numFmtId="0" fontId="64" fillId="2" borderId="0" xfId="0" applyFont="1" applyFill="1" applyAlignment="1">
      <alignment horizontal="left"/>
    </xf>
    <xf numFmtId="0" fontId="46" fillId="5" borderId="15" xfId="0" applyFont="1" applyFill="1" applyBorder="1" applyAlignment="1">
      <alignment horizontal="left"/>
    </xf>
    <xf numFmtId="165" fontId="73" fillId="5" borderId="1" xfId="0" applyNumberFormat="1" applyFont="1" applyFill="1" applyBorder="1" applyAlignment="1">
      <alignment horizontal="left"/>
    </xf>
    <xf numFmtId="0" fontId="74" fillId="5" borderId="1" xfId="0" applyFont="1" applyFill="1" applyBorder="1" applyAlignment="1">
      <alignment horizontal="left"/>
    </xf>
    <xf numFmtId="0" fontId="75" fillId="0" borderId="1" xfId="0" applyFont="1" applyBorder="1" applyAlignment="1">
      <alignment horizontal="left"/>
    </xf>
    <xf numFmtId="14" fontId="27" fillId="5" borderId="26" xfId="0" applyNumberFormat="1" applyFont="1" applyFill="1" applyBorder="1" applyAlignment="1">
      <alignment horizontal="left"/>
    </xf>
    <xf numFmtId="0" fontId="70" fillId="5" borderId="1" xfId="0" applyFont="1" applyFill="1" applyBorder="1"/>
    <xf numFmtId="14" fontId="73" fillId="5" borderId="24" xfId="0" applyNumberFormat="1" applyFont="1" applyFill="1" applyBorder="1" applyAlignment="1">
      <alignment horizontal="left"/>
    </xf>
    <xf numFmtId="14" fontId="73" fillId="5" borderId="26" xfId="0" applyNumberFormat="1" applyFont="1" applyFill="1" applyBorder="1" applyAlignment="1">
      <alignment horizontal="left"/>
    </xf>
    <xf numFmtId="0" fontId="73" fillId="5" borderId="26" xfId="0" applyFont="1" applyFill="1" applyBorder="1" applyAlignment="1">
      <alignment horizontal="left"/>
    </xf>
    <xf numFmtId="165" fontId="27" fillId="5" borderId="26" xfId="2" applyNumberFormat="1" applyFont="1" applyFill="1" applyBorder="1" applyAlignment="1">
      <alignment horizontal="left"/>
    </xf>
    <xf numFmtId="165" fontId="59" fillId="5" borderId="26" xfId="2" applyNumberFormat="1" applyFont="1" applyFill="1" applyBorder="1" applyAlignment="1">
      <alignment horizontal="left"/>
    </xf>
    <xf numFmtId="165" fontId="73" fillId="5" borderId="26" xfId="2" applyNumberFormat="1" applyFont="1" applyFill="1" applyBorder="1" applyAlignment="1">
      <alignment horizontal="left"/>
    </xf>
    <xf numFmtId="9" fontId="27" fillId="5" borderId="26" xfId="1" applyFont="1" applyFill="1" applyBorder="1" applyAlignment="1">
      <alignment horizontal="left"/>
    </xf>
    <xf numFmtId="9" fontId="73" fillId="5" borderId="26" xfId="1" applyFont="1" applyFill="1" applyBorder="1" applyAlignment="1">
      <alignment horizontal="left"/>
    </xf>
    <xf numFmtId="165" fontId="73" fillId="5" borderId="33" xfId="1" applyNumberFormat="1" applyFont="1" applyFill="1" applyBorder="1" applyAlignment="1">
      <alignment horizontal="left"/>
    </xf>
    <xf numFmtId="0" fontId="73" fillId="5" borderId="11" xfId="0" applyFont="1" applyFill="1" applyBorder="1" applyAlignment="1">
      <alignment horizontal="left"/>
    </xf>
    <xf numFmtId="44" fontId="72" fillId="5" borderId="26" xfId="2" applyFont="1" applyFill="1" applyBorder="1"/>
    <xf numFmtId="0" fontId="13" fillId="0" borderId="1" xfId="0" applyFont="1" applyBorder="1" applyAlignment="1">
      <alignment horizontal="left"/>
    </xf>
    <xf numFmtId="14" fontId="12" fillId="5" borderId="25" xfId="0" applyNumberFormat="1" applyFont="1" applyFill="1" applyBorder="1" applyAlignment="1">
      <alignment horizontal="center"/>
    </xf>
    <xf numFmtId="14" fontId="15" fillId="5" borderId="5" xfId="0" applyNumberFormat="1" applyFont="1" applyFill="1" applyBorder="1" applyAlignment="1">
      <alignment horizontal="center"/>
    </xf>
    <xf numFmtId="14" fontId="12" fillId="5" borderId="15" xfId="0" applyNumberFormat="1" applyFont="1" applyFill="1" applyBorder="1" applyAlignment="1">
      <alignment horizontal="center"/>
    </xf>
    <xf numFmtId="0" fontId="17" fillId="5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44" fontId="6" fillId="5" borderId="26" xfId="2" applyFont="1" applyFill="1" applyBorder="1" applyAlignment="1">
      <alignment horizontal="center"/>
    </xf>
    <xf numFmtId="44" fontId="12" fillId="5" borderId="27" xfId="2" applyFont="1" applyFill="1" applyBorder="1" applyAlignment="1">
      <alignment horizontal="center"/>
    </xf>
    <xf numFmtId="44" fontId="15" fillId="5" borderId="1" xfId="2" applyFont="1" applyFill="1" applyBorder="1" applyAlignment="1">
      <alignment horizontal="right"/>
    </xf>
    <xf numFmtId="9" fontId="12" fillId="5" borderId="27" xfId="1" applyFont="1" applyFill="1" applyBorder="1" applyAlignment="1">
      <alignment horizontal="center"/>
    </xf>
    <xf numFmtId="165" fontId="12" fillId="5" borderId="48" xfId="0" applyNumberFormat="1" applyFont="1" applyFill="1" applyBorder="1" applyAlignment="1">
      <alignment horizontal="center"/>
    </xf>
    <xf numFmtId="165" fontId="12" fillId="5" borderId="0" xfId="1" applyNumberFormat="1" applyFont="1" applyFill="1" applyBorder="1" applyAlignment="1">
      <alignment horizontal="center"/>
    </xf>
    <xf numFmtId="0" fontId="46" fillId="0" borderId="13" xfId="0" applyFont="1" applyBorder="1" applyAlignment="1">
      <alignment horizontal="center"/>
    </xf>
    <xf numFmtId="0" fontId="12" fillId="5" borderId="58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14" fontId="12" fillId="5" borderId="67" xfId="0" applyNumberFormat="1" applyFont="1" applyFill="1" applyBorder="1" applyAlignment="1">
      <alignment horizontal="left"/>
    </xf>
    <xf numFmtId="0" fontId="12" fillId="5" borderId="67" xfId="0" applyFont="1" applyFill="1" applyBorder="1" applyAlignment="1">
      <alignment horizontal="left"/>
    </xf>
    <xf numFmtId="165" fontId="12" fillId="5" borderId="67" xfId="2" applyNumberFormat="1" applyFont="1" applyFill="1" applyBorder="1" applyAlignment="1">
      <alignment horizontal="left"/>
    </xf>
    <xf numFmtId="9" fontId="12" fillId="5" borderId="67" xfId="1" applyFont="1" applyFill="1" applyBorder="1" applyAlignment="1">
      <alignment horizontal="left"/>
    </xf>
    <xf numFmtId="165" fontId="12" fillId="5" borderId="67" xfId="0" applyNumberFormat="1" applyFont="1" applyFill="1" applyBorder="1" applyAlignment="1">
      <alignment horizontal="left"/>
    </xf>
    <xf numFmtId="165" fontId="12" fillId="5" borderId="67" xfId="1" applyNumberFormat="1" applyFont="1" applyFill="1" applyBorder="1" applyAlignment="1">
      <alignment horizontal="left"/>
    </xf>
    <xf numFmtId="0" fontId="46" fillId="5" borderId="67" xfId="0" applyFont="1" applyFill="1" applyBorder="1" applyAlignment="1">
      <alignment horizontal="left"/>
    </xf>
    <xf numFmtId="165" fontId="12" fillId="5" borderId="0" xfId="2" applyNumberFormat="1" applyFont="1" applyFill="1" applyBorder="1" applyAlignment="1">
      <alignment horizontal="left"/>
    </xf>
    <xf numFmtId="0" fontId="27" fillId="0" borderId="1" xfId="0" applyFont="1" applyBorder="1" applyAlignment="1">
      <alignment horizontal="left"/>
    </xf>
    <xf numFmtId="0" fontId="62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44" fontId="71" fillId="5" borderId="26" xfId="2" applyFont="1" applyFill="1" applyBorder="1"/>
    <xf numFmtId="14" fontId="12" fillId="5" borderId="11" xfId="0" applyNumberFormat="1" applyFont="1" applyFill="1" applyBorder="1" applyAlignment="1">
      <alignment horizontal="left"/>
    </xf>
    <xf numFmtId="0" fontId="59" fillId="0" borderId="1" xfId="0" applyFont="1" applyBorder="1" applyAlignment="1">
      <alignment horizontal="left"/>
    </xf>
    <xf numFmtId="0" fontId="62" fillId="0" borderId="1" xfId="0" applyFont="1" applyBorder="1" applyAlignment="1">
      <alignment horizontal="left"/>
    </xf>
    <xf numFmtId="44" fontId="27" fillId="5" borderId="26" xfId="2" applyFont="1" applyFill="1" applyBorder="1" applyAlignment="1">
      <alignment horizontal="left"/>
    </xf>
    <xf numFmtId="44" fontId="76" fillId="5" borderId="1" xfId="2" applyFont="1" applyFill="1" applyBorder="1" applyAlignment="1">
      <alignment horizontal="left"/>
    </xf>
    <xf numFmtId="165" fontId="6" fillId="5" borderId="1" xfId="1" applyNumberFormat="1" applyFont="1" applyFill="1" applyBorder="1" applyAlignment="1">
      <alignment horizontal="left"/>
    </xf>
    <xf numFmtId="14" fontId="6" fillId="5" borderId="67" xfId="0" applyNumberFormat="1" applyFont="1" applyFill="1" applyBorder="1" applyAlignment="1">
      <alignment horizontal="left"/>
    </xf>
    <xf numFmtId="0" fontId="6" fillId="5" borderId="67" xfId="0" applyFont="1" applyFill="1" applyBorder="1" applyAlignment="1">
      <alignment horizontal="left"/>
    </xf>
    <xf numFmtId="44" fontId="15" fillId="5" borderId="67" xfId="2" applyFont="1" applyFill="1" applyBorder="1" applyAlignment="1">
      <alignment horizontal="left"/>
    </xf>
    <xf numFmtId="165" fontId="6" fillId="5" borderId="67" xfId="2" applyNumberFormat="1" applyFont="1" applyFill="1" applyBorder="1" applyAlignment="1">
      <alignment horizontal="left"/>
    </xf>
    <xf numFmtId="9" fontId="6" fillId="5" borderId="67" xfId="1" applyFont="1" applyFill="1" applyBorder="1" applyAlignment="1">
      <alignment horizontal="left"/>
    </xf>
    <xf numFmtId="165" fontId="6" fillId="5" borderId="67" xfId="0" applyNumberFormat="1" applyFont="1" applyFill="1" applyBorder="1" applyAlignment="1">
      <alignment horizontal="left"/>
    </xf>
    <xf numFmtId="165" fontId="6" fillId="5" borderId="67" xfId="1" applyNumberFormat="1" applyFont="1" applyFill="1" applyBorder="1" applyAlignment="1">
      <alignment horizontal="left"/>
    </xf>
    <xf numFmtId="0" fontId="48" fillId="5" borderId="67" xfId="0" applyFont="1" applyFill="1" applyBorder="1" applyAlignment="1">
      <alignment horizontal="left"/>
    </xf>
    <xf numFmtId="44" fontId="39" fillId="5" borderId="1" xfId="2" applyFont="1" applyFill="1" applyBorder="1" applyAlignment="1">
      <alignment horizontal="left"/>
    </xf>
    <xf numFmtId="0" fontId="15" fillId="0" borderId="11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5" fillId="5" borderId="11" xfId="0" applyFont="1" applyFill="1" applyBorder="1" applyAlignment="1">
      <alignment horizontal="center"/>
    </xf>
    <xf numFmtId="0" fontId="15" fillId="5" borderId="13" xfId="0" applyFont="1" applyFill="1" applyBorder="1" applyAlignment="1">
      <alignment horizontal="center"/>
    </xf>
    <xf numFmtId="0" fontId="12" fillId="5" borderId="11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/>
    </xf>
    <xf numFmtId="0" fontId="15" fillId="7" borderId="11" xfId="0" applyFont="1" applyFill="1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33" fillId="0" borderId="11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0" fontId="15" fillId="0" borderId="48" xfId="0" applyFont="1" applyBorder="1" applyAlignment="1">
      <alignment horizontal="center"/>
    </xf>
    <xf numFmtId="0" fontId="15" fillId="0" borderId="34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62" fillId="5" borderId="58" xfId="0" applyFont="1" applyFill="1" applyBorder="1" applyAlignment="1">
      <alignment horizontal="left"/>
    </xf>
    <xf numFmtId="165" fontId="6" fillId="5" borderId="0" xfId="2" applyNumberFormat="1" applyFont="1" applyFill="1" applyBorder="1" applyAlignment="1">
      <alignment horizontal="left"/>
    </xf>
    <xf numFmtId="44" fontId="62" fillId="5" borderId="27" xfId="2" applyFont="1" applyFill="1" applyBorder="1" applyAlignment="1">
      <alignment horizontal="left"/>
    </xf>
    <xf numFmtId="0" fontId="45" fillId="5" borderId="11" xfId="0" applyFont="1" applyFill="1" applyBorder="1" applyAlignment="1">
      <alignment horizontal="left"/>
    </xf>
    <xf numFmtId="14" fontId="3" fillId="5" borderId="45" xfId="0" applyNumberFormat="1" applyFont="1" applyFill="1" applyBorder="1" applyAlignment="1">
      <alignment horizontal="left"/>
    </xf>
    <xf numFmtId="14" fontId="3" fillId="5" borderId="46" xfId="0" applyNumberFormat="1" applyFont="1" applyFill="1" applyBorder="1" applyAlignment="1">
      <alignment horizontal="left"/>
    </xf>
    <xf numFmtId="165" fontId="3" fillId="5" borderId="46" xfId="2" applyNumberFormat="1" applyFont="1" applyFill="1" applyBorder="1" applyAlignment="1">
      <alignment horizontal="left"/>
    </xf>
    <xf numFmtId="14" fontId="3" fillId="5" borderId="47" xfId="0" applyNumberFormat="1" applyFont="1" applyFill="1" applyBorder="1" applyAlignment="1">
      <alignment horizontal="left"/>
    </xf>
    <xf numFmtId="165" fontId="3" fillId="5" borderId="61" xfId="0" applyNumberFormat="1" applyFont="1" applyFill="1" applyBorder="1" applyAlignment="1">
      <alignment horizontal="left"/>
    </xf>
    <xf numFmtId="165" fontId="3" fillId="5" borderId="45" xfId="2" applyNumberFormat="1" applyFont="1" applyFill="1" applyBorder="1" applyAlignment="1">
      <alignment horizontal="left"/>
    </xf>
    <xf numFmtId="165" fontId="3" fillId="5" borderId="1" xfId="0" applyNumberFormat="1" applyFont="1" applyFill="1" applyBorder="1" applyAlignment="1">
      <alignment horizontal="left"/>
    </xf>
    <xf numFmtId="14" fontId="15" fillId="14" borderId="63" xfId="0" applyNumberFormat="1" applyFont="1" applyFill="1" applyBorder="1" applyAlignment="1">
      <alignment horizontal="left"/>
    </xf>
    <xf numFmtId="0" fontId="15" fillId="14" borderId="64" xfId="0" applyFont="1" applyFill="1" applyBorder="1" applyAlignment="1">
      <alignment horizontal="left"/>
    </xf>
    <xf numFmtId="165" fontId="15" fillId="14" borderId="64" xfId="0" applyNumberFormat="1" applyFont="1" applyFill="1" applyBorder="1" applyAlignment="1">
      <alignment horizontal="left"/>
    </xf>
    <xf numFmtId="0" fontId="15" fillId="14" borderId="65" xfId="0" applyFont="1" applyFill="1" applyBorder="1" applyAlignment="1">
      <alignment horizontal="left"/>
    </xf>
    <xf numFmtId="165" fontId="15" fillId="14" borderId="55" xfId="0" applyNumberFormat="1" applyFont="1" applyFill="1" applyBorder="1" applyAlignment="1">
      <alignment horizontal="left"/>
    </xf>
    <xf numFmtId="165" fontId="15" fillId="14" borderId="66" xfId="0" applyNumberFormat="1" applyFont="1" applyFill="1" applyBorder="1" applyAlignment="1">
      <alignment horizontal="left"/>
    </xf>
    <xf numFmtId="0" fontId="45" fillId="14" borderId="26" xfId="0" applyFont="1" applyFill="1" applyBorder="1" applyAlignment="1">
      <alignment horizontal="left"/>
    </xf>
    <xf numFmtId="0" fontId="15" fillId="14" borderId="0" xfId="0" applyFont="1" applyFill="1" applyAlignment="1">
      <alignment horizontal="left"/>
    </xf>
    <xf numFmtId="44" fontId="27" fillId="5" borderId="1" xfId="2" applyFont="1" applyFill="1" applyBorder="1"/>
    <xf numFmtId="44" fontId="38" fillId="5" borderId="27" xfId="2" applyFont="1" applyFill="1" applyBorder="1" applyAlignment="1">
      <alignment horizontal="left"/>
    </xf>
    <xf numFmtId="44" fontId="39" fillId="5" borderId="26" xfId="2" applyFont="1" applyFill="1" applyBorder="1" applyAlignment="1">
      <alignment horizontal="left"/>
    </xf>
    <xf numFmtId="165" fontId="38" fillId="5" borderId="15" xfId="0" applyNumberFormat="1" applyFont="1" applyFill="1" applyBorder="1" applyAlignment="1">
      <alignment horizontal="left"/>
    </xf>
    <xf numFmtId="165" fontId="38" fillId="5" borderId="12" xfId="1" applyNumberFormat="1" applyFont="1" applyFill="1" applyBorder="1" applyAlignment="1">
      <alignment horizontal="left"/>
    </xf>
    <xf numFmtId="0" fontId="38" fillId="5" borderId="38" xfId="0" applyFont="1" applyFill="1" applyBorder="1" applyAlignment="1">
      <alignment horizontal="left"/>
    </xf>
    <xf numFmtId="0" fontId="57" fillId="0" borderId="15" xfId="0" applyFont="1" applyBorder="1" applyAlignment="1">
      <alignment horizontal="left"/>
    </xf>
    <xf numFmtId="165" fontId="66" fillId="5" borderId="1" xfId="1" applyNumberFormat="1" applyFont="1" applyFill="1" applyBorder="1" applyAlignment="1">
      <alignment horizontal="left"/>
    </xf>
    <xf numFmtId="14" fontId="15" fillId="5" borderId="63" xfId="0" applyNumberFormat="1" applyFont="1" applyFill="1" applyBorder="1" applyAlignment="1">
      <alignment horizontal="left"/>
    </xf>
    <xf numFmtId="0" fontId="15" fillId="5" borderId="64" xfId="0" applyFont="1" applyFill="1" applyBorder="1" applyAlignment="1">
      <alignment horizontal="left"/>
    </xf>
    <xf numFmtId="165" fontId="15" fillId="5" borderId="64" xfId="0" applyNumberFormat="1" applyFont="1" applyFill="1" applyBorder="1" applyAlignment="1">
      <alignment horizontal="left"/>
    </xf>
    <xf numFmtId="0" fontId="15" fillId="5" borderId="65" xfId="0" applyFont="1" applyFill="1" applyBorder="1" applyAlignment="1">
      <alignment horizontal="left"/>
    </xf>
    <xf numFmtId="165" fontId="15" fillId="5" borderId="55" xfId="0" applyNumberFormat="1" applyFont="1" applyFill="1" applyBorder="1" applyAlignment="1">
      <alignment horizontal="left"/>
    </xf>
    <xf numFmtId="165" fontId="15" fillId="5" borderId="66" xfId="0" applyNumberFormat="1" applyFont="1" applyFill="1" applyBorder="1" applyAlignment="1">
      <alignment horizontal="left"/>
    </xf>
    <xf numFmtId="14" fontId="77" fillId="5" borderId="24" xfId="0" applyNumberFormat="1" applyFont="1" applyFill="1" applyBorder="1" applyAlignment="1">
      <alignment horizontal="left"/>
    </xf>
    <xf numFmtId="14" fontId="77" fillId="5" borderId="26" xfId="0" applyNumberFormat="1" applyFont="1" applyFill="1" applyBorder="1" applyAlignment="1">
      <alignment horizontal="left"/>
    </xf>
    <xf numFmtId="0" fontId="77" fillId="5" borderId="26" xfId="0" applyFont="1" applyFill="1" applyBorder="1" applyAlignment="1">
      <alignment horizontal="left"/>
    </xf>
    <xf numFmtId="9" fontId="77" fillId="5" borderId="26" xfId="1" applyFont="1" applyFill="1" applyBorder="1" applyAlignment="1">
      <alignment horizontal="left"/>
    </xf>
    <xf numFmtId="165" fontId="77" fillId="5" borderId="1" xfId="0" applyNumberFormat="1" applyFont="1" applyFill="1" applyBorder="1" applyAlignment="1">
      <alignment horizontal="left"/>
    </xf>
    <xf numFmtId="165" fontId="77" fillId="5" borderId="33" xfId="1" applyNumberFormat="1" applyFont="1" applyFill="1" applyBorder="1" applyAlignment="1">
      <alignment horizontal="left"/>
    </xf>
    <xf numFmtId="0" fontId="77" fillId="5" borderId="11" xfId="0" applyFont="1" applyFill="1" applyBorder="1" applyAlignment="1">
      <alignment horizontal="left"/>
    </xf>
    <xf numFmtId="0" fontId="77" fillId="5" borderId="0" xfId="0" applyFont="1" applyFill="1" applyAlignment="1">
      <alignment horizontal="left"/>
    </xf>
    <xf numFmtId="0" fontId="78" fillId="5" borderId="1" xfId="0" applyFont="1" applyFill="1" applyBorder="1" applyAlignment="1">
      <alignment horizontal="left"/>
    </xf>
    <xf numFmtId="9" fontId="77" fillId="5" borderId="1" xfId="1" applyFont="1" applyFill="1" applyBorder="1" applyAlignment="1">
      <alignment horizontal="left"/>
    </xf>
    <xf numFmtId="165" fontId="77" fillId="5" borderId="1" xfId="2" applyNumberFormat="1" applyFont="1" applyFill="1" applyBorder="1" applyAlignment="1">
      <alignment horizontal="left"/>
    </xf>
    <xf numFmtId="0" fontId="77" fillId="5" borderId="1" xfId="0" applyFont="1" applyFill="1" applyBorder="1" applyAlignment="1">
      <alignment horizontal="left"/>
    </xf>
    <xf numFmtId="44" fontId="53" fillId="5" borderId="1" xfId="2" applyFont="1" applyFill="1" applyBorder="1" applyAlignment="1">
      <alignment horizontal="left"/>
    </xf>
    <xf numFmtId="44" fontId="53" fillId="5" borderId="33" xfId="2" applyFont="1" applyFill="1" applyBorder="1" applyAlignment="1">
      <alignment horizontal="left"/>
    </xf>
    <xf numFmtId="14" fontId="53" fillId="5" borderId="11" xfId="0" applyNumberFormat="1" applyFont="1" applyFill="1" applyBorder="1" applyAlignment="1">
      <alignment horizontal="left"/>
    </xf>
    <xf numFmtId="0" fontId="53" fillId="5" borderId="0" xfId="0" applyFont="1" applyFill="1" applyAlignment="1">
      <alignment horizontal="left"/>
    </xf>
    <xf numFmtId="14" fontId="77" fillId="5" borderId="1" xfId="0" applyNumberFormat="1" applyFont="1" applyFill="1" applyBorder="1" applyAlignment="1">
      <alignment horizontal="left"/>
    </xf>
    <xf numFmtId="0" fontId="78" fillId="5" borderId="11" xfId="0" applyFont="1" applyFill="1" applyBorder="1" applyAlignment="1">
      <alignment horizontal="left"/>
    </xf>
    <xf numFmtId="165" fontId="40" fillId="5" borderId="1" xfId="1" applyNumberFormat="1" applyFont="1" applyFill="1" applyBorder="1" applyAlignment="1">
      <alignment horizontal="left"/>
    </xf>
    <xf numFmtId="0" fontId="59" fillId="5" borderId="0" xfId="0" applyFont="1" applyFill="1" applyAlignment="1">
      <alignment horizontal="left"/>
    </xf>
    <xf numFmtId="0" fontId="46" fillId="5" borderId="11" xfId="0" applyFont="1" applyFill="1" applyBorder="1" applyAlignment="1">
      <alignment horizontal="left"/>
    </xf>
    <xf numFmtId="0" fontId="27" fillId="2" borderId="26" xfId="0" applyFont="1" applyFill="1" applyBorder="1" applyAlignment="1">
      <alignment horizontal="left"/>
    </xf>
    <xf numFmtId="165" fontId="27" fillId="5" borderId="12" xfId="1" applyNumberFormat="1" applyFont="1" applyFill="1" applyBorder="1" applyAlignment="1">
      <alignment horizontal="left"/>
    </xf>
    <xf numFmtId="14" fontId="2" fillId="5" borderId="24" xfId="0" applyNumberFormat="1" applyFont="1" applyFill="1" applyBorder="1" applyAlignment="1">
      <alignment horizontal="left"/>
    </xf>
    <xf numFmtId="14" fontId="2" fillId="5" borderId="26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165" fontId="2" fillId="5" borderId="1" xfId="2" applyNumberFormat="1" applyFont="1" applyFill="1" applyBorder="1" applyAlignment="1">
      <alignment horizontal="left"/>
    </xf>
    <xf numFmtId="9" fontId="2" fillId="5" borderId="1" xfId="1" applyFont="1" applyFill="1" applyBorder="1" applyAlignment="1">
      <alignment horizontal="left"/>
    </xf>
    <xf numFmtId="165" fontId="2" fillId="5" borderId="1" xfId="0" applyNumberFormat="1" applyFont="1" applyFill="1" applyBorder="1" applyAlignment="1">
      <alignment horizontal="left"/>
    </xf>
    <xf numFmtId="165" fontId="2" fillId="5" borderId="33" xfId="1" applyNumberFormat="1" applyFont="1" applyFill="1" applyBorder="1" applyAlignment="1">
      <alignment horizontal="left"/>
    </xf>
    <xf numFmtId="0" fontId="2" fillId="5" borderId="11" xfId="0" applyFont="1" applyFill="1" applyBorder="1" applyAlignment="1">
      <alignment horizontal="left"/>
    </xf>
    <xf numFmtId="0" fontId="79" fillId="5" borderId="1" xfId="0" applyFont="1" applyFill="1" applyBorder="1" applyAlignment="1">
      <alignment horizontal="left"/>
    </xf>
    <xf numFmtId="0" fontId="2" fillId="5" borderId="0" xfId="0" applyFont="1" applyFill="1" applyAlignment="1">
      <alignment horizontal="left"/>
    </xf>
    <xf numFmtId="0" fontId="2" fillId="5" borderId="26" xfId="0" applyFont="1" applyFill="1" applyBorder="1" applyAlignment="1">
      <alignment horizontal="left"/>
    </xf>
    <xf numFmtId="165" fontId="2" fillId="5" borderId="26" xfId="2" applyNumberFormat="1" applyFont="1" applyFill="1" applyBorder="1" applyAlignment="1">
      <alignment horizontal="left"/>
    </xf>
    <xf numFmtId="9" fontId="2" fillId="5" borderId="26" xfId="1" applyFont="1" applyFill="1" applyBorder="1" applyAlignment="1">
      <alignment horizontal="left"/>
    </xf>
    <xf numFmtId="44" fontId="5" fillId="5" borderId="1" xfId="2" applyFont="1" applyFill="1" applyBorder="1"/>
    <xf numFmtId="14" fontId="2" fillId="5" borderId="1" xfId="0" applyNumberFormat="1" applyFont="1" applyFill="1" applyBorder="1" applyAlignment="1">
      <alignment horizontal="left"/>
    </xf>
    <xf numFmtId="44" fontId="12" fillId="5" borderId="1" xfId="2" applyFont="1" applyFill="1" applyBorder="1"/>
    <xf numFmtId="165" fontId="2" fillId="5" borderId="0" xfId="2" applyNumberFormat="1" applyFont="1" applyFill="1" applyBorder="1" applyAlignment="1">
      <alignment horizontal="left"/>
    </xf>
    <xf numFmtId="44" fontId="71" fillId="0" borderId="0" xfId="2" applyFont="1" applyBorder="1"/>
    <xf numFmtId="44" fontId="18" fillId="5" borderId="0" xfId="2" applyFont="1" applyFill="1" applyBorder="1" applyAlignment="1">
      <alignment horizontal="left"/>
    </xf>
    <xf numFmtId="44" fontId="6" fillId="5" borderId="26" xfId="2" applyFont="1" applyFill="1" applyBorder="1" applyAlignment="1">
      <alignment horizontal="left"/>
    </xf>
    <xf numFmtId="14" fontId="27" fillId="5" borderId="25" xfId="0" applyNumberFormat="1" applyFont="1" applyFill="1" applyBorder="1" applyAlignment="1">
      <alignment horizontal="left"/>
    </xf>
    <xf numFmtId="14" fontId="27" fillId="5" borderId="27" xfId="0" applyNumberFormat="1" applyFont="1" applyFill="1" applyBorder="1" applyAlignment="1">
      <alignment horizontal="left"/>
    </xf>
    <xf numFmtId="0" fontId="27" fillId="5" borderId="27" xfId="0" applyFont="1" applyFill="1" applyBorder="1" applyAlignment="1">
      <alignment horizontal="left"/>
    </xf>
    <xf numFmtId="165" fontId="27" fillId="5" borderId="27" xfId="2" applyNumberFormat="1" applyFont="1" applyFill="1" applyBorder="1" applyAlignment="1">
      <alignment horizontal="left"/>
    </xf>
    <xf numFmtId="9" fontId="27" fillId="5" borderId="27" xfId="1" applyFont="1" applyFill="1" applyBorder="1" applyAlignment="1">
      <alignment horizontal="left"/>
    </xf>
    <xf numFmtId="165" fontId="27" fillId="5" borderId="15" xfId="0" applyNumberFormat="1" applyFont="1" applyFill="1" applyBorder="1" applyAlignment="1">
      <alignment horizontal="left"/>
    </xf>
    <xf numFmtId="165" fontId="27" fillId="5" borderId="0" xfId="1" applyNumberFormat="1" applyFont="1" applyFill="1" applyBorder="1" applyAlignment="1">
      <alignment horizontal="left"/>
    </xf>
    <xf numFmtId="0" fontId="27" fillId="5" borderId="38" xfId="0" applyFont="1" applyFill="1" applyBorder="1" applyAlignment="1">
      <alignment horizontal="left"/>
    </xf>
    <xf numFmtId="0" fontId="52" fillId="5" borderId="15" xfId="0" applyFont="1" applyFill="1" applyBorder="1" applyAlignment="1">
      <alignment horizontal="left"/>
    </xf>
    <xf numFmtId="44" fontId="17" fillId="5" borderId="0" xfId="2" applyFont="1" applyFill="1" applyBorder="1"/>
    <xf numFmtId="44" fontId="12" fillId="5" borderId="0" xfId="2" applyFont="1" applyFill="1" applyBorder="1" applyAlignment="1">
      <alignment horizontal="left"/>
    </xf>
    <xf numFmtId="165" fontId="12" fillId="5" borderId="26" xfId="0" applyNumberFormat="1" applyFont="1" applyFill="1" applyBorder="1" applyAlignment="1">
      <alignment horizontal="left"/>
    </xf>
    <xf numFmtId="44" fontId="66" fillId="5" borderId="1" xfId="2" applyFont="1" applyFill="1" applyBorder="1" applyAlignment="1">
      <alignment horizontal="left"/>
    </xf>
    <xf numFmtId="0" fontId="66" fillId="5" borderId="0" xfId="0" applyFont="1" applyFill="1" applyAlignment="1">
      <alignment horizontal="left"/>
    </xf>
    <xf numFmtId="14" fontId="15" fillId="2" borderId="1" xfId="0" applyNumberFormat="1" applyFont="1" applyFill="1" applyBorder="1" applyAlignment="1">
      <alignment horizontal="left"/>
    </xf>
    <xf numFmtId="44" fontId="27" fillId="5" borderId="0" xfId="2" applyFont="1" applyFill="1" applyBorder="1" applyAlignment="1">
      <alignment horizontal="left"/>
    </xf>
    <xf numFmtId="14" fontId="3" fillId="5" borderId="24" xfId="0" applyNumberFormat="1" applyFont="1" applyFill="1" applyBorder="1" applyAlignment="1">
      <alignment horizontal="left"/>
    </xf>
    <xf numFmtId="14" fontId="15" fillId="5" borderId="45" xfId="0" applyNumberFormat="1" applyFont="1" applyFill="1" applyBorder="1" applyAlignment="1">
      <alignment horizontal="left"/>
    </xf>
    <xf numFmtId="14" fontId="3" fillId="5" borderId="26" xfId="0" applyNumberFormat="1" applyFont="1" applyFill="1" applyBorder="1" applyAlignment="1">
      <alignment horizontal="left"/>
    </xf>
    <xf numFmtId="14" fontId="15" fillId="5" borderId="46" xfId="0" applyNumberFormat="1" applyFont="1" applyFill="1" applyBorder="1" applyAlignment="1">
      <alignment horizontal="left"/>
    </xf>
    <xf numFmtId="0" fontId="15" fillId="5" borderId="46" xfId="0" applyFont="1" applyFill="1" applyBorder="1" applyAlignment="1">
      <alignment horizontal="left"/>
    </xf>
    <xf numFmtId="165" fontId="3" fillId="5" borderId="26" xfId="2" applyNumberFormat="1" applyFont="1" applyFill="1" applyBorder="1" applyAlignment="1">
      <alignment horizontal="left"/>
    </xf>
    <xf numFmtId="165" fontId="15" fillId="5" borderId="46" xfId="2" applyNumberFormat="1" applyFont="1" applyFill="1" applyBorder="1" applyAlignment="1">
      <alignment horizontal="left"/>
    </xf>
    <xf numFmtId="9" fontId="15" fillId="5" borderId="47" xfId="1" applyFont="1" applyFill="1" applyBorder="1" applyAlignment="1">
      <alignment horizontal="left"/>
    </xf>
    <xf numFmtId="165" fontId="3" fillId="5" borderId="26" xfId="0" applyNumberFormat="1" applyFont="1" applyFill="1" applyBorder="1" applyAlignment="1">
      <alignment horizontal="left"/>
    </xf>
    <xf numFmtId="165" fontId="15" fillId="5" borderId="61" xfId="0" applyNumberFormat="1" applyFont="1" applyFill="1" applyBorder="1" applyAlignment="1">
      <alignment horizontal="left"/>
    </xf>
    <xf numFmtId="165" fontId="3" fillId="5" borderId="33" xfId="2" applyNumberFormat="1" applyFont="1" applyFill="1" applyBorder="1" applyAlignment="1">
      <alignment horizontal="left"/>
    </xf>
    <xf numFmtId="165" fontId="15" fillId="5" borderId="45" xfId="1" applyNumberFormat="1" applyFont="1" applyFill="1" applyBorder="1" applyAlignment="1">
      <alignment horizontal="left"/>
    </xf>
    <xf numFmtId="14" fontId="40" fillId="5" borderId="25" xfId="0" applyNumberFormat="1" applyFont="1" applyFill="1" applyBorder="1" applyAlignment="1">
      <alignment horizontal="left"/>
    </xf>
    <xf numFmtId="14" fontId="40" fillId="5" borderId="27" xfId="0" applyNumberFormat="1" applyFont="1" applyFill="1" applyBorder="1" applyAlignment="1">
      <alignment horizontal="left"/>
    </xf>
    <xf numFmtId="0" fontId="40" fillId="5" borderId="27" xfId="0" applyFont="1" applyFill="1" applyBorder="1" applyAlignment="1">
      <alignment horizontal="left"/>
    </xf>
    <xf numFmtId="165" fontId="40" fillId="5" borderId="27" xfId="2" applyNumberFormat="1" applyFont="1" applyFill="1" applyBorder="1" applyAlignment="1">
      <alignment horizontal="left"/>
    </xf>
    <xf numFmtId="9" fontId="40" fillId="5" borderId="27" xfId="1" applyFont="1" applyFill="1" applyBorder="1" applyAlignment="1">
      <alignment horizontal="left"/>
    </xf>
    <xf numFmtId="165" fontId="40" fillId="5" borderId="15" xfId="0" applyNumberFormat="1" applyFont="1" applyFill="1" applyBorder="1" applyAlignment="1">
      <alignment horizontal="left"/>
    </xf>
    <xf numFmtId="165" fontId="59" fillId="5" borderId="12" xfId="1" applyNumberFormat="1" applyFont="1" applyFill="1" applyBorder="1" applyAlignment="1">
      <alignment horizontal="left"/>
    </xf>
    <xf numFmtId="165" fontId="40" fillId="5" borderId="0" xfId="1" applyNumberFormat="1" applyFont="1" applyFill="1" applyBorder="1" applyAlignment="1">
      <alignment horizontal="left"/>
    </xf>
    <xf numFmtId="0" fontId="40" fillId="5" borderId="38" xfId="0" applyFont="1" applyFill="1" applyBorder="1" applyAlignment="1">
      <alignment horizontal="left"/>
    </xf>
    <xf numFmtId="0" fontId="69" fillId="5" borderId="15" xfId="0" applyFont="1" applyFill="1" applyBorder="1" applyAlignment="1">
      <alignment horizontal="left"/>
    </xf>
    <xf numFmtId="165" fontId="15" fillId="5" borderId="26" xfId="1" applyNumberFormat="1" applyFont="1" applyFill="1" applyBorder="1" applyAlignment="1">
      <alignment horizontal="left"/>
    </xf>
    <xf numFmtId="165" fontId="15" fillId="5" borderId="27" xfId="0" applyNumberFormat="1" applyFont="1" applyFill="1" applyBorder="1" applyAlignment="1">
      <alignment horizontal="left"/>
    </xf>
    <xf numFmtId="14" fontId="3" fillId="5" borderId="20" xfId="0" applyNumberFormat="1" applyFont="1" applyFill="1" applyBorder="1" applyAlignment="1">
      <alignment horizontal="left"/>
    </xf>
    <xf numFmtId="14" fontId="3" fillId="5" borderId="21" xfId="0" applyNumberFormat="1" applyFont="1" applyFill="1" applyBorder="1" applyAlignment="1">
      <alignment horizontal="left"/>
    </xf>
    <xf numFmtId="0" fontId="45" fillId="5" borderId="22" xfId="0" applyFont="1" applyFill="1" applyBorder="1" applyAlignment="1">
      <alignment horizontal="left"/>
    </xf>
    <xf numFmtId="14" fontId="3" fillId="15" borderId="21" xfId="0" applyNumberFormat="1" applyFont="1" applyFill="1" applyBorder="1" applyAlignment="1">
      <alignment horizontal="left"/>
    </xf>
    <xf numFmtId="165" fontId="3" fillId="15" borderId="21" xfId="0" applyNumberFormat="1" applyFont="1" applyFill="1" applyBorder="1" applyAlignment="1">
      <alignment horizontal="left"/>
    </xf>
    <xf numFmtId="14" fontId="3" fillId="5" borderId="62" xfId="0" applyNumberFormat="1" applyFont="1" applyFill="1" applyBorder="1" applyAlignment="1">
      <alignment horizontal="left"/>
    </xf>
    <xf numFmtId="165" fontId="3" fillId="15" borderId="20" xfId="2" applyNumberFormat="1" applyFont="1" applyFill="1" applyBorder="1" applyAlignment="1">
      <alignment horizontal="left"/>
    </xf>
    <xf numFmtId="165" fontId="3" fillId="15" borderId="47" xfId="2" applyNumberFormat="1" applyFont="1" applyFill="1" applyBorder="1" applyAlignment="1">
      <alignment horizontal="left"/>
    </xf>
    <xf numFmtId="44" fontId="71" fillId="5" borderId="1" xfId="2" applyFont="1" applyFill="1" applyBorder="1"/>
    <xf numFmtId="14" fontId="3" fillId="5" borderId="25" xfId="0" applyNumberFormat="1" applyFont="1" applyFill="1" applyBorder="1" applyAlignment="1">
      <alignment horizontal="left"/>
    </xf>
    <xf numFmtId="14" fontId="3" fillId="5" borderId="27" xfId="0" applyNumberFormat="1" applyFont="1" applyFill="1" applyBorder="1" applyAlignment="1">
      <alignment horizontal="left"/>
    </xf>
    <xf numFmtId="14" fontId="3" fillId="5" borderId="37" xfId="0" applyNumberFormat="1" applyFont="1" applyFill="1" applyBorder="1" applyAlignment="1">
      <alignment horizontal="left"/>
    </xf>
    <xf numFmtId="0" fontId="15" fillId="5" borderId="12" xfId="0" applyFont="1" applyFill="1" applyBorder="1" applyAlignment="1">
      <alignment horizontal="left"/>
    </xf>
    <xf numFmtId="0" fontId="15" fillId="15" borderId="1" xfId="0" applyFont="1" applyFill="1" applyBorder="1" applyAlignment="1">
      <alignment horizontal="left"/>
    </xf>
    <xf numFmtId="0" fontId="12" fillId="15" borderId="1" xfId="0" applyFont="1" applyFill="1" applyBorder="1" applyAlignment="1">
      <alignment horizontal="left"/>
    </xf>
    <xf numFmtId="0" fontId="27" fillId="15" borderId="26" xfId="0" applyFont="1" applyFill="1" applyBorder="1" applyAlignment="1">
      <alignment horizontal="left"/>
    </xf>
    <xf numFmtId="0" fontId="27" fillId="15" borderId="1" xfId="0" applyFont="1" applyFill="1" applyBorder="1" applyAlignment="1">
      <alignment horizontal="left"/>
    </xf>
    <xf numFmtId="0" fontId="15" fillId="15" borderId="27" xfId="0" applyFont="1" applyFill="1" applyBorder="1" applyAlignment="1">
      <alignment horizontal="left"/>
    </xf>
    <xf numFmtId="0" fontId="15" fillId="15" borderId="26" xfId="0" applyFont="1" applyFill="1" applyBorder="1" applyAlignment="1">
      <alignment horizontal="left"/>
    </xf>
    <xf numFmtId="0" fontId="12" fillId="15" borderId="26" xfId="0" applyFont="1" applyFill="1" applyBorder="1" applyAlignment="1">
      <alignment horizontal="left"/>
    </xf>
    <xf numFmtId="14" fontId="15" fillId="15" borderId="1" xfId="0" applyNumberFormat="1" applyFont="1" applyFill="1" applyBorder="1" applyAlignment="1">
      <alignment horizontal="left"/>
    </xf>
    <xf numFmtId="44" fontId="15" fillId="15" borderId="1" xfId="2" applyFont="1" applyFill="1" applyBorder="1" applyAlignment="1">
      <alignment horizontal="left"/>
    </xf>
    <xf numFmtId="9" fontId="15" fillId="15" borderId="1" xfId="1" applyFont="1" applyFill="1" applyBorder="1" applyAlignment="1">
      <alignment horizontal="left"/>
    </xf>
    <xf numFmtId="165" fontId="15" fillId="15" borderId="1" xfId="0" applyNumberFormat="1" applyFont="1" applyFill="1" applyBorder="1" applyAlignment="1">
      <alignment horizontal="left"/>
    </xf>
    <xf numFmtId="165" fontId="15" fillId="15" borderId="1" xfId="1" applyNumberFormat="1" applyFont="1" applyFill="1" applyBorder="1" applyAlignment="1">
      <alignment horizontal="left"/>
    </xf>
    <xf numFmtId="0" fontId="45" fillId="15" borderId="1" xfId="0" applyFont="1" applyFill="1" applyBorder="1" applyAlignment="1">
      <alignment horizontal="left"/>
    </xf>
    <xf numFmtId="0" fontId="12" fillId="15" borderId="0" xfId="0" applyFont="1" applyFill="1" applyAlignment="1">
      <alignment horizontal="left"/>
    </xf>
    <xf numFmtId="14" fontId="12" fillId="15" borderId="1" xfId="0" applyNumberFormat="1" applyFont="1" applyFill="1" applyBorder="1" applyAlignment="1">
      <alignment horizontal="left"/>
    </xf>
    <xf numFmtId="165" fontId="12" fillId="15" borderId="1" xfId="2" applyNumberFormat="1" applyFont="1" applyFill="1" applyBorder="1" applyAlignment="1">
      <alignment horizontal="left"/>
    </xf>
    <xf numFmtId="9" fontId="12" fillId="15" borderId="1" xfId="1" applyFont="1" applyFill="1" applyBorder="1" applyAlignment="1">
      <alignment horizontal="left"/>
    </xf>
    <xf numFmtId="165" fontId="12" fillId="15" borderId="1" xfId="0" applyNumberFormat="1" applyFont="1" applyFill="1" applyBorder="1" applyAlignment="1">
      <alignment horizontal="left"/>
    </xf>
    <xf numFmtId="165" fontId="12" fillId="15" borderId="1" xfId="1" applyNumberFormat="1" applyFont="1" applyFill="1" applyBorder="1" applyAlignment="1">
      <alignment horizontal="left"/>
    </xf>
    <xf numFmtId="0" fontId="46" fillId="15" borderId="1" xfId="0" applyFont="1" applyFill="1" applyBorder="1" applyAlignment="1">
      <alignment horizontal="left"/>
    </xf>
    <xf numFmtId="14" fontId="27" fillId="15" borderId="24" xfId="0" applyNumberFormat="1" applyFont="1" applyFill="1" applyBorder="1" applyAlignment="1">
      <alignment horizontal="left"/>
    </xf>
    <xf numFmtId="14" fontId="27" fillId="15" borderId="26" xfId="0" applyNumberFormat="1" applyFont="1" applyFill="1" applyBorder="1" applyAlignment="1">
      <alignment horizontal="left"/>
    </xf>
    <xf numFmtId="44" fontId="27" fillId="15" borderId="26" xfId="2" applyFont="1" applyFill="1" applyBorder="1" applyAlignment="1">
      <alignment horizontal="left"/>
    </xf>
    <xf numFmtId="9" fontId="27" fillId="15" borderId="26" xfId="1" applyFont="1" applyFill="1" applyBorder="1" applyAlignment="1">
      <alignment horizontal="left"/>
    </xf>
    <xf numFmtId="165" fontId="27" fillId="15" borderId="26" xfId="0" applyNumberFormat="1" applyFont="1" applyFill="1" applyBorder="1" applyAlignment="1">
      <alignment horizontal="left"/>
    </xf>
    <xf numFmtId="165" fontId="27" fillId="15" borderId="33" xfId="1" applyNumberFormat="1" applyFont="1" applyFill="1" applyBorder="1" applyAlignment="1">
      <alignment horizontal="left"/>
    </xf>
    <xf numFmtId="0" fontId="27" fillId="15" borderId="48" xfId="0" applyFont="1" applyFill="1" applyBorder="1" applyAlignment="1">
      <alignment horizontal="left"/>
    </xf>
    <xf numFmtId="0" fontId="52" fillId="15" borderId="26" xfId="0" applyFont="1" applyFill="1" applyBorder="1" applyAlignment="1">
      <alignment horizontal="left"/>
    </xf>
    <xf numFmtId="165" fontId="15" fillId="15" borderId="1" xfId="2" applyNumberFormat="1" applyFont="1" applyFill="1" applyBorder="1" applyAlignment="1">
      <alignment horizontal="left"/>
    </xf>
    <xf numFmtId="14" fontId="27" fillId="15" borderId="1" xfId="0" applyNumberFormat="1" applyFont="1" applyFill="1" applyBorder="1" applyAlignment="1">
      <alignment horizontal="left"/>
    </xf>
    <xf numFmtId="165" fontId="27" fillId="15" borderId="1" xfId="2" applyNumberFormat="1" applyFont="1" applyFill="1" applyBorder="1" applyAlignment="1">
      <alignment horizontal="left"/>
    </xf>
    <xf numFmtId="9" fontId="27" fillId="15" borderId="1" xfId="1" applyFont="1" applyFill="1" applyBorder="1" applyAlignment="1">
      <alignment horizontal="left"/>
    </xf>
    <xf numFmtId="165" fontId="27" fillId="15" borderId="1" xfId="0" applyNumberFormat="1" applyFont="1" applyFill="1" applyBorder="1" applyAlignment="1">
      <alignment horizontal="left"/>
    </xf>
    <xf numFmtId="165" fontId="27" fillId="15" borderId="1" xfId="1" applyNumberFormat="1" applyFont="1" applyFill="1" applyBorder="1" applyAlignment="1">
      <alignment horizontal="left"/>
    </xf>
    <xf numFmtId="0" fontId="52" fillId="15" borderId="1" xfId="0" applyFont="1" applyFill="1" applyBorder="1" applyAlignment="1">
      <alignment horizontal="left"/>
    </xf>
    <xf numFmtId="14" fontId="15" fillId="15" borderId="25" xfId="0" applyNumberFormat="1" applyFont="1" applyFill="1" applyBorder="1" applyAlignment="1">
      <alignment horizontal="left"/>
    </xf>
    <xf numFmtId="14" fontId="15" fillId="15" borderId="27" xfId="0" applyNumberFormat="1" applyFont="1" applyFill="1" applyBorder="1" applyAlignment="1">
      <alignment horizontal="left"/>
    </xf>
    <xf numFmtId="165" fontId="15" fillId="15" borderId="27" xfId="2" applyNumberFormat="1" applyFont="1" applyFill="1" applyBorder="1" applyAlignment="1">
      <alignment horizontal="left"/>
    </xf>
    <xf numFmtId="9" fontId="15" fillId="15" borderId="27" xfId="1" applyFont="1" applyFill="1" applyBorder="1" applyAlignment="1">
      <alignment horizontal="left"/>
    </xf>
    <xf numFmtId="165" fontId="15" fillId="15" borderId="15" xfId="0" applyNumberFormat="1" applyFont="1" applyFill="1" applyBorder="1" applyAlignment="1">
      <alignment horizontal="left"/>
    </xf>
    <xf numFmtId="165" fontId="15" fillId="15" borderId="0" xfId="1" applyNumberFormat="1" applyFont="1" applyFill="1" applyBorder="1" applyAlignment="1">
      <alignment horizontal="left"/>
    </xf>
    <xf numFmtId="0" fontId="15" fillId="15" borderId="38" xfId="0" applyFont="1" applyFill="1" applyBorder="1" applyAlignment="1">
      <alignment horizontal="left"/>
    </xf>
    <xf numFmtId="0" fontId="45" fillId="15" borderId="15" xfId="0" applyFont="1" applyFill="1" applyBorder="1" applyAlignment="1">
      <alignment horizontal="left"/>
    </xf>
    <xf numFmtId="14" fontId="15" fillId="15" borderId="24" xfId="0" applyNumberFormat="1" applyFont="1" applyFill="1" applyBorder="1" applyAlignment="1">
      <alignment horizontal="left"/>
    </xf>
    <xf numFmtId="14" fontId="15" fillId="15" borderId="26" xfId="0" applyNumberFormat="1" applyFont="1" applyFill="1" applyBorder="1" applyAlignment="1">
      <alignment horizontal="left"/>
    </xf>
    <xf numFmtId="165" fontId="15" fillId="15" borderId="26" xfId="2" applyNumberFormat="1" applyFont="1" applyFill="1" applyBorder="1" applyAlignment="1">
      <alignment horizontal="left"/>
    </xf>
    <xf numFmtId="9" fontId="15" fillId="15" borderId="26" xfId="1" applyFont="1" applyFill="1" applyBorder="1" applyAlignment="1">
      <alignment horizontal="left"/>
    </xf>
    <xf numFmtId="165" fontId="15" fillId="15" borderId="33" xfId="1" applyNumberFormat="1" applyFont="1" applyFill="1" applyBorder="1" applyAlignment="1">
      <alignment horizontal="left"/>
    </xf>
    <xf numFmtId="0" fontId="15" fillId="15" borderId="11" xfId="0" applyFont="1" applyFill="1" applyBorder="1" applyAlignment="1">
      <alignment horizontal="left"/>
    </xf>
    <xf numFmtId="0" fontId="53" fillId="15" borderId="0" xfId="0" applyFont="1" applyFill="1" applyAlignment="1">
      <alignment horizontal="left"/>
    </xf>
    <xf numFmtId="14" fontId="12" fillId="15" borderId="24" xfId="0" applyNumberFormat="1" applyFont="1" applyFill="1" applyBorder="1" applyAlignment="1">
      <alignment horizontal="left"/>
    </xf>
    <xf numFmtId="14" fontId="12" fillId="15" borderId="26" xfId="0" applyNumberFormat="1" applyFont="1" applyFill="1" applyBorder="1" applyAlignment="1">
      <alignment horizontal="left"/>
    </xf>
    <xf numFmtId="165" fontId="12" fillId="15" borderId="26" xfId="2" applyNumberFormat="1" applyFont="1" applyFill="1" applyBorder="1" applyAlignment="1">
      <alignment horizontal="left"/>
    </xf>
    <xf numFmtId="9" fontId="12" fillId="15" borderId="26" xfId="1" applyFont="1" applyFill="1" applyBorder="1" applyAlignment="1">
      <alignment horizontal="left"/>
    </xf>
    <xf numFmtId="165" fontId="12" fillId="15" borderId="33" xfId="1" applyNumberFormat="1" applyFont="1" applyFill="1" applyBorder="1" applyAlignment="1">
      <alignment horizontal="left"/>
    </xf>
    <xf numFmtId="0" fontId="12" fillId="15" borderId="11" xfId="0" applyFont="1" applyFill="1" applyBorder="1" applyAlignment="1">
      <alignment horizontal="left"/>
    </xf>
    <xf numFmtId="0" fontId="27" fillId="15" borderId="0" xfId="0" applyFont="1" applyFill="1" applyAlignment="1">
      <alignment horizontal="left"/>
    </xf>
    <xf numFmtId="0" fontId="27" fillId="15" borderId="11" xfId="0" applyFont="1" applyFill="1" applyBorder="1" applyAlignment="1">
      <alignment horizontal="left"/>
    </xf>
    <xf numFmtId="0" fontId="59" fillId="15" borderId="0" xfId="0" applyFont="1" applyFill="1" applyAlignment="1">
      <alignment horizontal="left"/>
    </xf>
    <xf numFmtId="165" fontId="15" fillId="15" borderId="0" xfId="2" applyNumberFormat="1" applyFont="1" applyFill="1" applyBorder="1" applyAlignment="1">
      <alignment horizontal="left"/>
    </xf>
    <xf numFmtId="0" fontId="15" fillId="15" borderId="0" xfId="0" applyFont="1" applyFill="1" applyAlignment="1">
      <alignment horizontal="left"/>
    </xf>
    <xf numFmtId="44" fontId="70" fillId="15" borderId="0" xfId="2" applyFont="1" applyFill="1" applyBorder="1"/>
    <xf numFmtId="14" fontId="59" fillId="15" borderId="24" xfId="0" applyNumberFormat="1" applyFont="1" applyFill="1" applyBorder="1" applyAlignment="1">
      <alignment horizontal="left"/>
    </xf>
    <xf numFmtId="14" fontId="59" fillId="15" borderId="1" xfId="0" applyNumberFormat="1" applyFont="1" applyFill="1" applyBorder="1" applyAlignment="1">
      <alignment horizontal="left"/>
    </xf>
    <xf numFmtId="0" fontId="59" fillId="15" borderId="1" xfId="0" applyFont="1" applyFill="1" applyBorder="1" applyAlignment="1">
      <alignment horizontal="left"/>
    </xf>
    <xf numFmtId="0" fontId="59" fillId="15" borderId="26" xfId="0" applyFont="1" applyFill="1" applyBorder="1" applyAlignment="1">
      <alignment horizontal="left"/>
    </xf>
    <xf numFmtId="165" fontId="59" fillId="15" borderId="1" xfId="2" applyNumberFormat="1" applyFont="1" applyFill="1" applyBorder="1" applyAlignment="1">
      <alignment horizontal="left"/>
    </xf>
    <xf numFmtId="9" fontId="59" fillId="15" borderId="1" xfId="1" applyFont="1" applyFill="1" applyBorder="1" applyAlignment="1">
      <alignment horizontal="left"/>
    </xf>
    <xf numFmtId="165" fontId="59" fillId="15" borderId="1" xfId="0" applyNumberFormat="1" applyFont="1" applyFill="1" applyBorder="1" applyAlignment="1">
      <alignment horizontal="left"/>
    </xf>
    <xf numFmtId="165" fontId="59" fillId="15" borderId="33" xfId="1" applyNumberFormat="1" applyFont="1" applyFill="1" applyBorder="1" applyAlignment="1">
      <alignment horizontal="left"/>
    </xf>
    <xf numFmtId="0" fontId="59" fillId="15" borderId="11" xfId="0" applyFont="1" applyFill="1" applyBorder="1" applyAlignment="1">
      <alignment horizontal="left"/>
    </xf>
    <xf numFmtId="0" fontId="60" fillId="15" borderId="1" xfId="0" applyFont="1" applyFill="1" applyBorder="1" applyAlignment="1">
      <alignment horizontal="left"/>
    </xf>
    <xf numFmtId="44" fontId="27" fillId="15" borderId="1" xfId="2" applyFont="1" applyFill="1" applyBorder="1" applyAlignment="1">
      <alignment horizontal="left"/>
    </xf>
    <xf numFmtId="44" fontId="17" fillId="15" borderId="26" xfId="2" applyFont="1" applyFill="1" applyBorder="1"/>
    <xf numFmtId="44" fontId="15" fillId="15" borderId="26" xfId="2" applyFont="1" applyFill="1" applyBorder="1" applyAlignment="1">
      <alignment horizontal="left"/>
    </xf>
    <xf numFmtId="44" fontId="12" fillId="15" borderId="26" xfId="2" applyFont="1" applyFill="1" applyBorder="1"/>
    <xf numFmtId="44" fontId="71" fillId="15" borderId="26" xfId="2" applyFont="1" applyFill="1" applyBorder="1"/>
    <xf numFmtId="165" fontId="27" fillId="15" borderId="26" xfId="2" applyNumberFormat="1" applyFont="1" applyFill="1" applyBorder="1" applyAlignment="1">
      <alignment horizontal="left"/>
    </xf>
    <xf numFmtId="14" fontId="53" fillId="15" borderId="24" xfId="0" applyNumberFormat="1" applyFont="1" applyFill="1" applyBorder="1" applyAlignment="1">
      <alignment horizontal="left"/>
    </xf>
    <xf numFmtId="14" fontId="53" fillId="15" borderId="26" xfId="0" applyNumberFormat="1" applyFont="1" applyFill="1" applyBorder="1" applyAlignment="1">
      <alignment horizontal="left"/>
    </xf>
    <xf numFmtId="0" fontId="53" fillId="15" borderId="26" xfId="0" applyFont="1" applyFill="1" applyBorder="1" applyAlignment="1">
      <alignment horizontal="left"/>
    </xf>
    <xf numFmtId="165" fontId="53" fillId="15" borderId="26" xfId="2" applyNumberFormat="1" applyFont="1" applyFill="1" applyBorder="1" applyAlignment="1">
      <alignment horizontal="left"/>
    </xf>
    <xf numFmtId="9" fontId="53" fillId="15" borderId="26" xfId="1" applyFont="1" applyFill="1" applyBorder="1" applyAlignment="1">
      <alignment horizontal="left"/>
    </xf>
    <xf numFmtId="165" fontId="53" fillId="15" borderId="1" xfId="0" applyNumberFormat="1" applyFont="1" applyFill="1" applyBorder="1" applyAlignment="1">
      <alignment horizontal="left"/>
    </xf>
    <xf numFmtId="44" fontId="53" fillId="15" borderId="33" xfId="2" applyFont="1" applyFill="1" applyBorder="1" applyAlignment="1">
      <alignment horizontal="left"/>
    </xf>
    <xf numFmtId="0" fontId="53" fillId="15" borderId="11" xfId="0" applyFont="1" applyFill="1" applyBorder="1" applyAlignment="1">
      <alignment horizontal="left"/>
    </xf>
    <xf numFmtId="0" fontId="54" fillId="15" borderId="1" xfId="0" applyFont="1" applyFill="1" applyBorder="1" applyAlignment="1">
      <alignment horizontal="left"/>
    </xf>
    <xf numFmtId="44" fontId="15" fillId="15" borderId="33" xfId="2" applyFont="1" applyFill="1" applyBorder="1" applyAlignment="1">
      <alignment horizontal="left"/>
    </xf>
    <xf numFmtId="14" fontId="15" fillId="15" borderId="11" xfId="0" applyNumberFormat="1" applyFont="1" applyFill="1" applyBorder="1" applyAlignment="1">
      <alignment horizontal="left"/>
    </xf>
    <xf numFmtId="14" fontId="15" fillId="2" borderId="24" xfId="0" applyNumberFormat="1" applyFont="1" applyFill="1" applyBorder="1" applyAlignment="1">
      <alignment horizontal="left"/>
    </xf>
    <xf numFmtId="14" fontId="15" fillId="2" borderId="26" xfId="0" applyNumberFormat="1" applyFont="1" applyFill="1" applyBorder="1" applyAlignment="1">
      <alignment horizontal="left"/>
    </xf>
    <xf numFmtId="165" fontId="15" fillId="2" borderId="1" xfId="0" applyNumberFormat="1" applyFont="1" applyFill="1" applyBorder="1" applyAlignment="1">
      <alignment horizontal="left"/>
    </xf>
    <xf numFmtId="165" fontId="15" fillId="2" borderId="33" xfId="1" applyNumberFormat="1" applyFont="1" applyFill="1" applyBorder="1" applyAlignment="1">
      <alignment horizontal="left"/>
    </xf>
    <xf numFmtId="0" fontId="15" fillId="2" borderId="11" xfId="0" applyFont="1" applyFill="1" applyBorder="1" applyAlignment="1">
      <alignment horizontal="left"/>
    </xf>
    <xf numFmtId="0" fontId="45" fillId="2" borderId="1" xfId="0" applyFont="1" applyFill="1" applyBorder="1" applyAlignment="1">
      <alignment horizontal="left"/>
    </xf>
    <xf numFmtId="0" fontId="27" fillId="2" borderId="0" xfId="0" applyFont="1" applyFill="1" applyAlignment="1">
      <alignment horizontal="left"/>
    </xf>
    <xf numFmtId="14" fontId="59" fillId="15" borderId="26" xfId="0" applyNumberFormat="1" applyFont="1" applyFill="1" applyBorder="1" applyAlignment="1">
      <alignment horizontal="left"/>
    </xf>
    <xf numFmtId="44" fontId="59" fillId="15" borderId="26" xfId="2" applyFont="1" applyFill="1" applyBorder="1" applyAlignment="1">
      <alignment horizontal="left"/>
    </xf>
    <xf numFmtId="9" fontId="59" fillId="15" borderId="26" xfId="1" applyFont="1" applyFill="1" applyBorder="1" applyAlignment="1">
      <alignment horizontal="left"/>
    </xf>
    <xf numFmtId="14" fontId="12" fillId="15" borderId="25" xfId="0" applyNumberFormat="1" applyFont="1" applyFill="1" applyBorder="1" applyAlignment="1">
      <alignment horizontal="left"/>
    </xf>
    <xf numFmtId="14" fontId="12" fillId="15" borderId="27" xfId="0" applyNumberFormat="1" applyFont="1" applyFill="1" applyBorder="1" applyAlignment="1">
      <alignment horizontal="left"/>
    </xf>
    <xf numFmtId="0" fontId="12" fillId="15" borderId="27" xfId="0" applyFont="1" applyFill="1" applyBorder="1" applyAlignment="1">
      <alignment horizontal="left"/>
    </xf>
    <xf numFmtId="9" fontId="12" fillId="15" borderId="27" xfId="1" applyFont="1" applyFill="1" applyBorder="1" applyAlignment="1">
      <alignment horizontal="left"/>
    </xf>
    <xf numFmtId="165" fontId="12" fillId="15" borderId="0" xfId="1" applyNumberFormat="1" applyFont="1" applyFill="1" applyBorder="1" applyAlignment="1">
      <alignment horizontal="left"/>
    </xf>
    <xf numFmtId="0" fontId="12" fillId="15" borderId="38" xfId="0" applyFont="1" applyFill="1" applyBorder="1" applyAlignment="1">
      <alignment horizontal="left"/>
    </xf>
    <xf numFmtId="0" fontId="46" fillId="15" borderId="15" xfId="0" applyFont="1" applyFill="1" applyBorder="1" applyAlignment="1">
      <alignment horizontal="left"/>
    </xf>
    <xf numFmtId="165" fontId="59" fillId="15" borderId="26" xfId="2" applyNumberFormat="1" applyFont="1" applyFill="1" applyBorder="1" applyAlignment="1">
      <alignment horizontal="left"/>
    </xf>
    <xf numFmtId="44" fontId="15" fillId="15" borderId="0" xfId="2" applyFont="1" applyFill="1" applyBorder="1" applyAlignment="1">
      <alignment horizontal="left"/>
    </xf>
    <xf numFmtId="16" fontId="12" fillId="5" borderId="1" xfId="0" applyNumberFormat="1" applyFont="1" applyFill="1" applyBorder="1" applyAlignment="1">
      <alignment horizontal="left"/>
    </xf>
    <xf numFmtId="14" fontId="2" fillId="5" borderId="63" xfId="0" applyNumberFormat="1" applyFont="1" applyFill="1" applyBorder="1" applyAlignment="1">
      <alignment horizontal="left"/>
    </xf>
    <xf numFmtId="0" fontId="2" fillId="5" borderId="64" xfId="0" applyFont="1" applyFill="1" applyBorder="1" applyAlignment="1">
      <alignment horizontal="left"/>
    </xf>
    <xf numFmtId="165" fontId="2" fillId="5" borderId="64" xfId="0" applyNumberFormat="1" applyFont="1" applyFill="1" applyBorder="1" applyAlignment="1">
      <alignment horizontal="left"/>
    </xf>
    <xf numFmtId="0" fontId="2" fillId="5" borderId="65" xfId="0" applyFont="1" applyFill="1" applyBorder="1" applyAlignment="1">
      <alignment horizontal="left"/>
    </xf>
    <xf numFmtId="165" fontId="2" fillId="5" borderId="55" xfId="0" applyNumberFormat="1" applyFont="1" applyFill="1" applyBorder="1" applyAlignment="1">
      <alignment horizontal="left"/>
    </xf>
    <xf numFmtId="165" fontId="2" fillId="5" borderId="66" xfId="0" applyNumberFormat="1" applyFont="1" applyFill="1" applyBorder="1" applyAlignment="1">
      <alignment horizontal="left"/>
    </xf>
    <xf numFmtId="0" fontId="79" fillId="5" borderId="26" xfId="0" applyFont="1" applyFill="1" applyBorder="1" applyAlignment="1">
      <alignment horizontal="left"/>
    </xf>
    <xf numFmtId="165" fontId="2" fillId="5" borderId="1" xfId="1" applyNumberFormat="1" applyFont="1" applyFill="1" applyBorder="1" applyAlignment="1">
      <alignment horizontal="left"/>
    </xf>
    <xf numFmtId="44" fontId="2" fillId="5" borderId="26" xfId="2" applyFont="1" applyFill="1" applyBorder="1" applyAlignment="1">
      <alignment horizontal="left"/>
    </xf>
    <xf numFmtId="44" fontId="2" fillId="5" borderId="1" xfId="2" applyFont="1" applyFill="1" applyBorder="1" applyAlignment="1">
      <alignment horizontal="left"/>
    </xf>
    <xf numFmtId="165" fontId="2" fillId="5" borderId="27" xfId="2" applyNumberFormat="1" applyFont="1" applyFill="1" applyBorder="1" applyAlignment="1">
      <alignment horizontal="left"/>
    </xf>
    <xf numFmtId="9" fontId="2" fillId="5" borderId="27" xfId="1" applyFont="1" applyFill="1" applyBorder="1" applyAlignment="1">
      <alignment horizontal="left"/>
    </xf>
    <xf numFmtId="165" fontId="2" fillId="5" borderId="0" xfId="1" applyNumberFormat="1" applyFont="1" applyFill="1" applyBorder="1" applyAlignment="1">
      <alignment horizontal="left"/>
    </xf>
    <xf numFmtId="44" fontId="2" fillId="5" borderId="33" xfId="2" applyFont="1" applyFill="1" applyBorder="1" applyAlignment="1">
      <alignment horizontal="left"/>
    </xf>
    <xf numFmtId="14" fontId="2" fillId="5" borderId="11" xfId="0" applyNumberFormat="1" applyFont="1" applyFill="1" applyBorder="1" applyAlignment="1">
      <alignment horizontal="left"/>
    </xf>
    <xf numFmtId="16" fontId="2" fillId="5" borderId="1" xfId="0" applyNumberFormat="1" applyFont="1" applyFill="1" applyBorder="1" applyAlignment="1">
      <alignment horizontal="left"/>
    </xf>
    <xf numFmtId="44" fontId="80" fillId="5" borderId="26" xfId="2" applyFont="1" applyFill="1" applyBorder="1"/>
    <xf numFmtId="165" fontId="2" fillId="5" borderId="26" xfId="0" applyNumberFormat="1" applyFont="1" applyFill="1" applyBorder="1" applyAlignment="1">
      <alignment horizontal="left"/>
    </xf>
    <xf numFmtId="165" fontId="2" fillId="5" borderId="26" xfId="1" applyNumberFormat="1" applyFont="1" applyFill="1" applyBorder="1" applyAlignment="1">
      <alignment horizontal="left"/>
    </xf>
    <xf numFmtId="14" fontId="42" fillId="5" borderId="25" xfId="0" applyNumberFormat="1" applyFont="1" applyFill="1" applyBorder="1" applyAlignment="1">
      <alignment horizontal="left"/>
    </xf>
    <xf numFmtId="14" fontId="42" fillId="5" borderId="27" xfId="0" applyNumberFormat="1" applyFont="1" applyFill="1" applyBorder="1" applyAlignment="1">
      <alignment horizontal="left"/>
    </xf>
    <xf numFmtId="14" fontId="42" fillId="5" borderId="37" xfId="0" applyNumberFormat="1" applyFont="1" applyFill="1" applyBorder="1" applyAlignment="1">
      <alignment horizontal="left"/>
    </xf>
    <xf numFmtId="165" fontId="42" fillId="5" borderId="20" xfId="2" applyNumberFormat="1" applyFont="1" applyFill="1" applyBorder="1" applyAlignment="1">
      <alignment horizontal="left"/>
    </xf>
    <xf numFmtId="14" fontId="42" fillId="5" borderId="21" xfId="0" applyNumberFormat="1" applyFont="1" applyFill="1" applyBorder="1" applyAlignment="1">
      <alignment horizontal="left"/>
    </xf>
    <xf numFmtId="165" fontId="42" fillId="5" borderId="21" xfId="0" applyNumberFormat="1" applyFont="1" applyFill="1" applyBorder="1" applyAlignment="1">
      <alignment horizontal="left"/>
    </xf>
    <xf numFmtId="165" fontId="42" fillId="5" borderId="47" xfId="2" applyNumberFormat="1" applyFont="1" applyFill="1" applyBorder="1" applyAlignment="1">
      <alignment horizontal="left"/>
    </xf>
    <xf numFmtId="0" fontId="2" fillId="5" borderId="12" xfId="0" applyFont="1" applyFill="1" applyBorder="1" applyAlignment="1">
      <alignment horizontal="left"/>
    </xf>
    <xf numFmtId="165" fontId="2" fillId="5" borderId="27" xfId="0" applyNumberFormat="1" applyFont="1" applyFill="1" applyBorder="1" applyAlignment="1">
      <alignment horizontal="left"/>
    </xf>
    <xf numFmtId="14" fontId="42" fillId="5" borderId="45" xfId="0" applyNumberFormat="1" applyFont="1" applyFill="1" applyBorder="1" applyAlignment="1">
      <alignment horizontal="left"/>
    </xf>
    <xf numFmtId="14" fontId="42" fillId="5" borderId="46" xfId="0" applyNumberFormat="1" applyFont="1" applyFill="1" applyBorder="1" applyAlignment="1">
      <alignment horizontal="left"/>
    </xf>
    <xf numFmtId="165" fontId="42" fillId="5" borderId="46" xfId="2" applyNumberFormat="1" applyFont="1" applyFill="1" applyBorder="1" applyAlignment="1">
      <alignment horizontal="left"/>
    </xf>
    <xf numFmtId="165" fontId="42" fillId="5" borderId="1" xfId="0" applyNumberFormat="1" applyFont="1" applyFill="1" applyBorder="1" applyAlignment="1">
      <alignment horizontal="left"/>
    </xf>
    <xf numFmtId="0" fontId="0" fillId="16" borderId="0" xfId="0" applyFill="1"/>
    <xf numFmtId="0" fontId="81" fillId="16" borderId="0" xfId="0" applyFont="1" applyFill="1"/>
    <xf numFmtId="44" fontId="0" fillId="0" borderId="1" xfId="0" applyNumberFormat="1" applyBorder="1"/>
    <xf numFmtId="0" fontId="83" fillId="12" borderId="1" xfId="0" applyFont="1" applyFill="1" applyBorder="1"/>
    <xf numFmtId="14" fontId="66" fillId="5" borderId="25" xfId="0" applyNumberFormat="1" applyFont="1" applyFill="1" applyBorder="1" applyAlignment="1">
      <alignment horizontal="left"/>
    </xf>
    <xf numFmtId="14" fontId="66" fillId="5" borderId="27" xfId="0" applyNumberFormat="1" applyFont="1" applyFill="1" applyBorder="1" applyAlignment="1">
      <alignment horizontal="left"/>
    </xf>
    <xf numFmtId="0" fontId="66" fillId="5" borderId="27" xfId="0" applyFont="1" applyFill="1" applyBorder="1" applyAlignment="1">
      <alignment horizontal="left"/>
    </xf>
    <xf numFmtId="165" fontId="66" fillId="5" borderId="27" xfId="2" applyNumberFormat="1" applyFont="1" applyFill="1" applyBorder="1" applyAlignment="1">
      <alignment horizontal="left"/>
    </xf>
    <xf numFmtId="9" fontId="66" fillId="5" borderId="27" xfId="1" applyFont="1" applyFill="1" applyBorder="1" applyAlignment="1">
      <alignment horizontal="left"/>
    </xf>
    <xf numFmtId="165" fontId="66" fillId="5" borderId="15" xfId="0" applyNumberFormat="1" applyFont="1" applyFill="1" applyBorder="1" applyAlignment="1">
      <alignment horizontal="left"/>
    </xf>
    <xf numFmtId="165" fontId="66" fillId="5" borderId="0" xfId="1" applyNumberFormat="1" applyFont="1" applyFill="1" applyBorder="1" applyAlignment="1">
      <alignment horizontal="left"/>
    </xf>
    <xf numFmtId="0" fontId="66" fillId="5" borderId="38" xfId="0" applyFont="1" applyFill="1" applyBorder="1" applyAlignment="1">
      <alignment horizontal="left"/>
    </xf>
    <xf numFmtId="0" fontId="67" fillId="5" borderId="15" xfId="0" applyFont="1" applyFill="1" applyBorder="1" applyAlignment="1">
      <alignment horizontal="left"/>
    </xf>
    <xf numFmtId="0" fontId="85" fillId="12" borderId="1" xfId="3" applyFont="1" applyFill="1" applyBorder="1"/>
    <xf numFmtId="0" fontId="83" fillId="0" borderId="0" xfId="0" applyFont="1"/>
    <xf numFmtId="14" fontId="84" fillId="5" borderId="24" xfId="3" applyNumberFormat="1" applyFill="1" applyBorder="1" applyAlignment="1">
      <alignment horizontal="left"/>
    </xf>
    <xf numFmtId="44" fontId="5" fillId="0" borderId="0" xfId="2" applyFont="1" applyBorder="1"/>
    <xf numFmtId="44" fontId="27" fillId="5" borderId="26" xfId="2" applyFont="1" applyFill="1" applyBorder="1"/>
    <xf numFmtId="165" fontId="12" fillId="15" borderId="0" xfId="2" applyNumberFormat="1" applyFont="1" applyFill="1" applyBorder="1" applyAlignment="1">
      <alignment horizontal="left"/>
    </xf>
    <xf numFmtId="165" fontId="15" fillId="2" borderId="26" xfId="2" applyNumberFormat="1" applyFont="1" applyFill="1" applyBorder="1" applyAlignment="1">
      <alignment horizontal="left"/>
    </xf>
    <xf numFmtId="44" fontId="14" fillId="15" borderId="0" xfId="2" applyFont="1" applyFill="1" applyBorder="1"/>
    <xf numFmtId="165" fontId="12" fillId="15" borderId="27" xfId="2" applyNumberFormat="1" applyFont="1" applyFill="1" applyBorder="1" applyAlignment="1">
      <alignment horizontal="left"/>
    </xf>
    <xf numFmtId="44" fontId="12" fillId="15" borderId="1" xfId="2" applyFont="1" applyFill="1" applyBorder="1" applyAlignment="1">
      <alignment horizontal="left"/>
    </xf>
    <xf numFmtId="44" fontId="15" fillId="15" borderId="26" xfId="2" applyFont="1" applyFill="1" applyBorder="1"/>
    <xf numFmtId="44" fontId="70" fillId="15" borderId="26" xfId="2" applyFont="1" applyFill="1" applyBorder="1"/>
    <xf numFmtId="9" fontId="15" fillId="2" borderId="26" xfId="1" applyFont="1" applyFill="1" applyBorder="1" applyAlignment="1">
      <alignment horizontal="left"/>
    </xf>
    <xf numFmtId="0" fontId="46" fillId="15" borderId="11" xfId="0" applyFont="1" applyFill="1" applyBorder="1" applyAlignment="1">
      <alignment horizontal="left"/>
    </xf>
    <xf numFmtId="0" fontId="45" fillId="15" borderId="11" xfId="0" applyFont="1" applyFill="1" applyBorder="1" applyAlignment="1">
      <alignment horizontal="left"/>
    </xf>
    <xf numFmtId="165" fontId="38" fillId="5" borderId="0" xfId="2" applyNumberFormat="1" applyFont="1" applyFill="1" applyBorder="1" applyAlignment="1">
      <alignment horizontal="left"/>
    </xf>
    <xf numFmtId="0" fontId="15" fillId="5" borderId="13" xfId="0" applyFont="1" applyFill="1" applyBorder="1" applyAlignment="1">
      <alignment horizontal="left"/>
    </xf>
    <xf numFmtId="44" fontId="15" fillId="5" borderId="0" xfId="2" applyFont="1" applyFill="1" applyBorder="1"/>
    <xf numFmtId="44" fontId="2" fillId="5" borderId="0" xfId="2" applyFont="1" applyFill="1" applyBorder="1" applyAlignment="1">
      <alignment horizontal="left"/>
    </xf>
    <xf numFmtId="14" fontId="2" fillId="14" borderId="63" xfId="0" applyNumberFormat="1" applyFont="1" applyFill="1" applyBorder="1" applyAlignment="1">
      <alignment horizontal="left"/>
    </xf>
    <xf numFmtId="0" fontId="2" fillId="14" borderId="64" xfId="0" applyFont="1" applyFill="1" applyBorder="1" applyAlignment="1">
      <alignment horizontal="left"/>
    </xf>
    <xf numFmtId="165" fontId="2" fillId="14" borderId="64" xfId="0" applyNumberFormat="1" applyFont="1" applyFill="1" applyBorder="1" applyAlignment="1">
      <alignment horizontal="left"/>
    </xf>
    <xf numFmtId="0" fontId="2" fillId="14" borderId="65" xfId="0" applyFont="1" applyFill="1" applyBorder="1" applyAlignment="1">
      <alignment horizontal="left"/>
    </xf>
    <xf numFmtId="165" fontId="2" fillId="14" borderId="55" xfId="0" applyNumberFormat="1" applyFont="1" applyFill="1" applyBorder="1" applyAlignment="1">
      <alignment horizontal="left"/>
    </xf>
    <xf numFmtId="165" fontId="2" fillId="14" borderId="66" xfId="0" applyNumberFormat="1" applyFont="1" applyFill="1" applyBorder="1" applyAlignment="1">
      <alignment horizontal="left"/>
    </xf>
    <xf numFmtId="0" fontId="79" fillId="14" borderId="26" xfId="0" applyFont="1" applyFill="1" applyBorder="1" applyAlignment="1">
      <alignment horizontal="left"/>
    </xf>
    <xf numFmtId="165" fontId="86" fillId="5" borderId="1" xfId="0" applyNumberFormat="1" applyFont="1" applyFill="1" applyBorder="1" applyAlignment="1">
      <alignment horizontal="left"/>
    </xf>
    <xf numFmtId="0" fontId="87" fillId="5" borderId="1" xfId="0" applyFont="1" applyFill="1" applyBorder="1" applyAlignment="1">
      <alignment horizontal="left"/>
    </xf>
    <xf numFmtId="165" fontId="27" fillId="5" borderId="26" xfId="0" applyNumberFormat="1" applyFont="1" applyFill="1" applyBorder="1" applyAlignment="1">
      <alignment horizontal="left"/>
    </xf>
    <xf numFmtId="0" fontId="73" fillId="5" borderId="0" xfId="0" applyFont="1" applyFill="1" applyAlignment="1">
      <alignment horizontal="left"/>
    </xf>
    <xf numFmtId="165" fontId="59" fillId="5" borderId="26" xfId="0" applyNumberFormat="1" applyFont="1" applyFill="1" applyBorder="1" applyAlignment="1">
      <alignment horizontal="left"/>
    </xf>
    <xf numFmtId="165" fontId="6" fillId="5" borderId="26" xfId="0" applyNumberFormat="1" applyFont="1" applyFill="1" applyBorder="1" applyAlignment="1">
      <alignment horizontal="left"/>
    </xf>
    <xf numFmtId="16" fontId="6" fillId="5" borderId="1" xfId="0" applyNumberFormat="1" applyFont="1" applyFill="1" applyBorder="1" applyAlignment="1">
      <alignment horizontal="left"/>
    </xf>
    <xf numFmtId="14" fontId="3" fillId="15" borderId="25" xfId="0" applyNumberFormat="1" applyFont="1" applyFill="1" applyBorder="1" applyAlignment="1">
      <alignment horizontal="left"/>
    </xf>
    <xf numFmtId="14" fontId="3" fillId="15" borderId="27" xfId="0" applyNumberFormat="1" applyFont="1" applyFill="1" applyBorder="1" applyAlignment="1">
      <alignment horizontal="left"/>
    </xf>
    <xf numFmtId="14" fontId="3" fillId="15" borderId="37" xfId="0" applyNumberFormat="1" applyFont="1" applyFill="1" applyBorder="1" applyAlignment="1">
      <alignment horizontal="left"/>
    </xf>
    <xf numFmtId="0" fontId="15" fillId="15" borderId="12" xfId="0" applyFont="1" applyFill="1" applyBorder="1" applyAlignment="1">
      <alignment horizontal="left"/>
    </xf>
    <xf numFmtId="14" fontId="88" fillId="5" borderId="24" xfId="0" applyNumberFormat="1" applyFont="1" applyFill="1" applyBorder="1" applyAlignment="1">
      <alignment horizontal="left"/>
    </xf>
    <xf numFmtId="14" fontId="88" fillId="5" borderId="26" xfId="0" applyNumberFormat="1" applyFont="1" applyFill="1" applyBorder="1" applyAlignment="1">
      <alignment horizontal="left"/>
    </xf>
    <xf numFmtId="0" fontId="88" fillId="5" borderId="26" xfId="0" applyFont="1" applyFill="1" applyBorder="1" applyAlignment="1">
      <alignment horizontal="left"/>
    </xf>
    <xf numFmtId="165" fontId="88" fillId="5" borderId="26" xfId="0" applyNumberFormat="1" applyFont="1" applyFill="1" applyBorder="1" applyAlignment="1">
      <alignment horizontal="left"/>
    </xf>
    <xf numFmtId="165" fontId="88" fillId="5" borderId="33" xfId="1" applyNumberFormat="1" applyFont="1" applyFill="1" applyBorder="1" applyAlignment="1">
      <alignment horizontal="left"/>
    </xf>
    <xf numFmtId="0" fontId="88" fillId="5" borderId="11" xfId="0" applyFont="1" applyFill="1" applyBorder="1" applyAlignment="1">
      <alignment horizontal="left"/>
    </xf>
    <xf numFmtId="0" fontId="90" fillId="5" borderId="1" xfId="0" applyFont="1" applyFill="1" applyBorder="1" applyAlignment="1">
      <alignment horizontal="left"/>
    </xf>
    <xf numFmtId="0" fontId="88" fillId="5" borderId="0" xfId="0" applyFont="1" applyFill="1" applyAlignment="1">
      <alignment horizontal="left"/>
    </xf>
    <xf numFmtId="0" fontId="91" fillId="0" borderId="26" xfId="0" applyFont="1" applyBorder="1" applyAlignment="1">
      <alignment horizontal="left" wrapText="1"/>
    </xf>
    <xf numFmtId="14" fontId="86" fillId="5" borderId="1" xfId="0" applyNumberFormat="1" applyFont="1" applyFill="1" applyBorder="1" applyAlignment="1">
      <alignment horizontal="left"/>
    </xf>
    <xf numFmtId="14" fontId="2" fillId="5" borderId="25" xfId="0" applyNumberFormat="1" applyFont="1" applyFill="1" applyBorder="1" applyAlignment="1">
      <alignment horizontal="left"/>
    </xf>
    <xf numFmtId="14" fontId="2" fillId="5" borderId="27" xfId="0" applyNumberFormat="1" applyFont="1" applyFill="1" applyBorder="1" applyAlignment="1">
      <alignment horizontal="left"/>
    </xf>
    <xf numFmtId="0" fontId="86" fillId="5" borderId="1" xfId="0" applyFont="1" applyFill="1" applyBorder="1" applyAlignment="1">
      <alignment horizontal="left"/>
    </xf>
    <xf numFmtId="0" fontId="2" fillId="5" borderId="27" xfId="0" applyFont="1" applyFill="1" applyBorder="1" applyAlignment="1">
      <alignment horizontal="left"/>
    </xf>
    <xf numFmtId="165" fontId="86" fillId="5" borderId="1" xfId="2" applyNumberFormat="1" applyFont="1" applyFill="1" applyBorder="1" applyAlignment="1">
      <alignment horizontal="left"/>
    </xf>
    <xf numFmtId="44" fontId="2" fillId="5" borderId="27" xfId="2" applyFont="1" applyFill="1" applyBorder="1" applyAlignment="1">
      <alignment horizontal="left"/>
    </xf>
    <xf numFmtId="44" fontId="5" fillId="5" borderId="0" xfId="2" applyFont="1" applyFill="1" applyBorder="1"/>
    <xf numFmtId="9" fontId="86" fillId="5" borderId="1" xfId="1" applyFont="1" applyFill="1" applyBorder="1" applyAlignment="1">
      <alignment horizontal="left"/>
    </xf>
    <xf numFmtId="165" fontId="86" fillId="5" borderId="1" xfId="1" applyNumberFormat="1" applyFont="1" applyFill="1" applyBorder="1" applyAlignment="1">
      <alignment horizontal="left"/>
    </xf>
    <xf numFmtId="0" fontId="2" fillId="5" borderId="38" xfId="0" applyFont="1" applyFill="1" applyBorder="1" applyAlignment="1">
      <alignment horizontal="left"/>
    </xf>
    <xf numFmtId="0" fontId="79" fillId="5" borderId="15" xfId="0" applyFont="1" applyFill="1" applyBorder="1" applyAlignment="1">
      <alignment horizontal="left"/>
    </xf>
    <xf numFmtId="165" fontId="73" fillId="5" borderId="26" xfId="0" applyNumberFormat="1" applyFont="1" applyFill="1" applyBorder="1" applyAlignment="1">
      <alignment horizontal="left"/>
    </xf>
    <xf numFmtId="16" fontId="15" fillId="5" borderId="1" xfId="0" applyNumberFormat="1" applyFont="1" applyFill="1" applyBorder="1" applyAlignment="1">
      <alignment horizontal="left"/>
    </xf>
    <xf numFmtId="0" fontId="88" fillId="5" borderId="1" xfId="0" applyFont="1" applyFill="1" applyBorder="1" applyAlignment="1">
      <alignment horizontal="left"/>
    </xf>
    <xf numFmtId="44" fontId="89" fillId="5" borderId="1" xfId="2" applyFont="1" applyFill="1" applyBorder="1"/>
    <xf numFmtId="9" fontId="88" fillId="5" borderId="1" xfId="1" applyFont="1" applyFill="1" applyBorder="1" applyAlignment="1">
      <alignment horizontal="left"/>
    </xf>
    <xf numFmtId="0" fontId="92" fillId="0" borderId="26" xfId="0" applyFont="1" applyBorder="1" applyAlignment="1">
      <alignment horizontal="left" wrapText="1"/>
    </xf>
    <xf numFmtId="0" fontId="52" fillId="5" borderId="11" xfId="0" applyFont="1" applyFill="1" applyBorder="1" applyAlignment="1">
      <alignment horizontal="left"/>
    </xf>
    <xf numFmtId="0" fontId="38" fillId="5" borderId="0" xfId="0" applyFont="1" applyFill="1" applyAlignment="1">
      <alignment horizontal="left"/>
    </xf>
    <xf numFmtId="0" fontId="94" fillId="0" borderId="26" xfId="0" applyFont="1" applyBorder="1"/>
    <xf numFmtId="165" fontId="38" fillId="5" borderId="26" xfId="0" applyNumberFormat="1" applyFont="1" applyFill="1" applyBorder="1" applyAlignment="1">
      <alignment horizontal="left"/>
    </xf>
    <xf numFmtId="44" fontId="59" fillId="5" borderId="26" xfId="2" applyFont="1" applyFill="1" applyBorder="1"/>
    <xf numFmtId="0" fontId="2" fillId="15" borderId="1" xfId="0" applyFont="1" applyFill="1" applyBorder="1" applyAlignment="1">
      <alignment horizontal="left"/>
    </xf>
    <xf numFmtId="0" fontId="86" fillId="15" borderId="1" xfId="0" applyFont="1" applyFill="1" applyBorder="1" applyAlignment="1">
      <alignment horizontal="left"/>
    </xf>
    <xf numFmtId="0" fontId="2" fillId="15" borderId="27" xfId="0" applyFont="1" applyFill="1" applyBorder="1" applyAlignment="1">
      <alignment horizontal="left"/>
    </xf>
    <xf numFmtId="0" fontId="2" fillId="15" borderId="26" xfId="0" applyFont="1" applyFill="1" applyBorder="1" applyAlignment="1">
      <alignment horizontal="left"/>
    </xf>
    <xf numFmtId="14" fontId="2" fillId="15" borderId="1" xfId="0" applyNumberFormat="1" applyFont="1" applyFill="1" applyBorder="1" applyAlignment="1">
      <alignment horizontal="left"/>
    </xf>
    <xf numFmtId="44" fontId="38" fillId="5" borderId="26" xfId="2" applyFont="1" applyFill="1" applyBorder="1" applyAlignment="1">
      <alignment horizontal="left"/>
    </xf>
    <xf numFmtId="14" fontId="2" fillId="0" borderId="24" xfId="0" applyNumberFormat="1" applyFont="1" applyBorder="1" applyAlignment="1">
      <alignment horizontal="right"/>
    </xf>
    <xf numFmtId="14" fontId="2" fillId="15" borderId="15" xfId="0" applyNumberFormat="1" applyFont="1" applyFill="1" applyBorder="1"/>
    <xf numFmtId="0" fontId="2" fillId="15" borderId="1" xfId="0" applyFont="1" applyFill="1" applyBorder="1"/>
    <xf numFmtId="0" fontId="2" fillId="15" borderId="26" xfId="0" applyFont="1" applyFill="1" applyBorder="1"/>
    <xf numFmtId="0" fontId="2" fillId="15" borderId="27" xfId="0" applyFont="1" applyFill="1" applyBorder="1"/>
    <xf numFmtId="14" fontId="2" fillId="15" borderId="17" xfId="0" applyNumberFormat="1" applyFont="1" applyFill="1" applyBorder="1"/>
    <xf numFmtId="0" fontId="2" fillId="15" borderId="15" xfId="0" applyFont="1" applyFill="1" applyBorder="1"/>
    <xf numFmtId="14" fontId="66" fillId="5" borderId="24" xfId="0" applyNumberFormat="1" applyFont="1" applyFill="1" applyBorder="1" applyAlignment="1">
      <alignment horizontal="left"/>
    </xf>
    <xf numFmtId="0" fontId="66" fillId="5" borderId="26" xfId="0" applyFont="1" applyFill="1" applyBorder="1" applyAlignment="1">
      <alignment horizontal="left"/>
    </xf>
    <xf numFmtId="165" fontId="66" fillId="5" borderId="33" xfId="1" applyNumberFormat="1" applyFont="1" applyFill="1" applyBorder="1" applyAlignment="1">
      <alignment horizontal="left"/>
    </xf>
    <xf numFmtId="0" fontId="66" fillId="5" borderId="11" xfId="0" applyFont="1" applyFill="1" applyBorder="1" applyAlignment="1">
      <alignment horizontal="left"/>
    </xf>
    <xf numFmtId="165" fontId="66" fillId="5" borderId="26" xfId="0" applyNumberFormat="1" applyFont="1" applyFill="1" applyBorder="1" applyAlignment="1">
      <alignment horizontal="left"/>
    </xf>
    <xf numFmtId="44" fontId="15" fillId="5" borderId="13" xfId="2" applyFont="1" applyFill="1" applyBorder="1" applyAlignment="1">
      <alignment horizontal="left"/>
    </xf>
    <xf numFmtId="14" fontId="15" fillId="17" borderId="63" xfId="0" applyNumberFormat="1" applyFont="1" applyFill="1" applyBorder="1" applyAlignment="1">
      <alignment horizontal="left"/>
    </xf>
    <xf numFmtId="0" fontId="15" fillId="17" borderId="64" xfId="0" applyFont="1" applyFill="1" applyBorder="1" applyAlignment="1">
      <alignment horizontal="left"/>
    </xf>
    <xf numFmtId="165" fontId="15" fillId="17" borderId="64" xfId="0" applyNumberFormat="1" applyFont="1" applyFill="1" applyBorder="1" applyAlignment="1">
      <alignment horizontal="left"/>
    </xf>
    <xf numFmtId="0" fontId="15" fillId="17" borderId="65" xfId="0" applyFont="1" applyFill="1" applyBorder="1" applyAlignment="1">
      <alignment horizontal="left"/>
    </xf>
    <xf numFmtId="165" fontId="15" fillId="17" borderId="55" xfId="0" applyNumberFormat="1" applyFont="1" applyFill="1" applyBorder="1" applyAlignment="1">
      <alignment horizontal="left"/>
    </xf>
    <xf numFmtId="165" fontId="15" fillId="17" borderId="66" xfId="0" applyNumberFormat="1" applyFont="1" applyFill="1" applyBorder="1" applyAlignment="1">
      <alignment horizontal="left"/>
    </xf>
    <xf numFmtId="165" fontId="3" fillId="15" borderId="64" xfId="0" applyNumberFormat="1" applyFont="1" applyFill="1" applyBorder="1" applyAlignment="1">
      <alignment horizontal="left"/>
    </xf>
    <xf numFmtId="0" fontId="45" fillId="17" borderId="1" xfId="0" applyFont="1" applyFill="1" applyBorder="1" applyAlignment="1">
      <alignment horizontal="left"/>
    </xf>
    <xf numFmtId="14" fontId="15" fillId="5" borderId="0" xfId="0" applyNumberFormat="1" applyFont="1" applyFill="1" applyAlignment="1">
      <alignment horizontal="left"/>
    </xf>
    <xf numFmtId="14" fontId="59" fillId="5" borderId="25" xfId="0" applyNumberFormat="1" applyFont="1" applyFill="1" applyBorder="1" applyAlignment="1">
      <alignment horizontal="left"/>
    </xf>
    <xf numFmtId="14" fontId="59" fillId="5" borderId="27" xfId="0" applyNumberFormat="1" applyFont="1" applyFill="1" applyBorder="1" applyAlignment="1">
      <alignment horizontal="left"/>
    </xf>
    <xf numFmtId="0" fontId="95" fillId="0" borderId="1" xfId="0" applyFont="1" applyBorder="1"/>
    <xf numFmtId="0" fontId="59" fillId="5" borderId="27" xfId="0" applyFont="1" applyFill="1" applyBorder="1" applyAlignment="1">
      <alignment horizontal="left"/>
    </xf>
    <xf numFmtId="165" fontId="59" fillId="5" borderId="27" xfId="2" applyNumberFormat="1" applyFont="1" applyFill="1" applyBorder="1" applyAlignment="1">
      <alignment horizontal="left"/>
    </xf>
    <xf numFmtId="9" fontId="59" fillId="5" borderId="27" xfId="1" applyFont="1" applyFill="1" applyBorder="1" applyAlignment="1">
      <alignment horizontal="left"/>
    </xf>
    <xf numFmtId="165" fontId="59" fillId="5" borderId="0" xfId="1" applyNumberFormat="1" applyFont="1" applyFill="1" applyBorder="1" applyAlignment="1">
      <alignment horizontal="left"/>
    </xf>
    <xf numFmtId="0" fontId="59" fillId="5" borderId="38" xfId="0" applyFont="1" applyFill="1" applyBorder="1" applyAlignment="1">
      <alignment horizontal="left"/>
    </xf>
    <xf numFmtId="0" fontId="63" fillId="5" borderId="11" xfId="0" applyFont="1" applyFill="1" applyBorder="1" applyAlignment="1">
      <alignment horizontal="left"/>
    </xf>
    <xf numFmtId="0" fontId="60" fillId="5" borderId="15" xfId="0" applyFont="1" applyFill="1" applyBorder="1" applyAlignment="1">
      <alignment horizontal="left"/>
    </xf>
    <xf numFmtId="14" fontId="33" fillId="5" borderId="1" xfId="0" applyNumberFormat="1" applyFont="1" applyFill="1" applyBorder="1" applyAlignment="1">
      <alignment horizontal="left"/>
    </xf>
    <xf numFmtId="165" fontId="33" fillId="5" borderId="1" xfId="1" applyNumberFormat="1" applyFont="1" applyFill="1" applyBorder="1" applyAlignment="1">
      <alignment horizontal="left"/>
    </xf>
    <xf numFmtId="165" fontId="33" fillId="5" borderId="12" xfId="1" applyNumberFormat="1" applyFont="1" applyFill="1" applyBorder="1" applyAlignment="1">
      <alignment horizontal="left"/>
    </xf>
    <xf numFmtId="0" fontId="93" fillId="5" borderId="1" xfId="0" applyFont="1" applyFill="1" applyBorder="1"/>
    <xf numFmtId="0" fontId="91" fillId="5" borderId="26" xfId="0" applyFont="1" applyFill="1" applyBorder="1" applyAlignment="1">
      <alignment horizontal="left" wrapText="1"/>
    </xf>
    <xf numFmtId="165" fontId="3" fillId="5" borderId="20" xfId="2" applyNumberFormat="1" applyFont="1" applyFill="1" applyBorder="1" applyAlignment="1">
      <alignment horizontal="left"/>
    </xf>
    <xf numFmtId="165" fontId="3" fillId="5" borderId="64" xfId="0" applyNumberFormat="1" applyFont="1" applyFill="1" applyBorder="1" applyAlignment="1">
      <alignment horizontal="left"/>
    </xf>
    <xf numFmtId="165" fontId="3" fillId="5" borderId="47" xfId="2" applyNumberFormat="1" applyFont="1" applyFill="1" applyBorder="1" applyAlignment="1">
      <alignment horizontal="left"/>
    </xf>
    <xf numFmtId="14" fontId="12" fillId="2" borderId="24" xfId="0" applyNumberFormat="1" applyFont="1" applyFill="1" applyBorder="1" applyAlignment="1">
      <alignment horizontal="left"/>
    </xf>
    <xf numFmtId="14" fontId="12" fillId="2" borderId="26" xfId="0" applyNumberFormat="1" applyFont="1" applyFill="1" applyBorder="1" applyAlignment="1">
      <alignment horizontal="left"/>
    </xf>
    <xf numFmtId="14" fontId="12" fillId="2" borderId="1" xfId="0" applyNumberFormat="1" applyFont="1" applyFill="1" applyBorder="1" applyAlignment="1">
      <alignment horizontal="left"/>
    </xf>
    <xf numFmtId="44" fontId="12" fillId="2" borderId="1" xfId="2" applyFont="1" applyFill="1" applyBorder="1" applyAlignment="1">
      <alignment horizontal="left"/>
    </xf>
    <xf numFmtId="9" fontId="12" fillId="2" borderId="1" xfId="1" applyFont="1" applyFill="1" applyBorder="1" applyAlignment="1">
      <alignment horizontal="left"/>
    </xf>
    <xf numFmtId="165" fontId="12" fillId="2" borderId="26" xfId="0" applyNumberFormat="1" applyFont="1" applyFill="1" applyBorder="1" applyAlignment="1">
      <alignment horizontal="left"/>
    </xf>
    <xf numFmtId="44" fontId="12" fillId="2" borderId="33" xfId="2" applyFont="1" applyFill="1" applyBorder="1" applyAlignment="1">
      <alignment horizontal="left"/>
    </xf>
    <xf numFmtId="14" fontId="12" fillId="2" borderId="11" xfId="0" applyNumberFormat="1" applyFont="1" applyFill="1" applyBorder="1" applyAlignment="1">
      <alignment horizontal="left"/>
    </xf>
    <xf numFmtId="165" fontId="12" fillId="2" borderId="1" xfId="2" applyNumberFormat="1" applyFont="1" applyFill="1" applyBorder="1" applyAlignment="1">
      <alignment horizontal="left"/>
    </xf>
    <xf numFmtId="165" fontId="12" fillId="2" borderId="1" xfId="0" applyNumberFormat="1" applyFont="1" applyFill="1" applyBorder="1" applyAlignment="1">
      <alignment horizontal="left"/>
    </xf>
    <xf numFmtId="165" fontId="12" fillId="2" borderId="1" xfId="1" applyNumberFormat="1" applyFont="1" applyFill="1" applyBorder="1" applyAlignment="1">
      <alignment horizontal="left"/>
    </xf>
    <xf numFmtId="0" fontId="46" fillId="2" borderId="1" xfId="0" applyFont="1" applyFill="1" applyBorder="1" applyAlignment="1">
      <alignment horizontal="left"/>
    </xf>
    <xf numFmtId="44" fontId="12" fillId="2" borderId="1" xfId="2" applyFont="1" applyFill="1" applyBorder="1"/>
    <xf numFmtId="165" fontId="59" fillId="2" borderId="33" xfId="1" applyNumberFormat="1" applyFont="1" applyFill="1" applyBorder="1" applyAlignment="1">
      <alignment horizontal="left"/>
    </xf>
    <xf numFmtId="165" fontId="53" fillId="5" borderId="26" xfId="2" applyNumberFormat="1" applyFont="1" applyFill="1" applyBorder="1" applyAlignment="1">
      <alignment horizontal="left"/>
    </xf>
    <xf numFmtId="165" fontId="66" fillId="5" borderId="0" xfId="2" applyNumberFormat="1" applyFont="1" applyFill="1" applyBorder="1" applyAlignment="1">
      <alignment horizontal="left"/>
    </xf>
    <xf numFmtId="9" fontId="53" fillId="5" borderId="26" xfId="1" applyFont="1" applyFill="1" applyBorder="1" applyAlignment="1">
      <alignment horizontal="left"/>
    </xf>
    <xf numFmtId="0" fontId="15" fillId="0" borderId="11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5" fillId="5" borderId="11" xfId="0" applyFont="1" applyFill="1" applyBorder="1" applyAlignment="1">
      <alignment horizontal="center"/>
    </xf>
    <xf numFmtId="0" fontId="15" fillId="5" borderId="13" xfId="0" applyFont="1" applyFill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0" fontId="2" fillId="4" borderId="31" xfId="0" applyFont="1" applyFill="1" applyBorder="1" applyAlignment="1">
      <alignment horizontal="center"/>
    </xf>
    <xf numFmtId="0" fontId="12" fillId="5" borderId="11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/>
    </xf>
    <xf numFmtId="0" fontId="15" fillId="7" borderId="11" xfId="0" applyFont="1" applyFill="1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33" fillId="0" borderId="11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0" fontId="33" fillId="5" borderId="11" xfId="0" applyFont="1" applyFill="1" applyBorder="1" applyAlignment="1">
      <alignment horizontal="center"/>
    </xf>
    <xf numFmtId="0" fontId="33" fillId="5" borderId="13" xfId="0" applyFont="1" applyFill="1" applyBorder="1" applyAlignment="1">
      <alignment horizontal="center"/>
    </xf>
    <xf numFmtId="0" fontId="38" fillId="5" borderId="11" xfId="0" applyFont="1" applyFill="1" applyBorder="1" applyAlignment="1">
      <alignment horizontal="center"/>
    </xf>
    <xf numFmtId="0" fontId="38" fillId="5" borderId="13" xfId="0" applyFont="1" applyFill="1" applyBorder="1" applyAlignment="1">
      <alignment horizontal="center"/>
    </xf>
    <xf numFmtId="0" fontId="38" fillId="0" borderId="11" xfId="0" applyFont="1" applyBorder="1" applyAlignment="1">
      <alignment horizontal="center"/>
    </xf>
    <xf numFmtId="0" fontId="38" fillId="0" borderId="13" xfId="0" applyFont="1" applyBorder="1" applyAlignment="1">
      <alignment horizontal="center"/>
    </xf>
    <xf numFmtId="0" fontId="15" fillId="0" borderId="48" xfId="0" applyFont="1" applyBorder="1" applyAlignment="1">
      <alignment horizontal="center"/>
    </xf>
    <xf numFmtId="0" fontId="15" fillId="0" borderId="34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40" fillId="5" borderId="11" xfId="0" applyFont="1" applyFill="1" applyBorder="1" applyAlignment="1">
      <alignment horizontal="center"/>
    </xf>
    <xf numFmtId="0" fontId="40" fillId="5" borderId="13" xfId="0" applyFont="1" applyFill="1" applyBorder="1" applyAlignment="1">
      <alignment horizontal="center"/>
    </xf>
    <xf numFmtId="0" fontId="15" fillId="5" borderId="38" xfId="0" applyFont="1" applyFill="1" applyBorder="1" applyAlignment="1">
      <alignment horizontal="center"/>
    </xf>
    <xf numFmtId="0" fontId="15" fillId="5" borderId="31" xfId="0" applyFont="1" applyFill="1" applyBorder="1" applyAlignment="1">
      <alignment horizontal="center"/>
    </xf>
    <xf numFmtId="0" fontId="15" fillId="5" borderId="48" xfId="0" applyFont="1" applyFill="1" applyBorder="1" applyAlignment="1">
      <alignment horizontal="center"/>
    </xf>
    <xf numFmtId="0" fontId="15" fillId="5" borderId="34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8" fillId="2" borderId="42" xfId="0" applyFont="1" applyFill="1" applyBorder="1" applyAlignment="1">
      <alignment horizontal="center"/>
    </xf>
  </cellXfs>
  <cellStyles count="4">
    <cellStyle name="Hiperlink" xfId="3" builtinId="8"/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F33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theme" Target="theme/theme1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styles" Target="style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169C8421-BED7-4A7D-9AD0-8548822CB4D6}">
    <nsvFilter filterId="{EF3EE55C-D26C-4865-BC27-A8904A59E69A}" ref="A1:K1" tableId="0"/>
  </namedSheetView>
</namedSheetView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68FCDAA-BAE8-414B-9215-76B8406E80EA}">
  <we:reference id="wa200002736" version="1.0.0.0" store="pt-BR" storeType="OMEX"/>
  <we:alternateReferences>
    <we:reference id="WA200002736" version="1.0.0.0" store="" storeType="OMEX"/>
  </we:alternateReferences>
  <we:properties/>
  <we:bindings/>
  <we:snapshot xmlns:r="http://schemas.openxmlformats.org/officeDocument/2006/relationships"/>
</we:webextension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15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opLeftCell="A3" zoomScaleNormal="100" workbookViewId="0">
      <selection activeCell="E4" sqref="E4"/>
    </sheetView>
  </sheetViews>
  <sheetFormatPr defaultRowHeight="15"/>
  <cols>
    <col min="3" max="3" width="36.5703125" bestFit="1" customWidth="1"/>
  </cols>
  <sheetData>
    <row r="1" spans="1:7" ht="26.25">
      <c r="A1" s="636" t="s">
        <v>0</v>
      </c>
      <c r="B1" s="637"/>
      <c r="C1" s="637"/>
      <c r="D1" s="637"/>
      <c r="E1" s="637"/>
      <c r="F1" s="637"/>
      <c r="G1" s="638"/>
    </row>
    <row r="2" spans="1:7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</row>
    <row r="3" spans="1:7">
      <c r="A3" s="5">
        <v>41758</v>
      </c>
      <c r="B3" s="6">
        <v>42123</v>
      </c>
      <c r="C3" s="7" t="s">
        <v>8</v>
      </c>
      <c r="D3" s="8" t="s">
        <v>9</v>
      </c>
      <c r="E3" s="8" t="s">
        <v>10</v>
      </c>
      <c r="F3" s="9">
        <v>0.1</v>
      </c>
      <c r="G3" s="10">
        <v>138.66999999999999</v>
      </c>
    </row>
    <row r="4" spans="1:7">
      <c r="A4" s="11">
        <v>41759</v>
      </c>
      <c r="B4" s="12">
        <v>42126</v>
      </c>
      <c r="C4" s="13" t="s">
        <v>11</v>
      </c>
      <c r="D4" s="14" t="s">
        <v>9</v>
      </c>
      <c r="E4" s="14" t="s">
        <v>12</v>
      </c>
      <c r="F4" s="15">
        <v>0.1</v>
      </c>
      <c r="G4" s="16">
        <v>107.25</v>
      </c>
    </row>
    <row r="5" spans="1:7">
      <c r="A5" s="11">
        <v>41764</v>
      </c>
      <c r="B5" s="12">
        <v>40308</v>
      </c>
      <c r="C5" s="13" t="s">
        <v>13</v>
      </c>
      <c r="D5" s="14" t="s">
        <v>14</v>
      </c>
      <c r="E5" s="14" t="s">
        <v>15</v>
      </c>
      <c r="F5" s="15">
        <v>0.1</v>
      </c>
      <c r="G5" s="16">
        <v>158.58000000000001</v>
      </c>
    </row>
    <row r="6" spans="1:7">
      <c r="A6" s="11">
        <v>41765</v>
      </c>
      <c r="B6" s="12">
        <v>42130</v>
      </c>
      <c r="C6" s="13" t="s">
        <v>16</v>
      </c>
      <c r="D6" s="14" t="s">
        <v>9</v>
      </c>
      <c r="E6" s="14" t="s">
        <v>17</v>
      </c>
      <c r="F6" s="15">
        <v>0.1</v>
      </c>
      <c r="G6" s="16">
        <v>174.42</v>
      </c>
    </row>
    <row r="7" spans="1:7">
      <c r="A7" s="11">
        <v>41766</v>
      </c>
      <c r="B7" s="12">
        <v>42131</v>
      </c>
      <c r="C7" s="13" t="s">
        <v>18</v>
      </c>
      <c r="D7" s="14" t="s">
        <v>9</v>
      </c>
      <c r="E7" s="14" t="s">
        <v>19</v>
      </c>
      <c r="F7" s="15">
        <v>0.25</v>
      </c>
      <c r="G7" s="16">
        <v>572.21</v>
      </c>
    </row>
    <row r="8" spans="1:7">
      <c r="A8" s="11">
        <v>41767</v>
      </c>
      <c r="B8" s="12">
        <v>42133</v>
      </c>
      <c r="C8" s="13" t="s">
        <v>20</v>
      </c>
      <c r="D8" s="14" t="s">
        <v>21</v>
      </c>
      <c r="E8" s="14" t="s">
        <v>22</v>
      </c>
      <c r="F8" s="15">
        <v>0.1</v>
      </c>
      <c r="G8" s="16">
        <v>102.12</v>
      </c>
    </row>
    <row r="9" spans="1:7">
      <c r="A9" s="11">
        <v>41772</v>
      </c>
      <c r="B9" s="12">
        <v>42136</v>
      </c>
      <c r="C9" s="13" t="s">
        <v>23</v>
      </c>
      <c r="D9" s="14" t="s">
        <v>9</v>
      </c>
      <c r="E9" s="14" t="s">
        <v>10</v>
      </c>
      <c r="F9" s="15">
        <v>0.1</v>
      </c>
      <c r="G9" s="16">
        <v>187.43</v>
      </c>
    </row>
    <row r="10" spans="1:7">
      <c r="A10" s="11">
        <v>41773</v>
      </c>
      <c r="B10" s="12">
        <v>42138</v>
      </c>
      <c r="C10" s="13" t="s">
        <v>24</v>
      </c>
      <c r="D10" s="14" t="s">
        <v>25</v>
      </c>
      <c r="E10" s="14" t="s">
        <v>22</v>
      </c>
      <c r="F10" s="15">
        <v>0.2</v>
      </c>
      <c r="G10" s="16">
        <v>891.89</v>
      </c>
    </row>
    <row r="11" spans="1:7">
      <c r="A11" s="11">
        <v>41774</v>
      </c>
      <c r="B11" s="12">
        <v>42145</v>
      </c>
      <c r="C11" s="13" t="s">
        <v>26</v>
      </c>
      <c r="D11" s="14" t="s">
        <v>14</v>
      </c>
      <c r="E11" s="14" t="s">
        <v>10</v>
      </c>
      <c r="F11" s="15">
        <v>0.1</v>
      </c>
      <c r="G11" s="16">
        <v>141.31</v>
      </c>
    </row>
    <row r="12" spans="1:7">
      <c r="A12" s="11">
        <v>41775</v>
      </c>
      <c r="B12" s="12">
        <v>42137</v>
      </c>
      <c r="C12" s="13" t="s">
        <v>27</v>
      </c>
      <c r="D12" s="14" t="s">
        <v>21</v>
      </c>
      <c r="E12" s="14" t="s">
        <v>22</v>
      </c>
      <c r="F12" s="15">
        <v>0.18</v>
      </c>
      <c r="G12" s="16">
        <v>173.75</v>
      </c>
    </row>
    <row r="13" spans="1:7">
      <c r="A13" s="11">
        <v>41775</v>
      </c>
      <c r="B13" s="12">
        <v>42144</v>
      </c>
      <c r="C13" s="13" t="s">
        <v>28</v>
      </c>
      <c r="D13" s="14" t="s">
        <v>14</v>
      </c>
      <c r="E13" s="14" t="s">
        <v>29</v>
      </c>
      <c r="F13" s="15">
        <v>0.1</v>
      </c>
      <c r="G13" s="16">
        <v>285.33999999999997</v>
      </c>
    </row>
    <row r="14" spans="1:7">
      <c r="A14" s="11">
        <v>41779</v>
      </c>
      <c r="B14" s="12">
        <v>42151</v>
      </c>
      <c r="C14" s="13" t="s">
        <v>30</v>
      </c>
      <c r="D14" s="14" t="s">
        <v>14</v>
      </c>
      <c r="E14" s="14" t="s">
        <v>10</v>
      </c>
      <c r="F14" s="15">
        <v>0.15</v>
      </c>
      <c r="G14" s="16">
        <v>202.6</v>
      </c>
    </row>
    <row r="15" spans="1:7">
      <c r="A15" s="11">
        <v>41780</v>
      </c>
      <c r="B15" s="12">
        <v>41780</v>
      </c>
      <c r="C15" s="13" t="s">
        <v>31</v>
      </c>
      <c r="D15" s="14" t="s">
        <v>14</v>
      </c>
      <c r="E15" s="14" t="s">
        <v>10</v>
      </c>
      <c r="F15" s="15">
        <v>0.1</v>
      </c>
      <c r="G15" s="16">
        <v>152.97999999999999</v>
      </c>
    </row>
    <row r="16" spans="1:7">
      <c r="A16" s="11">
        <v>41780</v>
      </c>
      <c r="B16" s="12">
        <v>42145</v>
      </c>
      <c r="C16" s="13" t="s">
        <v>32</v>
      </c>
      <c r="D16" s="14" t="s">
        <v>33</v>
      </c>
      <c r="E16" s="14" t="s">
        <v>15</v>
      </c>
      <c r="F16" s="15">
        <v>0.14000000000000001</v>
      </c>
      <c r="G16" s="16">
        <v>196.84</v>
      </c>
    </row>
    <row r="17" spans="1:7">
      <c r="A17" s="11">
        <v>41780</v>
      </c>
      <c r="B17" s="12">
        <v>42155</v>
      </c>
      <c r="C17" s="13" t="s">
        <v>34</v>
      </c>
      <c r="D17" s="14" t="s">
        <v>14</v>
      </c>
      <c r="E17" s="14" t="s">
        <v>10</v>
      </c>
      <c r="F17" s="15">
        <v>0.15</v>
      </c>
      <c r="G17" s="16">
        <v>347.18</v>
      </c>
    </row>
    <row r="18" spans="1:7">
      <c r="A18" s="11">
        <v>41780</v>
      </c>
      <c r="B18" s="12">
        <v>42146</v>
      </c>
      <c r="C18" s="13" t="s">
        <v>35</v>
      </c>
      <c r="D18" s="14" t="s">
        <v>21</v>
      </c>
      <c r="E18" s="14" t="s">
        <v>22</v>
      </c>
      <c r="F18" s="15">
        <v>0.1</v>
      </c>
      <c r="G18" s="16">
        <v>166.86</v>
      </c>
    </row>
    <row r="19" spans="1:7">
      <c r="A19" s="11">
        <v>41782</v>
      </c>
      <c r="B19" s="12">
        <v>42147</v>
      </c>
      <c r="C19" s="13" t="s">
        <v>36</v>
      </c>
      <c r="D19" s="14" t="s">
        <v>9</v>
      </c>
      <c r="E19" s="14" t="s">
        <v>17</v>
      </c>
      <c r="F19" s="15">
        <v>0.15</v>
      </c>
      <c r="G19" s="16">
        <v>203.24</v>
      </c>
    </row>
    <row r="20" spans="1:7">
      <c r="A20" s="11">
        <v>41787</v>
      </c>
      <c r="B20" s="12">
        <v>42152</v>
      </c>
      <c r="C20" s="13" t="s">
        <v>37</v>
      </c>
      <c r="D20" s="14" t="s">
        <v>9</v>
      </c>
      <c r="E20" s="14" t="s">
        <v>17</v>
      </c>
      <c r="F20" s="15">
        <v>0.1</v>
      </c>
      <c r="G20" s="16">
        <v>138.30000000000001</v>
      </c>
    </row>
    <row r="21" spans="1:7">
      <c r="A21" s="11">
        <v>41788</v>
      </c>
      <c r="B21" s="12">
        <v>42153</v>
      </c>
      <c r="C21" s="13" t="s">
        <v>38</v>
      </c>
      <c r="D21" s="14" t="s">
        <v>25</v>
      </c>
      <c r="E21" s="14" t="s">
        <v>29</v>
      </c>
      <c r="F21" s="15">
        <v>0.2</v>
      </c>
      <c r="G21" s="16">
        <v>240.61</v>
      </c>
    </row>
    <row r="22" spans="1:7">
      <c r="A22" s="11"/>
      <c r="B22" s="12"/>
      <c r="C22" s="13"/>
      <c r="D22" s="14"/>
      <c r="E22" s="14"/>
      <c r="F22" s="14"/>
      <c r="G22" s="16"/>
    </row>
    <row r="23" spans="1:7">
      <c r="A23" s="11"/>
      <c r="B23" s="14"/>
      <c r="C23" s="13"/>
      <c r="D23" s="14"/>
      <c r="E23" s="14"/>
      <c r="F23" s="14"/>
      <c r="G23" s="16"/>
    </row>
    <row r="24" spans="1:7" ht="19.5">
      <c r="A24" s="639" t="s">
        <v>39</v>
      </c>
      <c r="B24" s="640"/>
      <c r="C24" s="640"/>
      <c r="D24" s="640"/>
      <c r="E24" s="640"/>
      <c r="F24" s="641"/>
      <c r="G24" s="17">
        <f>SUM(G3:G23)</f>
        <v>4581.58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topLeftCell="A6" workbookViewId="0">
      <selection activeCell="C18" activeCellId="3" sqref="C15 C16 C17 C18"/>
    </sheetView>
  </sheetViews>
  <sheetFormatPr defaultRowHeight="15"/>
  <cols>
    <col min="2" max="2" width="11.5703125" bestFit="1" customWidth="1"/>
    <col min="3" max="3" width="43.85546875" bestFit="1" customWidth="1"/>
    <col min="4" max="4" width="18.28515625" bestFit="1" customWidth="1"/>
    <col min="5" max="5" width="14.140625" bestFit="1" customWidth="1"/>
    <col min="6" max="6" width="13.42578125" bestFit="1" customWidth="1"/>
    <col min="7" max="7" width="21" bestFit="1" customWidth="1"/>
  </cols>
  <sheetData>
    <row r="1" spans="1:7" ht="26.25">
      <c r="A1" s="642" t="s">
        <v>40</v>
      </c>
      <c r="B1" s="643"/>
      <c r="C1" s="643"/>
      <c r="D1" s="643"/>
      <c r="E1" s="643"/>
      <c r="F1" s="643"/>
      <c r="G1" s="644"/>
    </row>
    <row r="2" spans="1:7">
      <c r="A2" s="18" t="s">
        <v>1</v>
      </c>
      <c r="B2" s="19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1" t="s">
        <v>7</v>
      </c>
    </row>
    <row r="3" spans="1:7">
      <c r="A3" s="22">
        <v>41794</v>
      </c>
      <c r="B3" s="12">
        <v>42159</v>
      </c>
      <c r="C3" s="14" t="s">
        <v>41</v>
      </c>
      <c r="D3" s="14" t="s">
        <v>25</v>
      </c>
      <c r="E3" s="14" t="s">
        <v>17</v>
      </c>
      <c r="F3" s="15">
        <v>0.15</v>
      </c>
      <c r="G3" s="23">
        <v>190.13</v>
      </c>
    </row>
    <row r="4" spans="1:7">
      <c r="A4" s="22">
        <v>41794</v>
      </c>
      <c r="B4" s="12">
        <v>42159</v>
      </c>
      <c r="C4" s="14" t="s">
        <v>42</v>
      </c>
      <c r="D4" s="14" t="s">
        <v>9</v>
      </c>
      <c r="E4" s="14" t="s">
        <v>17</v>
      </c>
      <c r="F4" s="15">
        <v>0.11</v>
      </c>
      <c r="G4" s="23">
        <v>134.27000000000001</v>
      </c>
    </row>
    <row r="5" spans="1:7">
      <c r="A5" s="22">
        <v>41795</v>
      </c>
      <c r="B5" s="12">
        <v>42157</v>
      </c>
      <c r="C5" s="14" t="s">
        <v>43</v>
      </c>
      <c r="D5" s="14" t="s">
        <v>14</v>
      </c>
      <c r="E5" s="14" t="s">
        <v>10</v>
      </c>
      <c r="F5" s="15">
        <v>0.1</v>
      </c>
      <c r="G5" s="23">
        <v>203.93</v>
      </c>
    </row>
    <row r="6" spans="1:7">
      <c r="A6" s="22">
        <v>41795</v>
      </c>
      <c r="B6" s="12">
        <v>42160</v>
      </c>
      <c r="C6" s="14" t="s">
        <v>44</v>
      </c>
      <c r="D6" s="14" t="s">
        <v>9</v>
      </c>
      <c r="E6" s="14" t="s">
        <v>45</v>
      </c>
      <c r="F6" s="15">
        <v>0.1</v>
      </c>
      <c r="G6" s="23">
        <v>265.2</v>
      </c>
    </row>
    <row r="7" spans="1:7">
      <c r="A7" s="22">
        <v>41796</v>
      </c>
      <c r="B7" s="12">
        <v>42167</v>
      </c>
      <c r="C7" s="14" t="s">
        <v>46</v>
      </c>
      <c r="D7" s="14" t="s">
        <v>14</v>
      </c>
      <c r="E7" s="14" t="s">
        <v>10</v>
      </c>
      <c r="F7" s="15">
        <v>0.19</v>
      </c>
      <c r="G7" s="23">
        <v>245.04</v>
      </c>
    </row>
    <row r="8" spans="1:7">
      <c r="A8" s="22">
        <v>41801</v>
      </c>
      <c r="B8" s="12">
        <v>42168</v>
      </c>
      <c r="C8" s="14" t="s">
        <v>47</v>
      </c>
      <c r="D8" s="14" t="s">
        <v>33</v>
      </c>
      <c r="E8" s="14" t="s">
        <v>17</v>
      </c>
      <c r="F8" s="15">
        <v>0.1</v>
      </c>
      <c r="G8" s="23">
        <v>113.87</v>
      </c>
    </row>
    <row r="9" spans="1:7">
      <c r="A9" s="22">
        <v>41801</v>
      </c>
      <c r="B9" s="12">
        <v>42169</v>
      </c>
      <c r="C9" s="14" t="s">
        <v>48</v>
      </c>
      <c r="D9" s="14" t="s">
        <v>25</v>
      </c>
      <c r="E9" s="14" t="s">
        <v>19</v>
      </c>
      <c r="F9" s="15">
        <v>0.1</v>
      </c>
      <c r="G9" s="23">
        <v>97.06</v>
      </c>
    </row>
    <row r="10" spans="1:7">
      <c r="A10" s="22">
        <v>41801</v>
      </c>
      <c r="B10" s="12">
        <v>42167</v>
      </c>
      <c r="C10" s="14" t="s">
        <v>49</v>
      </c>
      <c r="D10" s="14" t="s">
        <v>14</v>
      </c>
      <c r="E10" s="14" t="s">
        <v>10</v>
      </c>
      <c r="F10" s="15">
        <v>0.1</v>
      </c>
      <c r="G10" s="23">
        <v>81.650000000000006</v>
      </c>
    </row>
    <row r="11" spans="1:7">
      <c r="A11" s="22">
        <v>41802</v>
      </c>
      <c r="B11" s="12">
        <v>42169</v>
      </c>
      <c r="C11" s="14" t="s">
        <v>50</v>
      </c>
      <c r="D11" s="14" t="s">
        <v>14</v>
      </c>
      <c r="E11" s="14" t="s">
        <v>15</v>
      </c>
      <c r="F11" s="15">
        <v>0.13</v>
      </c>
      <c r="G11" s="23">
        <v>149.71</v>
      </c>
    </row>
    <row r="12" spans="1:7">
      <c r="A12" s="22">
        <v>41806</v>
      </c>
      <c r="B12" s="12">
        <v>42172</v>
      </c>
      <c r="C12" s="14" t="s">
        <v>51</v>
      </c>
      <c r="D12" s="14">
        <v>10</v>
      </c>
      <c r="E12" s="14" t="s">
        <v>17</v>
      </c>
      <c r="F12" s="15">
        <v>0.1</v>
      </c>
      <c r="G12" s="23">
        <v>84.83</v>
      </c>
    </row>
    <row r="13" spans="1:7">
      <c r="A13" s="22">
        <v>41807</v>
      </c>
      <c r="B13" s="12">
        <v>41808</v>
      </c>
      <c r="C13" s="14" t="s">
        <v>52</v>
      </c>
      <c r="D13" s="14" t="s">
        <v>9</v>
      </c>
      <c r="E13" s="14" t="s">
        <v>17</v>
      </c>
      <c r="F13" s="15">
        <v>0.1</v>
      </c>
      <c r="G13" s="23">
        <v>203.54</v>
      </c>
    </row>
    <row r="14" spans="1:7">
      <c r="A14" s="22">
        <v>41808</v>
      </c>
      <c r="B14" s="12">
        <v>41813</v>
      </c>
      <c r="C14" s="14" t="s">
        <v>53</v>
      </c>
      <c r="D14" s="14" t="s">
        <v>14</v>
      </c>
      <c r="E14" s="14" t="s">
        <v>10</v>
      </c>
      <c r="F14" s="15">
        <v>0.15</v>
      </c>
      <c r="G14" s="23">
        <v>167.05</v>
      </c>
    </row>
    <row r="15" spans="1:7">
      <c r="A15" s="22"/>
      <c r="B15" s="12">
        <v>41814</v>
      </c>
      <c r="C15" s="14" t="s">
        <v>54</v>
      </c>
      <c r="D15" s="14" t="s">
        <v>14</v>
      </c>
      <c r="E15" s="14" t="s">
        <v>10</v>
      </c>
      <c r="F15" s="15">
        <v>0.1</v>
      </c>
      <c r="G15" s="23">
        <v>98.99</v>
      </c>
    </row>
    <row r="16" spans="1:7">
      <c r="A16" s="22"/>
      <c r="B16" s="12">
        <v>41815</v>
      </c>
      <c r="C16" s="14" t="s">
        <v>55</v>
      </c>
      <c r="D16" s="14" t="s">
        <v>56</v>
      </c>
      <c r="E16" s="14" t="s">
        <v>57</v>
      </c>
      <c r="F16" s="15">
        <v>0.1</v>
      </c>
      <c r="G16" s="23">
        <v>150.46</v>
      </c>
    </row>
    <row r="17" spans="1:7">
      <c r="A17" s="22"/>
      <c r="B17" s="12">
        <v>41812</v>
      </c>
      <c r="C17" s="14" t="s">
        <v>58</v>
      </c>
      <c r="D17" s="14" t="s">
        <v>9</v>
      </c>
      <c r="E17" s="14" t="s">
        <v>59</v>
      </c>
      <c r="F17" s="15">
        <v>0.1</v>
      </c>
      <c r="G17" s="23">
        <v>82.02</v>
      </c>
    </row>
    <row r="18" spans="1:7">
      <c r="A18" s="22"/>
      <c r="B18" s="12">
        <v>41814</v>
      </c>
      <c r="C18" s="14" t="s">
        <v>60</v>
      </c>
      <c r="D18" s="14" t="s">
        <v>61</v>
      </c>
      <c r="E18" s="14" t="s">
        <v>19</v>
      </c>
      <c r="F18" s="15">
        <v>0.1</v>
      </c>
      <c r="G18" s="23">
        <v>132.6</v>
      </c>
    </row>
    <row r="19" spans="1:7">
      <c r="A19" s="22"/>
      <c r="B19" s="12">
        <v>41810</v>
      </c>
      <c r="C19" s="14" t="s">
        <v>62</v>
      </c>
      <c r="D19" s="14" t="s">
        <v>14</v>
      </c>
      <c r="E19" s="14" t="s">
        <v>10</v>
      </c>
      <c r="F19" s="15">
        <v>0.1</v>
      </c>
      <c r="G19" s="23">
        <v>108.87</v>
      </c>
    </row>
    <row r="20" spans="1:7">
      <c r="A20" s="22"/>
      <c r="B20" s="12">
        <v>41810</v>
      </c>
      <c r="C20" s="14" t="s">
        <v>63</v>
      </c>
      <c r="D20" s="14" t="s">
        <v>14</v>
      </c>
      <c r="E20" s="14" t="s">
        <v>10</v>
      </c>
      <c r="F20" s="15">
        <v>0.25</v>
      </c>
      <c r="G20" s="23">
        <v>175.66</v>
      </c>
    </row>
    <row r="21" spans="1:7">
      <c r="A21" s="22"/>
      <c r="B21" s="12">
        <v>41803</v>
      </c>
      <c r="C21" s="14" t="s">
        <v>64</v>
      </c>
      <c r="D21" s="14" t="s">
        <v>9</v>
      </c>
      <c r="E21" s="14" t="s">
        <v>17</v>
      </c>
      <c r="F21" s="15">
        <v>0.1</v>
      </c>
      <c r="G21" s="23">
        <v>183.07</v>
      </c>
    </row>
    <row r="22" spans="1:7">
      <c r="A22" s="22"/>
      <c r="B22" s="12"/>
      <c r="C22" s="14"/>
      <c r="D22" s="14"/>
      <c r="E22" s="14"/>
      <c r="F22" s="14"/>
      <c r="G22" s="23"/>
    </row>
    <row r="23" spans="1:7" ht="19.5">
      <c r="A23" s="645" t="s">
        <v>39</v>
      </c>
      <c r="B23" s="646"/>
      <c r="C23" s="646"/>
      <c r="D23" s="646"/>
      <c r="E23" s="646"/>
      <c r="F23" s="647"/>
      <c r="G23" s="24">
        <f>SUM(G3:G22)</f>
        <v>2867.95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topLeftCell="A9" workbookViewId="0">
      <selection activeCell="C25" activeCellId="5" sqref="C4 C8 C10 C18 C20 C25"/>
    </sheetView>
  </sheetViews>
  <sheetFormatPr defaultRowHeight="15"/>
  <cols>
    <col min="3" max="3" width="42" bestFit="1" customWidth="1"/>
  </cols>
  <sheetData>
    <row r="1" spans="1:7" ht="26.25">
      <c r="A1" s="642" t="s">
        <v>65</v>
      </c>
      <c r="B1" s="643"/>
      <c r="C1" s="643"/>
      <c r="D1" s="643"/>
      <c r="E1" s="643"/>
      <c r="F1" s="643"/>
      <c r="G1" s="644"/>
    </row>
    <row r="2" spans="1:7">
      <c r="A2" s="18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5" t="s">
        <v>7</v>
      </c>
    </row>
    <row r="3" spans="1:7">
      <c r="A3" s="22"/>
      <c r="B3" s="26">
        <v>41822</v>
      </c>
      <c r="C3" s="13" t="s">
        <v>66</v>
      </c>
      <c r="D3" s="14" t="s">
        <v>21</v>
      </c>
      <c r="E3" s="13" t="s">
        <v>22</v>
      </c>
      <c r="F3" s="27">
        <v>0.25</v>
      </c>
      <c r="G3" s="33">
        <v>398.07</v>
      </c>
    </row>
    <row r="4" spans="1:7">
      <c r="A4" s="22"/>
      <c r="B4" s="26">
        <v>41822</v>
      </c>
      <c r="C4" s="13" t="s">
        <v>67</v>
      </c>
      <c r="D4" s="14" t="s">
        <v>14</v>
      </c>
      <c r="E4" s="13" t="s">
        <v>10</v>
      </c>
      <c r="F4" s="27">
        <v>0.1</v>
      </c>
      <c r="G4" s="33">
        <v>100.23</v>
      </c>
    </row>
    <row r="5" spans="1:7">
      <c r="A5" s="22"/>
      <c r="B5" s="26">
        <v>41822</v>
      </c>
      <c r="C5" s="13" t="s">
        <v>68</v>
      </c>
      <c r="D5" s="14" t="s">
        <v>14</v>
      </c>
      <c r="E5" s="13" t="s">
        <v>10</v>
      </c>
      <c r="F5" s="27">
        <v>0.1</v>
      </c>
      <c r="G5" s="33">
        <v>177.15</v>
      </c>
    </row>
    <row r="6" spans="1:7">
      <c r="A6" s="22"/>
      <c r="B6" s="26">
        <v>41825</v>
      </c>
      <c r="C6" s="13" t="s">
        <v>69</v>
      </c>
      <c r="D6" s="14" t="s">
        <v>70</v>
      </c>
      <c r="E6" s="13" t="s">
        <v>22</v>
      </c>
      <c r="F6" s="27">
        <v>0.25</v>
      </c>
      <c r="G6" s="33">
        <v>636.79</v>
      </c>
    </row>
    <row r="7" spans="1:7">
      <c r="A7" s="22"/>
      <c r="B7" s="26">
        <v>41823</v>
      </c>
      <c r="C7" s="13" t="s">
        <v>71</v>
      </c>
      <c r="D7" s="14" t="s">
        <v>14</v>
      </c>
      <c r="E7" s="13" t="s">
        <v>45</v>
      </c>
      <c r="F7" s="27">
        <v>0.1</v>
      </c>
      <c r="G7" s="33">
        <v>225.65</v>
      </c>
    </row>
    <row r="8" spans="1:7">
      <c r="A8" s="22"/>
      <c r="B8" s="26">
        <v>41823</v>
      </c>
      <c r="C8" s="13" t="s">
        <v>72</v>
      </c>
      <c r="D8" s="14" t="s">
        <v>9</v>
      </c>
      <c r="E8" s="13" t="s">
        <v>10</v>
      </c>
      <c r="F8" s="27">
        <v>0.1</v>
      </c>
      <c r="G8" s="33">
        <v>110.43</v>
      </c>
    </row>
    <row r="9" spans="1:7">
      <c r="A9" s="22"/>
      <c r="B9" s="26">
        <v>41828</v>
      </c>
      <c r="C9" s="13" t="s">
        <v>73</v>
      </c>
      <c r="D9" s="14" t="s">
        <v>14</v>
      </c>
      <c r="E9" s="13" t="s">
        <v>22</v>
      </c>
      <c r="F9" s="27">
        <v>0.25</v>
      </c>
      <c r="G9" s="33">
        <v>220.77</v>
      </c>
    </row>
    <row r="10" spans="1:7">
      <c r="A10" s="22"/>
      <c r="B10" s="13"/>
      <c r="C10" s="13" t="s">
        <v>74</v>
      </c>
      <c r="D10" s="14" t="s">
        <v>21</v>
      </c>
      <c r="E10" s="13" t="s">
        <v>75</v>
      </c>
      <c r="F10" s="27">
        <v>0.15</v>
      </c>
      <c r="G10" s="33">
        <v>181.89</v>
      </c>
    </row>
    <row r="11" spans="1:7">
      <c r="A11" s="22"/>
      <c r="B11" s="26">
        <v>41830</v>
      </c>
      <c r="C11" s="13" t="s">
        <v>76</v>
      </c>
      <c r="D11" s="14" t="s">
        <v>14</v>
      </c>
      <c r="E11" s="13" t="s">
        <v>22</v>
      </c>
      <c r="F11" s="27">
        <v>0.2</v>
      </c>
      <c r="G11" s="33">
        <v>115.33</v>
      </c>
    </row>
    <row r="12" spans="1:7">
      <c r="A12" s="22"/>
      <c r="B12" s="26">
        <v>41827</v>
      </c>
      <c r="C12" s="13" t="s">
        <v>77</v>
      </c>
      <c r="D12" s="14" t="s">
        <v>14</v>
      </c>
      <c r="E12" s="13" t="s">
        <v>10</v>
      </c>
      <c r="F12" s="27">
        <v>0.1</v>
      </c>
      <c r="G12" s="33">
        <v>118.53</v>
      </c>
    </row>
    <row r="13" spans="1:7">
      <c r="A13" s="22"/>
      <c r="B13" s="26">
        <v>41830</v>
      </c>
      <c r="C13" s="13" t="s">
        <v>78</v>
      </c>
      <c r="D13" s="14" t="s">
        <v>33</v>
      </c>
      <c r="E13" s="13" t="s">
        <v>29</v>
      </c>
      <c r="F13" s="27">
        <v>0.25</v>
      </c>
      <c r="G13" s="33">
        <v>326</v>
      </c>
    </row>
    <row r="14" spans="1:7">
      <c r="A14" s="22"/>
      <c r="B14" s="26">
        <v>41830</v>
      </c>
      <c r="C14" s="13" t="s">
        <v>79</v>
      </c>
      <c r="D14" s="14" t="s">
        <v>9</v>
      </c>
      <c r="E14" s="13" t="s">
        <v>17</v>
      </c>
      <c r="F14" s="34">
        <v>0.17349999999999999</v>
      </c>
      <c r="G14" s="33">
        <v>266.42</v>
      </c>
    </row>
    <row r="15" spans="1:7">
      <c r="A15" s="22"/>
      <c r="B15" s="26">
        <v>41835</v>
      </c>
      <c r="C15" s="13" t="s">
        <v>80</v>
      </c>
      <c r="D15" s="14" t="s">
        <v>14</v>
      </c>
      <c r="E15" s="13" t="s">
        <v>10</v>
      </c>
      <c r="F15" s="27">
        <v>0.1</v>
      </c>
      <c r="G15" s="33">
        <v>122.66</v>
      </c>
    </row>
    <row r="16" spans="1:7">
      <c r="A16" s="22"/>
      <c r="B16" s="26">
        <v>41839</v>
      </c>
      <c r="C16" s="13" t="s">
        <v>81</v>
      </c>
      <c r="D16" s="14" t="s">
        <v>21</v>
      </c>
      <c r="E16" s="13" t="s">
        <v>75</v>
      </c>
      <c r="F16" s="27">
        <v>0.15</v>
      </c>
      <c r="G16" s="33">
        <v>347.21</v>
      </c>
    </row>
    <row r="17" spans="1:7">
      <c r="A17" s="22"/>
      <c r="B17" s="26">
        <v>41835</v>
      </c>
      <c r="C17" s="13" t="s">
        <v>82</v>
      </c>
      <c r="D17" s="14" t="s">
        <v>14</v>
      </c>
      <c r="E17" s="13" t="s">
        <v>83</v>
      </c>
      <c r="F17" s="27">
        <v>0.2</v>
      </c>
      <c r="G17" s="33">
        <v>377.56</v>
      </c>
    </row>
    <row r="18" spans="1:7">
      <c r="A18" s="22"/>
      <c r="B18" s="26">
        <v>41831</v>
      </c>
      <c r="C18" s="13" t="s">
        <v>84</v>
      </c>
      <c r="D18" s="14" t="s">
        <v>9</v>
      </c>
      <c r="E18" s="13" t="s">
        <v>10</v>
      </c>
      <c r="F18" s="27">
        <v>0.1</v>
      </c>
      <c r="G18" s="33">
        <v>118.56</v>
      </c>
    </row>
    <row r="19" spans="1:7">
      <c r="A19" s="22"/>
      <c r="B19" s="26">
        <v>41844</v>
      </c>
      <c r="C19" s="13" t="s">
        <v>85</v>
      </c>
      <c r="D19" s="14" t="s">
        <v>9</v>
      </c>
      <c r="E19" s="13" t="s">
        <v>17</v>
      </c>
      <c r="F19" s="27">
        <v>0.1</v>
      </c>
      <c r="G19" s="33">
        <v>71.28</v>
      </c>
    </row>
    <row r="20" spans="1:7">
      <c r="A20" s="22"/>
      <c r="B20" s="26">
        <v>41845</v>
      </c>
      <c r="C20" s="13" t="s">
        <v>86</v>
      </c>
      <c r="D20" s="14" t="s">
        <v>61</v>
      </c>
      <c r="E20" s="13" t="s">
        <v>19</v>
      </c>
      <c r="F20" s="27">
        <v>0.1</v>
      </c>
      <c r="G20" s="33">
        <v>111.16</v>
      </c>
    </row>
    <row r="21" spans="1:7">
      <c r="A21" s="22"/>
      <c r="B21" s="26">
        <v>41842</v>
      </c>
      <c r="C21" s="13" t="s">
        <v>87</v>
      </c>
      <c r="D21" s="14" t="s">
        <v>14</v>
      </c>
      <c r="E21" s="13" t="s">
        <v>22</v>
      </c>
      <c r="F21" s="27">
        <v>0.15</v>
      </c>
      <c r="G21" s="33">
        <v>132.79</v>
      </c>
    </row>
    <row r="22" spans="1:7">
      <c r="A22" s="22"/>
      <c r="B22" s="26">
        <v>41842</v>
      </c>
      <c r="C22" s="13" t="s">
        <v>88</v>
      </c>
      <c r="D22" s="14" t="s">
        <v>14</v>
      </c>
      <c r="E22" s="13" t="s">
        <v>22</v>
      </c>
      <c r="F22" s="27">
        <v>0.1</v>
      </c>
      <c r="G22" s="33">
        <v>218.54</v>
      </c>
    </row>
    <row r="23" spans="1:7">
      <c r="A23" s="22"/>
      <c r="B23" s="26">
        <v>41849</v>
      </c>
      <c r="C23" s="13" t="s">
        <v>89</v>
      </c>
      <c r="D23" s="14" t="s">
        <v>61</v>
      </c>
      <c r="E23" s="13" t="s">
        <v>90</v>
      </c>
      <c r="F23" s="27">
        <v>0.15</v>
      </c>
      <c r="G23" s="33">
        <v>335.04</v>
      </c>
    </row>
    <row r="24" spans="1:7">
      <c r="A24" s="22"/>
      <c r="B24" s="26">
        <v>41848</v>
      </c>
      <c r="C24" s="13" t="s">
        <v>91</v>
      </c>
      <c r="D24" s="14" t="s">
        <v>9</v>
      </c>
      <c r="E24" s="13" t="s">
        <v>10</v>
      </c>
      <c r="F24" s="27">
        <v>0.1</v>
      </c>
      <c r="G24" s="33">
        <v>110.38</v>
      </c>
    </row>
    <row r="25" spans="1:7">
      <c r="A25" s="22"/>
      <c r="B25" s="26">
        <v>41848</v>
      </c>
      <c r="C25" s="13" t="s">
        <v>92</v>
      </c>
      <c r="D25" s="14" t="s">
        <v>14</v>
      </c>
      <c r="E25" s="13" t="s">
        <v>19</v>
      </c>
      <c r="F25" s="27">
        <v>0.1</v>
      </c>
      <c r="G25" s="33">
        <v>68.430000000000007</v>
      </c>
    </row>
    <row r="26" spans="1:7" ht="19.5">
      <c r="A26" s="645" t="s">
        <v>39</v>
      </c>
      <c r="B26" s="646"/>
      <c r="C26" s="646"/>
      <c r="D26" s="646"/>
      <c r="E26" s="646"/>
      <c r="F26" s="647"/>
      <c r="G26" s="29">
        <f>SUM(G3:G25)</f>
        <v>4890.8700000000008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"/>
  <sheetViews>
    <sheetView topLeftCell="A6" zoomScaleNormal="100" workbookViewId="0">
      <selection activeCell="C20" activeCellId="11" sqref="C3 C4 C5 C6 C7 C8 C9 C10 C12 C13 C14 C20"/>
    </sheetView>
  </sheetViews>
  <sheetFormatPr defaultRowHeight="15"/>
  <cols>
    <col min="3" max="3" width="34.85546875" bestFit="1" customWidth="1"/>
  </cols>
  <sheetData>
    <row r="1" spans="1:9" ht="26.25">
      <c r="A1" s="642" t="s">
        <v>93</v>
      </c>
      <c r="B1" s="643"/>
      <c r="C1" s="643"/>
      <c r="D1" s="643"/>
      <c r="E1" s="643"/>
      <c r="F1" s="643"/>
      <c r="G1" s="644"/>
      <c r="H1" s="35"/>
      <c r="I1" s="35"/>
    </row>
    <row r="2" spans="1:9">
      <c r="A2" s="18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5" t="s">
        <v>7</v>
      </c>
      <c r="H2" s="648" t="s">
        <v>94</v>
      </c>
      <c r="I2" s="111"/>
    </row>
    <row r="3" spans="1:9">
      <c r="A3" s="22"/>
      <c r="B3" s="26">
        <v>41860</v>
      </c>
      <c r="C3" s="13" t="s">
        <v>95</v>
      </c>
      <c r="D3" s="14" t="s">
        <v>14</v>
      </c>
      <c r="E3" s="13" t="s">
        <v>59</v>
      </c>
      <c r="F3" s="27">
        <v>0.1</v>
      </c>
      <c r="G3" s="33">
        <v>83.97</v>
      </c>
      <c r="H3" s="40"/>
      <c r="I3" s="37"/>
    </row>
    <row r="4" spans="1:9">
      <c r="A4" s="22"/>
      <c r="B4" s="26">
        <v>41861</v>
      </c>
      <c r="C4" s="13" t="s">
        <v>96</v>
      </c>
      <c r="D4" s="14" t="s">
        <v>14</v>
      </c>
      <c r="E4" s="13" t="s">
        <v>15</v>
      </c>
      <c r="F4" s="27">
        <v>0.1</v>
      </c>
      <c r="G4" s="33">
        <v>140.62</v>
      </c>
      <c r="H4" s="41"/>
      <c r="I4" s="38"/>
    </row>
    <row r="5" spans="1:9">
      <c r="A5" s="22"/>
      <c r="B5" s="26">
        <v>41863</v>
      </c>
      <c r="C5" s="13" t="s">
        <v>97</v>
      </c>
      <c r="D5" s="14" t="s">
        <v>61</v>
      </c>
      <c r="E5" s="13" t="s">
        <v>19</v>
      </c>
      <c r="F5" s="27">
        <v>0.1</v>
      </c>
      <c r="G5" s="33">
        <v>142.38999999999999</v>
      </c>
      <c r="H5" s="41"/>
      <c r="I5" s="38"/>
    </row>
    <row r="6" spans="1:9">
      <c r="A6" s="22"/>
      <c r="B6" s="26">
        <v>41866</v>
      </c>
      <c r="C6" s="13" t="s">
        <v>98</v>
      </c>
      <c r="D6" s="14" t="s">
        <v>21</v>
      </c>
      <c r="E6" s="13" t="s">
        <v>22</v>
      </c>
      <c r="F6" s="27">
        <v>0.1</v>
      </c>
      <c r="G6" s="33">
        <v>204.36</v>
      </c>
      <c r="H6" s="41"/>
      <c r="I6" s="38"/>
    </row>
    <row r="7" spans="1:9">
      <c r="A7" s="22"/>
      <c r="B7" s="26">
        <v>41863</v>
      </c>
      <c r="C7" s="13" t="s">
        <v>99</v>
      </c>
      <c r="D7" s="14" t="s">
        <v>61</v>
      </c>
      <c r="E7" s="13" t="s">
        <v>19</v>
      </c>
      <c r="F7" s="27">
        <v>0.1</v>
      </c>
      <c r="G7" s="33">
        <v>159.9</v>
      </c>
      <c r="H7" s="41">
        <v>79.95</v>
      </c>
      <c r="I7" s="38" t="s">
        <v>100</v>
      </c>
    </row>
    <row r="8" spans="1:9">
      <c r="A8" s="22"/>
      <c r="B8" s="26">
        <v>41866</v>
      </c>
      <c r="C8" s="13" t="s">
        <v>101</v>
      </c>
      <c r="D8" s="14" t="s">
        <v>9</v>
      </c>
      <c r="E8" s="13" t="s">
        <v>59</v>
      </c>
      <c r="F8" s="27">
        <v>0.2</v>
      </c>
      <c r="G8" s="33">
        <v>211.12</v>
      </c>
      <c r="H8" s="42"/>
      <c r="I8" s="39"/>
    </row>
    <row r="9" spans="1:9">
      <c r="A9" s="22"/>
      <c r="B9" s="26">
        <v>41867</v>
      </c>
      <c r="C9" s="13" t="s">
        <v>102</v>
      </c>
      <c r="D9" s="14" t="s">
        <v>103</v>
      </c>
      <c r="E9" s="13" t="s">
        <v>29</v>
      </c>
      <c r="F9" s="27">
        <v>0.1</v>
      </c>
      <c r="G9" s="33">
        <v>178.93</v>
      </c>
      <c r="H9" s="42"/>
      <c r="I9" s="39"/>
    </row>
    <row r="10" spans="1:9">
      <c r="A10" s="22"/>
      <c r="B10" s="26">
        <v>41871</v>
      </c>
      <c r="C10" s="13" t="s">
        <v>104</v>
      </c>
      <c r="D10" s="15" t="s">
        <v>9</v>
      </c>
      <c r="E10" s="13" t="s">
        <v>10</v>
      </c>
      <c r="F10" s="27">
        <v>0.25</v>
      </c>
      <c r="G10" s="33">
        <v>289</v>
      </c>
      <c r="H10" s="42"/>
      <c r="I10" s="39"/>
    </row>
    <row r="11" spans="1:9">
      <c r="A11" s="22"/>
      <c r="B11" s="26"/>
      <c r="C11" s="13"/>
      <c r="D11" s="14"/>
      <c r="E11" s="13"/>
      <c r="F11" s="27"/>
      <c r="G11" s="33"/>
      <c r="H11" s="42"/>
      <c r="I11" s="39"/>
    </row>
    <row r="12" spans="1:9">
      <c r="A12" s="22"/>
      <c r="B12" s="26">
        <v>41871</v>
      </c>
      <c r="C12" s="13" t="s">
        <v>105</v>
      </c>
      <c r="D12" s="14" t="s">
        <v>61</v>
      </c>
      <c r="E12" s="13" t="s">
        <v>19</v>
      </c>
      <c r="F12" s="27">
        <v>0.1</v>
      </c>
      <c r="G12" s="33">
        <v>125.45</v>
      </c>
      <c r="H12" s="42"/>
      <c r="I12" s="39"/>
    </row>
    <row r="13" spans="1:9">
      <c r="A13" s="22"/>
      <c r="B13" s="26">
        <v>41873</v>
      </c>
      <c r="C13" s="13" t="s">
        <v>106</v>
      </c>
      <c r="D13" s="14" t="s">
        <v>14</v>
      </c>
      <c r="E13" s="13" t="s">
        <v>10</v>
      </c>
      <c r="F13" s="27">
        <v>0.1</v>
      </c>
      <c r="G13" s="33">
        <v>135.88999999999999</v>
      </c>
      <c r="H13" s="42"/>
      <c r="I13" s="39"/>
    </row>
    <row r="14" spans="1:9">
      <c r="A14" s="22"/>
      <c r="B14" s="26">
        <v>41874</v>
      </c>
      <c r="C14" s="13" t="s">
        <v>107</v>
      </c>
      <c r="D14" s="14" t="s">
        <v>61</v>
      </c>
      <c r="E14" s="13" t="s">
        <v>19</v>
      </c>
      <c r="F14" s="27">
        <v>0.1</v>
      </c>
      <c r="G14" s="33">
        <v>204.53</v>
      </c>
      <c r="H14" s="42"/>
      <c r="I14" s="39"/>
    </row>
    <row r="15" spans="1:9">
      <c r="A15" s="22"/>
      <c r="B15" s="26">
        <v>41876</v>
      </c>
      <c r="C15" s="13" t="s">
        <v>108</v>
      </c>
      <c r="D15" s="14" t="s">
        <v>61</v>
      </c>
      <c r="E15" s="13" t="s">
        <v>19</v>
      </c>
      <c r="F15" s="27">
        <v>0.1</v>
      </c>
      <c r="G15" s="33">
        <v>72.22</v>
      </c>
      <c r="H15" s="42"/>
      <c r="I15" s="39"/>
    </row>
    <row r="16" spans="1:9">
      <c r="A16" s="22"/>
      <c r="B16" s="26">
        <v>41877</v>
      </c>
      <c r="C16" s="13" t="s">
        <v>109</v>
      </c>
      <c r="D16" s="14" t="s">
        <v>14</v>
      </c>
      <c r="E16" s="13" t="s">
        <v>10</v>
      </c>
      <c r="F16" s="27">
        <v>0.1</v>
      </c>
      <c r="G16" s="33">
        <v>99.45</v>
      </c>
      <c r="H16" s="42"/>
      <c r="I16" s="39"/>
    </row>
    <row r="17" spans="1:9">
      <c r="A17" s="22"/>
      <c r="B17" s="26">
        <v>41875</v>
      </c>
      <c r="C17" s="13" t="s">
        <v>110</v>
      </c>
      <c r="D17" s="14" t="s">
        <v>9</v>
      </c>
      <c r="E17" s="13" t="s">
        <v>22</v>
      </c>
      <c r="F17" s="27">
        <v>0.2</v>
      </c>
      <c r="G17" s="33">
        <v>374.4</v>
      </c>
      <c r="H17" s="42"/>
      <c r="I17" s="39"/>
    </row>
    <row r="18" spans="1:9">
      <c r="A18" s="22"/>
      <c r="B18" s="26">
        <v>41866</v>
      </c>
      <c r="C18" s="13" t="s">
        <v>111</v>
      </c>
      <c r="D18" s="14" t="s">
        <v>112</v>
      </c>
      <c r="E18" s="13" t="s">
        <v>22</v>
      </c>
      <c r="F18" s="27">
        <v>0.1</v>
      </c>
      <c r="G18" s="33">
        <v>163.08000000000001</v>
      </c>
      <c r="H18" s="42"/>
      <c r="I18" s="39"/>
    </row>
    <row r="19" spans="1:9">
      <c r="A19" s="22"/>
      <c r="B19" s="26">
        <v>41879</v>
      </c>
      <c r="C19" s="13" t="s">
        <v>113</v>
      </c>
      <c r="D19" s="14" t="s">
        <v>21</v>
      </c>
      <c r="E19" s="13" t="s">
        <v>22</v>
      </c>
      <c r="F19" s="27">
        <v>0.25</v>
      </c>
      <c r="G19" s="33">
        <v>370.03</v>
      </c>
      <c r="H19" s="42"/>
      <c r="I19" s="39"/>
    </row>
    <row r="20" spans="1:9">
      <c r="A20" s="22"/>
      <c r="B20" s="26">
        <v>41880</v>
      </c>
      <c r="C20" s="13" t="s">
        <v>114</v>
      </c>
      <c r="D20" s="14" t="s">
        <v>33</v>
      </c>
      <c r="E20" s="13" t="s">
        <v>29</v>
      </c>
      <c r="F20" s="27">
        <v>0.15</v>
      </c>
      <c r="G20" s="33">
        <v>176.28</v>
      </c>
      <c r="H20" s="42"/>
      <c r="I20" s="39"/>
    </row>
    <row r="21" spans="1:9">
      <c r="A21" s="22"/>
      <c r="B21" s="26">
        <v>41878</v>
      </c>
      <c r="C21" s="13" t="s">
        <v>115</v>
      </c>
      <c r="D21" s="14" t="s">
        <v>9</v>
      </c>
      <c r="E21" s="13" t="s">
        <v>10</v>
      </c>
      <c r="F21" s="27">
        <v>0.1</v>
      </c>
      <c r="G21" s="33">
        <v>104.67</v>
      </c>
      <c r="H21" s="42"/>
      <c r="I21" s="39"/>
    </row>
    <row r="22" spans="1:9">
      <c r="A22" s="22"/>
      <c r="B22" s="26">
        <v>41880</v>
      </c>
      <c r="C22" s="13" t="s">
        <v>116</v>
      </c>
      <c r="D22" s="14" t="s">
        <v>14</v>
      </c>
      <c r="E22" s="13" t="s">
        <v>10</v>
      </c>
      <c r="F22" s="27">
        <v>0.15</v>
      </c>
      <c r="G22" s="33">
        <v>306.87</v>
      </c>
      <c r="H22" s="42"/>
      <c r="I22" s="39"/>
    </row>
    <row r="23" spans="1:9">
      <c r="A23" s="22"/>
      <c r="B23" s="13"/>
      <c r="C23" s="13"/>
      <c r="D23" s="14"/>
      <c r="E23" s="13"/>
      <c r="F23" s="13"/>
      <c r="G23" s="28"/>
      <c r="H23" s="42"/>
      <c r="I23" s="39"/>
    </row>
    <row r="24" spans="1:9" ht="19.5">
      <c r="A24" s="645" t="s">
        <v>39</v>
      </c>
      <c r="B24" s="646"/>
      <c r="C24" s="646"/>
      <c r="D24" s="646"/>
      <c r="E24" s="646"/>
      <c r="F24" s="647"/>
      <c r="G24" s="29">
        <f>SUM(G3:G23)</f>
        <v>3543.1600000000003</v>
      </c>
      <c r="H24" s="36"/>
      <c r="I24" s="36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"/>
  <sheetViews>
    <sheetView topLeftCell="A6" workbookViewId="0">
      <selection activeCell="C24" activeCellId="8" sqref="C8 C9 C10 C14 C16 C18 C19 C23 C24"/>
    </sheetView>
  </sheetViews>
  <sheetFormatPr defaultRowHeight="15"/>
  <cols>
    <col min="3" max="3" width="38.5703125" bestFit="1" customWidth="1"/>
  </cols>
  <sheetData>
    <row r="1" spans="1:10" ht="26.25">
      <c r="A1" s="642" t="s">
        <v>117</v>
      </c>
      <c r="B1" s="643"/>
      <c r="C1" s="643"/>
      <c r="D1" s="643"/>
      <c r="E1" s="643"/>
      <c r="F1" s="643"/>
      <c r="G1" s="644"/>
      <c r="H1" s="649" t="s">
        <v>118</v>
      </c>
      <c r="I1" s="650"/>
      <c r="J1" s="651"/>
    </row>
    <row r="2" spans="1:10">
      <c r="A2" s="18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5" t="s">
        <v>7</v>
      </c>
      <c r="H2" s="43"/>
      <c r="I2" s="44"/>
      <c r="J2" s="45"/>
    </row>
    <row r="3" spans="1:10">
      <c r="A3" s="22"/>
      <c r="B3" s="26">
        <v>41885</v>
      </c>
      <c r="C3" s="13" t="s">
        <v>119</v>
      </c>
      <c r="D3" s="14" t="s">
        <v>21</v>
      </c>
      <c r="E3" s="13" t="s">
        <v>10</v>
      </c>
      <c r="F3" s="27">
        <v>0.1</v>
      </c>
      <c r="G3" s="33">
        <v>123.55</v>
      </c>
      <c r="H3" s="46"/>
      <c r="I3" s="1"/>
      <c r="J3" s="47"/>
    </row>
    <row r="4" spans="1:10">
      <c r="A4" s="22"/>
      <c r="B4" s="26">
        <v>41886</v>
      </c>
      <c r="C4" s="13" t="s">
        <v>120</v>
      </c>
      <c r="D4" s="14" t="s">
        <v>14</v>
      </c>
      <c r="E4" s="13" t="s">
        <v>15</v>
      </c>
      <c r="F4" s="27">
        <v>0.15</v>
      </c>
      <c r="G4" s="33">
        <v>291.13</v>
      </c>
      <c r="H4" s="46"/>
      <c r="I4" s="1"/>
      <c r="J4" s="47"/>
    </row>
    <row r="5" spans="1:10">
      <c r="A5" s="22"/>
      <c r="B5" s="26">
        <v>41892</v>
      </c>
      <c r="C5" s="13" t="s">
        <v>55</v>
      </c>
      <c r="D5" s="14" t="s">
        <v>14</v>
      </c>
      <c r="E5" s="13" t="s">
        <v>29</v>
      </c>
      <c r="F5" s="27">
        <v>0.1</v>
      </c>
      <c r="G5" s="33">
        <v>228.55</v>
      </c>
      <c r="H5" s="46"/>
      <c r="I5" s="1"/>
      <c r="J5" s="47"/>
    </row>
    <row r="6" spans="1:10">
      <c r="A6" s="22"/>
      <c r="B6" s="26">
        <v>41891</v>
      </c>
      <c r="C6" s="13" t="s">
        <v>121</v>
      </c>
      <c r="D6" s="14" t="s">
        <v>21</v>
      </c>
      <c r="E6" s="13" t="s">
        <v>22</v>
      </c>
      <c r="F6" s="27">
        <v>0.25</v>
      </c>
      <c r="G6" s="33">
        <v>336.18</v>
      </c>
      <c r="H6" s="46"/>
      <c r="I6" s="1"/>
      <c r="J6" s="47"/>
    </row>
    <row r="7" spans="1:10">
      <c r="A7" s="22"/>
      <c r="B7" s="26">
        <v>41892</v>
      </c>
      <c r="C7" s="13" t="s">
        <v>78</v>
      </c>
      <c r="D7" s="14" t="s">
        <v>14</v>
      </c>
      <c r="E7" s="13" t="s">
        <v>15</v>
      </c>
      <c r="F7" s="27">
        <v>0.15</v>
      </c>
      <c r="G7" s="33">
        <v>208.21</v>
      </c>
      <c r="H7" s="46"/>
      <c r="I7" s="1"/>
      <c r="J7" s="47"/>
    </row>
    <row r="8" spans="1:10">
      <c r="A8" s="22"/>
      <c r="B8" s="26">
        <v>41901</v>
      </c>
      <c r="C8" s="13" t="s">
        <v>122</v>
      </c>
      <c r="D8" s="14" t="s">
        <v>14</v>
      </c>
      <c r="E8" s="13" t="s">
        <v>59</v>
      </c>
      <c r="F8" s="27">
        <v>0.22</v>
      </c>
      <c r="G8" s="33">
        <v>198.72</v>
      </c>
      <c r="H8" s="46"/>
      <c r="I8" s="1"/>
      <c r="J8" s="47"/>
    </row>
    <row r="9" spans="1:10">
      <c r="A9" s="22"/>
      <c r="B9" s="26">
        <v>41899</v>
      </c>
      <c r="C9" s="13" t="s">
        <v>123</v>
      </c>
      <c r="D9" s="14" t="s">
        <v>25</v>
      </c>
      <c r="E9" s="13" t="s">
        <v>22</v>
      </c>
      <c r="F9" s="27">
        <v>0.2</v>
      </c>
      <c r="G9" s="33">
        <v>222.26</v>
      </c>
      <c r="H9" s="46"/>
      <c r="I9" s="1"/>
      <c r="J9" s="47"/>
    </row>
    <row r="10" spans="1:10">
      <c r="A10" s="22"/>
      <c r="B10" s="26">
        <v>41897</v>
      </c>
      <c r="C10" s="13" t="s">
        <v>124</v>
      </c>
      <c r="D10" s="14" t="s">
        <v>9</v>
      </c>
      <c r="E10" s="13" t="s">
        <v>57</v>
      </c>
      <c r="F10" s="27">
        <v>0.15</v>
      </c>
      <c r="G10" s="33">
        <v>197.47</v>
      </c>
      <c r="H10" s="46"/>
      <c r="I10" s="1"/>
      <c r="J10" s="47"/>
    </row>
    <row r="11" spans="1:10">
      <c r="A11" s="22"/>
      <c r="B11" s="26">
        <v>41897</v>
      </c>
      <c r="C11" s="13" t="s">
        <v>125</v>
      </c>
      <c r="D11" s="14" t="s">
        <v>14</v>
      </c>
      <c r="E11" s="13" t="s">
        <v>15</v>
      </c>
      <c r="F11" s="27">
        <v>0.1</v>
      </c>
      <c r="G11" s="33">
        <v>236.83</v>
      </c>
      <c r="H11" s="46"/>
      <c r="I11" s="1"/>
      <c r="J11" s="47"/>
    </row>
    <row r="12" spans="1:10">
      <c r="A12" s="22"/>
      <c r="B12" s="26">
        <v>41895</v>
      </c>
      <c r="C12" s="13" t="s">
        <v>126</v>
      </c>
      <c r="D12" s="14" t="s">
        <v>14</v>
      </c>
      <c r="E12" s="13" t="s">
        <v>10</v>
      </c>
      <c r="F12" s="27">
        <v>0.1</v>
      </c>
      <c r="G12" s="33">
        <v>101.45</v>
      </c>
      <c r="H12" s="46"/>
      <c r="I12" s="1"/>
      <c r="J12" s="47"/>
    </row>
    <row r="13" spans="1:10">
      <c r="A13" s="22"/>
      <c r="B13" s="26">
        <v>41898</v>
      </c>
      <c r="C13" s="13" t="s">
        <v>127</v>
      </c>
      <c r="D13" s="14" t="s">
        <v>25</v>
      </c>
      <c r="E13" s="13" t="s">
        <v>17</v>
      </c>
      <c r="F13" s="27">
        <v>0.2</v>
      </c>
      <c r="G13" s="33">
        <v>256.91000000000003</v>
      </c>
      <c r="H13" s="46"/>
      <c r="I13" s="1"/>
      <c r="J13" s="47"/>
    </row>
    <row r="14" spans="1:10">
      <c r="A14" s="22"/>
      <c r="B14" s="26">
        <v>41900</v>
      </c>
      <c r="C14" s="13" t="s">
        <v>128</v>
      </c>
      <c r="D14" s="14" t="s">
        <v>21</v>
      </c>
      <c r="E14" s="13" t="s">
        <v>57</v>
      </c>
      <c r="F14" s="27">
        <v>0.1</v>
      </c>
      <c r="G14" s="33">
        <v>82.24</v>
      </c>
      <c r="H14" s="46"/>
      <c r="I14" s="1"/>
      <c r="J14" s="47"/>
    </row>
    <row r="15" spans="1:10">
      <c r="A15" s="22"/>
      <c r="B15" s="26">
        <v>41903</v>
      </c>
      <c r="C15" s="13" t="s">
        <v>129</v>
      </c>
      <c r="D15" s="14" t="s">
        <v>25</v>
      </c>
      <c r="E15" s="13" t="s">
        <v>10</v>
      </c>
      <c r="F15" s="27">
        <v>0.1</v>
      </c>
      <c r="G15" s="33">
        <v>148.22</v>
      </c>
      <c r="H15" s="46"/>
      <c r="I15" s="1"/>
      <c r="J15" s="47"/>
    </row>
    <row r="16" spans="1:10">
      <c r="A16" s="22"/>
      <c r="B16" s="26">
        <v>41907</v>
      </c>
      <c r="C16" s="13" t="s">
        <v>130</v>
      </c>
      <c r="D16" s="14" t="s">
        <v>61</v>
      </c>
      <c r="E16" s="13" t="s">
        <v>10</v>
      </c>
      <c r="F16" s="27">
        <v>0.15</v>
      </c>
      <c r="G16" s="33">
        <v>169.16</v>
      </c>
      <c r="H16" s="46"/>
      <c r="I16" s="1"/>
      <c r="J16" s="47"/>
    </row>
    <row r="17" spans="1:10">
      <c r="A17" s="22"/>
      <c r="B17" s="26">
        <v>41906</v>
      </c>
      <c r="C17" s="13" t="s">
        <v>43</v>
      </c>
      <c r="D17" s="14" t="s">
        <v>61</v>
      </c>
      <c r="E17" s="13" t="s">
        <v>19</v>
      </c>
      <c r="F17" s="27">
        <v>0.2</v>
      </c>
      <c r="G17" s="33">
        <v>249.4</v>
      </c>
      <c r="H17" s="46"/>
      <c r="I17" s="1"/>
      <c r="J17" s="47"/>
    </row>
    <row r="18" spans="1:10">
      <c r="A18" s="22"/>
      <c r="B18" s="26">
        <v>41906</v>
      </c>
      <c r="C18" s="13" t="s">
        <v>131</v>
      </c>
      <c r="D18" s="14" t="s">
        <v>9</v>
      </c>
      <c r="E18" s="13" t="s">
        <v>10</v>
      </c>
      <c r="F18" s="27">
        <v>0.15</v>
      </c>
      <c r="G18" s="33">
        <v>268.83999999999997</v>
      </c>
      <c r="H18" s="46"/>
      <c r="I18" s="1"/>
      <c r="J18" s="47"/>
    </row>
    <row r="19" spans="1:10">
      <c r="A19" s="22"/>
      <c r="B19" s="26">
        <v>41909</v>
      </c>
      <c r="C19" s="13" t="s">
        <v>132</v>
      </c>
      <c r="D19" s="14" t="s">
        <v>14</v>
      </c>
      <c r="E19" s="13" t="s">
        <v>10</v>
      </c>
      <c r="F19" s="27">
        <v>0.1</v>
      </c>
      <c r="G19" s="33">
        <v>90</v>
      </c>
      <c r="H19" s="46"/>
      <c r="I19" s="1"/>
      <c r="J19" s="47"/>
    </row>
    <row r="20" spans="1:10">
      <c r="A20" s="22"/>
      <c r="B20" s="26">
        <v>41908</v>
      </c>
      <c r="C20" s="13" t="s">
        <v>107</v>
      </c>
      <c r="D20" s="14" t="s">
        <v>61</v>
      </c>
      <c r="E20" s="13" t="s">
        <v>19</v>
      </c>
      <c r="F20" s="27">
        <v>0.1</v>
      </c>
      <c r="G20" s="33">
        <v>197.5</v>
      </c>
      <c r="H20" s="46"/>
      <c r="I20" s="1"/>
      <c r="J20" s="47"/>
    </row>
    <row r="21" spans="1:10">
      <c r="A21" s="22"/>
      <c r="B21" s="26">
        <v>41911</v>
      </c>
      <c r="C21" s="13" t="s">
        <v>133</v>
      </c>
      <c r="D21" s="14" t="s">
        <v>21</v>
      </c>
      <c r="E21" s="13" t="s">
        <v>22</v>
      </c>
      <c r="F21" s="27">
        <v>0.12</v>
      </c>
      <c r="G21" s="33">
        <v>157.94999999999999</v>
      </c>
      <c r="H21" s="46"/>
      <c r="I21" s="1"/>
      <c r="J21" s="47"/>
    </row>
    <row r="22" spans="1:10">
      <c r="A22" s="22"/>
      <c r="B22" s="26">
        <v>41911</v>
      </c>
      <c r="C22" s="13" t="s">
        <v>134</v>
      </c>
      <c r="D22" s="14" t="s">
        <v>14</v>
      </c>
      <c r="E22" s="13" t="s">
        <v>10</v>
      </c>
      <c r="F22" s="27">
        <v>0.15</v>
      </c>
      <c r="G22" s="33">
        <v>171.67</v>
      </c>
      <c r="H22" s="46"/>
      <c r="I22" s="1"/>
      <c r="J22" s="47"/>
    </row>
    <row r="23" spans="1:10">
      <c r="A23" s="22"/>
      <c r="B23" s="26">
        <v>41912</v>
      </c>
      <c r="C23" s="13" t="s">
        <v>135</v>
      </c>
      <c r="D23" s="14" t="s">
        <v>14</v>
      </c>
      <c r="E23" s="13" t="s">
        <v>10</v>
      </c>
      <c r="F23" s="27">
        <v>0.1</v>
      </c>
      <c r="G23" s="33">
        <v>106.17</v>
      </c>
      <c r="H23" s="46"/>
      <c r="I23" s="1"/>
      <c r="J23" s="47"/>
    </row>
    <row r="24" spans="1:10">
      <c r="A24" s="22"/>
      <c r="B24" s="26">
        <v>41911</v>
      </c>
      <c r="C24" s="13" t="s">
        <v>136</v>
      </c>
      <c r="D24" s="14" t="s">
        <v>9</v>
      </c>
      <c r="E24" s="13" t="s">
        <v>17</v>
      </c>
      <c r="F24" s="27">
        <v>0.1</v>
      </c>
      <c r="G24" s="33">
        <v>135.94999999999999</v>
      </c>
      <c r="H24" s="652" t="s">
        <v>100</v>
      </c>
      <c r="I24" s="653"/>
      <c r="J24" s="654"/>
    </row>
    <row r="25" spans="1:10" ht="19.5">
      <c r="A25" s="645" t="s">
        <v>39</v>
      </c>
      <c r="B25" s="646"/>
      <c r="C25" s="646"/>
      <c r="D25" s="646"/>
      <c r="E25" s="646"/>
      <c r="F25" s="647"/>
      <c r="G25" s="29">
        <f>SUM(G3:G24)</f>
        <v>4178.3599999999997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workbookViewId="0">
      <selection activeCell="C18" activeCellId="7" sqref="C6 C7 C8 C10 C11 C16 C17 C18"/>
    </sheetView>
  </sheetViews>
  <sheetFormatPr defaultRowHeight="15"/>
  <cols>
    <col min="3" max="3" width="34.140625" bestFit="1" customWidth="1"/>
  </cols>
  <sheetData>
    <row r="1" spans="1:7" ht="26.25">
      <c r="A1" s="642" t="s">
        <v>137</v>
      </c>
      <c r="B1" s="643"/>
      <c r="C1" s="643"/>
      <c r="D1" s="643"/>
      <c r="E1" s="643"/>
      <c r="F1" s="643"/>
      <c r="G1" s="644"/>
    </row>
    <row r="2" spans="1:7">
      <c r="A2" s="18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5" t="s">
        <v>7</v>
      </c>
    </row>
    <row r="3" spans="1:7">
      <c r="A3" s="22"/>
      <c r="B3" s="26">
        <v>41917</v>
      </c>
      <c r="C3" s="13" t="s">
        <v>138</v>
      </c>
      <c r="D3" s="14" t="s">
        <v>14</v>
      </c>
      <c r="E3" s="13" t="s">
        <v>10</v>
      </c>
      <c r="F3" s="27">
        <v>0.1</v>
      </c>
      <c r="G3" s="33">
        <v>111</v>
      </c>
    </row>
    <row r="4" spans="1:7">
      <c r="A4" s="22"/>
      <c r="B4" s="26">
        <v>41923</v>
      </c>
      <c r="C4" s="13" t="s">
        <v>139</v>
      </c>
      <c r="D4" s="14" t="s">
        <v>9</v>
      </c>
      <c r="E4" s="13" t="s">
        <v>15</v>
      </c>
      <c r="F4" s="27">
        <v>0.1</v>
      </c>
      <c r="G4" s="33">
        <v>142.96</v>
      </c>
    </row>
    <row r="5" spans="1:7">
      <c r="A5" s="22"/>
      <c r="B5" s="26">
        <v>41924</v>
      </c>
      <c r="C5" s="13" t="s">
        <v>140</v>
      </c>
      <c r="D5" s="14" t="s">
        <v>61</v>
      </c>
      <c r="E5" s="13" t="s">
        <v>19</v>
      </c>
      <c r="F5" s="27">
        <v>0.2</v>
      </c>
      <c r="G5" s="33">
        <v>215.49</v>
      </c>
    </row>
    <row r="6" spans="1:7">
      <c r="A6" s="22"/>
      <c r="B6" s="26">
        <v>41926</v>
      </c>
      <c r="C6" s="13" t="s">
        <v>141</v>
      </c>
      <c r="D6" s="14" t="s">
        <v>14</v>
      </c>
      <c r="E6" s="13" t="s">
        <v>22</v>
      </c>
      <c r="F6" s="27">
        <v>0.1</v>
      </c>
      <c r="G6" s="33">
        <v>144.88999999999999</v>
      </c>
    </row>
    <row r="7" spans="1:7">
      <c r="A7" s="22"/>
      <c r="B7" s="26">
        <v>41922</v>
      </c>
      <c r="C7" s="13" t="s">
        <v>142</v>
      </c>
      <c r="D7" s="14" t="s">
        <v>61</v>
      </c>
      <c r="E7" s="13" t="s">
        <v>143</v>
      </c>
      <c r="F7" s="27">
        <v>0.1</v>
      </c>
      <c r="G7" s="33">
        <v>188.53</v>
      </c>
    </row>
    <row r="8" spans="1:7">
      <c r="A8" s="22"/>
      <c r="B8" s="26">
        <v>41922</v>
      </c>
      <c r="C8" s="13" t="s">
        <v>144</v>
      </c>
      <c r="D8" s="14" t="s">
        <v>61</v>
      </c>
      <c r="E8" s="13" t="s">
        <v>19</v>
      </c>
      <c r="F8" s="27">
        <v>0.1</v>
      </c>
      <c r="G8" s="33">
        <v>138.56</v>
      </c>
    </row>
    <row r="9" spans="1:7">
      <c r="A9" s="22"/>
      <c r="B9" s="26">
        <v>41923</v>
      </c>
      <c r="C9" s="13" t="s">
        <v>145</v>
      </c>
      <c r="D9" s="14" t="s">
        <v>14</v>
      </c>
      <c r="E9" s="13" t="s">
        <v>10</v>
      </c>
      <c r="F9" s="27">
        <v>0.15</v>
      </c>
      <c r="G9" s="33">
        <v>224.94</v>
      </c>
    </row>
    <row r="10" spans="1:7">
      <c r="A10" s="22"/>
      <c r="B10" s="26">
        <v>41927</v>
      </c>
      <c r="C10" s="13" t="s">
        <v>146</v>
      </c>
      <c r="D10" s="14" t="s">
        <v>14</v>
      </c>
      <c r="E10" s="13" t="s">
        <v>10</v>
      </c>
      <c r="F10" s="27">
        <v>0.1</v>
      </c>
      <c r="G10" s="33">
        <v>173.56</v>
      </c>
    </row>
    <row r="11" spans="1:7">
      <c r="A11" s="22"/>
      <c r="B11" s="26">
        <v>41932</v>
      </c>
      <c r="C11" s="13" t="s">
        <v>147</v>
      </c>
      <c r="D11" s="14" t="s">
        <v>21</v>
      </c>
      <c r="E11" s="13" t="s">
        <v>22</v>
      </c>
      <c r="F11" s="27">
        <v>0.1</v>
      </c>
      <c r="G11" s="33">
        <v>154.94999999999999</v>
      </c>
    </row>
    <row r="12" spans="1:7">
      <c r="A12" s="22"/>
      <c r="B12" s="26">
        <v>41913</v>
      </c>
      <c r="C12" s="13" t="s">
        <v>148</v>
      </c>
      <c r="D12" s="14" t="s">
        <v>149</v>
      </c>
      <c r="E12" s="13" t="s">
        <v>45</v>
      </c>
      <c r="F12" s="27">
        <v>0.1</v>
      </c>
      <c r="G12" s="33">
        <v>575.77</v>
      </c>
    </row>
    <row r="13" spans="1:7">
      <c r="A13" s="22"/>
      <c r="B13" s="26">
        <v>41938</v>
      </c>
      <c r="C13" s="13" t="s">
        <v>150</v>
      </c>
      <c r="D13" s="14" t="s">
        <v>9</v>
      </c>
      <c r="E13" s="13" t="s">
        <v>10</v>
      </c>
      <c r="F13" s="27">
        <v>0.1</v>
      </c>
      <c r="G13" s="33">
        <v>83.16</v>
      </c>
    </row>
    <row r="14" spans="1:7">
      <c r="A14" s="22"/>
      <c r="B14" s="26">
        <v>41939</v>
      </c>
      <c r="C14" s="13" t="s">
        <v>113</v>
      </c>
      <c r="D14" s="14" t="s">
        <v>14</v>
      </c>
      <c r="E14" s="13" t="s">
        <v>15</v>
      </c>
      <c r="F14" s="27">
        <v>0.1</v>
      </c>
      <c r="G14" s="33">
        <v>220.05</v>
      </c>
    </row>
    <row r="15" spans="1:7">
      <c r="A15" s="22"/>
      <c r="B15" s="26">
        <v>41941</v>
      </c>
      <c r="C15" s="13" t="s">
        <v>151</v>
      </c>
      <c r="D15" s="14" t="s">
        <v>61</v>
      </c>
      <c r="E15" s="13" t="s">
        <v>12</v>
      </c>
      <c r="F15" s="27">
        <v>0.15</v>
      </c>
      <c r="G15" s="33">
        <v>190.25</v>
      </c>
    </row>
    <row r="16" spans="1:7">
      <c r="A16" s="22"/>
      <c r="B16" s="26">
        <v>41941</v>
      </c>
      <c r="C16" s="13" t="s">
        <v>152</v>
      </c>
      <c r="D16" s="14" t="s">
        <v>14</v>
      </c>
      <c r="E16" s="13" t="s">
        <v>12</v>
      </c>
      <c r="F16" s="27">
        <v>0.24</v>
      </c>
      <c r="G16" s="33">
        <v>195.55</v>
      </c>
    </row>
    <row r="17" spans="1:7">
      <c r="A17" s="22"/>
      <c r="B17" s="26">
        <v>41943</v>
      </c>
      <c r="C17" s="13" t="s">
        <v>153</v>
      </c>
      <c r="D17" s="14" t="s">
        <v>14</v>
      </c>
      <c r="E17" s="13" t="s">
        <v>10</v>
      </c>
      <c r="F17" s="27">
        <v>0.2</v>
      </c>
      <c r="G17" s="33">
        <v>244.61</v>
      </c>
    </row>
    <row r="18" spans="1:7">
      <c r="A18" s="22"/>
      <c r="B18" s="26">
        <v>41943</v>
      </c>
      <c r="C18" s="13" t="s">
        <v>154</v>
      </c>
      <c r="D18" s="14" t="s">
        <v>21</v>
      </c>
      <c r="E18" s="13" t="s">
        <v>57</v>
      </c>
      <c r="F18" s="27">
        <v>0.15</v>
      </c>
      <c r="G18" s="33">
        <v>155.32</v>
      </c>
    </row>
    <row r="19" spans="1:7">
      <c r="A19" s="22"/>
      <c r="B19" s="26">
        <v>41943</v>
      </c>
      <c r="C19" s="13" t="s">
        <v>155</v>
      </c>
      <c r="D19" s="14" t="s">
        <v>21</v>
      </c>
      <c r="E19" s="13" t="s">
        <v>57</v>
      </c>
      <c r="F19" s="27">
        <v>0.1</v>
      </c>
      <c r="G19" s="33">
        <v>112.77</v>
      </c>
    </row>
    <row r="20" spans="1:7">
      <c r="A20" s="22"/>
      <c r="B20" s="13"/>
      <c r="C20" s="13"/>
      <c r="D20" s="14"/>
      <c r="E20" s="13"/>
      <c r="F20" s="13"/>
      <c r="G20" s="28"/>
    </row>
    <row r="21" spans="1:7">
      <c r="A21" s="22"/>
      <c r="B21" s="13"/>
      <c r="C21" s="13"/>
      <c r="D21" s="14"/>
      <c r="E21" s="13"/>
      <c r="F21" s="13"/>
      <c r="G21" s="28"/>
    </row>
    <row r="22" spans="1:7">
      <c r="A22" s="22"/>
      <c r="B22" s="13"/>
      <c r="C22" s="13"/>
      <c r="D22" s="14"/>
      <c r="E22" s="13"/>
      <c r="F22" s="13"/>
      <c r="G22" s="28"/>
    </row>
    <row r="23" spans="1:7">
      <c r="A23" s="22"/>
      <c r="B23" s="13"/>
      <c r="C23" s="13"/>
      <c r="D23" s="14"/>
      <c r="E23" s="13"/>
      <c r="F23" s="13"/>
      <c r="G23" s="28"/>
    </row>
    <row r="24" spans="1:7" ht="19.5">
      <c r="A24" s="645" t="s">
        <v>39</v>
      </c>
      <c r="B24" s="646"/>
      <c r="C24" s="646"/>
      <c r="D24" s="646"/>
      <c r="E24" s="646"/>
      <c r="F24" s="647"/>
      <c r="G24" s="29">
        <f>SUM(G3:G23)</f>
        <v>3272.3600000000006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5"/>
  <sheetViews>
    <sheetView topLeftCell="A9" workbookViewId="0">
      <selection activeCell="C24" activeCellId="10" sqref="C3 C7 C14 C16 C17 C18 C20 C21 C22 C23 C24"/>
    </sheetView>
  </sheetViews>
  <sheetFormatPr defaultRowHeight="15"/>
  <cols>
    <col min="3" max="3" width="40.5703125" bestFit="1" customWidth="1"/>
  </cols>
  <sheetData>
    <row r="1" spans="1:10" ht="26.25">
      <c r="A1" s="642" t="s">
        <v>156</v>
      </c>
      <c r="B1" s="643"/>
      <c r="C1" s="643"/>
      <c r="D1" s="643"/>
      <c r="E1" s="643"/>
      <c r="F1" s="643"/>
      <c r="G1" s="644"/>
      <c r="H1" s="51"/>
      <c r="I1" s="52"/>
      <c r="J1" s="53"/>
    </row>
    <row r="2" spans="1:10">
      <c r="A2" s="18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5" t="s">
        <v>7</v>
      </c>
      <c r="H2" s="652" t="s">
        <v>157</v>
      </c>
      <c r="I2" s="653"/>
      <c r="J2" s="654"/>
    </row>
    <row r="3" spans="1:10">
      <c r="A3" s="22"/>
      <c r="B3" s="26">
        <v>41946</v>
      </c>
      <c r="C3" s="13" t="s">
        <v>158</v>
      </c>
      <c r="D3" s="13" t="s">
        <v>14</v>
      </c>
      <c r="E3" s="13" t="s">
        <v>29</v>
      </c>
      <c r="F3" s="48" t="s">
        <v>159</v>
      </c>
      <c r="G3" s="33">
        <v>181.33</v>
      </c>
      <c r="H3" s="43"/>
      <c r="I3" s="44"/>
      <c r="J3" s="45"/>
    </row>
    <row r="4" spans="1:10">
      <c r="A4" s="22"/>
      <c r="B4" s="26">
        <v>41946</v>
      </c>
      <c r="C4" s="13" t="s">
        <v>160</v>
      </c>
      <c r="D4" s="13" t="s">
        <v>9</v>
      </c>
      <c r="E4" s="13" t="s">
        <v>19</v>
      </c>
      <c r="F4" s="27">
        <v>0.1</v>
      </c>
      <c r="G4" s="33">
        <v>118.64</v>
      </c>
      <c r="H4" s="46"/>
      <c r="I4" s="1"/>
      <c r="J4" s="47"/>
    </row>
    <row r="5" spans="1:10">
      <c r="A5" s="22"/>
      <c r="B5" s="26">
        <v>41959</v>
      </c>
      <c r="C5" s="13" t="s">
        <v>161</v>
      </c>
      <c r="D5" s="13" t="s">
        <v>25</v>
      </c>
      <c r="E5" s="13" t="s">
        <v>22</v>
      </c>
      <c r="F5" s="27">
        <v>0.1</v>
      </c>
      <c r="G5" s="33">
        <v>128.37</v>
      </c>
      <c r="H5" s="46"/>
      <c r="I5" s="1"/>
      <c r="J5" s="47"/>
    </row>
    <row r="6" spans="1:10">
      <c r="A6" s="22"/>
      <c r="B6" s="26">
        <v>41948</v>
      </c>
      <c r="C6" s="13" t="s">
        <v>162</v>
      </c>
      <c r="D6" s="13" t="s">
        <v>61</v>
      </c>
      <c r="E6" s="13" t="s">
        <v>10</v>
      </c>
      <c r="F6" s="27">
        <v>0.15</v>
      </c>
      <c r="G6" s="33">
        <v>165.34</v>
      </c>
      <c r="H6" s="46"/>
      <c r="I6" s="1"/>
      <c r="J6" s="47"/>
    </row>
    <row r="7" spans="1:10">
      <c r="A7" s="22"/>
      <c r="B7" s="26">
        <v>41949</v>
      </c>
      <c r="C7" s="13" t="s">
        <v>163</v>
      </c>
      <c r="D7" s="13" t="s">
        <v>9</v>
      </c>
      <c r="E7" s="13" t="s">
        <v>10</v>
      </c>
      <c r="F7" s="27">
        <v>0.15</v>
      </c>
      <c r="G7" s="33">
        <v>207.7</v>
      </c>
      <c r="H7" s="46"/>
      <c r="I7" s="1"/>
      <c r="J7" s="47"/>
    </row>
    <row r="8" spans="1:10">
      <c r="A8" s="22"/>
      <c r="B8" s="26">
        <v>41954</v>
      </c>
      <c r="C8" s="13" t="s">
        <v>164</v>
      </c>
      <c r="D8" s="13" t="s">
        <v>14</v>
      </c>
      <c r="E8" s="13" t="s">
        <v>10</v>
      </c>
      <c r="F8" s="27">
        <v>0.2</v>
      </c>
      <c r="G8" s="33">
        <v>227.86</v>
      </c>
      <c r="H8" s="46"/>
      <c r="I8" s="1"/>
      <c r="J8" s="47"/>
    </row>
    <row r="9" spans="1:10">
      <c r="A9" s="22"/>
      <c r="B9" s="26">
        <v>41950</v>
      </c>
      <c r="C9" s="13" t="s">
        <v>165</v>
      </c>
      <c r="D9" s="13" t="s">
        <v>21</v>
      </c>
      <c r="E9" s="13" t="s">
        <v>22</v>
      </c>
      <c r="F9" s="27">
        <v>0.1</v>
      </c>
      <c r="G9" s="33">
        <v>295.32</v>
      </c>
      <c r="H9" s="46"/>
      <c r="I9" s="1"/>
      <c r="J9" s="47"/>
    </row>
    <row r="10" spans="1:10">
      <c r="A10" s="22"/>
      <c r="B10" s="26">
        <v>41955</v>
      </c>
      <c r="C10" s="13" t="s">
        <v>166</v>
      </c>
      <c r="D10" s="13" t="s">
        <v>14</v>
      </c>
      <c r="E10" s="13" t="s">
        <v>10</v>
      </c>
      <c r="F10" s="27">
        <v>0.1</v>
      </c>
      <c r="G10" s="33">
        <v>92.87</v>
      </c>
      <c r="H10" s="46"/>
      <c r="I10" s="1"/>
      <c r="J10" s="47"/>
    </row>
    <row r="11" spans="1:10">
      <c r="A11" s="22"/>
      <c r="B11" s="26">
        <v>41962</v>
      </c>
      <c r="C11" s="13" t="s">
        <v>167</v>
      </c>
      <c r="D11" s="13" t="s">
        <v>14</v>
      </c>
      <c r="E11" s="13" t="s">
        <v>10</v>
      </c>
      <c r="F11" s="27">
        <v>0.25</v>
      </c>
      <c r="G11" s="33">
        <v>217.83</v>
      </c>
      <c r="H11" s="46"/>
      <c r="I11" s="1"/>
      <c r="J11" s="47"/>
    </row>
    <row r="12" spans="1:10">
      <c r="A12" s="22"/>
      <c r="B12" s="26">
        <v>41959</v>
      </c>
      <c r="C12" s="13" t="s">
        <v>168</v>
      </c>
      <c r="D12" s="13" t="s">
        <v>14</v>
      </c>
      <c r="E12" s="13" t="s">
        <v>12</v>
      </c>
      <c r="F12" s="27">
        <v>0.2</v>
      </c>
      <c r="G12" s="33">
        <v>169.66</v>
      </c>
      <c r="H12" s="46"/>
      <c r="I12" s="1"/>
      <c r="J12" s="47"/>
    </row>
    <row r="13" spans="1:10">
      <c r="A13" s="22"/>
      <c r="B13" s="26">
        <v>41966</v>
      </c>
      <c r="C13" s="13" t="s">
        <v>169</v>
      </c>
      <c r="D13" s="13" t="s">
        <v>33</v>
      </c>
      <c r="E13" s="13" t="s">
        <v>10</v>
      </c>
      <c r="F13" s="27">
        <v>0.1</v>
      </c>
      <c r="G13" s="33">
        <v>140.66</v>
      </c>
      <c r="H13" s="46"/>
      <c r="I13" s="1"/>
      <c r="J13" s="47"/>
    </row>
    <row r="14" spans="1:10">
      <c r="A14" s="22"/>
      <c r="B14" s="26">
        <v>41959</v>
      </c>
      <c r="C14" s="13" t="s">
        <v>170</v>
      </c>
      <c r="D14" s="13" t="s">
        <v>9</v>
      </c>
      <c r="E14" s="13" t="s">
        <v>10</v>
      </c>
      <c r="F14" s="27">
        <v>0.1</v>
      </c>
      <c r="G14" s="33">
        <v>144.19999999999999</v>
      </c>
      <c r="H14" s="46"/>
      <c r="I14" s="1"/>
      <c r="J14" s="47"/>
    </row>
    <row r="15" spans="1:10">
      <c r="A15" s="22"/>
      <c r="B15" s="26">
        <v>41953</v>
      </c>
      <c r="C15" s="13" t="s">
        <v>171</v>
      </c>
      <c r="D15" s="13" t="s">
        <v>33</v>
      </c>
      <c r="E15" s="13" t="s">
        <v>17</v>
      </c>
      <c r="F15" s="27">
        <v>0.1</v>
      </c>
      <c r="G15" s="33">
        <v>125</v>
      </c>
      <c r="H15" s="46"/>
      <c r="I15" s="1"/>
      <c r="J15" s="47"/>
    </row>
    <row r="16" spans="1:10">
      <c r="A16" s="22"/>
      <c r="B16" s="26">
        <v>41962</v>
      </c>
      <c r="C16" s="13" t="s">
        <v>172</v>
      </c>
      <c r="D16" s="13" t="s">
        <v>149</v>
      </c>
      <c r="E16" s="13" t="s">
        <v>10</v>
      </c>
      <c r="F16" s="27">
        <v>0.2</v>
      </c>
      <c r="G16" s="33">
        <v>203.55</v>
      </c>
      <c r="H16" s="46"/>
      <c r="I16" s="1"/>
      <c r="J16" s="47"/>
    </row>
    <row r="17" spans="1:10">
      <c r="A17" s="22"/>
      <c r="B17" s="26">
        <v>41969</v>
      </c>
      <c r="C17" s="13" t="s">
        <v>173</v>
      </c>
      <c r="D17" s="13" t="s">
        <v>14</v>
      </c>
      <c r="E17" s="13" t="s">
        <v>15</v>
      </c>
      <c r="F17" s="27">
        <v>0.1</v>
      </c>
      <c r="G17" s="33">
        <v>157.83000000000001</v>
      </c>
      <c r="H17" s="655" t="s">
        <v>174</v>
      </c>
      <c r="I17" s="656"/>
      <c r="J17" s="657"/>
    </row>
    <row r="18" spans="1:10">
      <c r="A18" s="22"/>
      <c r="B18" s="26">
        <v>41965</v>
      </c>
      <c r="C18" s="13" t="s">
        <v>175</v>
      </c>
      <c r="D18" s="13" t="s">
        <v>14</v>
      </c>
      <c r="E18" s="13" t="s">
        <v>10</v>
      </c>
      <c r="F18" s="27">
        <v>0.1</v>
      </c>
      <c r="G18" s="33">
        <v>137.71</v>
      </c>
      <c r="H18" s="46"/>
      <c r="I18" s="1"/>
      <c r="J18" s="47"/>
    </row>
    <row r="19" spans="1:10">
      <c r="A19" s="22"/>
      <c r="B19" s="26">
        <v>41968</v>
      </c>
      <c r="C19" s="13" t="s">
        <v>176</v>
      </c>
      <c r="D19" s="13" t="s">
        <v>21</v>
      </c>
      <c r="E19" s="13" t="s">
        <v>57</v>
      </c>
      <c r="F19" s="27">
        <v>0.1</v>
      </c>
      <c r="G19" s="33">
        <v>101.56</v>
      </c>
      <c r="H19" s="46"/>
      <c r="I19" s="1"/>
      <c r="J19" s="47"/>
    </row>
    <row r="20" spans="1:10">
      <c r="A20" s="22"/>
      <c r="B20" s="26">
        <v>41964</v>
      </c>
      <c r="C20" s="13" t="s">
        <v>177</v>
      </c>
      <c r="D20" s="13" t="s">
        <v>14</v>
      </c>
      <c r="E20" s="13" t="s">
        <v>17</v>
      </c>
      <c r="F20" s="27">
        <v>0.1</v>
      </c>
      <c r="G20" s="33">
        <v>227.17</v>
      </c>
      <c r="H20" s="46"/>
      <c r="I20" s="1"/>
      <c r="J20" s="47"/>
    </row>
    <row r="21" spans="1:10">
      <c r="A21" s="22"/>
      <c r="B21" s="26">
        <v>41971</v>
      </c>
      <c r="C21" s="13" t="s">
        <v>178</v>
      </c>
      <c r="D21" s="13" t="s">
        <v>9</v>
      </c>
      <c r="E21" s="13" t="s">
        <v>17</v>
      </c>
      <c r="F21" s="27">
        <v>0.1</v>
      </c>
      <c r="G21" s="33">
        <v>170.61</v>
      </c>
      <c r="H21" s="46"/>
      <c r="I21" s="1"/>
      <c r="J21" s="47"/>
    </row>
    <row r="22" spans="1:10">
      <c r="A22" s="22"/>
      <c r="B22" s="26">
        <v>41968</v>
      </c>
      <c r="C22" s="13" t="s">
        <v>179</v>
      </c>
      <c r="D22" s="13" t="s">
        <v>14</v>
      </c>
      <c r="E22" s="13" t="s">
        <v>12</v>
      </c>
      <c r="F22" s="27">
        <v>0.1</v>
      </c>
      <c r="G22" s="33">
        <v>90.99</v>
      </c>
      <c r="H22" s="46"/>
      <c r="I22" s="1"/>
      <c r="J22" s="47"/>
    </row>
    <row r="23" spans="1:10">
      <c r="A23" s="22"/>
      <c r="B23" s="26">
        <v>41971</v>
      </c>
      <c r="C23" s="13" t="s">
        <v>180</v>
      </c>
      <c r="D23" s="13" t="s">
        <v>25</v>
      </c>
      <c r="E23" s="13" t="s">
        <v>17</v>
      </c>
      <c r="F23" s="27">
        <v>0.1</v>
      </c>
      <c r="G23" s="33">
        <v>191.05</v>
      </c>
      <c r="H23" s="655" t="s">
        <v>181</v>
      </c>
      <c r="I23" s="656"/>
      <c r="J23" s="657"/>
    </row>
    <row r="24" spans="1:10">
      <c r="A24" s="22"/>
      <c r="B24" s="26">
        <v>41972</v>
      </c>
      <c r="C24" s="13" t="s">
        <v>182</v>
      </c>
      <c r="D24" s="13" t="s">
        <v>14</v>
      </c>
      <c r="E24" s="13" t="s">
        <v>15</v>
      </c>
      <c r="F24" s="27">
        <v>0.1</v>
      </c>
      <c r="G24" s="28">
        <v>125.44</v>
      </c>
      <c r="H24" s="49"/>
      <c r="I24" s="50"/>
      <c r="J24" s="54"/>
    </row>
    <row r="25" spans="1:10" ht="19.5">
      <c r="A25" s="645" t="s">
        <v>39</v>
      </c>
      <c r="B25" s="646"/>
      <c r="C25" s="646"/>
      <c r="D25" s="646"/>
      <c r="E25" s="646"/>
      <c r="F25" s="647"/>
      <c r="G25" s="29">
        <f>SUM(G3:G24)</f>
        <v>3620.6900000000005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"/>
  <sheetViews>
    <sheetView topLeftCell="A6" workbookViewId="0">
      <selection activeCell="C22" activeCellId="11" sqref="C3 C4 C6 C8 C9 C11 C13 C15 C19 C21 C23 C22"/>
    </sheetView>
  </sheetViews>
  <sheetFormatPr defaultRowHeight="15"/>
  <cols>
    <col min="3" max="3" width="40.5703125" bestFit="1" customWidth="1"/>
  </cols>
  <sheetData>
    <row r="1" spans="1:10" ht="26.25">
      <c r="A1" s="636" t="s">
        <v>183</v>
      </c>
      <c r="B1" s="637"/>
      <c r="C1" s="637"/>
      <c r="D1" s="637"/>
      <c r="E1" s="637"/>
      <c r="F1" s="637"/>
      <c r="G1" s="638"/>
      <c r="H1" s="649" t="s">
        <v>184</v>
      </c>
      <c r="I1" s="650"/>
      <c r="J1" s="650"/>
    </row>
    <row r="2" spans="1:10">
      <c r="A2" s="30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57" t="s">
        <v>7</v>
      </c>
      <c r="H2" s="661" t="s">
        <v>185</v>
      </c>
      <c r="I2" s="662"/>
      <c r="J2" s="663"/>
    </row>
    <row r="3" spans="1:10">
      <c r="A3" s="31"/>
      <c r="B3" s="32">
        <v>41974</v>
      </c>
      <c r="C3" s="7" t="s">
        <v>186</v>
      </c>
      <c r="D3" s="8" t="s">
        <v>14</v>
      </c>
      <c r="E3" s="7" t="s">
        <v>10</v>
      </c>
      <c r="F3" s="55">
        <v>0.15</v>
      </c>
      <c r="G3" s="58">
        <v>296.35000000000002</v>
      </c>
      <c r="H3" s="658" t="s">
        <v>187</v>
      </c>
      <c r="I3" s="659"/>
      <c r="J3" s="660"/>
    </row>
    <row r="4" spans="1:10">
      <c r="A4" s="22"/>
      <c r="B4" s="26">
        <v>41976</v>
      </c>
      <c r="C4" s="13" t="s">
        <v>188</v>
      </c>
      <c r="D4" s="14" t="s">
        <v>14</v>
      </c>
      <c r="E4" s="13" t="s">
        <v>29</v>
      </c>
      <c r="F4" s="56">
        <v>0.25</v>
      </c>
      <c r="G4" s="59">
        <v>233.87</v>
      </c>
      <c r="H4" s="658"/>
      <c r="I4" s="659"/>
      <c r="J4" s="660"/>
    </row>
    <row r="5" spans="1:10">
      <c r="A5" s="22"/>
      <c r="B5" s="26">
        <v>41977</v>
      </c>
      <c r="C5" s="13" t="s">
        <v>189</v>
      </c>
      <c r="D5" s="14" t="s">
        <v>14</v>
      </c>
      <c r="E5" s="13" t="s">
        <v>29</v>
      </c>
      <c r="F5" s="56">
        <v>0.2</v>
      </c>
      <c r="G5" s="59">
        <v>280.06</v>
      </c>
      <c r="H5" s="658"/>
      <c r="I5" s="659"/>
      <c r="J5" s="660"/>
    </row>
    <row r="6" spans="1:10">
      <c r="A6" s="22"/>
      <c r="B6" s="26">
        <v>41975</v>
      </c>
      <c r="C6" s="13" t="s">
        <v>190</v>
      </c>
      <c r="D6" s="14" t="s">
        <v>14</v>
      </c>
      <c r="E6" s="13" t="s">
        <v>22</v>
      </c>
      <c r="F6" s="56">
        <v>0.25</v>
      </c>
      <c r="G6" s="59">
        <v>262.7</v>
      </c>
      <c r="H6" s="652"/>
      <c r="I6" s="653"/>
      <c r="J6" s="654"/>
    </row>
    <row r="7" spans="1:10">
      <c r="A7" s="22"/>
      <c r="B7" s="26">
        <v>41979</v>
      </c>
      <c r="C7" s="13" t="s">
        <v>191</v>
      </c>
      <c r="D7" s="14" t="s">
        <v>14</v>
      </c>
      <c r="E7" s="13" t="s">
        <v>12</v>
      </c>
      <c r="F7" s="56">
        <v>0.1</v>
      </c>
      <c r="G7" s="59">
        <v>155.5</v>
      </c>
      <c r="H7" s="652"/>
      <c r="I7" s="653"/>
      <c r="J7" s="654"/>
    </row>
    <row r="8" spans="1:10">
      <c r="A8" s="22"/>
      <c r="B8" s="26">
        <v>41982</v>
      </c>
      <c r="C8" s="13" t="s">
        <v>192</v>
      </c>
      <c r="D8" s="14" t="s">
        <v>14</v>
      </c>
      <c r="E8" s="13" t="s">
        <v>29</v>
      </c>
      <c r="F8" s="56">
        <v>0.1</v>
      </c>
      <c r="G8" s="59">
        <v>84.97</v>
      </c>
      <c r="H8" s="652" t="s">
        <v>193</v>
      </c>
      <c r="I8" s="653"/>
      <c r="J8" s="654"/>
    </row>
    <row r="9" spans="1:10">
      <c r="A9" s="22"/>
      <c r="B9" s="26">
        <v>41984</v>
      </c>
      <c r="C9" s="13" t="s">
        <v>194</v>
      </c>
      <c r="D9" s="14" t="s">
        <v>9</v>
      </c>
      <c r="E9" s="13" t="s">
        <v>17</v>
      </c>
      <c r="F9" s="56">
        <v>0.1</v>
      </c>
      <c r="G9" s="59">
        <v>180.72</v>
      </c>
      <c r="H9" s="652" t="s">
        <v>195</v>
      </c>
      <c r="I9" s="653"/>
      <c r="J9" s="654"/>
    </row>
    <row r="10" spans="1:10">
      <c r="A10" s="22"/>
      <c r="B10" s="26">
        <v>41985</v>
      </c>
      <c r="C10" s="13" t="s">
        <v>196</v>
      </c>
      <c r="D10" s="14" t="s">
        <v>33</v>
      </c>
      <c r="E10" s="13" t="s">
        <v>17</v>
      </c>
      <c r="F10" s="56">
        <v>0.15</v>
      </c>
      <c r="G10" s="59">
        <v>328.27</v>
      </c>
      <c r="H10" s="652"/>
      <c r="I10" s="653"/>
      <c r="J10" s="654"/>
    </row>
    <row r="11" spans="1:10">
      <c r="A11" s="22"/>
      <c r="B11" s="26">
        <v>41990</v>
      </c>
      <c r="C11" s="13" t="s">
        <v>197</v>
      </c>
      <c r="D11" s="14" t="s">
        <v>198</v>
      </c>
      <c r="E11" s="13" t="s">
        <v>10</v>
      </c>
      <c r="F11" s="56">
        <v>0.14000000000000001</v>
      </c>
      <c r="G11" s="59">
        <v>184.94</v>
      </c>
      <c r="H11" s="658" t="s">
        <v>199</v>
      </c>
      <c r="I11" s="659"/>
      <c r="J11" s="660"/>
    </row>
    <row r="12" spans="1:10">
      <c r="A12" s="22"/>
      <c r="B12" s="26">
        <v>41987</v>
      </c>
      <c r="C12" s="13" t="s">
        <v>176</v>
      </c>
      <c r="D12" s="14" t="s">
        <v>33</v>
      </c>
      <c r="E12" s="13" t="s">
        <v>10</v>
      </c>
      <c r="F12" s="56">
        <v>0.1</v>
      </c>
      <c r="G12" s="59">
        <v>87.76</v>
      </c>
      <c r="H12" s="652"/>
      <c r="I12" s="653"/>
      <c r="J12" s="654"/>
    </row>
    <row r="13" spans="1:10">
      <c r="A13" s="22"/>
      <c r="B13" s="26">
        <v>41987</v>
      </c>
      <c r="C13" s="13" t="s">
        <v>200</v>
      </c>
      <c r="D13" s="14" t="s">
        <v>33</v>
      </c>
      <c r="E13" s="13" t="s">
        <v>17</v>
      </c>
      <c r="F13" s="56">
        <v>0.17</v>
      </c>
      <c r="G13" s="59">
        <v>254.14</v>
      </c>
      <c r="H13" s="652"/>
      <c r="I13" s="653"/>
      <c r="J13" s="654"/>
    </row>
    <row r="14" spans="1:10">
      <c r="A14" s="22"/>
      <c r="B14" s="26">
        <v>41982</v>
      </c>
      <c r="C14" s="13" t="s">
        <v>201</v>
      </c>
      <c r="D14" s="14" t="s">
        <v>9</v>
      </c>
      <c r="E14" s="13" t="s">
        <v>10</v>
      </c>
      <c r="F14" s="56">
        <v>0.1</v>
      </c>
      <c r="G14" s="59">
        <v>139.77000000000001</v>
      </c>
      <c r="H14" s="652"/>
      <c r="I14" s="653"/>
      <c r="J14" s="654"/>
    </row>
    <row r="15" spans="1:10">
      <c r="A15" s="22"/>
      <c r="B15" s="26">
        <v>41989</v>
      </c>
      <c r="C15" s="13" t="s">
        <v>202</v>
      </c>
      <c r="D15" s="14" t="s">
        <v>21</v>
      </c>
      <c r="E15" s="13" t="s">
        <v>22</v>
      </c>
      <c r="F15" s="56">
        <v>0.1</v>
      </c>
      <c r="G15" s="59">
        <v>133.83000000000001</v>
      </c>
      <c r="H15" s="652"/>
      <c r="I15" s="653"/>
      <c r="J15" s="654"/>
    </row>
    <row r="16" spans="1:10">
      <c r="A16" s="22"/>
      <c r="B16" s="26">
        <v>41990</v>
      </c>
      <c r="C16" s="13" t="s">
        <v>203</v>
      </c>
      <c r="D16" s="14" t="s">
        <v>14</v>
      </c>
      <c r="E16" s="13" t="s">
        <v>10</v>
      </c>
      <c r="F16" s="56">
        <v>0.15</v>
      </c>
      <c r="G16" s="59">
        <v>191.25</v>
      </c>
      <c r="H16" s="652"/>
      <c r="I16" s="653"/>
      <c r="J16" s="654"/>
    </row>
    <row r="17" spans="1:10">
      <c r="A17" s="22"/>
      <c r="B17" s="26">
        <v>41993</v>
      </c>
      <c r="C17" s="13" t="s">
        <v>204</v>
      </c>
      <c r="D17" s="14" t="s">
        <v>25</v>
      </c>
      <c r="E17" s="13" t="s">
        <v>10</v>
      </c>
      <c r="F17" s="56">
        <v>0.1</v>
      </c>
      <c r="G17" s="59">
        <v>89.87</v>
      </c>
      <c r="H17" s="652"/>
      <c r="I17" s="653"/>
      <c r="J17" s="654"/>
    </row>
    <row r="18" spans="1:10">
      <c r="A18" s="22"/>
      <c r="B18" s="26">
        <v>41996</v>
      </c>
      <c r="C18" s="13" t="s">
        <v>205</v>
      </c>
      <c r="D18" s="14" t="s">
        <v>14</v>
      </c>
      <c r="E18" s="13" t="s">
        <v>57</v>
      </c>
      <c r="F18" s="56">
        <v>0.1</v>
      </c>
      <c r="G18" s="59">
        <v>95.37</v>
      </c>
      <c r="H18" s="658"/>
      <c r="I18" s="659"/>
      <c r="J18" s="660"/>
    </row>
    <row r="19" spans="1:10">
      <c r="A19" s="22"/>
      <c r="B19" s="26">
        <v>41996</v>
      </c>
      <c r="C19" s="13" t="s">
        <v>206</v>
      </c>
      <c r="D19" s="14" t="s">
        <v>25</v>
      </c>
      <c r="E19" s="13" t="s">
        <v>22</v>
      </c>
      <c r="F19" s="56">
        <v>0.1</v>
      </c>
      <c r="G19" s="59">
        <v>116.38</v>
      </c>
      <c r="H19" s="652"/>
      <c r="I19" s="653"/>
      <c r="J19" s="654"/>
    </row>
    <row r="20" spans="1:10">
      <c r="A20" s="22"/>
      <c r="B20" s="26">
        <v>41997</v>
      </c>
      <c r="C20" s="13" t="s">
        <v>207</v>
      </c>
      <c r="D20" s="14" t="s">
        <v>21</v>
      </c>
      <c r="E20" s="13" t="s">
        <v>57</v>
      </c>
      <c r="F20" s="56">
        <v>0.24</v>
      </c>
      <c r="G20" s="59">
        <v>363.76</v>
      </c>
      <c r="H20" s="652"/>
      <c r="I20" s="653"/>
      <c r="J20" s="654"/>
    </row>
    <row r="21" spans="1:10">
      <c r="A21" s="22"/>
      <c r="B21" s="26">
        <v>41996</v>
      </c>
      <c r="C21" s="13" t="s">
        <v>208</v>
      </c>
      <c r="D21" s="14" t="s">
        <v>209</v>
      </c>
      <c r="E21" s="13" t="s">
        <v>12</v>
      </c>
      <c r="F21" s="56">
        <v>0.2</v>
      </c>
      <c r="G21" s="59">
        <v>368.41</v>
      </c>
      <c r="H21" s="652" t="s">
        <v>210</v>
      </c>
      <c r="I21" s="653"/>
      <c r="J21" s="654"/>
    </row>
    <row r="22" spans="1:10">
      <c r="A22" s="22"/>
      <c r="B22" s="26">
        <v>42002</v>
      </c>
      <c r="C22" s="13" t="s">
        <v>211</v>
      </c>
      <c r="D22" s="14" t="s">
        <v>9</v>
      </c>
      <c r="E22" s="13" t="s">
        <v>10</v>
      </c>
      <c r="F22" s="56">
        <v>0.1</v>
      </c>
      <c r="G22" s="59">
        <v>111.81</v>
      </c>
      <c r="H22" s="652"/>
      <c r="I22" s="653"/>
      <c r="J22" s="654"/>
    </row>
    <row r="23" spans="1:10">
      <c r="A23" s="22"/>
      <c r="B23" s="26">
        <v>42003</v>
      </c>
      <c r="C23" s="13" t="s">
        <v>212</v>
      </c>
      <c r="D23" s="14" t="s">
        <v>9</v>
      </c>
      <c r="E23" s="13" t="s">
        <v>10</v>
      </c>
      <c r="F23" s="56">
        <v>0.1</v>
      </c>
      <c r="G23" s="59">
        <v>102.45</v>
      </c>
      <c r="H23" s="652"/>
      <c r="I23" s="653"/>
      <c r="J23" s="654"/>
    </row>
    <row r="24" spans="1:10" ht="19.5">
      <c r="A24" s="645" t="s">
        <v>39</v>
      </c>
      <c r="B24" s="646"/>
      <c r="C24" s="646"/>
      <c r="D24" s="646"/>
      <c r="E24" s="646"/>
      <c r="F24" s="647"/>
      <c r="G24" s="29">
        <f>SUM(G3:G23)</f>
        <v>4062.18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8"/>
  <sheetViews>
    <sheetView workbookViewId="0">
      <selection activeCell="C17" activeCellId="8" sqref="C2 C6 C10 C11 C13 C14 C15 C16 C17"/>
    </sheetView>
  </sheetViews>
  <sheetFormatPr defaultRowHeight="15"/>
  <cols>
    <col min="3" max="3" width="38.28515625" bestFit="1" customWidth="1"/>
  </cols>
  <sheetData>
    <row r="1" spans="1:10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57" t="s">
        <v>7</v>
      </c>
      <c r="H1" s="664" t="s">
        <v>213</v>
      </c>
      <c r="I1" s="665"/>
      <c r="J1" s="666"/>
    </row>
    <row r="2" spans="1:10">
      <c r="A2" s="31"/>
      <c r="B2" s="32">
        <v>42006</v>
      </c>
      <c r="C2" s="7" t="s">
        <v>214</v>
      </c>
      <c r="D2" s="8" t="s">
        <v>14</v>
      </c>
      <c r="E2" s="7" t="s">
        <v>10</v>
      </c>
      <c r="F2" s="55">
        <v>0.1</v>
      </c>
      <c r="G2" s="65">
        <v>82.57</v>
      </c>
      <c r="H2" s="66"/>
      <c r="J2" s="63"/>
    </row>
    <row r="3" spans="1:10">
      <c r="A3" s="22"/>
      <c r="B3" s="26">
        <v>42009</v>
      </c>
      <c r="C3" s="13" t="s">
        <v>215</v>
      </c>
      <c r="D3" s="14" t="s">
        <v>25</v>
      </c>
      <c r="E3" s="13" t="s">
        <v>10</v>
      </c>
      <c r="F3" s="56">
        <v>0.1</v>
      </c>
      <c r="G3" s="59">
        <v>156.55000000000001</v>
      </c>
      <c r="H3" s="60"/>
      <c r="J3" s="63"/>
    </row>
    <row r="4" spans="1:10">
      <c r="A4" s="22"/>
      <c r="B4" s="26">
        <v>42010</v>
      </c>
      <c r="C4" s="13" t="s">
        <v>216</v>
      </c>
      <c r="D4" s="14" t="s">
        <v>9</v>
      </c>
      <c r="E4" s="13" t="s">
        <v>10</v>
      </c>
      <c r="F4" s="56">
        <v>0.15</v>
      </c>
      <c r="G4" s="59">
        <v>185.82</v>
      </c>
      <c r="H4" s="60"/>
      <c r="J4" s="63"/>
    </row>
    <row r="5" spans="1:10">
      <c r="A5" s="22"/>
      <c r="B5" s="26">
        <v>42012</v>
      </c>
      <c r="C5" s="13" t="s">
        <v>217</v>
      </c>
      <c r="D5" s="14" t="s">
        <v>14</v>
      </c>
      <c r="E5" s="13" t="s">
        <v>19</v>
      </c>
      <c r="F5" s="56">
        <v>0.21</v>
      </c>
      <c r="G5" s="59">
        <v>324.62</v>
      </c>
      <c r="H5" s="67" t="s">
        <v>218</v>
      </c>
      <c r="I5" s="68"/>
      <c r="J5" s="69"/>
    </row>
    <row r="6" spans="1:10">
      <c r="A6" s="22"/>
      <c r="B6" s="26">
        <v>42013</v>
      </c>
      <c r="C6" s="13" t="s">
        <v>219</v>
      </c>
      <c r="D6" s="14" t="s">
        <v>14</v>
      </c>
      <c r="E6" s="13" t="s">
        <v>10</v>
      </c>
      <c r="F6" s="56">
        <v>0.19</v>
      </c>
      <c r="G6" s="59">
        <v>377</v>
      </c>
      <c r="H6" s="67"/>
      <c r="I6" s="68"/>
      <c r="J6" s="69"/>
    </row>
    <row r="7" spans="1:10">
      <c r="A7" s="22"/>
      <c r="B7" s="26">
        <v>42013</v>
      </c>
      <c r="C7" s="13" t="s">
        <v>220</v>
      </c>
      <c r="D7" s="14" t="s">
        <v>14</v>
      </c>
      <c r="E7" s="13" t="s">
        <v>29</v>
      </c>
      <c r="F7" s="56">
        <v>0.1</v>
      </c>
      <c r="G7" s="59">
        <v>104.47</v>
      </c>
      <c r="H7" s="60"/>
      <c r="J7" s="63"/>
    </row>
    <row r="8" spans="1:10">
      <c r="A8" s="22"/>
      <c r="B8" s="26">
        <v>42014</v>
      </c>
      <c r="C8" s="13" t="s">
        <v>221</v>
      </c>
      <c r="D8" s="14" t="s">
        <v>14</v>
      </c>
      <c r="E8" s="13" t="s">
        <v>10</v>
      </c>
      <c r="F8" s="56">
        <v>0.2</v>
      </c>
      <c r="G8" s="59">
        <v>251.78</v>
      </c>
      <c r="H8" s="60"/>
      <c r="J8" s="63"/>
    </row>
    <row r="9" spans="1:10">
      <c r="A9" s="22"/>
      <c r="B9" s="26">
        <v>42016</v>
      </c>
      <c r="C9" s="13" t="s">
        <v>222</v>
      </c>
      <c r="D9" s="14" t="s">
        <v>9</v>
      </c>
      <c r="E9" s="13" t="s">
        <v>57</v>
      </c>
      <c r="F9" s="56">
        <v>0.1</v>
      </c>
      <c r="G9" s="59">
        <v>113.1</v>
      </c>
      <c r="H9" s="60"/>
      <c r="J9" s="63"/>
    </row>
    <row r="10" spans="1:10">
      <c r="A10" s="22"/>
      <c r="B10" s="26">
        <v>42016</v>
      </c>
      <c r="C10" s="13" t="s">
        <v>223</v>
      </c>
      <c r="D10" s="14" t="s">
        <v>33</v>
      </c>
      <c r="E10" s="13" t="s">
        <v>10</v>
      </c>
      <c r="F10" s="56">
        <v>0.1</v>
      </c>
      <c r="G10" s="59">
        <v>132.97999999999999</v>
      </c>
      <c r="H10" s="60"/>
      <c r="J10" s="63"/>
    </row>
    <row r="11" spans="1:10">
      <c r="A11" s="22"/>
      <c r="B11" s="26">
        <v>42020</v>
      </c>
      <c r="C11" s="13" t="s">
        <v>224</v>
      </c>
      <c r="D11" s="14" t="s">
        <v>9</v>
      </c>
      <c r="E11" s="13" t="s">
        <v>15</v>
      </c>
      <c r="F11" s="56">
        <v>0.18</v>
      </c>
      <c r="G11" s="59">
        <v>252.02</v>
      </c>
      <c r="H11" s="60"/>
      <c r="J11" s="63"/>
    </row>
    <row r="12" spans="1:10">
      <c r="A12" s="22"/>
      <c r="B12" s="26">
        <v>42028</v>
      </c>
      <c r="C12" s="13" t="s">
        <v>225</v>
      </c>
      <c r="D12" s="14" t="s">
        <v>14</v>
      </c>
      <c r="E12" s="13" t="s">
        <v>10</v>
      </c>
      <c r="F12" s="56">
        <v>0.1</v>
      </c>
      <c r="G12" s="59">
        <v>143.16999999999999</v>
      </c>
      <c r="H12" s="60"/>
      <c r="J12" s="63"/>
    </row>
    <row r="13" spans="1:10">
      <c r="A13" s="22"/>
      <c r="B13" s="26">
        <v>42026</v>
      </c>
      <c r="C13" s="13" t="s">
        <v>226</v>
      </c>
      <c r="D13" s="14" t="s">
        <v>61</v>
      </c>
      <c r="E13" s="13" t="s">
        <v>143</v>
      </c>
      <c r="F13" s="56">
        <v>0.1</v>
      </c>
      <c r="G13" s="59">
        <v>164.89</v>
      </c>
      <c r="H13" s="60"/>
      <c r="J13" s="63"/>
    </row>
    <row r="14" spans="1:10">
      <c r="A14" s="22"/>
      <c r="B14" s="26">
        <v>42029</v>
      </c>
      <c r="C14" s="13" t="s">
        <v>227</v>
      </c>
      <c r="D14" s="14" t="s">
        <v>14</v>
      </c>
      <c r="E14" s="13" t="s">
        <v>15</v>
      </c>
      <c r="F14" s="56">
        <v>0.1</v>
      </c>
      <c r="G14" s="59">
        <v>146.36000000000001</v>
      </c>
      <c r="H14" s="60"/>
      <c r="J14" s="63"/>
    </row>
    <row r="15" spans="1:10">
      <c r="A15" s="22"/>
      <c r="B15" s="26">
        <v>42027</v>
      </c>
      <c r="C15" s="13" t="s">
        <v>102</v>
      </c>
      <c r="D15" s="14" t="s">
        <v>14</v>
      </c>
      <c r="E15" s="13" t="s">
        <v>10</v>
      </c>
      <c r="F15" s="56">
        <v>0.1</v>
      </c>
      <c r="G15" s="59">
        <v>196.73</v>
      </c>
      <c r="H15" s="60"/>
      <c r="J15" s="63"/>
    </row>
    <row r="16" spans="1:10">
      <c r="A16" s="22"/>
      <c r="B16" s="26">
        <v>42026</v>
      </c>
      <c r="C16" s="13" t="s">
        <v>228</v>
      </c>
      <c r="D16" s="14" t="s">
        <v>61</v>
      </c>
      <c r="E16" s="13" t="s">
        <v>19</v>
      </c>
      <c r="F16" s="56">
        <v>0.1</v>
      </c>
      <c r="G16" s="59">
        <v>135.62</v>
      </c>
      <c r="H16" s="60"/>
      <c r="J16" s="63"/>
    </row>
    <row r="17" spans="1:10">
      <c r="A17" s="22"/>
      <c r="B17" s="26">
        <v>42031</v>
      </c>
      <c r="C17" s="13" t="s">
        <v>229</v>
      </c>
      <c r="D17" s="14" t="s">
        <v>21</v>
      </c>
      <c r="E17" s="13" t="s">
        <v>57</v>
      </c>
      <c r="F17" s="56">
        <v>0.1</v>
      </c>
      <c r="G17" s="59">
        <v>147.66</v>
      </c>
      <c r="H17" s="60"/>
      <c r="J17" s="63"/>
    </row>
    <row r="18" spans="1:10" ht="19.5">
      <c r="A18" s="645" t="s">
        <v>39</v>
      </c>
      <c r="B18" s="646"/>
      <c r="C18" s="646"/>
      <c r="D18" s="646"/>
      <c r="E18" s="646"/>
      <c r="F18" s="647"/>
      <c r="G18" s="29">
        <f>SUM(G2:G17)</f>
        <v>2915.3399999999997</v>
      </c>
      <c r="H18" s="61"/>
      <c r="I18" s="62"/>
      <c r="J18" s="64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0"/>
  <sheetViews>
    <sheetView workbookViewId="0">
      <selection activeCell="C14" activeCellId="2" sqref="C9 C10 C14"/>
    </sheetView>
  </sheetViews>
  <sheetFormatPr defaultRowHeight="15"/>
  <cols>
    <col min="3" max="3" width="35.140625" bestFit="1" customWidth="1"/>
  </cols>
  <sheetData>
    <row r="1" spans="1:10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57" t="s">
        <v>7</v>
      </c>
      <c r="H1" s="664" t="s">
        <v>213</v>
      </c>
      <c r="I1" s="665"/>
      <c r="J1" s="666"/>
    </row>
    <row r="2" spans="1:10">
      <c r="A2" s="31">
        <v>42037</v>
      </c>
      <c r="B2" s="32">
        <v>42036</v>
      </c>
      <c r="C2" s="7" t="s">
        <v>230</v>
      </c>
      <c r="D2" s="8" t="s">
        <v>21</v>
      </c>
      <c r="E2" s="7" t="s">
        <v>22</v>
      </c>
      <c r="F2" s="55">
        <v>0.13980000000000001</v>
      </c>
      <c r="G2" s="65">
        <v>372.4</v>
      </c>
      <c r="H2" s="66"/>
      <c r="J2" s="63"/>
    </row>
    <row r="3" spans="1:10">
      <c r="A3" s="22"/>
      <c r="B3" s="26">
        <v>42040</v>
      </c>
      <c r="C3" s="13" t="s">
        <v>231</v>
      </c>
      <c r="D3" s="14" t="s">
        <v>14</v>
      </c>
      <c r="E3" s="13" t="s">
        <v>10</v>
      </c>
      <c r="F3" s="56">
        <v>0.1</v>
      </c>
      <c r="G3" s="59">
        <v>137.66999999999999</v>
      </c>
      <c r="H3" s="60"/>
      <c r="J3" s="63"/>
    </row>
    <row r="4" spans="1:10">
      <c r="A4" s="22">
        <v>42041</v>
      </c>
      <c r="B4" s="26">
        <v>42042</v>
      </c>
      <c r="C4" s="13" t="s">
        <v>232</v>
      </c>
      <c r="D4" s="14" t="s">
        <v>9</v>
      </c>
      <c r="E4" s="13" t="s">
        <v>19</v>
      </c>
      <c r="F4" s="56">
        <v>0.1</v>
      </c>
      <c r="G4" s="59">
        <v>218.79</v>
      </c>
      <c r="H4" s="60"/>
      <c r="J4" s="63"/>
    </row>
    <row r="5" spans="1:10">
      <c r="A5" s="22">
        <v>42044</v>
      </c>
      <c r="B5" s="26">
        <v>42044</v>
      </c>
      <c r="C5" s="13" t="s">
        <v>233</v>
      </c>
      <c r="D5" s="14" t="s">
        <v>14</v>
      </c>
      <c r="E5" s="13" t="s">
        <v>15</v>
      </c>
      <c r="F5" s="56">
        <v>0.1</v>
      </c>
      <c r="G5" s="59">
        <v>199.68</v>
      </c>
      <c r="H5" s="67"/>
      <c r="I5" s="68"/>
      <c r="J5" s="69"/>
    </row>
    <row r="6" spans="1:10">
      <c r="A6" s="22">
        <v>42046</v>
      </c>
      <c r="B6" s="26">
        <v>42047</v>
      </c>
      <c r="C6" s="13" t="s">
        <v>234</v>
      </c>
      <c r="D6" s="14" t="s">
        <v>61</v>
      </c>
      <c r="E6" s="13" t="s">
        <v>19</v>
      </c>
      <c r="F6" s="56">
        <v>0.1</v>
      </c>
      <c r="G6" s="59">
        <v>121.51</v>
      </c>
      <c r="H6" s="67"/>
      <c r="I6" s="68"/>
      <c r="J6" s="69"/>
    </row>
    <row r="7" spans="1:10">
      <c r="A7" s="22"/>
      <c r="B7" s="26">
        <v>42048</v>
      </c>
      <c r="C7" s="13" t="s">
        <v>235</v>
      </c>
      <c r="D7" s="14" t="s">
        <v>25</v>
      </c>
      <c r="E7" s="13" t="s">
        <v>10</v>
      </c>
      <c r="F7" s="56">
        <v>0.15</v>
      </c>
      <c r="G7" s="59">
        <v>257.73</v>
      </c>
      <c r="H7" s="67"/>
      <c r="I7" s="68"/>
      <c r="J7" s="69"/>
    </row>
    <row r="8" spans="1:10">
      <c r="A8" s="22"/>
      <c r="B8" s="26">
        <v>42049</v>
      </c>
      <c r="C8" s="13" t="s">
        <v>236</v>
      </c>
      <c r="D8" s="14" t="s">
        <v>14</v>
      </c>
      <c r="E8" s="13" t="s">
        <v>10</v>
      </c>
      <c r="F8" s="56">
        <v>0.1</v>
      </c>
      <c r="G8" s="59">
        <v>118.53</v>
      </c>
      <c r="H8" s="67"/>
      <c r="I8" s="68"/>
      <c r="J8" s="69"/>
    </row>
    <row r="9" spans="1:10">
      <c r="A9" s="22"/>
      <c r="B9" s="26">
        <v>42049</v>
      </c>
      <c r="C9" s="13" t="s">
        <v>237</v>
      </c>
      <c r="D9" s="14" t="s">
        <v>14</v>
      </c>
      <c r="E9" s="13" t="s">
        <v>10</v>
      </c>
      <c r="F9" s="56">
        <v>0.1</v>
      </c>
      <c r="G9" s="59">
        <v>138.27000000000001</v>
      </c>
      <c r="H9" s="67"/>
      <c r="I9" s="68"/>
      <c r="J9" s="69"/>
    </row>
    <row r="10" spans="1:10">
      <c r="A10" s="22">
        <v>42046</v>
      </c>
      <c r="B10" s="26">
        <v>42050</v>
      </c>
      <c r="C10" s="13" t="s">
        <v>238</v>
      </c>
      <c r="D10" s="14" t="s">
        <v>9</v>
      </c>
      <c r="E10" s="13" t="s">
        <v>17</v>
      </c>
      <c r="F10" s="56">
        <v>0.25</v>
      </c>
      <c r="G10" s="59">
        <v>246.62</v>
      </c>
      <c r="H10" s="67"/>
      <c r="I10" s="68"/>
      <c r="J10" s="69"/>
    </row>
    <row r="11" spans="1:10">
      <c r="A11" s="22"/>
      <c r="B11" s="26">
        <v>42050</v>
      </c>
      <c r="C11" s="13" t="s">
        <v>239</v>
      </c>
      <c r="D11" s="14" t="s">
        <v>61</v>
      </c>
      <c r="E11" s="13" t="s">
        <v>19</v>
      </c>
      <c r="F11" s="56">
        <v>0.1</v>
      </c>
      <c r="G11" s="59">
        <v>133.69999999999999</v>
      </c>
      <c r="H11" s="60"/>
      <c r="J11" s="63"/>
    </row>
    <row r="12" spans="1:10">
      <c r="A12" s="22"/>
      <c r="B12" s="26">
        <v>42052</v>
      </c>
      <c r="C12" s="13" t="s">
        <v>140</v>
      </c>
      <c r="D12" s="14" t="s">
        <v>14</v>
      </c>
      <c r="E12" s="13" t="s">
        <v>29</v>
      </c>
      <c r="F12" s="56">
        <v>0.15</v>
      </c>
      <c r="G12" s="59">
        <v>182.54</v>
      </c>
      <c r="H12" s="60"/>
      <c r="J12" s="63"/>
    </row>
    <row r="13" spans="1:10">
      <c r="A13" s="22"/>
      <c r="B13" s="26">
        <v>42052</v>
      </c>
      <c r="C13" s="13" t="s">
        <v>220</v>
      </c>
      <c r="D13" s="14" t="s">
        <v>14</v>
      </c>
      <c r="E13" s="13" t="s">
        <v>22</v>
      </c>
      <c r="F13" s="56">
        <v>0.1</v>
      </c>
      <c r="G13" s="59">
        <v>105.81</v>
      </c>
      <c r="H13" s="60"/>
      <c r="J13" s="63"/>
    </row>
    <row r="14" spans="1:10">
      <c r="A14" s="22"/>
      <c r="B14" s="26">
        <v>42053</v>
      </c>
      <c r="C14" s="13" t="s">
        <v>240</v>
      </c>
      <c r="D14" s="14" t="s">
        <v>149</v>
      </c>
      <c r="E14" s="13" t="s">
        <v>15</v>
      </c>
      <c r="F14" s="56">
        <v>0.1</v>
      </c>
      <c r="G14" s="59">
        <v>86.25</v>
      </c>
      <c r="H14" s="60"/>
      <c r="J14" s="63"/>
    </row>
    <row r="15" spans="1:10">
      <c r="A15" s="22"/>
      <c r="B15" s="26">
        <v>42054</v>
      </c>
      <c r="C15" s="13" t="s">
        <v>241</v>
      </c>
      <c r="D15" s="14">
        <v>10</v>
      </c>
      <c r="E15" s="13" t="s">
        <v>10</v>
      </c>
      <c r="F15" s="56">
        <v>0.12</v>
      </c>
      <c r="G15" s="59">
        <v>118.75</v>
      </c>
      <c r="H15" s="60"/>
      <c r="J15" s="63"/>
    </row>
    <row r="16" spans="1:10">
      <c r="A16" s="22"/>
      <c r="B16" s="26">
        <v>42056</v>
      </c>
      <c r="C16" s="13" t="s">
        <v>242</v>
      </c>
      <c r="D16" s="14" t="s">
        <v>14</v>
      </c>
      <c r="E16" s="13" t="s">
        <v>22</v>
      </c>
      <c r="F16" s="56">
        <v>0.1</v>
      </c>
      <c r="G16" s="59">
        <v>170.75</v>
      </c>
      <c r="H16" s="60"/>
      <c r="J16" s="63"/>
    </row>
    <row r="17" spans="1:10">
      <c r="A17" s="22"/>
      <c r="B17" s="26">
        <v>42057</v>
      </c>
      <c r="C17" s="13" t="s">
        <v>243</v>
      </c>
      <c r="D17" s="14" t="s">
        <v>9</v>
      </c>
      <c r="E17" s="13" t="s">
        <v>17</v>
      </c>
      <c r="F17" s="56">
        <v>0.1</v>
      </c>
      <c r="G17" s="59">
        <v>146.21</v>
      </c>
      <c r="H17" s="60"/>
      <c r="J17" s="63"/>
    </row>
    <row r="18" spans="1:10">
      <c r="A18" s="22"/>
      <c r="B18" s="26">
        <v>42059</v>
      </c>
      <c r="C18" s="13" t="s">
        <v>244</v>
      </c>
      <c r="D18" s="14" t="s">
        <v>21</v>
      </c>
      <c r="E18" s="13" t="s">
        <v>57</v>
      </c>
      <c r="F18" s="56">
        <v>0.1</v>
      </c>
      <c r="G18" s="59">
        <v>220.13</v>
      </c>
      <c r="H18" s="60"/>
      <c r="J18" s="63"/>
    </row>
    <row r="19" spans="1:10">
      <c r="A19" s="22">
        <v>42061</v>
      </c>
      <c r="B19" s="26">
        <v>42061</v>
      </c>
      <c r="C19" s="13" t="s">
        <v>245</v>
      </c>
      <c r="D19" s="14" t="s">
        <v>14</v>
      </c>
      <c r="E19" s="13" t="s">
        <v>10</v>
      </c>
      <c r="F19" s="56">
        <v>0.1</v>
      </c>
      <c r="G19" s="59">
        <v>128.44999999999999</v>
      </c>
      <c r="H19" s="60"/>
      <c r="J19" s="63"/>
    </row>
    <row r="20" spans="1:10" ht="19.5">
      <c r="A20" s="645" t="s">
        <v>39</v>
      </c>
      <c r="B20" s="646"/>
      <c r="C20" s="646"/>
      <c r="D20" s="646"/>
      <c r="E20" s="646"/>
      <c r="F20" s="647"/>
      <c r="G20" s="29">
        <f>SUM(G2:G19)</f>
        <v>3103.79</v>
      </c>
      <c r="H20" s="61"/>
      <c r="I20" s="62"/>
      <c r="J20" s="64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8"/>
  <sheetViews>
    <sheetView topLeftCell="A10" workbookViewId="0">
      <selection activeCell="C26" activeCellId="13" sqref="C3 C4 C6 C7 C9 C11 C14 C13 C16 C17 C22 C23 C24 C26"/>
    </sheetView>
  </sheetViews>
  <sheetFormatPr defaultRowHeight="15"/>
  <cols>
    <col min="3" max="3" width="37.7109375" bestFit="1" customWidth="1"/>
  </cols>
  <sheetData>
    <row r="1" spans="1:9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70" t="s">
        <v>7</v>
      </c>
      <c r="H1" s="74" t="s">
        <v>7</v>
      </c>
      <c r="I1" s="75"/>
    </row>
    <row r="2" spans="1:9">
      <c r="A2" s="31">
        <v>42065</v>
      </c>
      <c r="B2" s="32">
        <v>42064</v>
      </c>
      <c r="C2" s="7" t="s">
        <v>246</v>
      </c>
      <c r="D2" s="8" t="s">
        <v>25</v>
      </c>
      <c r="E2" s="7" t="s">
        <v>22</v>
      </c>
      <c r="F2" s="55">
        <v>0.1</v>
      </c>
      <c r="G2" s="71">
        <v>156.51</v>
      </c>
      <c r="H2" s="76"/>
      <c r="I2" s="77"/>
    </row>
    <row r="3" spans="1:9">
      <c r="A3" s="31">
        <v>42062</v>
      </c>
      <c r="B3" s="32">
        <v>42065</v>
      </c>
      <c r="C3" s="7" t="s">
        <v>247</v>
      </c>
      <c r="D3" s="8" t="s">
        <v>14</v>
      </c>
      <c r="E3" s="7" t="s">
        <v>10</v>
      </c>
      <c r="F3" s="55">
        <v>0.1</v>
      </c>
      <c r="G3" s="72">
        <v>191.36</v>
      </c>
      <c r="H3" s="73"/>
      <c r="I3" s="78"/>
    </row>
    <row r="4" spans="1:9">
      <c r="A4" s="31"/>
      <c r="B4" s="32">
        <v>42065</v>
      </c>
      <c r="C4" s="7" t="s">
        <v>248</v>
      </c>
      <c r="D4" s="8" t="s">
        <v>61</v>
      </c>
      <c r="E4" s="7" t="s">
        <v>17</v>
      </c>
      <c r="F4" s="55">
        <v>0.15</v>
      </c>
      <c r="G4" s="72">
        <v>257.25</v>
      </c>
      <c r="H4" s="667" t="s">
        <v>249</v>
      </c>
      <c r="I4" s="668"/>
    </row>
    <row r="5" spans="1:9">
      <c r="A5" s="22">
        <v>42062</v>
      </c>
      <c r="B5" s="26">
        <v>42066</v>
      </c>
      <c r="C5" s="13" t="s">
        <v>250</v>
      </c>
      <c r="D5" s="14" t="s">
        <v>14</v>
      </c>
      <c r="E5" s="13" t="s">
        <v>17</v>
      </c>
      <c r="F5" s="56">
        <v>0.2</v>
      </c>
      <c r="G5" s="59">
        <v>297.58</v>
      </c>
      <c r="H5" s="73"/>
      <c r="I5" s="78"/>
    </row>
    <row r="6" spans="1:9">
      <c r="A6" s="22">
        <v>42061</v>
      </c>
      <c r="B6" s="26">
        <v>42066</v>
      </c>
      <c r="C6" s="13" t="s">
        <v>251</v>
      </c>
      <c r="D6" s="14" t="s">
        <v>25</v>
      </c>
      <c r="E6" s="13" t="s">
        <v>10</v>
      </c>
      <c r="F6" s="56">
        <v>0.1</v>
      </c>
      <c r="G6" s="59">
        <v>139.5</v>
      </c>
      <c r="H6" s="73"/>
      <c r="I6" s="78"/>
    </row>
    <row r="7" spans="1:9">
      <c r="A7" s="22">
        <v>42067</v>
      </c>
      <c r="B7" s="26">
        <v>42068</v>
      </c>
      <c r="C7" s="13" t="s">
        <v>252</v>
      </c>
      <c r="D7" s="14" t="s">
        <v>61</v>
      </c>
      <c r="E7" s="13" t="s">
        <v>19</v>
      </c>
      <c r="F7" s="56">
        <v>0.1</v>
      </c>
      <c r="G7" s="59">
        <v>166.54</v>
      </c>
      <c r="H7" s="73"/>
      <c r="I7" s="78"/>
    </row>
    <row r="8" spans="1:9">
      <c r="A8" s="22">
        <v>42062</v>
      </c>
      <c r="B8" s="26">
        <v>42069</v>
      </c>
      <c r="C8" s="13" t="s">
        <v>253</v>
      </c>
      <c r="D8" s="14" t="s">
        <v>254</v>
      </c>
      <c r="E8" s="13" t="s">
        <v>29</v>
      </c>
      <c r="F8" s="56">
        <v>0.18</v>
      </c>
      <c r="G8" s="59">
        <v>241.71</v>
      </c>
      <c r="H8" s="73"/>
      <c r="I8" s="78"/>
    </row>
    <row r="9" spans="1:9">
      <c r="A9" s="22">
        <v>42069</v>
      </c>
      <c r="B9" s="26">
        <v>42069</v>
      </c>
      <c r="C9" s="13" t="s">
        <v>255</v>
      </c>
      <c r="D9" s="14" t="s">
        <v>21</v>
      </c>
      <c r="E9" s="13" t="s">
        <v>19</v>
      </c>
      <c r="F9" s="56">
        <v>0.1</v>
      </c>
      <c r="G9" s="59">
        <v>126.18</v>
      </c>
      <c r="H9" s="73"/>
      <c r="I9" s="78"/>
    </row>
    <row r="10" spans="1:9">
      <c r="A10" s="22">
        <v>42062</v>
      </c>
      <c r="B10" s="26">
        <v>42069</v>
      </c>
      <c r="C10" s="13" t="s">
        <v>256</v>
      </c>
      <c r="D10" s="14" t="s">
        <v>14</v>
      </c>
      <c r="E10" s="13" t="s">
        <v>10</v>
      </c>
      <c r="F10" s="56">
        <v>0.1</v>
      </c>
      <c r="G10" s="59">
        <v>119.24</v>
      </c>
      <c r="H10" s="73"/>
      <c r="I10" s="78"/>
    </row>
    <row r="11" spans="1:9">
      <c r="A11" s="22">
        <v>42069</v>
      </c>
      <c r="B11" s="26">
        <v>42069</v>
      </c>
      <c r="C11" s="13" t="s">
        <v>257</v>
      </c>
      <c r="D11" s="14" t="s">
        <v>61</v>
      </c>
      <c r="E11" s="13" t="s">
        <v>17</v>
      </c>
      <c r="F11" s="56">
        <v>0.1</v>
      </c>
      <c r="G11" s="59">
        <v>170.02</v>
      </c>
      <c r="H11" s="73"/>
      <c r="I11" s="78"/>
    </row>
    <row r="12" spans="1:9">
      <c r="A12" s="22">
        <v>42069</v>
      </c>
      <c r="B12" s="26">
        <v>42073</v>
      </c>
      <c r="C12" s="13" t="s">
        <v>258</v>
      </c>
      <c r="D12" s="14" t="s">
        <v>14</v>
      </c>
      <c r="E12" s="13" t="s">
        <v>10</v>
      </c>
      <c r="F12" s="56">
        <v>0.12</v>
      </c>
      <c r="G12" s="59">
        <v>118.23</v>
      </c>
      <c r="H12" s="73"/>
      <c r="I12" s="78"/>
    </row>
    <row r="13" spans="1:9">
      <c r="A13" s="22">
        <v>42073</v>
      </c>
      <c r="B13" s="26">
        <v>42077</v>
      </c>
      <c r="C13" s="13" t="s">
        <v>259</v>
      </c>
      <c r="D13" s="14" t="s">
        <v>9</v>
      </c>
      <c r="E13" s="13" t="s">
        <v>10</v>
      </c>
      <c r="F13" s="56">
        <v>0.23</v>
      </c>
      <c r="G13" s="59">
        <v>501.08</v>
      </c>
      <c r="H13" s="73"/>
      <c r="I13" s="78"/>
    </row>
    <row r="14" spans="1:9">
      <c r="A14" s="22">
        <v>42075</v>
      </c>
      <c r="B14" s="26">
        <v>42077</v>
      </c>
      <c r="C14" s="13" t="s">
        <v>260</v>
      </c>
      <c r="D14" s="14" t="s">
        <v>25</v>
      </c>
      <c r="E14" s="13" t="s">
        <v>57</v>
      </c>
      <c r="F14" s="56">
        <v>0.23</v>
      </c>
      <c r="G14" s="59">
        <v>311.17</v>
      </c>
      <c r="H14" s="73"/>
      <c r="I14" s="78"/>
    </row>
    <row r="15" spans="1:9">
      <c r="A15" s="22">
        <v>42075</v>
      </c>
      <c r="B15" s="26">
        <v>42078</v>
      </c>
      <c r="C15" s="13" t="s">
        <v>261</v>
      </c>
      <c r="D15" s="14" t="s">
        <v>14</v>
      </c>
      <c r="E15" s="13" t="s">
        <v>19</v>
      </c>
      <c r="F15" s="56">
        <v>0.15</v>
      </c>
      <c r="G15" s="59">
        <v>203.49</v>
      </c>
      <c r="H15" s="73"/>
      <c r="I15" s="78"/>
    </row>
    <row r="16" spans="1:9">
      <c r="A16" s="22">
        <v>42076</v>
      </c>
      <c r="B16" s="26">
        <v>42072</v>
      </c>
      <c r="C16" s="13" t="s">
        <v>262</v>
      </c>
      <c r="D16" s="14" t="s">
        <v>14</v>
      </c>
      <c r="E16" s="13" t="s">
        <v>10</v>
      </c>
      <c r="F16" s="56">
        <v>0.1</v>
      </c>
      <c r="G16" s="59">
        <v>275.94</v>
      </c>
      <c r="H16" s="73"/>
      <c r="I16" s="78"/>
    </row>
    <row r="17" spans="1:9">
      <c r="A17" s="22">
        <v>42080</v>
      </c>
      <c r="B17" s="26">
        <v>42080</v>
      </c>
      <c r="C17" s="13" t="s">
        <v>263</v>
      </c>
      <c r="D17" s="14" t="s">
        <v>14</v>
      </c>
      <c r="E17" s="13" t="s">
        <v>10</v>
      </c>
      <c r="F17" s="56">
        <v>0.1</v>
      </c>
      <c r="G17" s="59">
        <v>126.56</v>
      </c>
      <c r="H17" s="73"/>
      <c r="I17" s="78"/>
    </row>
    <row r="18" spans="1:9">
      <c r="A18" s="22">
        <v>42083</v>
      </c>
      <c r="B18" s="26">
        <v>42084</v>
      </c>
      <c r="C18" s="13" t="s">
        <v>264</v>
      </c>
      <c r="D18" s="14" t="s">
        <v>14</v>
      </c>
      <c r="E18" s="13" t="s">
        <v>10</v>
      </c>
      <c r="F18" s="56">
        <v>0.1</v>
      </c>
      <c r="G18" s="59">
        <v>133.86000000000001</v>
      </c>
      <c r="H18" s="73"/>
      <c r="I18" s="78"/>
    </row>
    <row r="19" spans="1:9">
      <c r="A19" s="22">
        <v>42083</v>
      </c>
      <c r="B19" s="26">
        <v>42084</v>
      </c>
      <c r="C19" s="13" t="s">
        <v>265</v>
      </c>
      <c r="D19" s="14" t="s">
        <v>9</v>
      </c>
      <c r="E19" s="13" t="s">
        <v>10</v>
      </c>
      <c r="F19" s="56">
        <v>0.25</v>
      </c>
      <c r="G19" s="59">
        <v>372.44</v>
      </c>
      <c r="H19" s="73"/>
      <c r="I19" s="78"/>
    </row>
    <row r="20" spans="1:9">
      <c r="A20" s="22">
        <v>42086</v>
      </c>
      <c r="B20" s="26">
        <v>42086</v>
      </c>
      <c r="C20" s="13" t="s">
        <v>266</v>
      </c>
      <c r="D20" s="14" t="s">
        <v>149</v>
      </c>
      <c r="E20" s="13" t="s">
        <v>22</v>
      </c>
      <c r="F20" s="56">
        <v>0.1</v>
      </c>
      <c r="G20" s="59">
        <v>188.12</v>
      </c>
      <c r="H20" s="73"/>
      <c r="I20" s="78"/>
    </row>
    <row r="21" spans="1:9">
      <c r="A21" s="22">
        <v>42086</v>
      </c>
      <c r="B21" s="26">
        <v>42086</v>
      </c>
      <c r="C21" s="13" t="s">
        <v>267</v>
      </c>
      <c r="D21" s="14" t="s">
        <v>14</v>
      </c>
      <c r="E21" s="13" t="s">
        <v>10</v>
      </c>
      <c r="F21" s="56">
        <v>0.1</v>
      </c>
      <c r="G21" s="59">
        <v>211.81</v>
      </c>
      <c r="H21" s="73"/>
      <c r="I21" s="78"/>
    </row>
    <row r="22" spans="1:9">
      <c r="A22" s="22">
        <v>42086</v>
      </c>
      <c r="B22" s="26">
        <v>42086</v>
      </c>
      <c r="C22" s="13" t="s">
        <v>268</v>
      </c>
      <c r="D22" s="14" t="s">
        <v>61</v>
      </c>
      <c r="E22" s="13" t="s">
        <v>17</v>
      </c>
      <c r="F22" s="56">
        <v>0.15</v>
      </c>
      <c r="G22" s="59">
        <v>170.54</v>
      </c>
      <c r="H22" s="73"/>
      <c r="I22" s="78"/>
    </row>
    <row r="23" spans="1:9">
      <c r="A23" s="22">
        <v>42088</v>
      </c>
      <c r="B23" s="26">
        <v>42088</v>
      </c>
      <c r="C23" s="13" t="s">
        <v>269</v>
      </c>
      <c r="D23" s="14" t="s">
        <v>14</v>
      </c>
      <c r="E23" s="13" t="s">
        <v>10</v>
      </c>
      <c r="F23" s="56">
        <v>0.1</v>
      </c>
      <c r="G23" s="59">
        <v>204.19</v>
      </c>
      <c r="H23" s="73"/>
      <c r="I23" s="78"/>
    </row>
    <row r="24" spans="1:9">
      <c r="A24" s="22">
        <v>42089</v>
      </c>
      <c r="B24" s="26">
        <v>42089</v>
      </c>
      <c r="C24" s="13" t="s">
        <v>270</v>
      </c>
      <c r="D24" s="14">
        <v>10</v>
      </c>
      <c r="E24" s="13" t="s">
        <v>17</v>
      </c>
      <c r="F24" s="56">
        <v>0.1</v>
      </c>
      <c r="G24" s="59">
        <v>207.56</v>
      </c>
      <c r="H24" s="73"/>
      <c r="I24" s="78"/>
    </row>
    <row r="25" spans="1:9">
      <c r="A25" s="22">
        <v>42089</v>
      </c>
      <c r="B25" s="26">
        <v>42089</v>
      </c>
      <c r="C25" s="13" t="s">
        <v>43</v>
      </c>
      <c r="D25" s="14" t="s">
        <v>61</v>
      </c>
      <c r="E25" s="13" t="s">
        <v>19</v>
      </c>
      <c r="F25" s="56">
        <v>0.1</v>
      </c>
      <c r="G25" s="59">
        <v>231.71</v>
      </c>
      <c r="H25" s="73"/>
      <c r="I25" s="78"/>
    </row>
    <row r="26" spans="1:9">
      <c r="A26" s="22">
        <v>42090</v>
      </c>
      <c r="B26" s="26">
        <v>42090</v>
      </c>
      <c r="C26" s="13" t="s">
        <v>271</v>
      </c>
      <c r="D26" s="14" t="s">
        <v>9</v>
      </c>
      <c r="E26" s="13" t="s">
        <v>17</v>
      </c>
      <c r="F26" s="56">
        <v>0.1</v>
      </c>
      <c r="G26" s="59">
        <v>222.62</v>
      </c>
      <c r="H26" s="73"/>
      <c r="I26" s="78"/>
    </row>
    <row r="27" spans="1:9">
      <c r="A27" s="22">
        <v>42089</v>
      </c>
      <c r="B27" s="26">
        <v>42093</v>
      </c>
      <c r="C27" s="13" t="s">
        <v>272</v>
      </c>
      <c r="D27" s="14" t="s">
        <v>14</v>
      </c>
      <c r="E27" s="13" t="s">
        <v>17</v>
      </c>
      <c r="F27" s="56">
        <v>0.1</v>
      </c>
      <c r="G27" s="59">
        <v>142.79</v>
      </c>
      <c r="H27" s="79"/>
      <c r="I27" s="80"/>
    </row>
    <row r="28" spans="1:9" ht="19.5">
      <c r="A28" s="645" t="s">
        <v>39</v>
      </c>
      <c r="B28" s="646"/>
      <c r="C28" s="646"/>
      <c r="D28" s="646"/>
      <c r="E28" s="646"/>
      <c r="F28" s="647"/>
      <c r="G28" s="29">
        <f>SUM(G2:G27)</f>
        <v>5488.0000000000009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3"/>
  <sheetViews>
    <sheetView workbookViewId="0">
      <selection activeCell="C16" activeCellId="5" sqref="C2 C4 C5 C10 C14 C16"/>
    </sheetView>
  </sheetViews>
  <sheetFormatPr defaultRowHeight="15"/>
  <cols>
    <col min="3" max="3" width="37.7109375" bestFit="1" customWidth="1"/>
  </cols>
  <sheetData>
    <row r="1" spans="1:9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70" t="s">
        <v>7</v>
      </c>
      <c r="H1" s="74" t="s">
        <v>7</v>
      </c>
      <c r="I1" s="75"/>
    </row>
    <row r="2" spans="1:9">
      <c r="A2" s="31">
        <v>42096</v>
      </c>
      <c r="B2" s="32">
        <v>42096</v>
      </c>
      <c r="C2" s="7" t="s">
        <v>273</v>
      </c>
      <c r="D2" s="8" t="s">
        <v>14</v>
      </c>
      <c r="E2" s="7" t="s">
        <v>19</v>
      </c>
      <c r="F2" s="55">
        <v>0.1</v>
      </c>
      <c r="G2" s="71">
        <v>134.03</v>
      </c>
      <c r="H2" s="76"/>
      <c r="I2" s="77"/>
    </row>
    <row r="3" spans="1:9">
      <c r="A3" s="31">
        <v>42095</v>
      </c>
      <c r="B3" s="32">
        <v>42096</v>
      </c>
      <c r="C3" s="7" t="s">
        <v>274</v>
      </c>
      <c r="D3" s="8" t="s">
        <v>9</v>
      </c>
      <c r="E3" s="7" t="s">
        <v>17</v>
      </c>
      <c r="F3" s="55">
        <v>0.2</v>
      </c>
      <c r="G3" s="81">
        <v>179.82</v>
      </c>
      <c r="H3" s="73"/>
      <c r="I3" s="78"/>
    </row>
    <row r="4" spans="1:9">
      <c r="A4" s="31">
        <v>42096</v>
      </c>
      <c r="B4" s="32">
        <v>42098</v>
      </c>
      <c r="C4" s="7" t="s">
        <v>275</v>
      </c>
      <c r="D4" s="8" t="s">
        <v>14</v>
      </c>
      <c r="E4" s="7" t="s">
        <v>143</v>
      </c>
      <c r="F4" s="55">
        <v>0.1</v>
      </c>
      <c r="G4" s="82">
        <v>233.19</v>
      </c>
      <c r="H4" s="667"/>
      <c r="I4" s="668"/>
    </row>
    <row r="5" spans="1:9">
      <c r="A5" s="22">
        <v>42102</v>
      </c>
      <c r="B5" s="26">
        <v>42102</v>
      </c>
      <c r="C5" s="13" t="s">
        <v>276</v>
      </c>
      <c r="D5" s="14" t="s">
        <v>21</v>
      </c>
      <c r="E5" s="13" t="s">
        <v>57</v>
      </c>
      <c r="F5" s="56">
        <v>0.1</v>
      </c>
      <c r="G5" s="59">
        <v>139.31</v>
      </c>
      <c r="H5" s="73"/>
      <c r="I5" s="78"/>
    </row>
    <row r="6" spans="1:9">
      <c r="A6" s="22">
        <v>42104</v>
      </c>
      <c r="B6" s="26">
        <v>42104</v>
      </c>
      <c r="C6" s="13" t="s">
        <v>277</v>
      </c>
      <c r="D6" s="14" t="s">
        <v>14</v>
      </c>
      <c r="E6" s="13" t="s">
        <v>57</v>
      </c>
      <c r="F6" s="56">
        <v>0.2</v>
      </c>
      <c r="G6" s="59">
        <v>375.87</v>
      </c>
      <c r="H6" s="73"/>
      <c r="I6" s="78"/>
    </row>
    <row r="7" spans="1:9">
      <c r="A7" s="22">
        <v>42104</v>
      </c>
      <c r="B7" s="26">
        <v>42104</v>
      </c>
      <c r="C7" s="13" t="s">
        <v>278</v>
      </c>
      <c r="D7" s="14" t="s">
        <v>70</v>
      </c>
      <c r="E7" s="13" t="s">
        <v>279</v>
      </c>
      <c r="F7" s="56">
        <v>0.2</v>
      </c>
      <c r="G7" s="59">
        <v>293.49</v>
      </c>
      <c r="H7" s="73"/>
      <c r="I7" s="78"/>
    </row>
    <row r="8" spans="1:9">
      <c r="A8" s="22">
        <v>42108</v>
      </c>
      <c r="B8" s="26">
        <v>42108</v>
      </c>
      <c r="C8" s="13" t="s">
        <v>280</v>
      </c>
      <c r="D8" s="14" t="s">
        <v>14</v>
      </c>
      <c r="E8" s="13" t="s">
        <v>10</v>
      </c>
      <c r="F8" s="56">
        <v>0.1</v>
      </c>
      <c r="G8" s="59">
        <v>108</v>
      </c>
      <c r="H8" s="73"/>
      <c r="I8" s="78"/>
    </row>
    <row r="9" spans="1:9">
      <c r="A9" s="22">
        <v>42109</v>
      </c>
      <c r="B9" s="26">
        <v>42109</v>
      </c>
      <c r="C9" s="13" t="s">
        <v>165</v>
      </c>
      <c r="D9" s="14" t="s">
        <v>14</v>
      </c>
      <c r="E9" s="13" t="s">
        <v>57</v>
      </c>
      <c r="F9" s="56">
        <v>0.22</v>
      </c>
      <c r="G9" s="59">
        <v>305.88</v>
      </c>
      <c r="H9" s="73"/>
      <c r="I9" s="78"/>
    </row>
    <row r="10" spans="1:9">
      <c r="A10" s="22">
        <v>42110</v>
      </c>
      <c r="B10" s="26">
        <v>42110</v>
      </c>
      <c r="C10" s="13" t="s">
        <v>281</v>
      </c>
      <c r="D10" s="14" t="s">
        <v>21</v>
      </c>
      <c r="E10" s="13" t="s">
        <v>12</v>
      </c>
      <c r="F10" s="56">
        <v>0.1</v>
      </c>
      <c r="G10" s="59">
        <v>155.1</v>
      </c>
      <c r="H10" s="669" t="s">
        <v>282</v>
      </c>
      <c r="I10" s="668"/>
    </row>
    <row r="11" spans="1:9">
      <c r="A11" s="22">
        <v>42110</v>
      </c>
      <c r="B11" s="26">
        <v>42110</v>
      </c>
      <c r="C11" s="13" t="s">
        <v>283</v>
      </c>
      <c r="D11" s="14" t="s">
        <v>14</v>
      </c>
      <c r="E11" s="13" t="s">
        <v>29</v>
      </c>
      <c r="F11" s="56">
        <v>0.1</v>
      </c>
      <c r="G11" s="59">
        <v>321.45</v>
      </c>
      <c r="H11" s="73"/>
      <c r="I11" s="78"/>
    </row>
    <row r="12" spans="1:9">
      <c r="A12" s="22">
        <v>42109</v>
      </c>
      <c r="B12" s="26">
        <v>42117</v>
      </c>
      <c r="C12" s="13" t="s">
        <v>284</v>
      </c>
      <c r="D12" s="14" t="s">
        <v>25</v>
      </c>
      <c r="E12" s="13" t="s">
        <v>17</v>
      </c>
      <c r="F12" s="56">
        <v>0.1</v>
      </c>
      <c r="G12" s="59">
        <v>85.6</v>
      </c>
      <c r="H12" s="73"/>
      <c r="I12" s="78"/>
    </row>
    <row r="13" spans="1:9">
      <c r="A13" s="22">
        <v>42116</v>
      </c>
      <c r="B13" s="26">
        <v>42116</v>
      </c>
      <c r="C13" s="13" t="s">
        <v>285</v>
      </c>
      <c r="D13" s="14" t="s">
        <v>70</v>
      </c>
      <c r="E13" s="13" t="s">
        <v>57</v>
      </c>
      <c r="F13" s="56">
        <v>0.14000000000000001</v>
      </c>
      <c r="G13" s="59">
        <v>276.95999999999998</v>
      </c>
      <c r="H13" s="73"/>
      <c r="I13" s="78"/>
    </row>
    <row r="14" spans="1:9">
      <c r="A14" s="22">
        <v>42117</v>
      </c>
      <c r="B14" s="26">
        <v>42116</v>
      </c>
      <c r="C14" s="13" t="s">
        <v>286</v>
      </c>
      <c r="D14" s="14" t="s">
        <v>14</v>
      </c>
      <c r="E14" s="13" t="s">
        <v>19</v>
      </c>
      <c r="F14" s="56">
        <v>0.1</v>
      </c>
      <c r="G14" s="59">
        <v>181.77</v>
      </c>
      <c r="H14" s="73"/>
      <c r="I14" s="78"/>
    </row>
    <row r="15" spans="1:9">
      <c r="A15" s="22">
        <v>42118</v>
      </c>
      <c r="B15" s="26">
        <v>42118</v>
      </c>
      <c r="C15" s="13" t="s">
        <v>287</v>
      </c>
      <c r="D15" s="14" t="s">
        <v>14</v>
      </c>
      <c r="E15" s="13" t="s">
        <v>57</v>
      </c>
      <c r="F15" s="56">
        <v>0.18</v>
      </c>
      <c r="G15" s="59">
        <v>237.47</v>
      </c>
      <c r="H15" s="73"/>
      <c r="I15" s="78"/>
    </row>
    <row r="16" spans="1:9">
      <c r="A16" s="22">
        <v>42118</v>
      </c>
      <c r="B16" s="26">
        <v>42119</v>
      </c>
      <c r="C16" s="13" t="s">
        <v>288</v>
      </c>
      <c r="D16" s="14" t="s">
        <v>61</v>
      </c>
      <c r="E16" s="13" t="s">
        <v>143</v>
      </c>
      <c r="F16" s="56">
        <v>0.1</v>
      </c>
      <c r="G16" s="59">
        <v>281.5</v>
      </c>
      <c r="H16" s="73"/>
      <c r="I16" s="78"/>
    </row>
    <row r="17" spans="1:9">
      <c r="A17" s="22">
        <v>42122</v>
      </c>
      <c r="B17" s="26">
        <v>42122</v>
      </c>
      <c r="C17" s="13" t="s">
        <v>125</v>
      </c>
      <c r="D17" s="14" t="s">
        <v>21</v>
      </c>
      <c r="E17" s="13" t="s">
        <v>57</v>
      </c>
      <c r="F17" s="56">
        <v>0.17</v>
      </c>
      <c r="G17" s="59">
        <v>396.05</v>
      </c>
      <c r="H17" s="73"/>
      <c r="I17" s="78"/>
    </row>
    <row r="18" spans="1:9">
      <c r="A18" s="22"/>
      <c r="B18" s="26"/>
      <c r="C18" s="13"/>
      <c r="D18" s="14"/>
      <c r="E18" s="13"/>
      <c r="F18" s="56"/>
      <c r="G18" s="59"/>
      <c r="H18" s="73"/>
      <c r="I18" s="78"/>
    </row>
    <row r="19" spans="1:9">
      <c r="A19" s="22"/>
      <c r="B19" s="26"/>
      <c r="C19" s="13"/>
      <c r="D19" s="14"/>
      <c r="E19" s="13"/>
      <c r="F19" s="56"/>
      <c r="G19" s="59"/>
      <c r="H19" s="73"/>
      <c r="I19" s="78"/>
    </row>
    <row r="20" spans="1:9">
      <c r="A20" s="22"/>
      <c r="B20" s="26"/>
      <c r="C20" s="13"/>
      <c r="D20" s="14"/>
      <c r="E20" s="13"/>
      <c r="F20" s="56"/>
      <c r="G20" s="59"/>
      <c r="H20" s="73"/>
      <c r="I20" s="78"/>
    </row>
    <row r="21" spans="1:9">
      <c r="A21" s="22"/>
      <c r="B21" s="26"/>
      <c r="C21" s="13"/>
      <c r="D21" s="14"/>
      <c r="E21" s="13"/>
      <c r="F21" s="56"/>
      <c r="G21" s="59"/>
      <c r="H21" s="73"/>
      <c r="I21" s="78"/>
    </row>
    <row r="22" spans="1:9">
      <c r="A22" s="22"/>
      <c r="B22" s="26"/>
      <c r="C22" s="13"/>
      <c r="D22" s="14"/>
      <c r="E22" s="13"/>
      <c r="F22" s="56"/>
      <c r="G22" s="59"/>
      <c r="H22" s="79"/>
      <c r="I22" s="80"/>
    </row>
    <row r="23" spans="1:9" ht="19.5">
      <c r="A23" s="645" t="s">
        <v>39</v>
      </c>
      <c r="B23" s="646"/>
      <c r="C23" s="646"/>
      <c r="D23" s="646"/>
      <c r="E23" s="646"/>
      <c r="F23" s="647"/>
      <c r="G23" s="29">
        <f>SUM(G2:G22)</f>
        <v>3705.4899999999993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3"/>
  <sheetViews>
    <sheetView topLeftCell="A4" workbookViewId="0">
      <selection activeCell="C22" activeCellId="7" sqref="C5 C7 C8 C13 C16 C17 C18 C22"/>
    </sheetView>
  </sheetViews>
  <sheetFormatPr defaultRowHeight="15"/>
  <cols>
    <col min="3" max="3" width="42" bestFit="1" customWidth="1"/>
  </cols>
  <sheetData>
    <row r="1" spans="1:10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70" t="s">
        <v>7</v>
      </c>
      <c r="H1" s="670" t="s">
        <v>289</v>
      </c>
      <c r="I1" s="671"/>
      <c r="J1" s="672"/>
    </row>
    <row r="2" spans="1:10">
      <c r="A2" s="31">
        <v>42123</v>
      </c>
      <c r="B2" s="32">
        <v>42126</v>
      </c>
      <c r="C2" s="7" t="s">
        <v>11</v>
      </c>
      <c r="D2" s="8" t="s">
        <v>9</v>
      </c>
      <c r="E2" s="7" t="s">
        <v>19</v>
      </c>
      <c r="F2" s="55">
        <v>0.1</v>
      </c>
      <c r="G2" s="71">
        <v>122.17</v>
      </c>
      <c r="H2" s="83"/>
      <c r="I2" s="83"/>
      <c r="J2" s="84"/>
    </row>
    <row r="3" spans="1:10">
      <c r="A3" s="31">
        <v>42121</v>
      </c>
      <c r="B3" s="32">
        <v>42130</v>
      </c>
      <c r="C3" s="7" t="s">
        <v>52</v>
      </c>
      <c r="D3" s="8" t="s">
        <v>9</v>
      </c>
      <c r="E3" s="7" t="s">
        <v>17</v>
      </c>
      <c r="F3" s="55">
        <v>0.25</v>
      </c>
      <c r="G3" s="81">
        <v>435.89</v>
      </c>
      <c r="J3" s="63"/>
    </row>
    <row r="4" spans="1:10">
      <c r="A4" s="31">
        <v>42124</v>
      </c>
      <c r="B4" s="32">
        <v>42129</v>
      </c>
      <c r="C4" s="7" t="s">
        <v>290</v>
      </c>
      <c r="D4" s="8" t="s">
        <v>9</v>
      </c>
      <c r="E4" s="7" t="s">
        <v>10</v>
      </c>
      <c r="F4" s="55">
        <v>0.1</v>
      </c>
      <c r="G4" s="82">
        <v>125.79</v>
      </c>
      <c r="J4" s="63"/>
    </row>
    <row r="5" spans="1:10">
      <c r="A5" s="22">
        <v>42124</v>
      </c>
      <c r="B5" s="26">
        <v>42006</v>
      </c>
      <c r="C5" s="13" t="s">
        <v>291</v>
      </c>
      <c r="D5" s="14" t="s">
        <v>14</v>
      </c>
      <c r="E5" s="13" t="s">
        <v>17</v>
      </c>
      <c r="F5" s="56">
        <v>0.1</v>
      </c>
      <c r="G5" s="59">
        <v>154.25</v>
      </c>
      <c r="H5" s="67" t="s">
        <v>292</v>
      </c>
      <c r="I5" s="68"/>
      <c r="J5" s="69"/>
    </row>
    <row r="6" spans="1:10">
      <c r="A6" s="22">
        <v>42132</v>
      </c>
      <c r="B6" s="26">
        <v>42133</v>
      </c>
      <c r="C6" s="13" t="s">
        <v>20</v>
      </c>
      <c r="D6" s="14" t="s">
        <v>14</v>
      </c>
      <c r="E6" s="13" t="s">
        <v>10</v>
      </c>
      <c r="F6" s="56">
        <v>0.1</v>
      </c>
      <c r="G6" s="59">
        <v>114.3</v>
      </c>
      <c r="J6" s="63"/>
    </row>
    <row r="7" spans="1:10">
      <c r="A7" s="22">
        <v>42137</v>
      </c>
      <c r="B7" s="26">
        <v>42137</v>
      </c>
      <c r="C7" s="13" t="s">
        <v>27</v>
      </c>
      <c r="D7" s="14" t="s">
        <v>14</v>
      </c>
      <c r="E7" s="13" t="s">
        <v>10</v>
      </c>
      <c r="F7" s="56">
        <v>0.1</v>
      </c>
      <c r="G7" s="59">
        <v>111.27</v>
      </c>
      <c r="J7" s="63"/>
    </row>
    <row r="8" spans="1:10">
      <c r="A8" s="22">
        <v>42138</v>
      </c>
      <c r="B8" s="26">
        <v>42138</v>
      </c>
      <c r="C8" s="13" t="s">
        <v>24</v>
      </c>
      <c r="D8" s="14" t="s">
        <v>14</v>
      </c>
      <c r="E8" s="13" t="s">
        <v>22</v>
      </c>
      <c r="F8" s="56">
        <v>0.1</v>
      </c>
      <c r="G8" s="59">
        <v>499.25</v>
      </c>
      <c r="J8" s="63"/>
    </row>
    <row r="9" spans="1:10">
      <c r="A9" s="22">
        <v>42138</v>
      </c>
      <c r="B9" s="26">
        <v>42138</v>
      </c>
      <c r="C9" s="13" t="s">
        <v>293</v>
      </c>
      <c r="D9" s="14" t="s">
        <v>70</v>
      </c>
      <c r="E9" s="13" t="s">
        <v>22</v>
      </c>
      <c r="F9" s="56">
        <v>0.1</v>
      </c>
      <c r="G9" s="59">
        <v>211.59</v>
      </c>
      <c r="J9" s="63"/>
    </row>
    <row r="10" spans="1:10">
      <c r="A10" s="22">
        <v>42138</v>
      </c>
      <c r="B10" s="26">
        <v>42138</v>
      </c>
      <c r="C10" s="13" t="s">
        <v>294</v>
      </c>
      <c r="D10" s="14" t="s">
        <v>33</v>
      </c>
      <c r="E10" s="13" t="s">
        <v>279</v>
      </c>
      <c r="F10" s="56">
        <v>0.1</v>
      </c>
      <c r="G10" s="59">
        <v>147.63999999999999</v>
      </c>
      <c r="J10" s="63"/>
    </row>
    <row r="11" spans="1:10">
      <c r="A11" s="22">
        <v>42139</v>
      </c>
      <c r="B11" s="26">
        <v>42139</v>
      </c>
      <c r="C11" s="13" t="s">
        <v>115</v>
      </c>
      <c r="D11" s="14" t="s">
        <v>9</v>
      </c>
      <c r="E11" s="13" t="s">
        <v>10</v>
      </c>
      <c r="F11" s="56">
        <v>0.1</v>
      </c>
      <c r="G11" s="59">
        <v>154.28</v>
      </c>
      <c r="J11" s="63"/>
    </row>
    <row r="12" spans="1:10">
      <c r="A12" s="22">
        <v>42142</v>
      </c>
      <c r="B12" s="26">
        <v>42145</v>
      </c>
      <c r="C12" s="13" t="s">
        <v>295</v>
      </c>
      <c r="D12" s="14" t="s">
        <v>14</v>
      </c>
      <c r="E12" s="13" t="s">
        <v>10</v>
      </c>
      <c r="F12" s="56">
        <v>0.1</v>
      </c>
      <c r="G12" s="59">
        <v>160.86000000000001</v>
      </c>
      <c r="J12" s="63"/>
    </row>
    <row r="13" spans="1:10">
      <c r="A13" s="22">
        <v>42143</v>
      </c>
      <c r="B13" s="26">
        <v>42143</v>
      </c>
      <c r="C13" s="13" t="s">
        <v>296</v>
      </c>
      <c r="D13" s="14" t="s">
        <v>198</v>
      </c>
      <c r="E13" s="13" t="s">
        <v>10</v>
      </c>
      <c r="F13" s="56">
        <v>0.1</v>
      </c>
      <c r="G13" s="59">
        <v>160.19</v>
      </c>
      <c r="J13" s="63"/>
    </row>
    <row r="14" spans="1:10">
      <c r="A14" s="22">
        <v>42145</v>
      </c>
      <c r="B14" s="26">
        <v>42145</v>
      </c>
      <c r="C14" s="13" t="s">
        <v>31</v>
      </c>
      <c r="D14" s="14" t="s">
        <v>149</v>
      </c>
      <c r="E14" s="13" t="s">
        <v>10</v>
      </c>
      <c r="F14" s="56">
        <v>0.1</v>
      </c>
      <c r="G14" s="59">
        <v>140.30000000000001</v>
      </c>
      <c r="J14" s="63"/>
    </row>
    <row r="15" spans="1:10">
      <c r="A15" s="22">
        <v>42145</v>
      </c>
      <c r="B15" s="26">
        <v>42147</v>
      </c>
      <c r="C15" s="13" t="s">
        <v>36</v>
      </c>
      <c r="D15" s="14" t="s">
        <v>61</v>
      </c>
      <c r="E15" s="13" t="s">
        <v>19</v>
      </c>
      <c r="F15" s="56">
        <v>0.15</v>
      </c>
      <c r="G15" s="59">
        <v>209.94</v>
      </c>
      <c r="J15" s="63"/>
    </row>
    <row r="16" spans="1:10">
      <c r="A16" s="22">
        <v>42149</v>
      </c>
      <c r="B16" s="26">
        <v>42149</v>
      </c>
      <c r="C16" s="13" t="s">
        <v>297</v>
      </c>
      <c r="D16" s="14" t="s">
        <v>14</v>
      </c>
      <c r="E16" s="13" t="s">
        <v>10</v>
      </c>
      <c r="F16" s="56">
        <v>0.25</v>
      </c>
      <c r="G16" s="59">
        <v>287.32</v>
      </c>
      <c r="J16" s="63"/>
    </row>
    <row r="17" spans="1:10">
      <c r="A17" s="22">
        <v>42151</v>
      </c>
      <c r="B17" s="26">
        <v>42151</v>
      </c>
      <c r="C17" s="13" t="s">
        <v>212</v>
      </c>
      <c r="D17" s="14" t="s">
        <v>61</v>
      </c>
      <c r="E17" s="13" t="s">
        <v>19</v>
      </c>
      <c r="F17" s="56">
        <v>0.15</v>
      </c>
      <c r="G17" s="59">
        <v>389.3</v>
      </c>
      <c r="J17" s="63"/>
    </row>
    <row r="18" spans="1:10">
      <c r="A18" s="22">
        <v>42152</v>
      </c>
      <c r="B18" s="26">
        <v>42152</v>
      </c>
      <c r="C18" s="13" t="s">
        <v>298</v>
      </c>
      <c r="D18" s="14" t="s">
        <v>9</v>
      </c>
      <c r="E18" s="13" t="s">
        <v>279</v>
      </c>
      <c r="F18" s="56">
        <v>0.1</v>
      </c>
      <c r="G18" s="59">
        <v>68.37</v>
      </c>
      <c r="J18" s="63"/>
    </row>
    <row r="19" spans="1:10">
      <c r="A19" s="22">
        <v>42152</v>
      </c>
      <c r="B19" s="26">
        <v>42153</v>
      </c>
      <c r="C19" s="13" t="s">
        <v>38</v>
      </c>
      <c r="D19" s="14" t="s">
        <v>14</v>
      </c>
      <c r="E19" s="13" t="s">
        <v>29</v>
      </c>
      <c r="F19" s="56">
        <v>0.15</v>
      </c>
      <c r="G19" s="59">
        <v>183.05</v>
      </c>
      <c r="J19" s="63"/>
    </row>
    <row r="20" spans="1:10">
      <c r="A20" s="22">
        <v>42153</v>
      </c>
      <c r="B20" s="26">
        <v>42153</v>
      </c>
      <c r="C20" s="13" t="s">
        <v>299</v>
      </c>
      <c r="D20" s="14" t="s">
        <v>61</v>
      </c>
      <c r="E20" s="13" t="s">
        <v>19</v>
      </c>
      <c r="F20" s="56">
        <v>0.1</v>
      </c>
      <c r="G20" s="59">
        <v>184.75</v>
      </c>
      <c r="J20" s="63"/>
    </row>
    <row r="21" spans="1:10">
      <c r="A21" s="22">
        <v>42153</v>
      </c>
      <c r="B21" s="26">
        <v>42153</v>
      </c>
      <c r="C21" s="13" t="s">
        <v>142</v>
      </c>
      <c r="D21" s="14" t="s">
        <v>70</v>
      </c>
      <c r="E21" s="13" t="s">
        <v>279</v>
      </c>
      <c r="F21" s="56">
        <v>0.15</v>
      </c>
      <c r="G21" s="59">
        <v>119.88</v>
      </c>
      <c r="J21" s="63"/>
    </row>
    <row r="22" spans="1:10">
      <c r="A22" s="22">
        <v>42152</v>
      </c>
      <c r="B22" s="26">
        <v>42155</v>
      </c>
      <c r="C22" s="13" t="s">
        <v>34</v>
      </c>
      <c r="D22" s="14" t="s">
        <v>14</v>
      </c>
      <c r="E22" s="13" t="s">
        <v>10</v>
      </c>
      <c r="F22" s="56">
        <v>0.2</v>
      </c>
      <c r="G22" s="59">
        <v>422.87</v>
      </c>
      <c r="J22" s="63"/>
    </row>
    <row r="23" spans="1:10" ht="19.5">
      <c r="A23" s="645" t="s">
        <v>39</v>
      </c>
      <c r="B23" s="646"/>
      <c r="C23" s="646"/>
      <c r="D23" s="646"/>
      <c r="E23" s="646"/>
      <c r="F23" s="647"/>
      <c r="G23" s="29">
        <f>SUM(G2:G22)</f>
        <v>4403.2600000000011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4"/>
  <sheetViews>
    <sheetView topLeftCell="A4" workbookViewId="0">
      <selection activeCell="C17" activeCellId="2" sqref="C13 C14 C17"/>
    </sheetView>
  </sheetViews>
  <sheetFormatPr defaultRowHeight="15"/>
  <cols>
    <col min="3" max="3" width="43.85546875" bestFit="1" customWidth="1"/>
  </cols>
  <sheetData>
    <row r="1" spans="1:10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70" t="s">
        <v>7</v>
      </c>
      <c r="H1" s="670" t="s">
        <v>289</v>
      </c>
      <c r="I1" s="671"/>
      <c r="J1" s="672"/>
    </row>
    <row r="2" spans="1:10">
      <c r="A2" s="31">
        <v>42150</v>
      </c>
      <c r="B2" s="32">
        <v>42157</v>
      </c>
      <c r="C2" s="7" t="s">
        <v>256</v>
      </c>
      <c r="D2" s="8" t="s">
        <v>61</v>
      </c>
      <c r="E2" s="7" t="s">
        <v>29</v>
      </c>
      <c r="F2" s="55">
        <v>0.15</v>
      </c>
      <c r="G2" s="71">
        <v>222.25</v>
      </c>
      <c r="H2" s="83"/>
      <c r="I2" s="83"/>
      <c r="J2" s="84"/>
    </row>
    <row r="3" spans="1:10">
      <c r="A3" s="31">
        <v>42153</v>
      </c>
      <c r="B3" s="32">
        <v>42159</v>
      </c>
      <c r="C3" s="7" t="s">
        <v>41</v>
      </c>
      <c r="D3" s="8" t="s">
        <v>25</v>
      </c>
      <c r="E3" s="7" t="s">
        <v>15</v>
      </c>
      <c r="F3" s="55">
        <v>0.17</v>
      </c>
      <c r="G3" s="81">
        <v>230.32</v>
      </c>
      <c r="J3" s="63"/>
    </row>
    <row r="4" spans="1:10">
      <c r="A4" s="31">
        <v>42163</v>
      </c>
      <c r="B4" s="32">
        <v>42163</v>
      </c>
      <c r="C4" s="7" t="s">
        <v>300</v>
      </c>
      <c r="D4" s="8" t="s">
        <v>14</v>
      </c>
      <c r="E4" s="7" t="s">
        <v>15</v>
      </c>
      <c r="F4" s="55">
        <v>0.1</v>
      </c>
      <c r="G4" s="82">
        <v>293.83999999999997</v>
      </c>
      <c r="J4" s="63"/>
    </row>
    <row r="5" spans="1:10">
      <c r="A5" s="22">
        <v>42160</v>
      </c>
      <c r="B5" s="26">
        <v>42169</v>
      </c>
      <c r="C5" s="13" t="s">
        <v>48</v>
      </c>
      <c r="D5" s="14" t="s">
        <v>25</v>
      </c>
      <c r="E5" s="13" t="s">
        <v>19</v>
      </c>
      <c r="F5" s="56">
        <v>0.1</v>
      </c>
      <c r="G5" s="59">
        <v>113.1</v>
      </c>
      <c r="H5" s="67"/>
      <c r="I5" s="68"/>
      <c r="J5" s="69"/>
    </row>
    <row r="6" spans="1:10">
      <c r="A6" s="22">
        <v>42164</v>
      </c>
      <c r="B6" s="26">
        <v>42167</v>
      </c>
      <c r="C6" s="13" t="s">
        <v>46</v>
      </c>
      <c r="D6" s="14" t="s">
        <v>14</v>
      </c>
      <c r="E6" s="13" t="s">
        <v>10</v>
      </c>
      <c r="F6" s="56">
        <v>0.1</v>
      </c>
      <c r="G6" s="59">
        <v>126.88</v>
      </c>
      <c r="J6" s="63"/>
    </row>
    <row r="7" spans="1:10">
      <c r="A7" s="22">
        <v>42167</v>
      </c>
      <c r="B7" s="26">
        <v>42169</v>
      </c>
      <c r="C7" s="13" t="s">
        <v>50</v>
      </c>
      <c r="D7" s="14" t="s">
        <v>14</v>
      </c>
      <c r="E7" s="13" t="s">
        <v>15</v>
      </c>
      <c r="F7" s="56">
        <v>0.1</v>
      </c>
      <c r="G7" s="59">
        <v>290.29000000000002</v>
      </c>
      <c r="J7" s="63"/>
    </row>
    <row r="8" spans="1:10">
      <c r="A8" s="22">
        <v>42167</v>
      </c>
      <c r="B8" s="26">
        <v>42167</v>
      </c>
      <c r="C8" s="13" t="s">
        <v>301</v>
      </c>
      <c r="D8" s="14" t="s">
        <v>70</v>
      </c>
      <c r="E8" s="13" t="s">
        <v>10</v>
      </c>
      <c r="F8" s="56">
        <v>0.1</v>
      </c>
      <c r="G8" s="59">
        <v>99.68</v>
      </c>
      <c r="J8" s="63"/>
    </row>
    <row r="9" spans="1:10">
      <c r="A9" s="22">
        <v>42167</v>
      </c>
      <c r="B9" s="26">
        <v>42167</v>
      </c>
      <c r="C9" s="13" t="s">
        <v>52</v>
      </c>
      <c r="D9" s="14" t="s">
        <v>21</v>
      </c>
      <c r="E9" s="13" t="s">
        <v>57</v>
      </c>
      <c r="F9" s="56">
        <v>0.15</v>
      </c>
      <c r="G9" s="59">
        <v>256.66000000000003</v>
      </c>
      <c r="J9" s="63"/>
    </row>
    <row r="10" spans="1:10">
      <c r="A10" s="22">
        <v>42172</v>
      </c>
      <c r="B10" s="26">
        <v>42172</v>
      </c>
      <c r="C10" s="13" t="s">
        <v>51</v>
      </c>
      <c r="D10" s="14" t="s">
        <v>61</v>
      </c>
      <c r="E10" s="13" t="s">
        <v>143</v>
      </c>
      <c r="F10" s="56">
        <v>0.1</v>
      </c>
      <c r="G10" s="59">
        <v>112.75</v>
      </c>
      <c r="J10" s="63"/>
    </row>
    <row r="11" spans="1:10">
      <c r="A11" s="22">
        <v>42173</v>
      </c>
      <c r="B11" s="26">
        <v>42173</v>
      </c>
      <c r="C11" s="13" t="s">
        <v>52</v>
      </c>
      <c r="D11" s="14" t="s">
        <v>9</v>
      </c>
      <c r="E11" s="13" t="s">
        <v>17</v>
      </c>
      <c r="F11" s="56">
        <v>0.25</v>
      </c>
      <c r="G11" s="59">
        <v>631.84</v>
      </c>
      <c r="J11" s="63"/>
    </row>
    <row r="12" spans="1:10">
      <c r="A12" s="22">
        <v>42167</v>
      </c>
      <c r="B12" s="26">
        <v>42165</v>
      </c>
      <c r="C12" s="13" t="s">
        <v>64</v>
      </c>
      <c r="D12" s="14" t="s">
        <v>9</v>
      </c>
      <c r="E12" s="13" t="s">
        <v>17</v>
      </c>
      <c r="F12" s="56">
        <v>0.1</v>
      </c>
      <c r="G12" s="59">
        <v>241.98</v>
      </c>
      <c r="J12" s="63"/>
    </row>
    <row r="13" spans="1:10">
      <c r="A13" s="22">
        <v>42174</v>
      </c>
      <c r="B13" s="26">
        <v>42174</v>
      </c>
      <c r="C13" s="13" t="s">
        <v>302</v>
      </c>
      <c r="D13" s="14" t="s">
        <v>25</v>
      </c>
      <c r="E13" s="13" t="s">
        <v>279</v>
      </c>
      <c r="F13" s="56">
        <v>0.25</v>
      </c>
      <c r="G13" s="59">
        <v>690.7</v>
      </c>
      <c r="J13" s="63"/>
    </row>
    <row r="14" spans="1:10">
      <c r="A14" s="85">
        <v>42543</v>
      </c>
      <c r="B14" s="26">
        <v>42177</v>
      </c>
      <c r="C14" s="13" t="s">
        <v>303</v>
      </c>
      <c r="D14" s="14" t="s">
        <v>61</v>
      </c>
      <c r="E14" s="13" t="s">
        <v>19</v>
      </c>
      <c r="F14" s="56">
        <v>0.2</v>
      </c>
      <c r="G14" s="59">
        <v>220.62</v>
      </c>
      <c r="J14" s="63"/>
    </row>
    <row r="15" spans="1:10">
      <c r="A15" s="22">
        <v>42178</v>
      </c>
      <c r="B15" s="26">
        <v>42178</v>
      </c>
      <c r="C15" s="13" t="s">
        <v>53</v>
      </c>
      <c r="D15" s="14" t="s">
        <v>304</v>
      </c>
      <c r="E15" s="13" t="s">
        <v>10</v>
      </c>
      <c r="F15" s="56">
        <v>0.15</v>
      </c>
      <c r="G15" s="59">
        <v>179.62</v>
      </c>
      <c r="J15" s="63"/>
    </row>
    <row r="16" spans="1:10">
      <c r="A16" s="22">
        <v>42165</v>
      </c>
      <c r="B16" s="26">
        <v>42165</v>
      </c>
      <c r="C16" s="13" t="s">
        <v>305</v>
      </c>
      <c r="D16" s="14" t="s">
        <v>9</v>
      </c>
      <c r="E16" s="13" t="s">
        <v>279</v>
      </c>
      <c r="F16" s="56">
        <v>0.1</v>
      </c>
      <c r="G16" s="59">
        <v>69.59</v>
      </c>
      <c r="J16" s="63"/>
    </row>
    <row r="17" spans="1:10">
      <c r="A17" s="22">
        <v>42179</v>
      </c>
      <c r="B17" s="26">
        <v>42179</v>
      </c>
      <c r="C17" s="13" t="s">
        <v>60</v>
      </c>
      <c r="D17" s="14" t="s">
        <v>61</v>
      </c>
      <c r="E17" s="13" t="s">
        <v>19</v>
      </c>
      <c r="F17" s="56">
        <v>0.1</v>
      </c>
      <c r="G17" s="59">
        <v>147.6</v>
      </c>
      <c r="J17" s="63"/>
    </row>
    <row r="18" spans="1:10">
      <c r="A18" s="22">
        <v>42179</v>
      </c>
      <c r="B18" s="26">
        <v>42179</v>
      </c>
      <c r="C18" s="13" t="s">
        <v>306</v>
      </c>
      <c r="D18" s="14" t="s">
        <v>14</v>
      </c>
      <c r="E18" s="13" t="s">
        <v>10</v>
      </c>
      <c r="F18" s="56">
        <v>0.12</v>
      </c>
      <c r="G18" s="59">
        <v>167.18</v>
      </c>
      <c r="J18" s="63"/>
    </row>
    <row r="19" spans="1:10">
      <c r="A19" s="22">
        <v>42180</v>
      </c>
      <c r="B19" s="26">
        <v>42175</v>
      </c>
      <c r="C19" s="13" t="s">
        <v>62</v>
      </c>
      <c r="D19" s="14" t="s">
        <v>14</v>
      </c>
      <c r="E19" s="13" t="s">
        <v>10</v>
      </c>
      <c r="F19" s="56">
        <v>0.1</v>
      </c>
      <c r="G19" s="59">
        <v>118.53</v>
      </c>
      <c r="J19" s="63"/>
    </row>
    <row r="20" spans="1:10">
      <c r="A20" s="22">
        <v>42180</v>
      </c>
      <c r="B20" s="26">
        <v>42175</v>
      </c>
      <c r="C20" s="13" t="s">
        <v>63</v>
      </c>
      <c r="D20" s="14" t="s">
        <v>14</v>
      </c>
      <c r="E20" s="13" t="s">
        <v>10</v>
      </c>
      <c r="F20" s="56">
        <v>0.15</v>
      </c>
      <c r="G20" s="59">
        <v>107.2</v>
      </c>
      <c r="J20" s="63"/>
    </row>
    <row r="21" spans="1:10">
      <c r="A21" s="22">
        <v>42185</v>
      </c>
      <c r="B21" s="26">
        <v>42187</v>
      </c>
      <c r="C21" s="13" t="s">
        <v>67</v>
      </c>
      <c r="D21" s="14" t="s">
        <v>14</v>
      </c>
      <c r="E21" s="13" t="s">
        <v>10</v>
      </c>
      <c r="F21" s="56">
        <v>0.1</v>
      </c>
      <c r="G21" s="59">
        <v>113.64</v>
      </c>
      <c r="J21" s="63"/>
    </row>
    <row r="22" spans="1:10">
      <c r="A22" s="22">
        <v>42165</v>
      </c>
      <c r="B22" s="26">
        <v>42190</v>
      </c>
      <c r="C22" s="13" t="s">
        <v>69</v>
      </c>
      <c r="D22" s="14" t="s">
        <v>70</v>
      </c>
      <c r="E22" s="13" t="s">
        <v>22</v>
      </c>
      <c r="F22" s="56">
        <v>0.25</v>
      </c>
      <c r="G22" s="59">
        <v>613.36</v>
      </c>
      <c r="J22" s="63"/>
    </row>
    <row r="23" spans="1:10">
      <c r="A23" s="22">
        <v>42184</v>
      </c>
      <c r="B23" s="26">
        <v>42188</v>
      </c>
      <c r="C23" s="13" t="s">
        <v>66</v>
      </c>
      <c r="D23" s="14" t="s">
        <v>21</v>
      </c>
      <c r="E23" s="13" t="s">
        <v>22</v>
      </c>
      <c r="F23" s="56">
        <v>0.25</v>
      </c>
      <c r="G23" s="59">
        <v>530.59</v>
      </c>
      <c r="J23" s="63"/>
    </row>
    <row r="24" spans="1:10" ht="19.5">
      <c r="A24" s="645" t="s">
        <v>39</v>
      </c>
      <c r="B24" s="646"/>
      <c r="C24" s="646"/>
      <c r="D24" s="646"/>
      <c r="E24" s="646"/>
      <c r="F24" s="647"/>
      <c r="G24" s="29">
        <f>SUM(G2:G23)</f>
        <v>5578.2199999999993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4"/>
  <sheetViews>
    <sheetView workbookViewId="0"/>
  </sheetViews>
  <sheetFormatPr defaultRowHeight="15"/>
  <sheetData>
    <row r="1" spans="1:8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86" t="s">
        <v>7</v>
      </c>
      <c r="H1" s="88" t="s">
        <v>307</v>
      </c>
    </row>
    <row r="2" spans="1:8">
      <c r="A2" s="31">
        <v>42186</v>
      </c>
      <c r="B2" s="32">
        <v>42186</v>
      </c>
      <c r="C2" s="7" t="s">
        <v>68</v>
      </c>
      <c r="D2" s="8" t="s">
        <v>25</v>
      </c>
      <c r="E2" s="7" t="s">
        <v>10</v>
      </c>
      <c r="F2" s="55">
        <v>0.1</v>
      </c>
      <c r="G2" s="65">
        <v>246.98</v>
      </c>
      <c r="H2" s="96"/>
    </row>
    <row r="3" spans="1:8">
      <c r="A3" s="31">
        <v>42188</v>
      </c>
      <c r="B3" s="32">
        <v>42188</v>
      </c>
      <c r="C3" s="7" t="s">
        <v>308</v>
      </c>
      <c r="D3" s="8" t="s">
        <v>33</v>
      </c>
      <c r="E3" s="7" t="s">
        <v>22</v>
      </c>
      <c r="F3" s="55">
        <v>0.1</v>
      </c>
      <c r="G3" s="87">
        <v>101.07</v>
      </c>
      <c r="H3" s="97"/>
    </row>
    <row r="4" spans="1:8">
      <c r="A4" s="31">
        <v>42186</v>
      </c>
      <c r="B4" s="32">
        <v>42188</v>
      </c>
      <c r="C4" s="7" t="s">
        <v>309</v>
      </c>
      <c r="D4" s="8" t="s">
        <v>9</v>
      </c>
      <c r="E4" s="7" t="s">
        <v>10</v>
      </c>
      <c r="F4" s="55">
        <v>0.2</v>
      </c>
      <c r="G4" s="72">
        <v>274.02999999999997</v>
      </c>
      <c r="H4" s="97"/>
    </row>
    <row r="5" spans="1:8">
      <c r="A5" s="22">
        <v>42191</v>
      </c>
      <c r="B5" s="26">
        <v>42194</v>
      </c>
      <c r="C5" s="13" t="s">
        <v>79</v>
      </c>
      <c r="D5" s="14" t="s">
        <v>9</v>
      </c>
      <c r="E5" s="13" t="s">
        <v>17</v>
      </c>
      <c r="F5" s="56">
        <v>0.25</v>
      </c>
      <c r="G5" s="87">
        <v>384.93</v>
      </c>
      <c r="H5" s="97"/>
    </row>
    <row r="6" spans="1:8">
      <c r="A6" s="22">
        <v>42193</v>
      </c>
      <c r="B6" s="26">
        <v>42193</v>
      </c>
      <c r="C6" s="13" t="s">
        <v>47</v>
      </c>
      <c r="D6" s="14" t="s">
        <v>21</v>
      </c>
      <c r="E6" s="13" t="s">
        <v>17</v>
      </c>
      <c r="F6" s="56">
        <v>0.1</v>
      </c>
      <c r="G6" s="87">
        <v>157.86000000000001</v>
      </c>
      <c r="H6" s="97"/>
    </row>
    <row r="7" spans="1:8">
      <c r="A7" s="22">
        <v>42193</v>
      </c>
      <c r="B7" s="26">
        <v>42193</v>
      </c>
      <c r="C7" s="13" t="s">
        <v>310</v>
      </c>
      <c r="D7" s="14" t="s">
        <v>14</v>
      </c>
      <c r="E7" s="13" t="s">
        <v>10</v>
      </c>
      <c r="F7" s="56">
        <v>0.18</v>
      </c>
      <c r="G7" s="87">
        <v>235.18</v>
      </c>
      <c r="H7" s="97"/>
    </row>
    <row r="8" spans="1:8">
      <c r="A8" s="22">
        <v>42195</v>
      </c>
      <c r="B8" s="26">
        <v>42192</v>
      </c>
      <c r="C8" s="13" t="s">
        <v>311</v>
      </c>
      <c r="D8" s="14" t="s">
        <v>14</v>
      </c>
      <c r="E8" s="13" t="s">
        <v>10</v>
      </c>
      <c r="F8" s="56">
        <v>0.1</v>
      </c>
      <c r="G8" s="87">
        <v>127.16</v>
      </c>
      <c r="H8" s="97"/>
    </row>
    <row r="9" spans="1:8">
      <c r="A9" s="22">
        <v>42195</v>
      </c>
      <c r="B9" s="26">
        <v>42195</v>
      </c>
      <c r="C9" s="13" t="s">
        <v>312</v>
      </c>
      <c r="D9" s="14" t="s">
        <v>14</v>
      </c>
      <c r="E9" s="13" t="s">
        <v>10</v>
      </c>
      <c r="F9" s="56">
        <v>0.1</v>
      </c>
      <c r="G9" s="87">
        <v>40.08</v>
      </c>
      <c r="H9" s="97"/>
    </row>
    <row r="10" spans="1:8">
      <c r="A10" s="22">
        <v>42195</v>
      </c>
      <c r="B10" s="26">
        <v>42196</v>
      </c>
      <c r="C10" s="13" t="s">
        <v>313</v>
      </c>
      <c r="D10" s="14" t="s">
        <v>14</v>
      </c>
      <c r="E10" s="13" t="s">
        <v>29</v>
      </c>
      <c r="F10" s="56">
        <v>0.25</v>
      </c>
      <c r="G10" s="87">
        <v>381.25</v>
      </c>
      <c r="H10" s="97"/>
    </row>
    <row r="11" spans="1:8">
      <c r="A11" s="22">
        <v>42198</v>
      </c>
      <c r="B11" s="26">
        <v>42200</v>
      </c>
      <c r="C11" s="13" t="s">
        <v>314</v>
      </c>
      <c r="D11" s="14" t="s">
        <v>14</v>
      </c>
      <c r="E11" s="13" t="s">
        <v>10</v>
      </c>
      <c r="F11" s="56">
        <v>0.13</v>
      </c>
      <c r="G11" s="87">
        <v>162.94</v>
      </c>
      <c r="H11" s="97"/>
    </row>
    <row r="12" spans="1:8">
      <c r="A12" s="22">
        <v>42199</v>
      </c>
      <c r="B12" s="26">
        <v>42195</v>
      </c>
      <c r="C12" s="13" t="s">
        <v>315</v>
      </c>
      <c r="D12" s="14" t="s">
        <v>25</v>
      </c>
      <c r="E12" s="13" t="s">
        <v>10</v>
      </c>
      <c r="F12" s="56">
        <v>0.2</v>
      </c>
      <c r="G12" s="87">
        <v>273.77999999999997</v>
      </c>
      <c r="H12" s="97"/>
    </row>
    <row r="13" spans="1:8">
      <c r="A13" s="22">
        <v>42200</v>
      </c>
      <c r="B13" s="26">
        <v>42200</v>
      </c>
      <c r="C13" s="13" t="s">
        <v>316</v>
      </c>
      <c r="D13" s="14" t="s">
        <v>21</v>
      </c>
      <c r="E13" s="13" t="s">
        <v>317</v>
      </c>
      <c r="F13" s="56">
        <v>0.15</v>
      </c>
      <c r="G13" s="87">
        <v>235.49</v>
      </c>
      <c r="H13" s="97"/>
    </row>
    <row r="14" spans="1:8">
      <c r="A14" s="85">
        <v>42201</v>
      </c>
      <c r="B14" s="26">
        <v>42201</v>
      </c>
      <c r="C14" s="13" t="s">
        <v>318</v>
      </c>
      <c r="D14" s="14" t="s">
        <v>33</v>
      </c>
      <c r="E14" s="13" t="s">
        <v>17</v>
      </c>
      <c r="F14" s="56">
        <v>0.25</v>
      </c>
      <c r="G14" s="87">
        <v>431.61</v>
      </c>
      <c r="H14" s="97"/>
    </row>
    <row r="15" spans="1:8">
      <c r="A15" s="22">
        <v>42200</v>
      </c>
      <c r="B15" s="26">
        <v>42200</v>
      </c>
      <c r="C15" s="13" t="s">
        <v>319</v>
      </c>
      <c r="D15" s="14" t="s">
        <v>21</v>
      </c>
      <c r="E15" s="13" t="s">
        <v>317</v>
      </c>
      <c r="F15" s="56">
        <v>0.1</v>
      </c>
      <c r="G15" s="87">
        <v>215.7</v>
      </c>
      <c r="H15" s="97"/>
    </row>
    <row r="16" spans="1:8">
      <c r="A16" s="22">
        <v>42202</v>
      </c>
      <c r="B16" s="26">
        <v>42204</v>
      </c>
      <c r="C16" s="13" t="s">
        <v>81</v>
      </c>
      <c r="D16" s="14" t="s">
        <v>21</v>
      </c>
      <c r="E16" s="13" t="s">
        <v>317</v>
      </c>
      <c r="F16" s="56">
        <v>0.25</v>
      </c>
      <c r="G16" s="87">
        <v>889.46</v>
      </c>
      <c r="H16" s="97"/>
    </row>
    <row r="17" spans="1:8">
      <c r="A17" s="22">
        <v>42202</v>
      </c>
      <c r="B17" s="26">
        <v>42202</v>
      </c>
      <c r="C17" s="13" t="s">
        <v>320</v>
      </c>
      <c r="D17" s="14" t="s">
        <v>9</v>
      </c>
      <c r="E17" s="13" t="s">
        <v>10</v>
      </c>
      <c r="F17" s="56">
        <v>0.2</v>
      </c>
      <c r="G17" s="87">
        <v>207.53</v>
      </c>
      <c r="H17" s="97"/>
    </row>
    <row r="18" spans="1:8">
      <c r="A18" s="22">
        <v>42206</v>
      </c>
      <c r="B18" s="26">
        <v>42206</v>
      </c>
      <c r="C18" s="13" t="s">
        <v>312</v>
      </c>
      <c r="D18" s="14" t="s">
        <v>25</v>
      </c>
      <c r="E18" s="13" t="s">
        <v>22</v>
      </c>
      <c r="F18" s="56">
        <v>0.25</v>
      </c>
      <c r="G18" s="87">
        <v>55.49</v>
      </c>
      <c r="H18" s="97"/>
    </row>
    <row r="19" spans="1:8">
      <c r="A19" s="22">
        <v>42206</v>
      </c>
      <c r="B19" s="26">
        <v>42206</v>
      </c>
      <c r="C19" s="13" t="s">
        <v>312</v>
      </c>
      <c r="D19" s="14" t="s">
        <v>21</v>
      </c>
      <c r="E19" s="13" t="s">
        <v>22</v>
      </c>
      <c r="F19" s="56">
        <v>0.25</v>
      </c>
      <c r="G19" s="87">
        <v>215.35</v>
      </c>
      <c r="H19" s="97"/>
    </row>
    <row r="20" spans="1:8">
      <c r="A20" s="22">
        <v>42207</v>
      </c>
      <c r="B20" s="26">
        <v>42207</v>
      </c>
      <c r="C20" s="13" t="s">
        <v>87</v>
      </c>
      <c r="D20" s="14" t="s">
        <v>25</v>
      </c>
      <c r="E20" s="13" t="s">
        <v>22</v>
      </c>
      <c r="F20" s="56">
        <v>0.25</v>
      </c>
      <c r="G20" s="87">
        <v>230.48</v>
      </c>
      <c r="H20" s="97"/>
    </row>
    <row r="21" spans="1:8">
      <c r="A21" s="22">
        <v>42207</v>
      </c>
      <c r="B21" s="26">
        <v>42207</v>
      </c>
      <c r="C21" s="13" t="s">
        <v>321</v>
      </c>
      <c r="D21" s="14" t="s">
        <v>14</v>
      </c>
      <c r="E21" s="13" t="s">
        <v>22</v>
      </c>
      <c r="F21" s="56">
        <v>0.1</v>
      </c>
      <c r="G21" s="87">
        <v>258.8</v>
      </c>
      <c r="H21" s="97"/>
    </row>
    <row r="22" spans="1:8">
      <c r="A22" s="90">
        <v>42209</v>
      </c>
      <c r="B22" s="91">
        <v>42210</v>
      </c>
      <c r="C22" s="92" t="s">
        <v>86</v>
      </c>
      <c r="D22" s="93" t="s">
        <v>14</v>
      </c>
      <c r="E22" s="92" t="s">
        <v>19</v>
      </c>
      <c r="F22" s="94">
        <v>0.2</v>
      </c>
      <c r="G22" s="95">
        <v>288.27</v>
      </c>
      <c r="H22" s="99"/>
    </row>
    <row r="23" spans="1:8">
      <c r="A23" s="90">
        <v>42209</v>
      </c>
      <c r="B23" s="91">
        <v>42209</v>
      </c>
      <c r="C23" s="92" t="s">
        <v>85</v>
      </c>
      <c r="D23" s="93" t="s">
        <v>9</v>
      </c>
      <c r="E23" s="92" t="s">
        <v>10</v>
      </c>
      <c r="F23" s="94">
        <v>0.1</v>
      </c>
      <c r="G23" s="95">
        <v>73.77</v>
      </c>
      <c r="H23" s="99"/>
    </row>
    <row r="24" spans="1:8">
      <c r="A24" s="90">
        <v>42212</v>
      </c>
      <c r="B24" s="91">
        <v>42209</v>
      </c>
      <c r="C24" s="92" t="s">
        <v>312</v>
      </c>
      <c r="D24" s="93" t="s">
        <v>149</v>
      </c>
      <c r="E24" s="92" t="s">
        <v>10</v>
      </c>
      <c r="F24" s="94">
        <v>0.1</v>
      </c>
      <c r="G24" s="95">
        <v>20.45</v>
      </c>
      <c r="H24" s="99"/>
    </row>
    <row r="25" spans="1:8">
      <c r="A25" s="90">
        <v>42213</v>
      </c>
      <c r="B25" s="91">
        <v>42213</v>
      </c>
      <c r="C25" s="92" t="s">
        <v>91</v>
      </c>
      <c r="D25" s="93" t="s">
        <v>9</v>
      </c>
      <c r="E25" s="92" t="s">
        <v>10</v>
      </c>
      <c r="F25" s="94">
        <v>0.1</v>
      </c>
      <c r="G25" s="95">
        <v>175.87</v>
      </c>
      <c r="H25" s="99"/>
    </row>
    <row r="26" spans="1:8">
      <c r="A26" s="90">
        <v>42212</v>
      </c>
      <c r="B26" s="91">
        <v>42231</v>
      </c>
      <c r="C26" s="92" t="s">
        <v>98</v>
      </c>
      <c r="D26" s="93" t="s">
        <v>322</v>
      </c>
      <c r="E26" s="92" t="s">
        <v>22</v>
      </c>
      <c r="F26" s="94">
        <v>0.1</v>
      </c>
      <c r="G26" s="95">
        <v>211.02</v>
      </c>
      <c r="H26" s="99"/>
    </row>
    <row r="27" spans="1:8">
      <c r="A27" s="90">
        <v>42212</v>
      </c>
      <c r="B27" s="91">
        <v>42213</v>
      </c>
      <c r="C27" s="92" t="s">
        <v>84</v>
      </c>
      <c r="D27" s="93" t="s">
        <v>33</v>
      </c>
      <c r="E27" s="92" t="s">
        <v>29</v>
      </c>
      <c r="F27" s="94">
        <v>0.15</v>
      </c>
      <c r="G27" s="95">
        <v>302.08</v>
      </c>
      <c r="H27" s="99"/>
    </row>
    <row r="28" spans="1:8">
      <c r="A28" s="90">
        <v>42213</v>
      </c>
      <c r="B28" s="91">
        <v>42212</v>
      </c>
      <c r="C28" s="92" t="s">
        <v>323</v>
      </c>
      <c r="D28" s="93" t="s">
        <v>9</v>
      </c>
      <c r="E28" s="92" t="s">
        <v>10</v>
      </c>
      <c r="F28" s="94">
        <v>0.15</v>
      </c>
      <c r="G28" s="95">
        <v>252.67</v>
      </c>
      <c r="H28" s="99"/>
    </row>
    <row r="29" spans="1:8">
      <c r="A29" s="90">
        <v>42212</v>
      </c>
      <c r="B29" s="91">
        <v>42212</v>
      </c>
      <c r="C29" s="92" t="s">
        <v>324</v>
      </c>
      <c r="D29" s="93" t="s">
        <v>33</v>
      </c>
      <c r="E29" s="92" t="s">
        <v>17</v>
      </c>
      <c r="F29" s="94">
        <v>0.25</v>
      </c>
      <c r="G29" s="95">
        <v>352.89</v>
      </c>
      <c r="H29" s="99"/>
    </row>
    <row r="30" spans="1:8">
      <c r="A30" s="90">
        <v>42214</v>
      </c>
      <c r="B30" s="91">
        <v>42214</v>
      </c>
      <c r="C30" s="92" t="s">
        <v>325</v>
      </c>
      <c r="D30" s="93" t="s">
        <v>33</v>
      </c>
      <c r="E30" s="92" t="s">
        <v>29</v>
      </c>
      <c r="F30" s="94">
        <v>0.2</v>
      </c>
      <c r="G30" s="95">
        <v>343.47</v>
      </c>
      <c r="H30" s="99"/>
    </row>
    <row r="31" spans="1:8">
      <c r="A31" s="90">
        <v>42214</v>
      </c>
      <c r="B31" s="91">
        <v>42214</v>
      </c>
      <c r="C31" s="92" t="s">
        <v>312</v>
      </c>
      <c r="D31" s="93" t="s">
        <v>25</v>
      </c>
      <c r="E31" s="92" t="s">
        <v>10</v>
      </c>
      <c r="F31" s="94">
        <v>0.1</v>
      </c>
      <c r="G31" s="95">
        <v>11.84</v>
      </c>
      <c r="H31" s="99"/>
    </row>
    <row r="32" spans="1:8">
      <c r="A32" s="90">
        <v>42212</v>
      </c>
      <c r="B32" s="91">
        <v>42212</v>
      </c>
      <c r="C32" s="92" t="s">
        <v>312</v>
      </c>
      <c r="D32" s="93" t="s">
        <v>198</v>
      </c>
      <c r="E32" s="92" t="s">
        <v>10</v>
      </c>
      <c r="F32" s="94">
        <v>0.1</v>
      </c>
      <c r="G32" s="95">
        <v>52.66</v>
      </c>
      <c r="H32" s="99"/>
    </row>
    <row r="33" spans="1:8">
      <c r="A33" s="90">
        <v>42207</v>
      </c>
      <c r="B33" s="91">
        <v>42209</v>
      </c>
      <c r="C33" s="92" t="s">
        <v>326</v>
      </c>
      <c r="D33" s="93" t="s">
        <v>14</v>
      </c>
      <c r="E33" s="92" t="s">
        <v>10</v>
      </c>
      <c r="F33" s="94">
        <v>0.25</v>
      </c>
      <c r="G33" s="95">
        <v>351.99</v>
      </c>
      <c r="H33" s="98" t="s">
        <v>327</v>
      </c>
    </row>
    <row r="34" spans="1:8" ht="19.5">
      <c r="A34" s="673" t="s">
        <v>39</v>
      </c>
      <c r="B34" s="674"/>
      <c r="C34" s="674"/>
      <c r="D34" s="674"/>
      <c r="E34" s="674"/>
      <c r="F34" s="675"/>
      <c r="G34" s="89">
        <f>SUM(G2:G33)</f>
        <v>7562.1500000000015</v>
      </c>
      <c r="H34" s="89"/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4"/>
  <sheetViews>
    <sheetView workbookViewId="0"/>
  </sheetViews>
  <sheetFormatPr defaultRowHeight="15"/>
  <sheetData>
    <row r="1" spans="1:8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86" t="s">
        <v>7</v>
      </c>
      <c r="H1" s="88" t="s">
        <v>307</v>
      </c>
    </row>
    <row r="2" spans="1:8">
      <c r="A2" s="31">
        <v>42222</v>
      </c>
      <c r="B2" s="32">
        <v>42222</v>
      </c>
      <c r="C2" s="7" t="s">
        <v>312</v>
      </c>
      <c r="D2" s="8" t="s">
        <v>25</v>
      </c>
      <c r="E2" s="7" t="s">
        <v>10</v>
      </c>
      <c r="F2" s="55">
        <v>0.1</v>
      </c>
      <c r="G2" s="65">
        <v>7.05</v>
      </c>
      <c r="H2" s="96"/>
    </row>
    <row r="3" spans="1:8">
      <c r="A3" s="31">
        <v>42223</v>
      </c>
      <c r="B3" s="32">
        <v>42226</v>
      </c>
      <c r="C3" s="7" t="s">
        <v>328</v>
      </c>
      <c r="D3" s="8" t="s">
        <v>14</v>
      </c>
      <c r="E3" s="7" t="s">
        <v>29</v>
      </c>
      <c r="F3" s="55">
        <v>0.1</v>
      </c>
      <c r="G3" s="87">
        <v>168.41</v>
      </c>
      <c r="H3" s="97"/>
    </row>
    <row r="4" spans="1:8">
      <c r="A4" s="31">
        <v>42223</v>
      </c>
      <c r="B4" s="32">
        <v>42226</v>
      </c>
      <c r="C4" s="7" t="s">
        <v>248</v>
      </c>
      <c r="D4" s="8" t="s">
        <v>14</v>
      </c>
      <c r="E4" s="7" t="s">
        <v>15</v>
      </c>
      <c r="F4" s="55">
        <v>0.1</v>
      </c>
      <c r="G4" s="72">
        <v>165.29</v>
      </c>
      <c r="H4" s="97"/>
    </row>
    <row r="5" spans="1:8">
      <c r="A5" s="22">
        <v>42228</v>
      </c>
      <c r="B5" s="26">
        <v>42226</v>
      </c>
      <c r="C5" s="13" t="s">
        <v>95</v>
      </c>
      <c r="D5" s="14" t="s">
        <v>14</v>
      </c>
      <c r="E5" s="13" t="s">
        <v>17</v>
      </c>
      <c r="F5" s="56">
        <v>0.1</v>
      </c>
      <c r="G5" s="87">
        <v>94.72</v>
      </c>
      <c r="H5" s="97"/>
    </row>
    <row r="6" spans="1:8">
      <c r="A6" s="22">
        <v>42229</v>
      </c>
      <c r="B6" s="26">
        <v>42228</v>
      </c>
      <c r="C6" s="13" t="s">
        <v>204</v>
      </c>
      <c r="D6" s="14" t="s">
        <v>14</v>
      </c>
      <c r="E6" s="13" t="s">
        <v>10</v>
      </c>
      <c r="F6" s="56">
        <v>0.1</v>
      </c>
      <c r="G6" s="87">
        <v>101.03</v>
      </c>
      <c r="H6" s="97"/>
    </row>
    <row r="7" spans="1:8">
      <c r="A7" s="22">
        <v>42230</v>
      </c>
      <c r="B7" s="26">
        <v>42236</v>
      </c>
      <c r="C7" s="13" t="s">
        <v>104</v>
      </c>
      <c r="D7" s="14" t="s">
        <v>14</v>
      </c>
      <c r="E7" s="13" t="s">
        <v>10</v>
      </c>
      <c r="F7" s="56"/>
      <c r="G7" s="87">
        <v>331.31</v>
      </c>
      <c r="H7" s="97"/>
    </row>
    <row r="8" spans="1:8">
      <c r="A8" s="22">
        <v>42230</v>
      </c>
      <c r="B8" s="26">
        <v>42231</v>
      </c>
      <c r="C8" s="13" t="s">
        <v>101</v>
      </c>
      <c r="D8" s="14" t="s">
        <v>9</v>
      </c>
      <c r="E8" s="13" t="s">
        <v>57</v>
      </c>
      <c r="F8" s="56">
        <v>0.1</v>
      </c>
      <c r="G8" s="87">
        <v>123.66</v>
      </c>
      <c r="H8" s="97"/>
    </row>
    <row r="9" spans="1:8">
      <c r="A9" s="22">
        <v>42237</v>
      </c>
      <c r="B9" s="26">
        <v>42237</v>
      </c>
      <c r="C9" s="13" t="s">
        <v>329</v>
      </c>
      <c r="D9" s="14" t="s">
        <v>25</v>
      </c>
      <c r="E9" s="13" t="s">
        <v>19</v>
      </c>
      <c r="F9" s="56">
        <v>0.1</v>
      </c>
      <c r="G9" s="87">
        <v>121.24</v>
      </c>
      <c r="H9" s="97"/>
    </row>
    <row r="10" spans="1:8">
      <c r="A10" s="22">
        <v>42230</v>
      </c>
      <c r="B10" s="26">
        <v>42230</v>
      </c>
      <c r="C10" s="13" t="s">
        <v>330</v>
      </c>
      <c r="D10" s="14" t="s">
        <v>14</v>
      </c>
      <c r="E10" s="13" t="s">
        <v>10</v>
      </c>
      <c r="F10" s="56">
        <v>0.1</v>
      </c>
      <c r="G10" s="87">
        <v>346.57</v>
      </c>
      <c r="H10" s="97"/>
    </row>
    <row r="11" spans="1:8">
      <c r="A11" s="22">
        <v>42236</v>
      </c>
      <c r="B11" s="26">
        <v>42236</v>
      </c>
      <c r="C11" s="13" t="s">
        <v>331</v>
      </c>
      <c r="D11" s="14" t="s">
        <v>21</v>
      </c>
      <c r="E11" s="13" t="s">
        <v>57</v>
      </c>
      <c r="F11" s="56">
        <v>0.1</v>
      </c>
      <c r="G11" s="87">
        <v>124.32</v>
      </c>
      <c r="H11" s="97"/>
    </row>
    <row r="12" spans="1:8">
      <c r="A12" s="22">
        <v>42230</v>
      </c>
      <c r="B12" s="26">
        <v>42230</v>
      </c>
      <c r="C12" s="13" t="s">
        <v>332</v>
      </c>
      <c r="D12" s="14" t="s">
        <v>14</v>
      </c>
      <c r="E12" s="13" t="s">
        <v>10</v>
      </c>
      <c r="F12" s="56">
        <v>0.1</v>
      </c>
      <c r="G12" s="87">
        <v>179.34</v>
      </c>
      <c r="H12" s="97"/>
    </row>
    <row r="13" spans="1:8">
      <c r="A13" s="22">
        <v>42237</v>
      </c>
      <c r="B13" s="26">
        <v>42237</v>
      </c>
      <c r="C13" s="13" t="s">
        <v>333</v>
      </c>
      <c r="D13" s="14" t="s">
        <v>9</v>
      </c>
      <c r="E13" s="13" t="s">
        <v>10</v>
      </c>
      <c r="F13" s="56">
        <v>0.1</v>
      </c>
      <c r="G13" s="87">
        <v>164.14</v>
      </c>
      <c r="H13" s="97"/>
    </row>
    <row r="14" spans="1:8">
      <c r="A14" s="85">
        <v>42240</v>
      </c>
      <c r="B14" s="26">
        <v>42606</v>
      </c>
      <c r="C14" s="13" t="s">
        <v>334</v>
      </c>
      <c r="D14" s="14" t="s">
        <v>14</v>
      </c>
      <c r="E14" s="13" t="s">
        <v>10</v>
      </c>
      <c r="F14" s="56">
        <v>0.25</v>
      </c>
      <c r="G14" s="87">
        <v>585.65</v>
      </c>
      <c r="H14" s="97"/>
    </row>
    <row r="15" spans="1:8">
      <c r="A15" s="22">
        <v>42241</v>
      </c>
      <c r="B15" s="26">
        <v>42607</v>
      </c>
      <c r="C15" s="13" t="s">
        <v>108</v>
      </c>
      <c r="D15" s="14" t="s">
        <v>61</v>
      </c>
      <c r="E15" s="13" t="s">
        <v>19</v>
      </c>
      <c r="F15" s="56">
        <v>0.2</v>
      </c>
      <c r="G15" s="87">
        <v>235.94</v>
      </c>
      <c r="H15" s="97"/>
    </row>
    <row r="16" spans="1:8">
      <c r="A16" s="22">
        <v>42242</v>
      </c>
      <c r="B16" s="26">
        <v>42242</v>
      </c>
      <c r="C16" s="13" t="s">
        <v>335</v>
      </c>
      <c r="D16" s="14" t="s">
        <v>14</v>
      </c>
      <c r="E16" s="13" t="s">
        <v>10</v>
      </c>
      <c r="F16" s="56">
        <v>0.1</v>
      </c>
      <c r="G16" s="87">
        <v>117.53</v>
      </c>
      <c r="H16" s="97"/>
    </row>
    <row r="17" spans="1:8">
      <c r="A17" s="90">
        <v>42243</v>
      </c>
      <c r="B17" s="91">
        <v>42244</v>
      </c>
      <c r="C17" s="92" t="s">
        <v>113</v>
      </c>
      <c r="D17" s="93" t="s">
        <v>198</v>
      </c>
      <c r="E17" s="92" t="s">
        <v>22</v>
      </c>
      <c r="F17" s="94">
        <v>0.13</v>
      </c>
      <c r="G17" s="95">
        <v>253.94</v>
      </c>
      <c r="H17" s="99"/>
    </row>
    <row r="18" spans="1:8">
      <c r="A18" s="90">
        <v>42244</v>
      </c>
      <c r="B18" s="91">
        <v>42246</v>
      </c>
      <c r="C18" s="92" t="s">
        <v>336</v>
      </c>
      <c r="D18" s="93" t="s">
        <v>14</v>
      </c>
      <c r="E18" s="92" t="s">
        <v>10</v>
      </c>
      <c r="F18" s="94">
        <v>0.15</v>
      </c>
      <c r="G18" s="95">
        <v>336.11</v>
      </c>
      <c r="H18" s="99"/>
    </row>
    <row r="19" spans="1:8">
      <c r="A19" s="90">
        <v>42244</v>
      </c>
      <c r="B19" s="91">
        <v>42250</v>
      </c>
      <c r="C19" s="92" t="s">
        <v>119</v>
      </c>
      <c r="D19" s="93" t="s">
        <v>14</v>
      </c>
      <c r="E19" s="92" t="s">
        <v>10</v>
      </c>
      <c r="F19" s="94">
        <v>0.14000000000000001</v>
      </c>
      <c r="G19" s="95">
        <v>198.25</v>
      </c>
      <c r="H19" s="99"/>
    </row>
    <row r="20" spans="1:8">
      <c r="A20" s="90">
        <v>42244</v>
      </c>
      <c r="B20" s="91">
        <v>42244</v>
      </c>
      <c r="C20" s="92" t="s">
        <v>337</v>
      </c>
      <c r="D20" s="93" t="s">
        <v>14</v>
      </c>
      <c r="E20" s="92" t="s">
        <v>10</v>
      </c>
      <c r="F20" s="94">
        <v>0.1</v>
      </c>
      <c r="G20" s="95">
        <v>122.15</v>
      </c>
      <c r="H20" s="99"/>
    </row>
    <row r="21" spans="1:8">
      <c r="A21" s="90"/>
      <c r="B21" s="91"/>
      <c r="C21" s="92"/>
      <c r="D21" s="93"/>
      <c r="E21" s="92"/>
      <c r="F21" s="94"/>
      <c r="G21" s="95"/>
      <c r="H21" s="99"/>
    </row>
    <row r="22" spans="1:8">
      <c r="A22" s="90"/>
      <c r="B22" s="91"/>
      <c r="C22" s="92"/>
      <c r="D22" s="93"/>
      <c r="E22" s="92"/>
      <c r="F22" s="94"/>
      <c r="G22" s="95"/>
      <c r="H22" s="99"/>
    </row>
    <row r="23" spans="1:8">
      <c r="A23" s="90"/>
      <c r="B23" s="91"/>
      <c r="C23" s="92"/>
      <c r="D23" s="93"/>
      <c r="E23" s="92"/>
      <c r="F23" s="94"/>
      <c r="G23" s="95"/>
      <c r="H23" s="98"/>
    </row>
    <row r="24" spans="1:8" ht="19.5">
      <c r="A24" s="673" t="s">
        <v>39</v>
      </c>
      <c r="B24" s="674"/>
      <c r="C24" s="674"/>
      <c r="D24" s="674"/>
      <c r="E24" s="674"/>
      <c r="F24" s="675"/>
      <c r="G24" s="100">
        <f>SUM(G2:G23)</f>
        <v>3776.65</v>
      </c>
      <c r="H24" s="89"/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5"/>
  <sheetViews>
    <sheetView workbookViewId="0"/>
  </sheetViews>
  <sheetFormatPr defaultRowHeight="15"/>
  <sheetData>
    <row r="1" spans="1:8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86" t="s">
        <v>7</v>
      </c>
      <c r="H1" s="88" t="s">
        <v>307</v>
      </c>
    </row>
    <row r="2" spans="1:8">
      <c r="A2" s="31">
        <v>42248</v>
      </c>
      <c r="B2" s="32">
        <v>42248</v>
      </c>
      <c r="C2" s="7" t="s">
        <v>338</v>
      </c>
      <c r="D2" s="8" t="s">
        <v>70</v>
      </c>
      <c r="E2" s="7" t="s">
        <v>279</v>
      </c>
      <c r="F2" s="55">
        <v>0.2</v>
      </c>
      <c r="G2" s="65">
        <v>521.5</v>
      </c>
      <c r="H2" s="96"/>
    </row>
    <row r="3" spans="1:8">
      <c r="A3" s="31">
        <v>42248</v>
      </c>
      <c r="B3" s="32">
        <v>42260</v>
      </c>
      <c r="C3" s="7" t="s">
        <v>339</v>
      </c>
      <c r="D3" s="8" t="s">
        <v>33</v>
      </c>
      <c r="E3" s="7" t="s">
        <v>17</v>
      </c>
      <c r="F3" s="55">
        <v>0.1</v>
      </c>
      <c r="G3" s="87">
        <v>78.489999999999995</v>
      </c>
      <c r="H3" s="97"/>
    </row>
    <row r="4" spans="1:8">
      <c r="A4" s="31">
        <v>42249</v>
      </c>
      <c r="B4" s="32">
        <v>42258</v>
      </c>
      <c r="C4" s="7" t="s">
        <v>120</v>
      </c>
      <c r="D4" s="8" t="s">
        <v>14</v>
      </c>
      <c r="E4" s="7" t="s">
        <v>340</v>
      </c>
      <c r="F4" s="55">
        <v>0.15</v>
      </c>
      <c r="G4" s="72">
        <v>381</v>
      </c>
      <c r="H4" s="97"/>
    </row>
    <row r="5" spans="1:8">
      <c r="A5" s="22">
        <v>42257</v>
      </c>
      <c r="B5" s="26">
        <v>42257</v>
      </c>
      <c r="C5" s="13" t="s">
        <v>341</v>
      </c>
      <c r="D5" s="14" t="s">
        <v>14</v>
      </c>
      <c r="E5" s="13" t="s">
        <v>15</v>
      </c>
      <c r="F5" s="56">
        <v>0.19</v>
      </c>
      <c r="G5" s="87">
        <v>377.7</v>
      </c>
      <c r="H5" s="97"/>
    </row>
    <row r="6" spans="1:8">
      <c r="A6" s="22">
        <v>42257</v>
      </c>
      <c r="B6" s="26">
        <v>42258</v>
      </c>
      <c r="C6" s="13" t="s">
        <v>342</v>
      </c>
      <c r="D6" s="14" t="s">
        <v>14</v>
      </c>
      <c r="E6" s="13" t="s">
        <v>29</v>
      </c>
      <c r="F6" s="56">
        <v>0.2</v>
      </c>
      <c r="G6" s="87">
        <v>396.43</v>
      </c>
      <c r="H6" s="97"/>
    </row>
    <row r="7" spans="1:8">
      <c r="A7" s="22">
        <v>42257</v>
      </c>
      <c r="B7" s="26">
        <v>42262</v>
      </c>
      <c r="C7" s="13" t="s">
        <v>125</v>
      </c>
      <c r="D7" s="14" t="s">
        <v>14</v>
      </c>
      <c r="E7" s="13" t="s">
        <v>343</v>
      </c>
      <c r="F7" s="56">
        <v>0.1</v>
      </c>
      <c r="G7" s="87">
        <v>239.58</v>
      </c>
      <c r="H7" s="97"/>
    </row>
    <row r="8" spans="1:8">
      <c r="A8" s="22">
        <v>42261</v>
      </c>
      <c r="B8" s="26">
        <v>42263</v>
      </c>
      <c r="C8" s="13" t="s">
        <v>127</v>
      </c>
      <c r="D8" s="14" t="s">
        <v>33</v>
      </c>
      <c r="E8" s="13" t="s">
        <v>17</v>
      </c>
      <c r="F8" s="56">
        <v>0.25</v>
      </c>
      <c r="G8" s="87">
        <v>312.45</v>
      </c>
      <c r="H8" s="97"/>
    </row>
    <row r="9" spans="1:8">
      <c r="A9" s="22"/>
      <c r="B9" s="26"/>
      <c r="C9" s="13" t="s">
        <v>122</v>
      </c>
      <c r="D9" s="14" t="s">
        <v>209</v>
      </c>
      <c r="E9" s="13" t="s">
        <v>29</v>
      </c>
      <c r="F9" s="56">
        <v>0.25</v>
      </c>
      <c r="G9" s="87">
        <v>231.99</v>
      </c>
      <c r="H9" s="97"/>
    </row>
    <row r="10" spans="1:8">
      <c r="A10" s="22"/>
      <c r="B10" s="26"/>
      <c r="C10" s="13" t="s">
        <v>344</v>
      </c>
      <c r="D10" s="14" t="s">
        <v>14</v>
      </c>
      <c r="E10" s="13" t="s">
        <v>10</v>
      </c>
      <c r="F10" s="56">
        <v>0.1</v>
      </c>
      <c r="G10" s="87">
        <v>90.42</v>
      </c>
      <c r="H10" s="97"/>
    </row>
    <row r="11" spans="1:8">
      <c r="A11" s="22"/>
      <c r="B11" s="26"/>
      <c r="C11" s="13" t="s">
        <v>345</v>
      </c>
      <c r="D11" s="14" t="s">
        <v>14</v>
      </c>
      <c r="E11" s="13" t="s">
        <v>57</v>
      </c>
      <c r="F11" s="56">
        <v>0.1</v>
      </c>
      <c r="G11" s="87">
        <v>524.72</v>
      </c>
      <c r="H11" s="97"/>
    </row>
    <row r="12" spans="1:8">
      <c r="A12" s="22">
        <v>42265</v>
      </c>
      <c r="B12" s="26">
        <v>42265</v>
      </c>
      <c r="C12" s="13" t="s">
        <v>128</v>
      </c>
      <c r="D12" s="14" t="s">
        <v>14</v>
      </c>
      <c r="E12" s="13" t="s">
        <v>57</v>
      </c>
      <c r="F12" s="56">
        <v>0.1</v>
      </c>
      <c r="G12" s="87">
        <v>92.94</v>
      </c>
      <c r="H12" s="97"/>
    </row>
    <row r="13" spans="1:8">
      <c r="A13" s="22">
        <v>42268</v>
      </c>
      <c r="B13" s="26">
        <v>42264</v>
      </c>
      <c r="C13" s="13" t="s">
        <v>123</v>
      </c>
      <c r="D13" s="14" t="s">
        <v>25</v>
      </c>
      <c r="E13" s="13" t="s">
        <v>22</v>
      </c>
      <c r="F13" s="56">
        <v>0.1</v>
      </c>
      <c r="G13" s="87">
        <v>110.7</v>
      </c>
      <c r="H13" s="97"/>
    </row>
    <row r="14" spans="1:8">
      <c r="A14" s="85">
        <v>42271</v>
      </c>
      <c r="B14" s="26">
        <v>42271</v>
      </c>
      <c r="C14" s="13" t="s">
        <v>43</v>
      </c>
      <c r="D14" s="14" t="s">
        <v>14</v>
      </c>
      <c r="E14" s="13" t="s">
        <v>57</v>
      </c>
      <c r="F14" s="56">
        <v>0.1</v>
      </c>
      <c r="G14" s="87">
        <v>182.92</v>
      </c>
      <c r="H14" s="97"/>
    </row>
    <row r="15" spans="1:8">
      <c r="A15" s="22">
        <v>42271</v>
      </c>
      <c r="B15" s="26">
        <v>42268</v>
      </c>
      <c r="C15" s="13" t="s">
        <v>129</v>
      </c>
      <c r="D15" s="14" t="s">
        <v>14</v>
      </c>
      <c r="E15" s="13" t="s">
        <v>10</v>
      </c>
      <c r="F15" s="56">
        <v>0.1</v>
      </c>
      <c r="G15" s="87">
        <v>158.32</v>
      </c>
      <c r="H15" s="97"/>
    </row>
    <row r="16" spans="1:8">
      <c r="A16" s="22">
        <v>42277</v>
      </c>
      <c r="B16" s="26">
        <v>42272</v>
      </c>
      <c r="C16" s="13" t="s">
        <v>130</v>
      </c>
      <c r="D16" s="14" t="s">
        <v>9</v>
      </c>
      <c r="E16" s="13" t="s">
        <v>10</v>
      </c>
      <c r="F16" s="56">
        <v>0.1</v>
      </c>
      <c r="G16" s="87">
        <v>178.58</v>
      </c>
      <c r="H16" s="97"/>
    </row>
    <row r="17" spans="1:8">
      <c r="A17" s="90">
        <v>42272</v>
      </c>
      <c r="B17" s="91">
        <v>42272</v>
      </c>
      <c r="C17" s="92" t="s">
        <v>346</v>
      </c>
      <c r="D17" s="93" t="s">
        <v>70</v>
      </c>
      <c r="E17" s="92" t="s">
        <v>279</v>
      </c>
      <c r="F17" s="94">
        <v>0.2</v>
      </c>
      <c r="G17" s="95">
        <v>216.79</v>
      </c>
      <c r="H17" s="99"/>
    </row>
    <row r="18" spans="1:8">
      <c r="A18" s="90">
        <v>42272</v>
      </c>
      <c r="B18" s="91">
        <v>42276</v>
      </c>
      <c r="C18" s="92" t="s">
        <v>134</v>
      </c>
      <c r="D18" s="93" t="s">
        <v>14</v>
      </c>
      <c r="E18" s="92" t="s">
        <v>10</v>
      </c>
      <c r="F18" s="94">
        <v>0.15</v>
      </c>
      <c r="G18" s="95">
        <v>172.15</v>
      </c>
      <c r="H18" s="99"/>
    </row>
    <row r="19" spans="1:8">
      <c r="A19" s="90">
        <v>42272</v>
      </c>
      <c r="B19" s="91">
        <v>42272</v>
      </c>
      <c r="C19" s="101" t="s">
        <v>347</v>
      </c>
      <c r="D19" s="93" t="s">
        <v>14</v>
      </c>
      <c r="E19" s="92" t="s">
        <v>57</v>
      </c>
      <c r="F19" s="94">
        <v>0.1</v>
      </c>
      <c r="G19" s="95">
        <v>173.68</v>
      </c>
      <c r="H19" s="99"/>
    </row>
    <row r="20" spans="1:8">
      <c r="A20" s="90">
        <v>42272</v>
      </c>
      <c r="B20" s="91">
        <v>42276</v>
      </c>
      <c r="C20" s="92" t="s">
        <v>133</v>
      </c>
      <c r="D20" s="93" t="s">
        <v>322</v>
      </c>
      <c r="E20" s="92" t="s">
        <v>22</v>
      </c>
      <c r="F20" s="94">
        <v>0.1</v>
      </c>
      <c r="G20" s="95">
        <v>162.93</v>
      </c>
      <c r="H20" s="99"/>
    </row>
    <row r="21" spans="1:8">
      <c r="A21" s="90">
        <v>42272</v>
      </c>
      <c r="B21" s="91">
        <v>42272</v>
      </c>
      <c r="C21" s="92" t="s">
        <v>348</v>
      </c>
      <c r="D21" s="93" t="s">
        <v>61</v>
      </c>
      <c r="E21" s="92" t="s">
        <v>19</v>
      </c>
      <c r="F21" s="94">
        <v>0.1</v>
      </c>
      <c r="G21" s="95">
        <v>239.94</v>
      </c>
      <c r="H21" s="99"/>
    </row>
    <row r="22" spans="1:8">
      <c r="A22" s="90">
        <v>42277</v>
      </c>
      <c r="B22" s="91">
        <v>42277</v>
      </c>
      <c r="C22" s="92" t="s">
        <v>135</v>
      </c>
      <c r="D22" s="93" t="s">
        <v>14</v>
      </c>
      <c r="E22" s="92" t="s">
        <v>10</v>
      </c>
      <c r="F22" s="94">
        <v>0.1</v>
      </c>
      <c r="G22" s="95">
        <v>117.78</v>
      </c>
      <c r="H22" s="99"/>
    </row>
    <row r="23" spans="1:8">
      <c r="A23" s="90">
        <v>42279</v>
      </c>
      <c r="B23" s="91">
        <v>42274</v>
      </c>
      <c r="C23" s="92" t="s">
        <v>132</v>
      </c>
      <c r="D23" s="93" t="s">
        <v>14</v>
      </c>
      <c r="E23" s="92" t="s">
        <v>10</v>
      </c>
      <c r="F23" s="94">
        <v>0.1</v>
      </c>
      <c r="G23" s="95">
        <v>112.12</v>
      </c>
      <c r="H23" s="99"/>
    </row>
    <row r="24" spans="1:8">
      <c r="A24" s="90"/>
      <c r="B24" s="91"/>
      <c r="C24" s="92"/>
      <c r="D24" s="93"/>
      <c r="E24" s="92"/>
      <c r="F24" s="94"/>
      <c r="G24" s="95"/>
      <c r="H24" s="98"/>
    </row>
    <row r="25" spans="1:8" ht="19.5">
      <c r="A25" s="673" t="s">
        <v>39</v>
      </c>
      <c r="B25" s="674"/>
      <c r="C25" s="674"/>
      <c r="D25" s="674"/>
      <c r="E25" s="674"/>
      <c r="F25" s="675"/>
      <c r="G25" s="89">
        <f>SUM(G2:G24)</f>
        <v>5073.13</v>
      </c>
      <c r="H25" s="89"/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5"/>
  <sheetViews>
    <sheetView workbookViewId="0"/>
  </sheetViews>
  <sheetFormatPr defaultRowHeight="15"/>
  <sheetData>
    <row r="1" spans="1:8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86" t="s">
        <v>7</v>
      </c>
      <c r="H1" s="88" t="s">
        <v>307</v>
      </c>
    </row>
    <row r="2" spans="1:8">
      <c r="A2" s="31">
        <v>42277</v>
      </c>
      <c r="B2" s="32">
        <v>42282</v>
      </c>
      <c r="C2" s="7" t="s">
        <v>138</v>
      </c>
      <c r="D2" s="8" t="s">
        <v>14</v>
      </c>
      <c r="E2" s="7" t="s">
        <v>10</v>
      </c>
      <c r="F2" s="55">
        <v>0.1</v>
      </c>
      <c r="G2" s="65">
        <v>111.39</v>
      </c>
      <c r="H2" s="96"/>
    </row>
    <row r="3" spans="1:8">
      <c r="A3" s="31">
        <v>42286</v>
      </c>
      <c r="B3" s="32">
        <v>42287</v>
      </c>
      <c r="C3" s="7" t="s">
        <v>349</v>
      </c>
      <c r="D3" s="8" t="s">
        <v>14</v>
      </c>
      <c r="E3" s="7" t="s">
        <v>10</v>
      </c>
      <c r="F3" s="55">
        <v>0.2</v>
      </c>
      <c r="G3" s="87">
        <v>280.75</v>
      </c>
      <c r="H3" s="97"/>
    </row>
    <row r="4" spans="1:8">
      <c r="A4" s="31">
        <v>42286</v>
      </c>
      <c r="B4" s="32">
        <v>42288</v>
      </c>
      <c r="C4" s="7" t="s">
        <v>145</v>
      </c>
      <c r="D4" s="8" t="s">
        <v>14</v>
      </c>
      <c r="E4" s="7" t="s">
        <v>10</v>
      </c>
      <c r="F4" s="55">
        <v>0.2</v>
      </c>
      <c r="G4" s="72">
        <v>313.7</v>
      </c>
      <c r="H4" s="97"/>
    </row>
    <row r="5" spans="1:8">
      <c r="A5" s="31">
        <v>42286</v>
      </c>
      <c r="B5" s="32">
        <v>42289</v>
      </c>
      <c r="C5" s="7" t="s">
        <v>140</v>
      </c>
      <c r="D5" s="8" t="s">
        <v>14</v>
      </c>
      <c r="E5" s="7" t="s">
        <v>10</v>
      </c>
      <c r="F5" s="55">
        <v>0.2</v>
      </c>
      <c r="G5" s="72">
        <v>232.83</v>
      </c>
      <c r="H5" s="97"/>
    </row>
    <row r="6" spans="1:8">
      <c r="A6" s="31">
        <v>42286</v>
      </c>
      <c r="B6" s="32">
        <v>42291</v>
      </c>
      <c r="C6" s="7" t="s">
        <v>141</v>
      </c>
      <c r="D6" s="8" t="s">
        <v>14</v>
      </c>
      <c r="E6" s="7" t="s">
        <v>22</v>
      </c>
      <c r="F6" s="55">
        <v>0.1</v>
      </c>
      <c r="G6" s="72">
        <v>152.62</v>
      </c>
      <c r="H6" s="97"/>
    </row>
    <row r="7" spans="1:8">
      <c r="A7" s="22">
        <v>42283</v>
      </c>
      <c r="B7" s="26">
        <v>42283</v>
      </c>
      <c r="C7" s="13" t="s">
        <v>350</v>
      </c>
      <c r="D7" s="14" t="s">
        <v>14</v>
      </c>
      <c r="E7" s="13" t="s">
        <v>22</v>
      </c>
      <c r="F7" s="56">
        <v>0.22</v>
      </c>
      <c r="G7" s="87">
        <v>390.81</v>
      </c>
      <c r="H7" s="97" t="s">
        <v>351</v>
      </c>
    </row>
    <row r="8" spans="1:8">
      <c r="A8" s="22">
        <v>42298</v>
      </c>
      <c r="B8" s="26">
        <v>42298</v>
      </c>
      <c r="C8" s="13" t="s">
        <v>147</v>
      </c>
      <c r="D8" s="14" t="s">
        <v>14</v>
      </c>
      <c r="E8" s="13" t="s">
        <v>22</v>
      </c>
      <c r="F8" s="56">
        <v>0.16</v>
      </c>
      <c r="G8" s="87">
        <v>233.77</v>
      </c>
      <c r="H8" s="97"/>
    </row>
    <row r="9" spans="1:8">
      <c r="A9" s="22">
        <v>42303</v>
      </c>
      <c r="B9" s="26">
        <v>42303</v>
      </c>
      <c r="C9" s="13" t="s">
        <v>150</v>
      </c>
      <c r="D9" s="14" t="s">
        <v>9</v>
      </c>
      <c r="E9" s="13" t="s">
        <v>22</v>
      </c>
      <c r="F9" s="56">
        <v>0.13</v>
      </c>
      <c r="G9" s="87">
        <v>166.96</v>
      </c>
      <c r="H9" s="97"/>
    </row>
    <row r="10" spans="1:8">
      <c r="A10" s="22">
        <v>42304</v>
      </c>
      <c r="B10" s="26">
        <v>42304</v>
      </c>
      <c r="C10" s="13" t="s">
        <v>113</v>
      </c>
      <c r="D10" s="14" t="s">
        <v>14</v>
      </c>
      <c r="E10" s="13" t="s">
        <v>15</v>
      </c>
      <c r="F10" s="56">
        <v>0.15</v>
      </c>
      <c r="G10" s="87">
        <v>385.16</v>
      </c>
      <c r="H10" s="97"/>
    </row>
    <row r="11" spans="1:8">
      <c r="A11" s="22">
        <v>42304</v>
      </c>
      <c r="B11" s="26">
        <v>42308</v>
      </c>
      <c r="C11" s="13" t="s">
        <v>154</v>
      </c>
      <c r="D11" s="14" t="s">
        <v>21</v>
      </c>
      <c r="E11" s="13" t="s">
        <v>57</v>
      </c>
      <c r="F11" s="56">
        <v>0.1</v>
      </c>
      <c r="G11" s="87">
        <v>130.24</v>
      </c>
      <c r="H11" s="97"/>
    </row>
    <row r="12" spans="1:8">
      <c r="A12" s="22">
        <v>42304</v>
      </c>
      <c r="B12" s="26">
        <v>42304</v>
      </c>
      <c r="C12" s="13" t="s">
        <v>288</v>
      </c>
      <c r="D12" s="14" t="s">
        <v>61</v>
      </c>
      <c r="E12" s="13" t="s">
        <v>15</v>
      </c>
      <c r="F12" s="56">
        <v>0.15</v>
      </c>
      <c r="G12" s="87">
        <v>844.13</v>
      </c>
      <c r="H12" s="97"/>
    </row>
    <row r="13" spans="1:8">
      <c r="A13" s="22">
        <v>42306</v>
      </c>
      <c r="B13" s="26">
        <v>42306</v>
      </c>
      <c r="C13" s="13" t="s">
        <v>151</v>
      </c>
      <c r="D13" s="14" t="s">
        <v>14</v>
      </c>
      <c r="E13" s="13" t="s">
        <v>17</v>
      </c>
      <c r="F13" s="56">
        <v>0.22500000000000001</v>
      </c>
      <c r="G13" s="87">
        <v>324.16000000000003</v>
      </c>
      <c r="H13" s="97"/>
    </row>
    <row r="14" spans="1:8">
      <c r="A14" s="85">
        <v>42306</v>
      </c>
      <c r="B14" s="26">
        <v>42306</v>
      </c>
      <c r="C14" s="13" t="s">
        <v>152</v>
      </c>
      <c r="D14" s="14" t="s">
        <v>61</v>
      </c>
      <c r="E14" s="13" t="s">
        <v>19</v>
      </c>
      <c r="F14" s="56">
        <v>0.1</v>
      </c>
      <c r="G14" s="87">
        <v>79.709999999999994</v>
      </c>
      <c r="H14" s="97"/>
    </row>
    <row r="15" spans="1:8">
      <c r="A15" s="22">
        <v>42307</v>
      </c>
      <c r="B15" s="26">
        <v>42308</v>
      </c>
      <c r="C15" s="13" t="s">
        <v>155</v>
      </c>
      <c r="D15" s="14" t="s">
        <v>9</v>
      </c>
      <c r="E15" s="13" t="s">
        <v>57</v>
      </c>
      <c r="F15" s="56">
        <v>0.1</v>
      </c>
      <c r="G15" s="87">
        <v>130.18</v>
      </c>
      <c r="H15" s="97"/>
    </row>
    <row r="16" spans="1:8">
      <c r="A16" s="22">
        <v>42307</v>
      </c>
      <c r="B16" s="26">
        <v>42311</v>
      </c>
      <c r="C16" s="13" t="s">
        <v>158</v>
      </c>
      <c r="D16" s="14" t="s">
        <v>14</v>
      </c>
      <c r="E16" s="13" t="s">
        <v>29</v>
      </c>
      <c r="F16" s="56">
        <v>0.15</v>
      </c>
      <c r="G16" s="87">
        <v>170.63</v>
      </c>
      <c r="H16" s="97"/>
    </row>
    <row r="17" spans="1:8">
      <c r="A17" s="90"/>
      <c r="B17" s="91"/>
      <c r="C17" s="92"/>
      <c r="D17" s="93"/>
      <c r="E17" s="92"/>
      <c r="F17" s="94"/>
      <c r="G17" s="95"/>
      <c r="H17" s="99"/>
    </row>
    <row r="18" spans="1:8">
      <c r="A18" s="90"/>
      <c r="B18" s="91"/>
      <c r="C18" s="92"/>
      <c r="D18" s="93"/>
      <c r="E18" s="92"/>
      <c r="F18" s="94"/>
      <c r="G18" s="95"/>
      <c r="H18" s="99"/>
    </row>
    <row r="19" spans="1:8">
      <c r="A19" s="90"/>
      <c r="B19" s="91"/>
      <c r="C19" s="92"/>
      <c r="D19" s="93"/>
      <c r="E19" s="92"/>
      <c r="F19" s="94"/>
      <c r="G19" s="95"/>
      <c r="H19" s="99"/>
    </row>
    <row r="20" spans="1:8">
      <c r="A20" s="90"/>
      <c r="B20" s="91"/>
      <c r="C20" s="92"/>
      <c r="D20" s="93"/>
      <c r="E20" s="92"/>
      <c r="F20" s="94"/>
      <c r="G20" s="95"/>
      <c r="H20" s="99"/>
    </row>
    <row r="21" spans="1:8">
      <c r="A21" s="90"/>
      <c r="B21" s="91"/>
      <c r="C21" s="92"/>
      <c r="D21" s="93"/>
      <c r="E21" s="92"/>
      <c r="F21" s="94"/>
      <c r="G21" s="95"/>
      <c r="H21" s="99"/>
    </row>
    <row r="22" spans="1:8">
      <c r="A22" s="90"/>
      <c r="B22" s="91"/>
      <c r="C22" s="92"/>
      <c r="D22" s="93"/>
      <c r="E22" s="92"/>
      <c r="F22" s="94"/>
      <c r="G22" s="95"/>
      <c r="H22" s="99"/>
    </row>
    <row r="23" spans="1:8">
      <c r="A23" s="90"/>
      <c r="B23" s="91"/>
      <c r="C23" s="92"/>
      <c r="D23" s="93"/>
      <c r="E23" s="92"/>
      <c r="F23" s="94"/>
      <c r="G23" s="95"/>
      <c r="H23" s="99"/>
    </row>
    <row r="24" spans="1:8">
      <c r="A24" s="90"/>
      <c r="B24" s="91"/>
      <c r="C24" s="92"/>
      <c r="D24" s="93"/>
      <c r="E24" s="92"/>
      <c r="F24" s="94"/>
      <c r="G24" s="95"/>
      <c r="H24" s="98"/>
    </row>
    <row r="25" spans="1:8" ht="19.5">
      <c r="A25" s="673" t="s">
        <v>39</v>
      </c>
      <c r="B25" s="674"/>
      <c r="C25" s="674"/>
      <c r="D25" s="674"/>
      <c r="E25" s="674"/>
      <c r="F25" s="675"/>
      <c r="G25" s="89">
        <f>SUM(G2:G24)</f>
        <v>3947.0399999999995</v>
      </c>
      <c r="H25" s="89"/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4"/>
  <sheetViews>
    <sheetView workbookViewId="0"/>
  </sheetViews>
  <sheetFormatPr defaultRowHeight="15"/>
  <cols>
    <col min="1" max="1" width="13.85546875" customWidth="1"/>
    <col min="2" max="2" width="17.85546875" customWidth="1"/>
    <col min="3" max="3" width="46" customWidth="1"/>
    <col min="7" max="7" width="19.28515625" customWidth="1"/>
  </cols>
  <sheetData>
    <row r="1" spans="1:8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86" t="s">
        <v>7</v>
      </c>
      <c r="H1" s="88" t="s">
        <v>307</v>
      </c>
    </row>
    <row r="2" spans="1:8">
      <c r="A2" s="31"/>
      <c r="B2" s="32">
        <v>42313</v>
      </c>
      <c r="C2" s="7" t="s">
        <v>162</v>
      </c>
      <c r="D2" s="8" t="s">
        <v>14</v>
      </c>
      <c r="E2" s="7" t="s">
        <v>10</v>
      </c>
      <c r="F2" s="55">
        <v>0.2</v>
      </c>
      <c r="G2" s="65">
        <v>226.88</v>
      </c>
      <c r="H2" s="96"/>
    </row>
    <row r="3" spans="1:8">
      <c r="A3" s="31">
        <v>42311</v>
      </c>
      <c r="B3" s="32">
        <v>42311</v>
      </c>
      <c r="C3" s="7" t="s">
        <v>330</v>
      </c>
      <c r="D3" s="8" t="s">
        <v>61</v>
      </c>
      <c r="E3" s="7" t="s">
        <v>15</v>
      </c>
      <c r="F3" s="55">
        <v>0.1</v>
      </c>
      <c r="G3" s="72">
        <v>323.94</v>
      </c>
      <c r="H3" s="102"/>
    </row>
    <row r="4" spans="1:8">
      <c r="A4" s="31">
        <v>42318</v>
      </c>
      <c r="B4" s="32">
        <v>42318</v>
      </c>
      <c r="C4" s="7" t="s">
        <v>352</v>
      </c>
      <c r="D4" s="8" t="s">
        <v>33</v>
      </c>
      <c r="E4" s="7" t="s">
        <v>17</v>
      </c>
      <c r="F4" s="55">
        <v>0.15</v>
      </c>
      <c r="G4" s="87">
        <v>205.86</v>
      </c>
      <c r="H4" s="97"/>
    </row>
    <row r="5" spans="1:8">
      <c r="A5" s="31"/>
      <c r="B5" s="32">
        <v>42324</v>
      </c>
      <c r="C5" s="7" t="s">
        <v>353</v>
      </c>
      <c r="D5" s="8" t="s">
        <v>25</v>
      </c>
      <c r="E5" s="7" t="s">
        <v>22</v>
      </c>
      <c r="F5" s="55">
        <v>0.1</v>
      </c>
      <c r="G5" s="72">
        <v>132.56</v>
      </c>
      <c r="H5" s="97"/>
    </row>
    <row r="6" spans="1:8">
      <c r="A6" s="22">
        <v>42319</v>
      </c>
      <c r="B6" s="26">
        <v>42319</v>
      </c>
      <c r="C6" s="13" t="s">
        <v>164</v>
      </c>
      <c r="D6" s="14" t="s">
        <v>14</v>
      </c>
      <c r="E6" s="13" t="s">
        <v>10</v>
      </c>
      <c r="F6" s="56">
        <v>0.15</v>
      </c>
      <c r="G6" s="87">
        <v>178.04</v>
      </c>
      <c r="H6" s="97"/>
    </row>
    <row r="7" spans="1:8">
      <c r="A7" s="22">
        <v>42318</v>
      </c>
      <c r="B7" s="26">
        <v>42318</v>
      </c>
      <c r="C7" s="13" t="s">
        <v>354</v>
      </c>
      <c r="D7" s="14" t="s">
        <v>61</v>
      </c>
      <c r="E7" s="13" t="s">
        <v>19</v>
      </c>
      <c r="F7" s="56">
        <v>0.1</v>
      </c>
      <c r="G7" s="87">
        <v>183.3</v>
      </c>
      <c r="H7" s="97"/>
    </row>
    <row r="8" spans="1:8">
      <c r="A8" s="22">
        <v>42320</v>
      </c>
      <c r="B8" s="26">
        <v>42320</v>
      </c>
      <c r="C8" s="13" t="s">
        <v>355</v>
      </c>
      <c r="D8" s="14" t="s">
        <v>14</v>
      </c>
      <c r="E8" s="13" t="s">
        <v>10</v>
      </c>
      <c r="F8" s="56">
        <v>0.2</v>
      </c>
      <c r="G8" s="87">
        <v>207.64</v>
      </c>
      <c r="H8" s="97"/>
    </row>
    <row r="9" spans="1:8">
      <c r="A9" s="22">
        <v>42320</v>
      </c>
      <c r="B9" s="26">
        <v>42320</v>
      </c>
      <c r="C9" s="13" t="s">
        <v>165</v>
      </c>
      <c r="D9" s="14" t="s">
        <v>21</v>
      </c>
      <c r="E9" s="13" t="s">
        <v>22</v>
      </c>
      <c r="F9" s="56">
        <v>0.1</v>
      </c>
      <c r="G9" s="87">
        <v>333.35</v>
      </c>
      <c r="H9" s="97"/>
    </row>
    <row r="10" spans="1:8">
      <c r="A10" s="22">
        <v>42324</v>
      </c>
      <c r="B10" s="26">
        <v>42324</v>
      </c>
      <c r="C10" s="13" t="s">
        <v>168</v>
      </c>
      <c r="D10" s="14" t="s">
        <v>14</v>
      </c>
      <c r="E10" s="13" t="s">
        <v>10</v>
      </c>
      <c r="F10" s="56">
        <v>0.25</v>
      </c>
      <c r="G10" s="87">
        <v>233.59</v>
      </c>
      <c r="H10" s="97"/>
    </row>
    <row r="11" spans="1:8">
      <c r="A11" s="22">
        <v>42324</v>
      </c>
      <c r="B11" s="26">
        <v>42327</v>
      </c>
      <c r="C11" s="13" t="s">
        <v>356</v>
      </c>
      <c r="D11" s="14" t="s">
        <v>14</v>
      </c>
      <c r="E11" s="13" t="s">
        <v>10</v>
      </c>
      <c r="F11" s="56">
        <v>0.25</v>
      </c>
      <c r="G11" s="87">
        <v>234.33</v>
      </c>
      <c r="H11" s="97"/>
    </row>
    <row r="12" spans="1:8">
      <c r="A12" s="22">
        <v>42324</v>
      </c>
      <c r="B12" s="26">
        <v>42327</v>
      </c>
      <c r="C12" s="13" t="s">
        <v>172</v>
      </c>
      <c r="D12" s="14" t="s">
        <v>149</v>
      </c>
      <c r="E12" s="13" t="s">
        <v>10</v>
      </c>
      <c r="F12" s="56">
        <v>0.13</v>
      </c>
      <c r="G12" s="87">
        <v>142.6</v>
      </c>
      <c r="H12" s="97"/>
    </row>
    <row r="13" spans="1:8">
      <c r="A13" s="22">
        <v>42324</v>
      </c>
      <c r="B13" s="26">
        <v>42330</v>
      </c>
      <c r="C13" s="13" t="s">
        <v>175</v>
      </c>
      <c r="D13" s="14" t="s">
        <v>14</v>
      </c>
      <c r="E13" s="13" t="s">
        <v>10</v>
      </c>
      <c r="F13" s="56">
        <v>0.1</v>
      </c>
      <c r="G13" s="87">
        <v>124.51</v>
      </c>
      <c r="H13" s="97"/>
    </row>
    <row r="14" spans="1:8">
      <c r="A14" s="22">
        <v>42327</v>
      </c>
      <c r="B14" s="26">
        <v>42333</v>
      </c>
      <c r="C14" s="13" t="s">
        <v>176</v>
      </c>
      <c r="D14" s="14" t="s">
        <v>9</v>
      </c>
      <c r="E14" s="13" t="s">
        <v>22</v>
      </c>
      <c r="F14" s="56">
        <v>0.2</v>
      </c>
      <c r="G14" s="87">
        <v>224.65</v>
      </c>
      <c r="H14" s="97"/>
    </row>
    <row r="15" spans="1:8">
      <c r="A15" s="85">
        <v>42327</v>
      </c>
      <c r="B15" s="26">
        <v>42327</v>
      </c>
      <c r="C15" s="13" t="s">
        <v>211</v>
      </c>
      <c r="D15" s="14" t="s">
        <v>14</v>
      </c>
      <c r="E15" s="13" t="s">
        <v>10</v>
      </c>
      <c r="F15" s="56">
        <v>0.2</v>
      </c>
      <c r="G15" s="87">
        <v>330.33</v>
      </c>
      <c r="H15" s="97"/>
    </row>
    <row r="16" spans="1:8">
      <c r="A16" s="22">
        <v>42331</v>
      </c>
      <c r="B16" s="26">
        <v>42329</v>
      </c>
      <c r="C16" s="13" t="s">
        <v>357</v>
      </c>
      <c r="D16" s="14" t="s">
        <v>25</v>
      </c>
      <c r="E16" s="13" t="s">
        <v>10</v>
      </c>
      <c r="F16" s="56">
        <v>0.2</v>
      </c>
      <c r="G16" s="87">
        <v>396.39</v>
      </c>
      <c r="H16" s="97"/>
    </row>
    <row r="17" spans="1:8">
      <c r="A17" s="90">
        <v>42338</v>
      </c>
      <c r="B17" s="91">
        <v>42340</v>
      </c>
      <c r="C17" s="92" t="s">
        <v>190</v>
      </c>
      <c r="D17" s="93" t="s">
        <v>14</v>
      </c>
      <c r="E17" s="92" t="s">
        <v>22</v>
      </c>
      <c r="F17" s="94">
        <v>0.15</v>
      </c>
      <c r="G17" s="95">
        <v>172.02</v>
      </c>
      <c r="H17" s="99"/>
    </row>
    <row r="18" spans="1:8">
      <c r="A18" s="90">
        <v>42338</v>
      </c>
      <c r="B18" s="91">
        <v>42335</v>
      </c>
      <c r="C18" s="92" t="s">
        <v>142</v>
      </c>
      <c r="D18" s="93" t="s">
        <v>9</v>
      </c>
      <c r="E18" s="92" t="s">
        <v>10</v>
      </c>
      <c r="F18" s="94">
        <v>0.1</v>
      </c>
      <c r="G18" s="95">
        <v>230.28</v>
      </c>
      <c r="H18" s="99"/>
    </row>
    <row r="19" spans="1:8">
      <c r="A19" s="90">
        <v>42338</v>
      </c>
      <c r="B19" s="91">
        <v>42338</v>
      </c>
      <c r="C19" s="92" t="s">
        <v>177</v>
      </c>
      <c r="D19" s="93" t="s">
        <v>14</v>
      </c>
      <c r="E19" s="92" t="s">
        <v>15</v>
      </c>
      <c r="F19" s="94">
        <v>0.1</v>
      </c>
      <c r="G19" s="95">
        <v>230.3</v>
      </c>
      <c r="H19" s="99"/>
    </row>
    <row r="20" spans="1:8">
      <c r="A20" s="90">
        <v>42339</v>
      </c>
      <c r="B20" s="91">
        <v>42336</v>
      </c>
      <c r="C20" s="92" t="s">
        <v>358</v>
      </c>
      <c r="D20" s="93" t="s">
        <v>14</v>
      </c>
      <c r="E20" s="92" t="s">
        <v>10</v>
      </c>
      <c r="F20" s="94">
        <v>0.1</v>
      </c>
      <c r="G20" s="95">
        <v>142.03</v>
      </c>
      <c r="H20" s="99"/>
    </row>
    <row r="21" spans="1:8">
      <c r="A21" s="90"/>
      <c r="B21" s="91"/>
      <c r="C21" s="92"/>
      <c r="D21" s="93"/>
      <c r="E21" s="92"/>
      <c r="F21" s="94"/>
      <c r="G21" s="95"/>
      <c r="H21" s="99"/>
    </row>
    <row r="22" spans="1:8">
      <c r="A22" s="90"/>
      <c r="B22" s="91"/>
      <c r="C22" s="92"/>
      <c r="D22" s="93"/>
      <c r="E22" s="92"/>
      <c r="F22" s="94"/>
      <c r="G22" s="95"/>
      <c r="H22" s="99"/>
    </row>
    <row r="23" spans="1:8">
      <c r="A23" s="90"/>
      <c r="B23" s="91"/>
      <c r="C23" s="92"/>
      <c r="D23" s="93"/>
      <c r="E23" s="92"/>
      <c r="F23" s="94"/>
      <c r="G23" s="95"/>
      <c r="H23" s="98"/>
    </row>
    <row r="24" spans="1:8" ht="19.5">
      <c r="A24" s="673" t="s">
        <v>39</v>
      </c>
      <c r="B24" s="674"/>
      <c r="C24" s="674"/>
      <c r="D24" s="674"/>
      <c r="E24" s="674"/>
      <c r="F24" s="675"/>
      <c r="G24" s="89">
        <f>SUM(G2:G23)</f>
        <v>4252.5999999999995</v>
      </c>
      <c r="H24" s="89"/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5"/>
  <sheetViews>
    <sheetView workbookViewId="0"/>
  </sheetViews>
  <sheetFormatPr defaultRowHeight="15"/>
  <cols>
    <col min="3" max="3" width="37.28515625" customWidth="1"/>
  </cols>
  <sheetData>
    <row r="1" spans="1:8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86" t="s">
        <v>7</v>
      </c>
      <c r="H1" s="88" t="s">
        <v>307</v>
      </c>
    </row>
    <row r="2" spans="1:8">
      <c r="A2" s="31">
        <v>42340</v>
      </c>
      <c r="B2" s="32">
        <v>42341</v>
      </c>
      <c r="C2" s="7" t="s">
        <v>359</v>
      </c>
      <c r="D2" s="8" t="s">
        <v>14</v>
      </c>
      <c r="E2" s="7" t="s">
        <v>10</v>
      </c>
      <c r="F2" s="55">
        <v>0.15</v>
      </c>
      <c r="G2" s="65">
        <v>159.22</v>
      </c>
      <c r="H2" s="96"/>
    </row>
    <row r="3" spans="1:8">
      <c r="A3" s="31">
        <v>42340</v>
      </c>
      <c r="B3" s="32">
        <v>42342</v>
      </c>
      <c r="C3" s="7" t="s">
        <v>189</v>
      </c>
      <c r="D3" s="8" t="s">
        <v>25</v>
      </c>
      <c r="E3" s="7" t="s">
        <v>29</v>
      </c>
      <c r="F3" s="55">
        <v>0.15</v>
      </c>
      <c r="G3" s="87">
        <v>190.38</v>
      </c>
      <c r="H3" s="97"/>
    </row>
    <row r="4" spans="1:8">
      <c r="A4" s="31">
        <v>42347</v>
      </c>
      <c r="B4" s="32">
        <v>42347</v>
      </c>
      <c r="C4" s="7" t="s">
        <v>360</v>
      </c>
      <c r="D4" s="8" t="s">
        <v>14</v>
      </c>
      <c r="E4" s="7" t="s">
        <v>10</v>
      </c>
      <c r="F4" s="55">
        <v>0.1</v>
      </c>
      <c r="G4" s="72">
        <v>133.27000000000001</v>
      </c>
      <c r="H4" s="97"/>
    </row>
    <row r="5" spans="1:8">
      <c r="A5" s="22">
        <v>42352</v>
      </c>
      <c r="B5" s="26">
        <v>42352</v>
      </c>
      <c r="C5" s="13" t="s">
        <v>361</v>
      </c>
      <c r="D5" s="14" t="s">
        <v>14</v>
      </c>
      <c r="E5" s="13" t="s">
        <v>362</v>
      </c>
      <c r="F5" s="56">
        <v>0.1</v>
      </c>
      <c r="G5" s="87">
        <v>186.59</v>
      </c>
      <c r="H5" s="97"/>
    </row>
    <row r="6" spans="1:8">
      <c r="A6" s="22">
        <v>42348</v>
      </c>
      <c r="B6" s="26">
        <v>42345</v>
      </c>
      <c r="C6" s="13" t="s">
        <v>363</v>
      </c>
      <c r="D6" s="14" t="s">
        <v>9</v>
      </c>
      <c r="E6" s="13" t="s">
        <v>22</v>
      </c>
      <c r="F6" s="56">
        <v>0.1</v>
      </c>
      <c r="G6" s="87">
        <v>218.56</v>
      </c>
      <c r="H6" s="97"/>
    </row>
    <row r="7" spans="1:8">
      <c r="A7" s="22">
        <v>42349</v>
      </c>
      <c r="B7" s="26">
        <v>41255</v>
      </c>
      <c r="C7" s="13" t="s">
        <v>196</v>
      </c>
      <c r="D7" s="14" t="s">
        <v>149</v>
      </c>
      <c r="E7" s="13" t="s">
        <v>29</v>
      </c>
      <c r="F7" s="56">
        <v>0.11</v>
      </c>
      <c r="G7" s="87">
        <v>258.5</v>
      </c>
      <c r="H7" s="97"/>
    </row>
    <row r="8" spans="1:8">
      <c r="A8" s="22">
        <v>42349</v>
      </c>
      <c r="B8" s="26">
        <v>42352</v>
      </c>
      <c r="C8" s="13" t="s">
        <v>200</v>
      </c>
      <c r="D8" s="14" t="s">
        <v>33</v>
      </c>
      <c r="E8" s="13" t="s">
        <v>17</v>
      </c>
      <c r="F8" s="56">
        <v>0.2</v>
      </c>
      <c r="G8" s="87">
        <v>312.27999999999997</v>
      </c>
      <c r="H8" s="97"/>
    </row>
    <row r="9" spans="1:8">
      <c r="A9" s="22">
        <v>42349</v>
      </c>
      <c r="B9" s="26">
        <v>42354</v>
      </c>
      <c r="C9" s="13" t="s">
        <v>202</v>
      </c>
      <c r="D9" s="14" t="s">
        <v>21</v>
      </c>
      <c r="E9" s="13" t="s">
        <v>22</v>
      </c>
      <c r="F9" s="56">
        <v>0.1</v>
      </c>
      <c r="G9" s="87">
        <v>167.57</v>
      </c>
      <c r="H9" s="97"/>
    </row>
    <row r="10" spans="1:8">
      <c r="A10" s="22">
        <v>42352</v>
      </c>
      <c r="B10" s="26">
        <v>42352</v>
      </c>
      <c r="C10" s="13" t="s">
        <v>176</v>
      </c>
      <c r="D10" s="14" t="s">
        <v>14</v>
      </c>
      <c r="E10" s="13" t="s">
        <v>10</v>
      </c>
      <c r="F10" s="56">
        <v>0.2</v>
      </c>
      <c r="G10" s="87">
        <v>190.52</v>
      </c>
      <c r="H10" s="97"/>
    </row>
    <row r="11" spans="1:8">
      <c r="A11" s="22">
        <v>42355</v>
      </c>
      <c r="B11" s="26">
        <v>42358</v>
      </c>
      <c r="C11" s="13" t="s">
        <v>204</v>
      </c>
      <c r="D11" s="14" t="s">
        <v>25</v>
      </c>
      <c r="E11" s="13" t="s">
        <v>10</v>
      </c>
      <c r="F11" s="56">
        <v>0.1</v>
      </c>
      <c r="G11" s="87">
        <v>80.98</v>
      </c>
      <c r="H11" s="97"/>
    </row>
    <row r="12" spans="1:8">
      <c r="A12" s="22">
        <v>42353</v>
      </c>
      <c r="B12" s="26">
        <v>42353</v>
      </c>
      <c r="C12" s="13" t="s">
        <v>364</v>
      </c>
      <c r="D12" s="14" t="s">
        <v>14</v>
      </c>
      <c r="E12" s="13" t="s">
        <v>10</v>
      </c>
      <c r="F12" s="56">
        <v>0.2</v>
      </c>
      <c r="G12" s="87">
        <v>270.35000000000002</v>
      </c>
      <c r="H12" s="97">
        <v>135.16999999999999</v>
      </c>
    </row>
    <row r="13" spans="1:8">
      <c r="A13" s="85">
        <v>42354</v>
      </c>
      <c r="B13" s="26">
        <v>42355</v>
      </c>
      <c r="C13" s="13" t="s">
        <v>365</v>
      </c>
      <c r="D13" s="14" t="s">
        <v>14</v>
      </c>
      <c r="E13" s="13" t="s">
        <v>10</v>
      </c>
      <c r="F13" s="56">
        <v>0.1</v>
      </c>
      <c r="G13" s="87">
        <v>147.06</v>
      </c>
      <c r="H13" s="97"/>
    </row>
    <row r="14" spans="1:8">
      <c r="A14" s="22">
        <v>42354</v>
      </c>
      <c r="B14" s="26">
        <v>42355</v>
      </c>
      <c r="C14" s="13" t="s">
        <v>203</v>
      </c>
      <c r="D14" s="14" t="s">
        <v>14</v>
      </c>
      <c r="E14" s="13" t="s">
        <v>10</v>
      </c>
      <c r="F14" s="56">
        <v>0.1</v>
      </c>
      <c r="G14" s="87">
        <v>133.99</v>
      </c>
      <c r="H14" s="97"/>
    </row>
    <row r="15" spans="1:8">
      <c r="A15" s="22">
        <v>42356</v>
      </c>
      <c r="B15" s="26">
        <v>42356</v>
      </c>
      <c r="C15" s="13" t="s">
        <v>165</v>
      </c>
      <c r="D15" s="14" t="s">
        <v>14</v>
      </c>
      <c r="E15" s="13" t="s">
        <v>362</v>
      </c>
      <c r="F15" s="56">
        <v>0.23</v>
      </c>
      <c r="G15" s="87">
        <v>786.74</v>
      </c>
      <c r="H15" s="97"/>
    </row>
    <row r="16" spans="1:8">
      <c r="A16" s="90">
        <v>42360</v>
      </c>
      <c r="B16" s="91">
        <v>42361</v>
      </c>
      <c r="C16" s="92" t="s">
        <v>205</v>
      </c>
      <c r="D16" s="93" t="s">
        <v>14</v>
      </c>
      <c r="E16" s="92" t="s">
        <v>10</v>
      </c>
      <c r="F16" s="94">
        <v>0.2</v>
      </c>
      <c r="G16" s="95">
        <v>235.65</v>
      </c>
      <c r="H16" s="99"/>
    </row>
    <row r="17" spans="1:8">
      <c r="A17" s="90">
        <v>42359</v>
      </c>
      <c r="B17" s="91">
        <v>42356</v>
      </c>
      <c r="C17" s="92" t="s">
        <v>87</v>
      </c>
      <c r="D17" s="93" t="s">
        <v>9</v>
      </c>
      <c r="E17" s="92" t="s">
        <v>10</v>
      </c>
      <c r="F17" s="94">
        <v>0.1</v>
      </c>
      <c r="G17" s="95">
        <v>189.85</v>
      </c>
      <c r="H17" s="99"/>
    </row>
    <row r="18" spans="1:8">
      <c r="A18" s="90">
        <v>42361</v>
      </c>
      <c r="B18" s="91">
        <v>42362</v>
      </c>
      <c r="C18" s="92" t="s">
        <v>366</v>
      </c>
      <c r="D18" s="93" t="s">
        <v>21</v>
      </c>
      <c r="E18" s="92" t="s">
        <v>57</v>
      </c>
      <c r="F18" s="94">
        <v>0.25</v>
      </c>
      <c r="G18" s="95">
        <v>397.6</v>
      </c>
      <c r="H18" s="99"/>
    </row>
    <row r="19" spans="1:8">
      <c r="A19" s="90">
        <v>42361</v>
      </c>
      <c r="B19" s="91">
        <v>42361</v>
      </c>
      <c r="C19" s="92" t="s">
        <v>361</v>
      </c>
      <c r="D19" s="93" t="s">
        <v>14</v>
      </c>
      <c r="E19" s="92" t="s">
        <v>10</v>
      </c>
      <c r="F19" s="94">
        <v>0.1</v>
      </c>
      <c r="G19" s="95">
        <v>234.26</v>
      </c>
      <c r="H19" s="99"/>
    </row>
    <row r="20" spans="1:8">
      <c r="A20" s="90">
        <v>42361</v>
      </c>
      <c r="B20" s="91">
        <v>42361</v>
      </c>
      <c r="C20" s="92" t="s">
        <v>367</v>
      </c>
      <c r="D20" s="93" t="s">
        <v>14</v>
      </c>
      <c r="E20" s="92" t="s">
        <v>10</v>
      </c>
      <c r="F20" s="94">
        <v>0.2</v>
      </c>
      <c r="G20" s="95">
        <v>306.52</v>
      </c>
      <c r="H20" s="99"/>
    </row>
    <row r="21" spans="1:8">
      <c r="A21" s="90">
        <v>42361</v>
      </c>
      <c r="B21" s="91">
        <v>42361</v>
      </c>
      <c r="C21" s="92" t="s">
        <v>368</v>
      </c>
      <c r="D21" s="93" t="s">
        <v>14</v>
      </c>
      <c r="E21" s="92" t="s">
        <v>10</v>
      </c>
      <c r="F21" s="94">
        <v>0.2</v>
      </c>
      <c r="G21" s="95">
        <v>272.19</v>
      </c>
      <c r="H21" s="99"/>
    </row>
    <row r="22" spans="1:8">
      <c r="A22" s="90">
        <v>42367</v>
      </c>
      <c r="B22" s="91">
        <v>42367</v>
      </c>
      <c r="C22" s="92" t="s">
        <v>369</v>
      </c>
      <c r="D22" s="93" t="s">
        <v>14</v>
      </c>
      <c r="E22" s="92" t="s">
        <v>10</v>
      </c>
      <c r="F22" s="94">
        <v>0.15</v>
      </c>
      <c r="G22" s="95">
        <v>199.02</v>
      </c>
      <c r="H22" s="99"/>
    </row>
    <row r="23" spans="1:8">
      <c r="A23" s="90">
        <v>42368</v>
      </c>
      <c r="B23" s="91">
        <v>42368</v>
      </c>
      <c r="C23" s="92" t="s">
        <v>358</v>
      </c>
      <c r="D23" s="93" t="s">
        <v>14</v>
      </c>
      <c r="E23" s="92" t="s">
        <v>29</v>
      </c>
      <c r="F23" s="94">
        <v>0.1</v>
      </c>
      <c r="G23" s="95">
        <v>175.42</v>
      </c>
      <c r="H23" s="99"/>
    </row>
    <row r="24" spans="1:8">
      <c r="A24" s="90">
        <v>42361</v>
      </c>
      <c r="B24" s="91">
        <v>42374</v>
      </c>
      <c r="C24" s="92" t="s">
        <v>215</v>
      </c>
      <c r="D24" s="93" t="s">
        <v>25</v>
      </c>
      <c r="E24" s="92" t="s">
        <v>10</v>
      </c>
      <c r="F24" s="94">
        <v>0.18</v>
      </c>
      <c r="G24" s="95">
        <v>278.89</v>
      </c>
      <c r="H24" s="98"/>
    </row>
    <row r="25" spans="1:8" ht="19.5">
      <c r="A25" s="673" t="s">
        <v>39</v>
      </c>
      <c r="B25" s="674"/>
      <c r="C25" s="674"/>
      <c r="D25" s="674"/>
      <c r="E25" s="674"/>
      <c r="F25" s="675"/>
      <c r="G25" s="89">
        <f>SUM(G2:G24)</f>
        <v>5525.41</v>
      </c>
      <c r="H25" s="89"/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8"/>
  <sheetViews>
    <sheetView workbookViewId="0"/>
  </sheetViews>
  <sheetFormatPr defaultRowHeight="15"/>
  <sheetData>
    <row r="1" spans="1:10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86" t="s">
        <v>7</v>
      </c>
      <c r="H1" s="88" t="s">
        <v>307</v>
      </c>
      <c r="I1" s="676" t="s">
        <v>370</v>
      </c>
      <c r="J1" s="110"/>
    </row>
    <row r="2" spans="1:10">
      <c r="A2" s="31">
        <v>42374</v>
      </c>
      <c r="B2" s="32">
        <v>42377</v>
      </c>
      <c r="C2" s="7" t="s">
        <v>217</v>
      </c>
      <c r="D2" s="8" t="s">
        <v>14</v>
      </c>
      <c r="E2" s="7" t="s">
        <v>10</v>
      </c>
      <c r="F2" s="55">
        <v>0.25</v>
      </c>
      <c r="G2" s="65">
        <v>434.78</v>
      </c>
      <c r="H2" s="103">
        <v>217.39</v>
      </c>
      <c r="I2" s="108" t="s">
        <v>371</v>
      </c>
      <c r="J2" s="109"/>
    </row>
    <row r="3" spans="1:10">
      <c r="A3" s="31">
        <v>42374</v>
      </c>
      <c r="B3" s="32">
        <v>42378</v>
      </c>
      <c r="C3" s="7" t="s">
        <v>220</v>
      </c>
      <c r="D3" s="8" t="s">
        <v>14</v>
      </c>
      <c r="E3" s="7" t="s">
        <v>17</v>
      </c>
      <c r="F3" s="55">
        <v>0.21</v>
      </c>
      <c r="G3" s="87">
        <v>257.13</v>
      </c>
      <c r="H3" s="104"/>
      <c r="I3" s="108"/>
      <c r="J3" s="109"/>
    </row>
    <row r="4" spans="1:10">
      <c r="A4" s="31">
        <v>42373</v>
      </c>
      <c r="B4" s="32">
        <v>42373</v>
      </c>
      <c r="C4" s="7" t="s">
        <v>372</v>
      </c>
      <c r="D4" s="8" t="s">
        <v>9</v>
      </c>
      <c r="E4" s="7" t="s">
        <v>143</v>
      </c>
      <c r="F4" s="55">
        <v>0.1</v>
      </c>
      <c r="G4" s="72">
        <v>150.94</v>
      </c>
      <c r="H4" s="104">
        <v>75.47</v>
      </c>
      <c r="I4" s="677" t="s">
        <v>373</v>
      </c>
      <c r="J4" s="677"/>
    </row>
    <row r="5" spans="1:10">
      <c r="A5" s="22">
        <v>42383</v>
      </c>
      <c r="B5" s="26">
        <v>42381</v>
      </c>
      <c r="C5" s="13" t="s">
        <v>223</v>
      </c>
      <c r="D5" s="14" t="s">
        <v>14</v>
      </c>
      <c r="E5" s="13" t="s">
        <v>10</v>
      </c>
      <c r="F5" s="56">
        <v>0.15</v>
      </c>
      <c r="G5" s="87">
        <v>219.47</v>
      </c>
      <c r="H5" s="104"/>
      <c r="I5" s="108"/>
      <c r="J5" s="109"/>
    </row>
    <row r="6" spans="1:10">
      <c r="A6" s="22">
        <v>42384</v>
      </c>
      <c r="B6" s="26">
        <v>42379</v>
      </c>
      <c r="C6" s="13" t="s">
        <v>221</v>
      </c>
      <c r="D6" s="14" t="s">
        <v>14</v>
      </c>
      <c r="E6" s="13" t="s">
        <v>10</v>
      </c>
      <c r="F6" s="56">
        <v>0.1</v>
      </c>
      <c r="G6" s="87">
        <v>138.72999999999999</v>
      </c>
      <c r="H6" s="104"/>
      <c r="I6" s="108"/>
      <c r="J6" s="109"/>
    </row>
    <row r="7" spans="1:10">
      <c r="A7" s="22">
        <v>42377</v>
      </c>
      <c r="B7" s="26">
        <v>42378</v>
      </c>
      <c r="C7" s="13" t="s">
        <v>219</v>
      </c>
      <c r="D7" s="14" t="s">
        <v>9</v>
      </c>
      <c r="E7" s="13" t="s">
        <v>10</v>
      </c>
      <c r="F7" s="56">
        <v>0.15</v>
      </c>
      <c r="G7" s="87">
        <v>313.33</v>
      </c>
      <c r="H7" s="104"/>
      <c r="I7" s="108"/>
      <c r="J7" s="109"/>
    </row>
    <row r="8" spans="1:10">
      <c r="A8" s="22">
        <v>42381</v>
      </c>
      <c r="B8" s="26">
        <v>42381</v>
      </c>
      <c r="C8" s="13" t="s">
        <v>374</v>
      </c>
      <c r="D8" s="14" t="s">
        <v>9</v>
      </c>
      <c r="E8" s="13" t="s">
        <v>57</v>
      </c>
      <c r="F8" s="56">
        <v>0.25</v>
      </c>
      <c r="G8" s="87">
        <v>270.11</v>
      </c>
      <c r="H8" s="104"/>
      <c r="I8" s="108"/>
      <c r="J8" s="109"/>
    </row>
    <row r="9" spans="1:10">
      <c r="A9" s="22">
        <v>42387</v>
      </c>
      <c r="B9" s="26">
        <v>42385</v>
      </c>
      <c r="C9" s="13" t="s">
        <v>375</v>
      </c>
      <c r="D9" s="14" t="s">
        <v>376</v>
      </c>
      <c r="E9" s="13" t="s">
        <v>10</v>
      </c>
      <c r="F9" s="56">
        <v>0.1</v>
      </c>
      <c r="G9" s="87">
        <v>260.82</v>
      </c>
      <c r="H9" s="104"/>
      <c r="I9" s="108"/>
      <c r="J9" s="109"/>
    </row>
    <row r="10" spans="1:10">
      <c r="A10" s="22">
        <v>42389</v>
      </c>
      <c r="B10" s="26">
        <v>42387</v>
      </c>
      <c r="C10" s="13" t="s">
        <v>216</v>
      </c>
      <c r="D10" s="14" t="s">
        <v>9</v>
      </c>
      <c r="E10" s="13" t="s">
        <v>10</v>
      </c>
      <c r="F10" s="56">
        <v>0.1</v>
      </c>
      <c r="G10" s="87">
        <v>167.63</v>
      </c>
      <c r="H10" s="104"/>
      <c r="I10" s="108"/>
      <c r="J10" s="109"/>
    </row>
    <row r="11" spans="1:10">
      <c r="A11" s="22">
        <v>42396</v>
      </c>
      <c r="B11" s="26">
        <v>42396</v>
      </c>
      <c r="C11" s="13" t="s">
        <v>232</v>
      </c>
      <c r="D11" s="14" t="s">
        <v>14</v>
      </c>
      <c r="E11" s="13" t="s">
        <v>57</v>
      </c>
      <c r="F11" s="56">
        <v>0.1</v>
      </c>
      <c r="G11" s="87">
        <v>293.97000000000003</v>
      </c>
      <c r="H11" s="104"/>
      <c r="I11" s="108"/>
      <c r="J11" s="109"/>
    </row>
    <row r="12" spans="1:10">
      <c r="A12" s="22">
        <v>42391</v>
      </c>
      <c r="B12" s="26">
        <v>42391</v>
      </c>
      <c r="C12" s="13" t="s">
        <v>377</v>
      </c>
      <c r="D12" s="14" t="s">
        <v>14</v>
      </c>
      <c r="E12" s="13" t="s">
        <v>29</v>
      </c>
      <c r="F12" s="56">
        <v>0.1</v>
      </c>
      <c r="G12" s="87">
        <v>145.47</v>
      </c>
      <c r="H12" s="104"/>
      <c r="I12" s="108"/>
      <c r="J12" s="109"/>
    </row>
    <row r="13" spans="1:10">
      <c r="A13" s="85">
        <v>42391</v>
      </c>
      <c r="B13" s="26">
        <v>42391</v>
      </c>
      <c r="C13" s="13" t="s">
        <v>378</v>
      </c>
      <c r="D13" s="14" t="s">
        <v>61</v>
      </c>
      <c r="E13" s="13" t="s">
        <v>19</v>
      </c>
      <c r="F13" s="56">
        <v>0.1</v>
      </c>
      <c r="G13" s="87">
        <v>181.98</v>
      </c>
      <c r="H13" s="104"/>
      <c r="I13" s="108"/>
      <c r="J13" s="109"/>
    </row>
    <row r="14" spans="1:10">
      <c r="A14" s="22">
        <v>42396</v>
      </c>
      <c r="B14" s="26">
        <v>42396</v>
      </c>
      <c r="C14" s="13" t="s">
        <v>379</v>
      </c>
      <c r="D14" s="14" t="s">
        <v>9</v>
      </c>
      <c r="E14" s="13" t="s">
        <v>19</v>
      </c>
      <c r="F14" s="56">
        <v>0.1</v>
      </c>
      <c r="G14" s="87">
        <v>498.9</v>
      </c>
      <c r="H14" s="104"/>
      <c r="I14" s="108"/>
      <c r="J14" s="109"/>
    </row>
    <row r="15" spans="1:10">
      <c r="A15" s="90">
        <v>42391</v>
      </c>
      <c r="B15" s="91">
        <v>42391</v>
      </c>
      <c r="C15" s="92" t="s">
        <v>344</v>
      </c>
      <c r="D15" s="93" t="s">
        <v>61</v>
      </c>
      <c r="E15" s="92" t="s">
        <v>17</v>
      </c>
      <c r="F15" s="94">
        <v>0.1</v>
      </c>
      <c r="G15" s="95">
        <v>125.27</v>
      </c>
      <c r="H15" s="105"/>
      <c r="I15" s="108"/>
      <c r="J15" s="109"/>
    </row>
    <row r="16" spans="1:10">
      <c r="A16" s="90"/>
      <c r="B16" s="91">
        <v>42398</v>
      </c>
      <c r="C16" s="92" t="s">
        <v>229</v>
      </c>
      <c r="D16" s="93" t="s">
        <v>21</v>
      </c>
      <c r="E16" s="92" t="s">
        <v>57</v>
      </c>
      <c r="F16" s="94">
        <v>0.1</v>
      </c>
      <c r="G16" s="95">
        <v>197.6</v>
      </c>
      <c r="H16" s="105"/>
      <c r="I16" s="108"/>
      <c r="J16" s="109"/>
    </row>
    <row r="17" spans="1:10">
      <c r="A17" s="90">
        <v>42397</v>
      </c>
      <c r="B17" s="91">
        <v>42397</v>
      </c>
      <c r="C17" s="92" t="s">
        <v>380</v>
      </c>
      <c r="D17" s="93" t="s">
        <v>381</v>
      </c>
      <c r="E17" s="92" t="s">
        <v>19</v>
      </c>
      <c r="F17" s="94">
        <v>0.15</v>
      </c>
      <c r="G17" s="95">
        <v>252.7</v>
      </c>
      <c r="H17" s="105"/>
      <c r="I17" s="108"/>
      <c r="J17" s="109"/>
    </row>
    <row r="18" spans="1:10" ht="19.5">
      <c r="A18" s="673" t="s">
        <v>39</v>
      </c>
      <c r="B18" s="674"/>
      <c r="C18" s="674"/>
      <c r="D18" s="674"/>
      <c r="E18" s="674"/>
      <c r="F18" s="675"/>
      <c r="G18" s="89">
        <f>SUM(G2:G17)</f>
        <v>3908.8299999999995</v>
      </c>
      <c r="H18" s="107">
        <f>SUM(H2:H17)</f>
        <v>292.86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6"/>
  <sheetViews>
    <sheetView workbookViewId="0"/>
  </sheetViews>
  <sheetFormatPr defaultRowHeight="15"/>
  <sheetData>
    <row r="1" spans="1:10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86" t="s">
        <v>7</v>
      </c>
      <c r="H1" s="88" t="s">
        <v>307</v>
      </c>
      <c r="I1" s="676" t="s">
        <v>370</v>
      </c>
      <c r="J1" s="110"/>
    </row>
    <row r="2" spans="1:10">
      <c r="A2" s="31">
        <v>42404</v>
      </c>
      <c r="B2" s="32">
        <v>42402</v>
      </c>
      <c r="C2" s="7" t="s">
        <v>250</v>
      </c>
      <c r="D2" s="8" t="s">
        <v>14</v>
      </c>
      <c r="E2" s="7" t="s">
        <v>22</v>
      </c>
      <c r="F2" s="55">
        <v>0.1</v>
      </c>
      <c r="G2" s="65">
        <v>203.91</v>
      </c>
      <c r="H2" s="103"/>
      <c r="I2" s="108"/>
      <c r="J2" s="109"/>
    </row>
    <row r="3" spans="1:10">
      <c r="A3" s="31">
        <v>42404</v>
      </c>
      <c r="B3" s="32">
        <v>42409</v>
      </c>
      <c r="C3" s="7" t="s">
        <v>233</v>
      </c>
      <c r="D3" s="8" t="s">
        <v>14</v>
      </c>
      <c r="E3" s="7" t="s">
        <v>10</v>
      </c>
      <c r="F3" s="55">
        <v>0.1</v>
      </c>
      <c r="G3" s="87">
        <v>217.61</v>
      </c>
      <c r="H3" s="104"/>
      <c r="I3" s="108"/>
      <c r="J3" s="109"/>
    </row>
    <row r="4" spans="1:10">
      <c r="A4" s="31">
        <v>42403</v>
      </c>
      <c r="B4" s="32">
        <v>42401</v>
      </c>
      <c r="C4" s="7" t="s">
        <v>230</v>
      </c>
      <c r="D4" s="8" t="s">
        <v>21</v>
      </c>
      <c r="E4" s="7" t="s">
        <v>22</v>
      </c>
      <c r="F4" s="55">
        <v>0.1</v>
      </c>
      <c r="G4" s="72">
        <v>374.37</v>
      </c>
      <c r="H4" s="104"/>
      <c r="I4" s="677"/>
      <c r="J4" s="677"/>
    </row>
    <row r="5" spans="1:10">
      <c r="A5" s="22">
        <v>42417</v>
      </c>
      <c r="B5" s="26">
        <v>42417</v>
      </c>
      <c r="C5" s="13" t="s">
        <v>239</v>
      </c>
      <c r="D5" s="14" t="s">
        <v>198</v>
      </c>
      <c r="E5" s="13" t="s">
        <v>57</v>
      </c>
      <c r="F5" s="56">
        <v>0.1</v>
      </c>
      <c r="G5" s="87">
        <v>187.16</v>
      </c>
      <c r="H5" s="104"/>
      <c r="I5" s="108"/>
      <c r="J5" s="109"/>
    </row>
    <row r="6" spans="1:10">
      <c r="A6" s="22">
        <v>42410</v>
      </c>
      <c r="B6" s="26">
        <v>42405</v>
      </c>
      <c r="C6" s="13" t="s">
        <v>231</v>
      </c>
      <c r="D6" s="14" t="s">
        <v>70</v>
      </c>
      <c r="E6" s="13" t="s">
        <v>10</v>
      </c>
      <c r="F6" s="56">
        <v>0.1</v>
      </c>
      <c r="G6" s="87">
        <v>138.13</v>
      </c>
      <c r="H6" s="104"/>
      <c r="I6" s="108"/>
      <c r="J6" s="109"/>
    </row>
    <row r="7" spans="1:10">
      <c r="A7" s="22">
        <v>42387</v>
      </c>
      <c r="B7" s="26">
        <v>42414</v>
      </c>
      <c r="C7" s="13" t="s">
        <v>236</v>
      </c>
      <c r="D7" s="14" t="s">
        <v>25</v>
      </c>
      <c r="E7" s="13" t="s">
        <v>10</v>
      </c>
      <c r="F7" s="56">
        <v>0.1</v>
      </c>
      <c r="G7" s="87">
        <v>118.32</v>
      </c>
      <c r="H7" s="104"/>
      <c r="I7" s="108"/>
      <c r="J7" s="109"/>
    </row>
    <row r="8" spans="1:10">
      <c r="A8" s="22">
        <v>42412</v>
      </c>
      <c r="B8" s="26">
        <v>42413</v>
      </c>
      <c r="C8" s="13" t="s">
        <v>235</v>
      </c>
      <c r="D8" s="14" t="s">
        <v>14</v>
      </c>
      <c r="E8" s="13" t="s">
        <v>10</v>
      </c>
      <c r="F8" s="56">
        <v>0.1</v>
      </c>
      <c r="G8" s="87">
        <v>160.87</v>
      </c>
      <c r="H8" s="104"/>
      <c r="I8" s="108"/>
      <c r="J8" s="109"/>
    </row>
    <row r="9" spans="1:10">
      <c r="A9" s="22">
        <v>42415</v>
      </c>
      <c r="B9" s="26">
        <v>42414</v>
      </c>
      <c r="C9" s="13" t="s">
        <v>237</v>
      </c>
      <c r="D9" s="14" t="s">
        <v>14</v>
      </c>
      <c r="E9" s="13" t="s">
        <v>10</v>
      </c>
      <c r="F9" s="56">
        <v>0.17</v>
      </c>
      <c r="G9" s="87">
        <v>234.19</v>
      </c>
      <c r="H9" s="104"/>
      <c r="I9" s="108"/>
      <c r="J9" s="109"/>
    </row>
    <row r="10" spans="1:10">
      <c r="A10" s="22">
        <v>42404</v>
      </c>
      <c r="B10" s="26">
        <v>42403</v>
      </c>
      <c r="C10" s="13" t="s">
        <v>233</v>
      </c>
      <c r="D10" s="14" t="s">
        <v>14</v>
      </c>
      <c r="E10" s="13" t="s">
        <v>10</v>
      </c>
      <c r="F10" s="56">
        <v>0.1</v>
      </c>
      <c r="G10" s="87">
        <v>217.61</v>
      </c>
      <c r="H10" s="104"/>
      <c r="I10" s="108"/>
      <c r="J10" s="109"/>
    </row>
    <row r="11" spans="1:10">
      <c r="A11" s="22"/>
      <c r="B11" s="26">
        <v>42410</v>
      </c>
      <c r="C11" s="13" t="s">
        <v>382</v>
      </c>
      <c r="D11" s="14" t="s">
        <v>14</v>
      </c>
      <c r="E11" s="13" t="s">
        <v>12</v>
      </c>
      <c r="F11" s="56">
        <v>0.25</v>
      </c>
      <c r="G11" s="87">
        <v>253.59</v>
      </c>
      <c r="H11" s="104"/>
      <c r="I11" s="108"/>
      <c r="J11" s="109"/>
    </row>
    <row r="12" spans="1:10">
      <c r="A12" s="22"/>
      <c r="B12" s="26">
        <v>42411</v>
      </c>
      <c r="C12" s="13" t="s">
        <v>227</v>
      </c>
      <c r="D12" s="14" t="s">
        <v>61</v>
      </c>
      <c r="E12" s="13" t="s">
        <v>17</v>
      </c>
      <c r="F12" s="56">
        <v>0.1</v>
      </c>
      <c r="G12" s="87">
        <v>240.92</v>
      </c>
      <c r="H12" s="104"/>
      <c r="I12" s="108"/>
      <c r="J12" s="109"/>
    </row>
    <row r="13" spans="1:10">
      <c r="A13" s="85">
        <v>42410</v>
      </c>
      <c r="B13" s="26">
        <v>42412</v>
      </c>
      <c r="C13" s="13" t="s">
        <v>383</v>
      </c>
      <c r="D13" s="14" t="s">
        <v>61</v>
      </c>
      <c r="E13" s="13" t="s">
        <v>19</v>
      </c>
      <c r="F13" s="56">
        <v>0.1</v>
      </c>
      <c r="G13" s="87">
        <v>130.16</v>
      </c>
      <c r="H13" s="104"/>
      <c r="I13" s="108"/>
      <c r="J13" s="109"/>
    </row>
    <row r="14" spans="1:10">
      <c r="A14" s="22">
        <v>42417</v>
      </c>
      <c r="B14" s="26">
        <v>42417</v>
      </c>
      <c r="C14" s="13" t="s">
        <v>140</v>
      </c>
      <c r="D14" s="14" t="s">
        <v>14</v>
      </c>
      <c r="E14" s="13" t="s">
        <v>29</v>
      </c>
      <c r="F14" s="56">
        <v>0.15</v>
      </c>
      <c r="G14" s="87">
        <v>163.99</v>
      </c>
      <c r="H14" s="104"/>
      <c r="I14" s="108"/>
      <c r="J14" s="109"/>
    </row>
    <row r="15" spans="1:10">
      <c r="A15" s="22">
        <v>42419</v>
      </c>
      <c r="B15" s="26">
        <v>42419</v>
      </c>
      <c r="C15" s="13" t="s">
        <v>241</v>
      </c>
      <c r="D15" s="14" t="s">
        <v>9</v>
      </c>
      <c r="E15" s="13" t="s">
        <v>10</v>
      </c>
      <c r="F15" s="56">
        <v>0.1</v>
      </c>
      <c r="G15" s="87">
        <v>98.7</v>
      </c>
      <c r="H15" s="104"/>
      <c r="I15" s="108"/>
      <c r="J15" s="109"/>
    </row>
    <row r="16" spans="1:10">
      <c r="A16" s="90">
        <v>42422</v>
      </c>
      <c r="B16" s="91">
        <v>42422</v>
      </c>
      <c r="C16" s="92" t="s">
        <v>243</v>
      </c>
      <c r="D16" s="93" t="s">
        <v>14</v>
      </c>
      <c r="E16" s="92" t="s">
        <v>10</v>
      </c>
      <c r="F16" s="94">
        <v>0.2</v>
      </c>
      <c r="G16" s="95">
        <v>364.66</v>
      </c>
      <c r="H16" s="105"/>
      <c r="I16" s="108"/>
      <c r="J16" s="109"/>
    </row>
    <row r="17" spans="1:10">
      <c r="A17" s="90">
        <v>42424</v>
      </c>
      <c r="B17" s="91">
        <v>42426</v>
      </c>
      <c r="C17" s="92" t="s">
        <v>384</v>
      </c>
      <c r="D17" s="93" t="s">
        <v>14</v>
      </c>
      <c r="E17" s="92" t="s">
        <v>10</v>
      </c>
      <c r="F17" s="94">
        <v>0.15</v>
      </c>
      <c r="G17" s="95">
        <v>203.02</v>
      </c>
      <c r="H17" s="105"/>
      <c r="I17" s="108"/>
      <c r="J17" s="109"/>
    </row>
    <row r="18" spans="1:10">
      <c r="A18" s="90">
        <v>42424</v>
      </c>
      <c r="B18" s="91">
        <v>42424</v>
      </c>
      <c r="C18" s="92" t="s">
        <v>244</v>
      </c>
      <c r="D18" s="93" t="s">
        <v>14</v>
      </c>
      <c r="E18" s="92" t="s">
        <v>19</v>
      </c>
      <c r="F18" s="94">
        <v>0.15</v>
      </c>
      <c r="G18" s="95">
        <v>343.52</v>
      </c>
      <c r="H18" s="105"/>
      <c r="I18" s="108"/>
      <c r="J18" s="109"/>
    </row>
    <row r="19" spans="1:10">
      <c r="A19" s="90">
        <v>42425</v>
      </c>
      <c r="B19" s="91">
        <v>42425</v>
      </c>
      <c r="C19" s="92" t="s">
        <v>385</v>
      </c>
      <c r="D19" s="93" t="s">
        <v>61</v>
      </c>
      <c r="E19" s="92" t="s">
        <v>143</v>
      </c>
      <c r="F19" s="94">
        <v>0.12</v>
      </c>
      <c r="G19" s="95">
        <v>141.93</v>
      </c>
      <c r="H19" s="105"/>
      <c r="I19" s="108"/>
      <c r="J19" s="109"/>
    </row>
    <row r="20" spans="1:10">
      <c r="A20" s="90"/>
      <c r="B20" s="91">
        <v>42425</v>
      </c>
      <c r="C20" s="92" t="s">
        <v>386</v>
      </c>
      <c r="D20" s="93" t="s">
        <v>9</v>
      </c>
      <c r="E20" s="92" t="s">
        <v>10</v>
      </c>
      <c r="F20" s="94">
        <v>0.17</v>
      </c>
      <c r="G20" s="95">
        <v>126.93</v>
      </c>
      <c r="H20" s="105"/>
      <c r="I20" s="108"/>
      <c r="J20" s="109"/>
    </row>
    <row r="21" spans="1:10">
      <c r="A21" s="90"/>
      <c r="B21" s="91"/>
      <c r="C21" s="92"/>
      <c r="D21" s="93"/>
      <c r="E21" s="92"/>
      <c r="F21" s="94"/>
      <c r="G21" s="95"/>
      <c r="H21" s="105"/>
      <c r="I21" s="108"/>
      <c r="J21" s="109"/>
    </row>
    <row r="22" spans="1:10">
      <c r="A22" s="90"/>
      <c r="B22" s="91"/>
      <c r="C22" s="92"/>
      <c r="D22" s="93"/>
      <c r="E22" s="92"/>
      <c r="F22" s="94"/>
      <c r="G22" s="95"/>
      <c r="H22" s="105"/>
      <c r="I22" s="108"/>
      <c r="J22" s="109"/>
    </row>
    <row r="23" spans="1:10">
      <c r="A23" s="90"/>
      <c r="B23" s="91"/>
      <c r="C23" s="92"/>
      <c r="D23" s="93"/>
      <c r="E23" s="92"/>
      <c r="F23" s="94"/>
      <c r="G23" s="95"/>
      <c r="H23" s="105"/>
      <c r="I23" s="108"/>
      <c r="J23" s="109"/>
    </row>
    <row r="24" spans="1:10">
      <c r="A24" s="90"/>
      <c r="B24" s="91"/>
      <c r="C24" s="92"/>
      <c r="D24" s="93"/>
      <c r="E24" s="92"/>
      <c r="F24" s="94"/>
      <c r="G24" s="95"/>
      <c r="H24" s="105"/>
      <c r="I24" s="108"/>
      <c r="J24" s="109"/>
    </row>
    <row r="25" spans="1:10">
      <c r="A25" s="90"/>
      <c r="B25" s="91"/>
      <c r="C25" s="92"/>
      <c r="D25" s="93"/>
      <c r="E25" s="92"/>
      <c r="F25" s="94"/>
      <c r="G25" s="95"/>
      <c r="H25" s="106"/>
      <c r="I25" s="108"/>
      <c r="J25" s="109"/>
    </row>
    <row r="26" spans="1:10" ht="19.5">
      <c r="A26" s="673" t="s">
        <v>39</v>
      </c>
      <c r="B26" s="674"/>
      <c r="C26" s="674"/>
      <c r="D26" s="674"/>
      <c r="E26" s="674"/>
      <c r="F26" s="675"/>
      <c r="G26" s="89">
        <f>SUM(G2:G25)</f>
        <v>3919.5899999999992</v>
      </c>
      <c r="H26" s="107">
        <f>SUM(H2:H25)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9"/>
  <sheetViews>
    <sheetView workbookViewId="0"/>
  </sheetViews>
  <sheetFormatPr defaultRowHeight="15"/>
  <sheetData>
    <row r="1" spans="1:10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86" t="s">
        <v>7</v>
      </c>
      <c r="H1" s="88" t="s">
        <v>307</v>
      </c>
      <c r="I1" s="676" t="s">
        <v>370</v>
      </c>
      <c r="J1" s="110"/>
    </row>
    <row r="2" spans="1:10">
      <c r="A2" s="31">
        <v>42419</v>
      </c>
      <c r="B2" s="32">
        <v>42433</v>
      </c>
      <c r="C2" s="7" t="s">
        <v>387</v>
      </c>
      <c r="D2" s="8" t="s">
        <v>14</v>
      </c>
      <c r="E2" s="7" t="s">
        <v>10</v>
      </c>
      <c r="F2" s="55">
        <v>0.1</v>
      </c>
      <c r="G2" s="65">
        <v>156.72999999999999</v>
      </c>
      <c r="H2" s="103"/>
      <c r="I2" s="108"/>
      <c r="J2" s="109"/>
    </row>
    <row r="3" spans="1:10">
      <c r="A3" s="31">
        <v>42447</v>
      </c>
      <c r="B3" s="32">
        <v>42450</v>
      </c>
      <c r="C3" s="7" t="s">
        <v>388</v>
      </c>
      <c r="D3" s="8" t="s">
        <v>9</v>
      </c>
      <c r="E3" s="7" t="s">
        <v>10</v>
      </c>
      <c r="F3" s="55"/>
      <c r="G3" s="87"/>
      <c r="H3" s="104"/>
      <c r="I3" s="108"/>
      <c r="J3" s="109"/>
    </row>
    <row r="4" spans="1:10">
      <c r="A4" s="31">
        <v>42432</v>
      </c>
      <c r="B4" s="32">
        <v>42432</v>
      </c>
      <c r="C4" s="7" t="s">
        <v>251</v>
      </c>
      <c r="D4" s="8" t="s">
        <v>14</v>
      </c>
      <c r="E4" s="7" t="s">
        <v>10</v>
      </c>
      <c r="F4" s="55">
        <v>0.1</v>
      </c>
      <c r="G4" s="72">
        <v>163.69</v>
      </c>
      <c r="H4" s="104"/>
      <c r="I4" s="677"/>
      <c r="J4" s="677"/>
    </row>
    <row r="5" spans="1:10">
      <c r="A5" s="22">
        <v>42443</v>
      </c>
      <c r="B5" s="26">
        <v>42443</v>
      </c>
      <c r="C5" s="13" t="s">
        <v>389</v>
      </c>
      <c r="D5" s="14" t="s">
        <v>14</v>
      </c>
      <c r="E5" s="13" t="s">
        <v>10</v>
      </c>
      <c r="F5" s="56">
        <v>0.15</v>
      </c>
      <c r="G5" s="87">
        <v>208.63</v>
      </c>
      <c r="H5" s="104"/>
      <c r="I5" s="108"/>
      <c r="J5" s="109"/>
    </row>
    <row r="6" spans="1:10">
      <c r="A6" s="22">
        <v>42430</v>
      </c>
      <c r="B6" s="26">
        <v>42430</v>
      </c>
      <c r="C6" s="13" t="s">
        <v>390</v>
      </c>
      <c r="D6" s="14" t="s">
        <v>14</v>
      </c>
      <c r="E6" s="13" t="s">
        <v>10</v>
      </c>
      <c r="F6" s="56">
        <v>0.25</v>
      </c>
      <c r="G6" s="87">
        <v>390.44</v>
      </c>
      <c r="H6" s="104">
        <v>195.72</v>
      </c>
      <c r="I6" s="108" t="s">
        <v>373</v>
      </c>
      <c r="J6" s="109"/>
    </row>
    <row r="7" spans="1:10">
      <c r="A7" s="22">
        <v>42430</v>
      </c>
      <c r="B7" s="26">
        <v>42430</v>
      </c>
      <c r="C7" s="13" t="s">
        <v>246</v>
      </c>
      <c r="D7" s="14" t="s">
        <v>25</v>
      </c>
      <c r="E7" s="13" t="s">
        <v>391</v>
      </c>
      <c r="F7" s="56">
        <v>0.1</v>
      </c>
      <c r="G7" s="87">
        <v>144.72</v>
      </c>
      <c r="H7" s="104"/>
      <c r="I7" s="108"/>
      <c r="J7" s="109"/>
    </row>
    <row r="8" spans="1:10">
      <c r="A8" s="22">
        <v>42438</v>
      </c>
      <c r="B8" s="26">
        <v>42438</v>
      </c>
      <c r="C8" s="13" t="s">
        <v>392</v>
      </c>
      <c r="D8" s="14" t="s">
        <v>14</v>
      </c>
      <c r="E8" s="13" t="s">
        <v>22</v>
      </c>
      <c r="F8" s="56">
        <v>0.1</v>
      </c>
      <c r="G8" s="87">
        <v>262.45999999999998</v>
      </c>
      <c r="H8" s="104"/>
      <c r="I8" s="108"/>
      <c r="J8" s="109"/>
    </row>
    <row r="9" spans="1:10">
      <c r="A9" s="22">
        <v>42431</v>
      </c>
      <c r="B9" s="26">
        <v>42431</v>
      </c>
      <c r="C9" s="13" t="s">
        <v>247</v>
      </c>
      <c r="D9" s="14" t="s">
        <v>14</v>
      </c>
      <c r="E9" s="13" t="s">
        <v>10</v>
      </c>
      <c r="F9" s="56">
        <v>0.1</v>
      </c>
      <c r="G9" s="87">
        <v>176.66</v>
      </c>
      <c r="H9" s="104"/>
      <c r="I9" s="108"/>
      <c r="J9" s="109"/>
    </row>
    <row r="10" spans="1:10">
      <c r="A10" s="22">
        <v>42435</v>
      </c>
      <c r="B10" s="26">
        <v>42435</v>
      </c>
      <c r="C10" s="13" t="s">
        <v>253</v>
      </c>
      <c r="D10" s="14" t="s">
        <v>33</v>
      </c>
      <c r="E10" s="13" t="s">
        <v>10</v>
      </c>
      <c r="F10" s="56">
        <v>0.15</v>
      </c>
      <c r="G10" s="87">
        <v>244.63</v>
      </c>
      <c r="H10" s="104"/>
      <c r="I10" s="108"/>
      <c r="J10" s="109"/>
    </row>
    <row r="11" spans="1:10">
      <c r="A11" s="22">
        <v>42443</v>
      </c>
      <c r="B11" s="26">
        <v>42443</v>
      </c>
      <c r="C11" s="13" t="s">
        <v>259</v>
      </c>
      <c r="D11" s="14" t="s">
        <v>9</v>
      </c>
      <c r="E11" s="13" t="s">
        <v>10</v>
      </c>
      <c r="F11" s="56">
        <v>0.23</v>
      </c>
      <c r="G11" s="87">
        <v>311.35000000000002</v>
      </c>
      <c r="H11" s="104"/>
      <c r="I11" s="108"/>
      <c r="J11" s="109"/>
    </row>
    <row r="12" spans="1:10">
      <c r="A12" s="22">
        <v>42433</v>
      </c>
      <c r="B12" s="26">
        <v>42433</v>
      </c>
      <c r="C12" s="13" t="s">
        <v>393</v>
      </c>
      <c r="D12" s="14" t="s">
        <v>149</v>
      </c>
      <c r="E12" s="13" t="s">
        <v>10</v>
      </c>
      <c r="F12" s="56">
        <v>0.15</v>
      </c>
      <c r="G12" s="87">
        <v>128.94999999999999</v>
      </c>
      <c r="H12" s="104"/>
      <c r="I12" s="108"/>
      <c r="J12" s="109"/>
    </row>
    <row r="13" spans="1:10">
      <c r="A13" s="85">
        <v>42432</v>
      </c>
      <c r="B13" s="26">
        <v>42432</v>
      </c>
      <c r="C13" s="13" t="s">
        <v>394</v>
      </c>
      <c r="D13" s="14" t="s">
        <v>14</v>
      </c>
      <c r="E13" s="13" t="s">
        <v>29</v>
      </c>
      <c r="F13" s="56">
        <v>0.1</v>
      </c>
      <c r="G13" s="87">
        <v>169.73</v>
      </c>
      <c r="H13" s="104"/>
      <c r="I13" s="108"/>
      <c r="J13" s="109"/>
    </row>
    <row r="14" spans="1:10">
      <c r="A14" s="22">
        <v>42444</v>
      </c>
      <c r="B14" s="26">
        <v>42444</v>
      </c>
      <c r="C14" s="13" t="s">
        <v>261</v>
      </c>
      <c r="D14" s="14" t="s">
        <v>14</v>
      </c>
      <c r="E14" s="13" t="s">
        <v>10</v>
      </c>
      <c r="F14" s="56">
        <v>0.2</v>
      </c>
      <c r="G14" s="87">
        <v>241.87</v>
      </c>
      <c r="H14" s="104"/>
      <c r="I14" s="108"/>
      <c r="J14" s="109"/>
    </row>
    <row r="15" spans="1:10">
      <c r="A15" s="22">
        <v>42443</v>
      </c>
      <c r="B15" s="26">
        <v>42443</v>
      </c>
      <c r="C15" s="13" t="s">
        <v>395</v>
      </c>
      <c r="D15" s="14" t="s">
        <v>149</v>
      </c>
      <c r="E15" s="13" t="s">
        <v>17</v>
      </c>
      <c r="F15" s="56">
        <v>0.1</v>
      </c>
      <c r="G15" s="87">
        <v>125.78</v>
      </c>
      <c r="H15" s="104"/>
      <c r="I15" s="108"/>
      <c r="J15" s="109"/>
    </row>
    <row r="16" spans="1:10">
      <c r="A16" s="90">
        <v>42439</v>
      </c>
      <c r="B16" s="91">
        <v>42439</v>
      </c>
      <c r="C16" s="92" t="s">
        <v>258</v>
      </c>
      <c r="D16" s="93" t="s">
        <v>14</v>
      </c>
      <c r="E16" s="92" t="s">
        <v>10</v>
      </c>
      <c r="F16" s="94">
        <v>0.1</v>
      </c>
      <c r="G16" s="95">
        <v>91.18</v>
      </c>
      <c r="H16" s="105"/>
      <c r="I16" s="108"/>
      <c r="J16" s="109"/>
    </row>
    <row r="17" spans="1:10">
      <c r="A17" s="90">
        <v>42437</v>
      </c>
      <c r="B17" s="91">
        <v>42437</v>
      </c>
      <c r="C17" s="92" t="s">
        <v>147</v>
      </c>
      <c r="D17" s="93" t="s">
        <v>21</v>
      </c>
      <c r="E17" s="92" t="s">
        <v>57</v>
      </c>
      <c r="F17" s="94">
        <v>0.2</v>
      </c>
      <c r="G17" s="95">
        <v>218.31</v>
      </c>
      <c r="H17" s="105"/>
      <c r="I17" s="108"/>
      <c r="J17" s="109"/>
    </row>
    <row r="18" spans="1:10">
      <c r="A18" s="90">
        <v>42436</v>
      </c>
      <c r="B18" s="91">
        <v>42436</v>
      </c>
      <c r="C18" s="92" t="s">
        <v>140</v>
      </c>
      <c r="D18" s="93" t="s">
        <v>14</v>
      </c>
      <c r="E18" s="92" t="s">
        <v>10</v>
      </c>
      <c r="F18" s="94">
        <v>0.1</v>
      </c>
      <c r="G18" s="95">
        <v>133.19</v>
      </c>
      <c r="H18" s="105"/>
      <c r="I18" s="108"/>
      <c r="J18" s="109"/>
    </row>
    <row r="19" spans="1:10">
      <c r="A19" s="90"/>
      <c r="B19" s="91">
        <v>42435</v>
      </c>
      <c r="C19" s="92" t="s">
        <v>256</v>
      </c>
      <c r="D19" s="93" t="s">
        <v>14</v>
      </c>
      <c r="E19" s="92" t="s">
        <v>10</v>
      </c>
      <c r="F19" s="94">
        <v>0.1</v>
      </c>
      <c r="G19" s="95">
        <v>104.1</v>
      </c>
      <c r="H19" s="105"/>
      <c r="I19" s="108"/>
      <c r="J19" s="109"/>
    </row>
    <row r="20" spans="1:10">
      <c r="A20" s="90"/>
      <c r="B20" s="91">
        <v>42446</v>
      </c>
      <c r="C20" s="92" t="s">
        <v>109</v>
      </c>
      <c r="D20" s="93" t="s">
        <v>14</v>
      </c>
      <c r="E20" s="92" t="s">
        <v>90</v>
      </c>
      <c r="F20" s="94">
        <v>0.1</v>
      </c>
      <c r="G20" s="95">
        <v>35.67</v>
      </c>
      <c r="H20" s="105"/>
      <c r="I20" s="108"/>
      <c r="J20" s="109"/>
    </row>
    <row r="21" spans="1:10">
      <c r="A21" s="90"/>
      <c r="B21" s="91">
        <v>42450</v>
      </c>
      <c r="C21" s="92" t="s">
        <v>396</v>
      </c>
      <c r="D21" s="93" t="s">
        <v>14</v>
      </c>
      <c r="E21" s="92" t="s">
        <v>10</v>
      </c>
      <c r="F21" s="94">
        <v>0.1</v>
      </c>
      <c r="G21" s="95">
        <v>138.65</v>
      </c>
      <c r="H21" s="105"/>
      <c r="I21" s="108"/>
      <c r="J21" s="109"/>
    </row>
    <row r="22" spans="1:10">
      <c r="A22" s="90"/>
      <c r="B22" s="91">
        <v>42454</v>
      </c>
      <c r="C22" s="92" t="s">
        <v>269</v>
      </c>
      <c r="D22" s="93" t="s">
        <v>14</v>
      </c>
      <c r="E22" s="92" t="s">
        <v>10</v>
      </c>
      <c r="F22" s="94">
        <v>0.1</v>
      </c>
      <c r="G22" s="95">
        <v>191.62</v>
      </c>
      <c r="H22" s="105"/>
      <c r="I22" s="108"/>
      <c r="J22" s="109"/>
    </row>
    <row r="23" spans="1:10">
      <c r="A23" s="90"/>
      <c r="B23" s="91">
        <v>42456</v>
      </c>
      <c r="C23" s="92" t="s">
        <v>397</v>
      </c>
      <c r="D23" s="93" t="s">
        <v>61</v>
      </c>
      <c r="E23" s="92" t="s">
        <v>17</v>
      </c>
      <c r="F23" s="94">
        <v>0.1</v>
      </c>
      <c r="G23" s="95">
        <v>221.69</v>
      </c>
      <c r="H23" s="105"/>
      <c r="I23" s="108"/>
      <c r="J23" s="109"/>
    </row>
    <row r="24" spans="1:10">
      <c r="A24" s="90"/>
      <c r="B24" s="91">
        <v>42451</v>
      </c>
      <c r="C24" s="92" t="s">
        <v>219</v>
      </c>
      <c r="D24" s="93" t="s">
        <v>9</v>
      </c>
      <c r="E24" s="92" t="s">
        <v>10</v>
      </c>
      <c r="F24" s="94">
        <v>0.1</v>
      </c>
      <c r="G24" s="95">
        <v>209.57</v>
      </c>
      <c r="H24" s="105"/>
      <c r="I24" s="108"/>
      <c r="J24" s="109"/>
    </row>
    <row r="25" spans="1:10">
      <c r="A25" s="90"/>
      <c r="B25" s="91">
        <v>42445</v>
      </c>
      <c r="C25" s="92" t="s">
        <v>398</v>
      </c>
      <c r="D25" s="93" t="s">
        <v>14</v>
      </c>
      <c r="E25" s="92" t="s">
        <v>10</v>
      </c>
      <c r="F25" s="94">
        <v>0.1</v>
      </c>
      <c r="G25" s="95">
        <v>147</v>
      </c>
      <c r="H25" s="105"/>
      <c r="I25" s="108"/>
      <c r="J25" s="109"/>
    </row>
    <row r="26" spans="1:10">
      <c r="A26" s="90">
        <v>42456</v>
      </c>
      <c r="B26" s="91">
        <v>42457</v>
      </c>
      <c r="C26" s="92" t="s">
        <v>399</v>
      </c>
      <c r="D26" s="93" t="s">
        <v>21</v>
      </c>
      <c r="E26" s="92" t="s">
        <v>22</v>
      </c>
      <c r="F26" s="94">
        <v>0.12</v>
      </c>
      <c r="G26" s="95">
        <v>233.26</v>
      </c>
      <c r="H26" s="105"/>
      <c r="I26" s="108"/>
      <c r="J26" s="109"/>
    </row>
    <row r="27" spans="1:10">
      <c r="A27" s="90">
        <v>42450</v>
      </c>
      <c r="B27" s="91">
        <v>42450</v>
      </c>
      <c r="C27" s="92" t="s">
        <v>400</v>
      </c>
      <c r="D27" s="93" t="s">
        <v>14</v>
      </c>
      <c r="E27" s="92" t="s">
        <v>22</v>
      </c>
      <c r="F27" s="94">
        <v>0.2</v>
      </c>
      <c r="G27" s="95">
        <v>358.82</v>
      </c>
      <c r="H27" s="105"/>
      <c r="I27" s="108"/>
      <c r="J27" s="109"/>
    </row>
    <row r="28" spans="1:10">
      <c r="A28" s="90"/>
      <c r="B28" s="91">
        <v>42431</v>
      </c>
      <c r="C28" s="92" t="s">
        <v>239</v>
      </c>
      <c r="D28" s="93" t="s">
        <v>198</v>
      </c>
      <c r="E28" s="92" t="s">
        <v>57</v>
      </c>
      <c r="F28" s="94">
        <v>0.1</v>
      </c>
      <c r="G28" s="95">
        <v>192.31</v>
      </c>
      <c r="H28" s="106"/>
      <c r="I28" s="108"/>
      <c r="J28" s="109"/>
    </row>
    <row r="29" spans="1:10" ht="19.5">
      <c r="A29" s="673" t="s">
        <v>39</v>
      </c>
      <c r="B29" s="674"/>
      <c r="C29" s="674"/>
      <c r="D29" s="674"/>
      <c r="E29" s="674"/>
      <c r="F29" s="675"/>
      <c r="G29" s="89">
        <f>SUM(G2:G28)</f>
        <v>5001.01</v>
      </c>
      <c r="H29" s="107">
        <f>SUM(H2:H28)</f>
        <v>195.72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30"/>
  <sheetViews>
    <sheetView workbookViewId="0"/>
  </sheetViews>
  <sheetFormatPr defaultRowHeight="15"/>
  <sheetData>
    <row r="1" spans="1:10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86" t="s">
        <v>7</v>
      </c>
      <c r="H1" s="88" t="s">
        <v>307</v>
      </c>
      <c r="I1" s="676" t="s">
        <v>370</v>
      </c>
      <c r="J1" s="110"/>
    </row>
    <row r="2" spans="1:10">
      <c r="A2" s="31"/>
      <c r="B2" s="32">
        <v>42845</v>
      </c>
      <c r="C2" s="7" t="s">
        <v>275</v>
      </c>
      <c r="D2" s="8" t="s">
        <v>14</v>
      </c>
      <c r="E2" s="7" t="s">
        <v>29</v>
      </c>
      <c r="F2" s="55">
        <v>0.1</v>
      </c>
      <c r="G2" s="65">
        <v>194.11</v>
      </c>
      <c r="H2" s="103"/>
      <c r="I2" s="108"/>
      <c r="J2" s="109"/>
    </row>
    <row r="3" spans="1:10">
      <c r="A3" s="31"/>
      <c r="B3" s="32">
        <v>42837</v>
      </c>
      <c r="C3" s="7" t="s">
        <v>401</v>
      </c>
      <c r="D3" s="8" t="s">
        <v>9</v>
      </c>
      <c r="E3" s="7" t="s">
        <v>391</v>
      </c>
      <c r="F3" s="55">
        <v>0.15</v>
      </c>
      <c r="G3" s="72">
        <v>114.01</v>
      </c>
      <c r="H3" s="132"/>
      <c r="I3" s="108"/>
      <c r="J3" s="109"/>
    </row>
    <row r="4" spans="1:10">
      <c r="A4" s="31"/>
      <c r="B4" s="32"/>
      <c r="C4" s="7"/>
      <c r="D4" s="8"/>
      <c r="E4" s="7"/>
      <c r="F4" s="55"/>
      <c r="G4" s="87"/>
      <c r="H4" s="104"/>
      <c r="I4" s="108"/>
      <c r="J4" s="109"/>
    </row>
    <row r="5" spans="1:10">
      <c r="A5" s="31"/>
      <c r="B5" s="32"/>
      <c r="C5" s="7"/>
      <c r="D5" s="8"/>
      <c r="E5" s="7"/>
      <c r="F5" s="55"/>
      <c r="G5" s="72"/>
      <c r="H5" s="104"/>
      <c r="I5" s="677"/>
      <c r="J5" s="677"/>
    </row>
    <row r="6" spans="1:10">
      <c r="A6" s="22"/>
      <c r="B6" s="26"/>
      <c r="C6" s="13"/>
      <c r="D6" s="14"/>
      <c r="E6" s="13"/>
      <c r="F6" s="56"/>
      <c r="G6" s="87"/>
      <c r="H6" s="104"/>
      <c r="I6" s="108"/>
      <c r="J6" s="109"/>
    </row>
    <row r="7" spans="1:10">
      <c r="A7" s="22"/>
      <c r="B7" s="26"/>
      <c r="C7" s="13"/>
      <c r="D7" s="14"/>
      <c r="E7" s="13"/>
      <c r="F7" s="56"/>
      <c r="G7" s="87"/>
      <c r="H7" s="104"/>
      <c r="I7" s="108"/>
      <c r="J7" s="109"/>
    </row>
    <row r="8" spans="1:10">
      <c r="A8" s="22"/>
      <c r="B8" s="26"/>
      <c r="C8" s="13"/>
      <c r="D8" s="14"/>
      <c r="E8" s="13"/>
      <c r="F8" s="56"/>
      <c r="G8" s="87"/>
      <c r="H8" s="104"/>
      <c r="I8" s="108"/>
      <c r="J8" s="109"/>
    </row>
    <row r="9" spans="1:10">
      <c r="A9" s="22"/>
      <c r="B9" s="26"/>
      <c r="C9" s="13"/>
      <c r="D9" s="14"/>
      <c r="E9" s="13"/>
      <c r="F9" s="56"/>
      <c r="G9" s="87"/>
      <c r="H9" s="104"/>
      <c r="I9" s="108"/>
      <c r="J9" s="109"/>
    </row>
    <row r="10" spans="1:10">
      <c r="A10" s="22"/>
      <c r="B10" s="26"/>
      <c r="C10" s="13"/>
      <c r="D10" s="14"/>
      <c r="E10" s="13"/>
      <c r="F10" s="56"/>
      <c r="G10" s="87"/>
      <c r="H10" s="104"/>
      <c r="I10" s="108"/>
      <c r="J10" s="109"/>
    </row>
    <row r="11" spans="1:10">
      <c r="A11" s="22"/>
      <c r="B11" s="26"/>
      <c r="C11" s="13"/>
      <c r="D11" s="14"/>
      <c r="E11" s="13"/>
      <c r="F11" s="56"/>
      <c r="G11" s="87"/>
      <c r="H11" s="104"/>
      <c r="I11" s="108"/>
      <c r="J11" s="109"/>
    </row>
    <row r="12" spans="1:10">
      <c r="A12" s="22"/>
      <c r="B12" s="26"/>
      <c r="C12" s="13"/>
      <c r="D12" s="14"/>
      <c r="E12" s="13"/>
      <c r="F12" s="56"/>
      <c r="G12" s="87"/>
      <c r="H12" s="104"/>
      <c r="I12" s="108"/>
      <c r="J12" s="109"/>
    </row>
    <row r="13" spans="1:10">
      <c r="A13" s="22"/>
      <c r="B13" s="26"/>
      <c r="C13" s="13"/>
      <c r="D13" s="14"/>
      <c r="E13" s="13"/>
      <c r="F13" s="56"/>
      <c r="G13" s="87"/>
      <c r="H13" s="104"/>
      <c r="I13" s="108"/>
      <c r="J13" s="109"/>
    </row>
    <row r="14" spans="1:10">
      <c r="A14" s="85"/>
      <c r="B14" s="26"/>
      <c r="C14" s="13"/>
      <c r="D14" s="14"/>
      <c r="E14" s="13"/>
      <c r="F14" s="56"/>
      <c r="G14" s="87"/>
      <c r="H14" s="104"/>
      <c r="I14" s="108"/>
      <c r="J14" s="109"/>
    </row>
    <row r="15" spans="1:10">
      <c r="A15" s="22"/>
      <c r="B15" s="26"/>
      <c r="C15" s="13"/>
      <c r="D15" s="14"/>
      <c r="E15" s="13"/>
      <c r="F15" s="56"/>
      <c r="G15" s="87"/>
      <c r="H15" s="104"/>
      <c r="I15" s="108"/>
      <c r="J15" s="109"/>
    </row>
    <row r="16" spans="1:10">
      <c r="A16" s="22"/>
      <c r="B16" s="26"/>
      <c r="C16" s="13"/>
      <c r="D16" s="14"/>
      <c r="E16" s="13"/>
      <c r="F16" s="56"/>
      <c r="G16" s="87"/>
      <c r="H16" s="104"/>
      <c r="I16" s="108"/>
      <c r="J16" s="109"/>
    </row>
    <row r="17" spans="1:10">
      <c r="A17" s="90"/>
      <c r="B17" s="91"/>
      <c r="C17" s="92"/>
      <c r="D17" s="93"/>
      <c r="E17" s="92"/>
      <c r="F17" s="94"/>
      <c r="G17" s="95"/>
      <c r="H17" s="105"/>
      <c r="I17" s="108"/>
      <c r="J17" s="109"/>
    </row>
    <row r="18" spans="1:10">
      <c r="A18" s="90"/>
      <c r="B18" s="91"/>
      <c r="C18" s="92"/>
      <c r="D18" s="93"/>
      <c r="E18" s="92"/>
      <c r="F18" s="94"/>
      <c r="G18" s="95"/>
      <c r="H18" s="105"/>
      <c r="I18" s="108"/>
      <c r="J18" s="109"/>
    </row>
    <row r="19" spans="1:10">
      <c r="A19" s="90"/>
      <c r="B19" s="91"/>
      <c r="C19" s="92"/>
      <c r="D19" s="93"/>
      <c r="E19" s="92"/>
      <c r="F19" s="94"/>
      <c r="G19" s="95"/>
      <c r="H19" s="105"/>
      <c r="I19" s="108"/>
      <c r="J19" s="109"/>
    </row>
    <row r="20" spans="1:10">
      <c r="A20" s="90"/>
      <c r="B20" s="91"/>
      <c r="C20" s="92"/>
      <c r="D20" s="93"/>
      <c r="E20" s="92"/>
      <c r="F20" s="94"/>
      <c r="G20" s="95"/>
      <c r="H20" s="105"/>
      <c r="I20" s="108"/>
      <c r="J20" s="109"/>
    </row>
    <row r="21" spans="1:10">
      <c r="A21" s="90"/>
      <c r="B21" s="91"/>
      <c r="C21" s="92"/>
      <c r="D21" s="93"/>
      <c r="E21" s="92"/>
      <c r="F21" s="94"/>
      <c r="G21" s="95"/>
      <c r="H21" s="105"/>
      <c r="I21" s="108"/>
      <c r="J21" s="109"/>
    </row>
    <row r="22" spans="1:10">
      <c r="A22" s="90"/>
      <c r="B22" s="91"/>
      <c r="C22" s="92"/>
      <c r="D22" s="93"/>
      <c r="E22" s="92"/>
      <c r="F22" s="94"/>
      <c r="G22" s="95"/>
      <c r="H22" s="105"/>
      <c r="I22" s="108"/>
      <c r="J22" s="109"/>
    </row>
    <row r="23" spans="1:10">
      <c r="A23" s="90"/>
      <c r="B23" s="91"/>
      <c r="C23" s="92"/>
      <c r="D23" s="93"/>
      <c r="E23" s="92"/>
      <c r="F23" s="94"/>
      <c r="G23" s="95"/>
      <c r="H23" s="105"/>
      <c r="I23" s="108"/>
      <c r="J23" s="109"/>
    </row>
    <row r="24" spans="1:10">
      <c r="A24" s="90"/>
      <c r="B24" s="91"/>
      <c r="C24" s="92"/>
      <c r="D24" s="93"/>
      <c r="E24" s="92"/>
      <c r="F24" s="94"/>
      <c r="G24" s="95"/>
      <c r="H24" s="105"/>
      <c r="I24" s="108"/>
      <c r="J24" s="109"/>
    </row>
    <row r="25" spans="1:10">
      <c r="A25" s="90"/>
      <c r="B25" s="91"/>
      <c r="C25" s="92"/>
      <c r="D25" s="93"/>
      <c r="E25" s="92"/>
      <c r="F25" s="94"/>
      <c r="G25" s="95"/>
      <c r="H25" s="105"/>
      <c r="I25" s="108"/>
      <c r="J25" s="109"/>
    </row>
    <row r="26" spans="1:10">
      <c r="A26" s="90"/>
      <c r="B26" s="91"/>
      <c r="C26" s="92"/>
      <c r="D26" s="93"/>
      <c r="E26" s="92"/>
      <c r="F26" s="94"/>
      <c r="G26" s="95"/>
      <c r="H26" s="105"/>
      <c r="I26" s="108"/>
      <c r="J26" s="109"/>
    </row>
    <row r="27" spans="1:10">
      <c r="A27" s="90"/>
      <c r="B27" s="91"/>
      <c r="C27" s="92"/>
      <c r="D27" s="93"/>
      <c r="E27" s="92"/>
      <c r="F27" s="94"/>
      <c r="G27" s="95"/>
      <c r="H27" s="105"/>
      <c r="I27" s="108"/>
      <c r="J27" s="109"/>
    </row>
    <row r="28" spans="1:10">
      <c r="A28" s="90"/>
      <c r="B28" s="91"/>
      <c r="C28" s="92"/>
      <c r="D28" s="93"/>
      <c r="E28" s="92"/>
      <c r="F28" s="94"/>
      <c r="G28" s="95"/>
      <c r="H28" s="105"/>
      <c r="I28" s="108"/>
      <c r="J28" s="109"/>
    </row>
    <row r="29" spans="1:10">
      <c r="A29" s="90"/>
      <c r="B29" s="91"/>
      <c r="C29" s="92"/>
      <c r="D29" s="93"/>
      <c r="E29" s="92"/>
      <c r="F29" s="94"/>
      <c r="G29" s="95"/>
      <c r="H29" s="106"/>
      <c r="I29" s="108"/>
      <c r="J29" s="109"/>
    </row>
    <row r="30" spans="1:10" ht="19.5">
      <c r="A30" s="673" t="s">
        <v>39</v>
      </c>
      <c r="B30" s="674"/>
      <c r="C30" s="674"/>
      <c r="D30" s="674"/>
      <c r="E30" s="674"/>
      <c r="F30" s="675"/>
      <c r="G30" s="89">
        <f>SUM(G2:G29)</f>
        <v>308.12</v>
      </c>
      <c r="H30" s="107">
        <f>SUM(H2:H29)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40"/>
  <sheetViews>
    <sheetView workbookViewId="0"/>
  </sheetViews>
  <sheetFormatPr defaultRowHeight="15"/>
  <cols>
    <col min="2" max="2" width="26.28515625" bestFit="1" customWidth="1"/>
    <col min="3" max="3" width="55.140625" bestFit="1" customWidth="1"/>
  </cols>
  <sheetData>
    <row r="1" spans="1:10">
      <c r="A1" s="112" t="s">
        <v>1</v>
      </c>
      <c r="B1" s="113" t="s">
        <v>2</v>
      </c>
      <c r="C1" s="113" t="s">
        <v>3</v>
      </c>
      <c r="D1" s="113" t="s">
        <v>4</v>
      </c>
      <c r="E1" s="113" t="s">
        <v>5</v>
      </c>
      <c r="F1" s="113" t="s">
        <v>6</v>
      </c>
      <c r="G1" s="114" t="s">
        <v>7</v>
      </c>
      <c r="H1" s="120" t="s">
        <v>307</v>
      </c>
      <c r="I1" s="676" t="s">
        <v>370</v>
      </c>
      <c r="J1" s="110"/>
    </row>
    <row r="2" spans="1:10">
      <c r="A2" s="130"/>
      <c r="B2" s="119">
        <v>42857</v>
      </c>
      <c r="C2" s="116" t="s">
        <v>402</v>
      </c>
      <c r="D2" s="113" t="s">
        <v>14</v>
      </c>
      <c r="E2" s="118" t="s">
        <v>391</v>
      </c>
      <c r="F2" s="117">
        <v>0.1</v>
      </c>
      <c r="G2" s="114">
        <v>201.98</v>
      </c>
      <c r="H2" s="131"/>
      <c r="I2" s="115"/>
      <c r="J2" s="110"/>
    </row>
    <row r="3" spans="1:10">
      <c r="A3" s="130"/>
      <c r="B3" s="119">
        <v>42860</v>
      </c>
      <c r="C3" s="116" t="s">
        <v>290</v>
      </c>
      <c r="D3" s="113" t="s">
        <v>9</v>
      </c>
      <c r="E3" s="118" t="s">
        <v>10</v>
      </c>
      <c r="F3" s="117">
        <v>0.1</v>
      </c>
      <c r="G3" s="114">
        <v>119.25</v>
      </c>
      <c r="H3" s="131"/>
      <c r="I3" s="115"/>
      <c r="J3" s="110"/>
    </row>
    <row r="4" spans="1:10">
      <c r="A4" s="130"/>
      <c r="B4" s="119">
        <v>42861</v>
      </c>
      <c r="C4" s="116" t="s">
        <v>403</v>
      </c>
      <c r="D4" s="113" t="s">
        <v>21</v>
      </c>
      <c r="E4" s="116" t="s">
        <v>22</v>
      </c>
      <c r="F4" s="117">
        <v>0.1</v>
      </c>
      <c r="G4" s="114">
        <v>105.36</v>
      </c>
      <c r="H4" s="131"/>
      <c r="I4" s="115"/>
      <c r="J4" s="110"/>
    </row>
    <row r="5" spans="1:10">
      <c r="A5" s="130"/>
      <c r="B5" s="119">
        <v>42864</v>
      </c>
      <c r="C5" s="118" t="s">
        <v>20</v>
      </c>
      <c r="D5" s="113" t="s">
        <v>14</v>
      </c>
      <c r="E5" s="116" t="s">
        <v>10</v>
      </c>
      <c r="F5" s="117">
        <v>0.1</v>
      </c>
      <c r="G5" s="114">
        <v>92.87</v>
      </c>
      <c r="H5" s="131"/>
      <c r="I5" s="115"/>
      <c r="J5" s="110"/>
    </row>
    <row r="6" spans="1:10">
      <c r="A6" s="121"/>
      <c r="B6" s="122">
        <v>42868</v>
      </c>
      <c r="C6" s="123" t="s">
        <v>27</v>
      </c>
      <c r="D6" s="20" t="s">
        <v>14</v>
      </c>
      <c r="E6" s="124" t="s">
        <v>10</v>
      </c>
      <c r="F6" s="125">
        <v>0.1</v>
      </c>
      <c r="G6" s="126">
        <v>105.99</v>
      </c>
      <c r="H6" s="126"/>
      <c r="I6" s="128"/>
      <c r="J6" s="111"/>
    </row>
    <row r="7" spans="1:10">
      <c r="A7" s="121"/>
      <c r="B7" s="19" t="s">
        <v>404</v>
      </c>
      <c r="C7" s="123" t="s">
        <v>405</v>
      </c>
      <c r="D7" s="20" t="s">
        <v>25</v>
      </c>
      <c r="E7" s="124" t="s">
        <v>22</v>
      </c>
      <c r="F7" s="125">
        <v>0.1</v>
      </c>
      <c r="G7" s="126">
        <v>178.17</v>
      </c>
      <c r="H7" s="126"/>
      <c r="I7" s="128"/>
      <c r="J7" s="111"/>
    </row>
    <row r="8" spans="1:10">
      <c r="A8" s="121"/>
      <c r="B8" s="122">
        <v>42873</v>
      </c>
      <c r="C8" s="123" t="s">
        <v>406</v>
      </c>
      <c r="D8" s="20" t="s">
        <v>25</v>
      </c>
      <c r="E8" s="124" t="s">
        <v>22</v>
      </c>
      <c r="F8" s="125">
        <v>0.1</v>
      </c>
      <c r="G8" s="126">
        <v>63.52</v>
      </c>
      <c r="H8" s="126"/>
      <c r="I8" s="128"/>
      <c r="J8" s="111"/>
    </row>
    <row r="9" spans="1:10">
      <c r="A9" s="121"/>
      <c r="B9" s="122">
        <v>42874</v>
      </c>
      <c r="C9" s="123" t="s">
        <v>407</v>
      </c>
      <c r="D9" s="20" t="s">
        <v>9</v>
      </c>
      <c r="E9" s="124" t="s">
        <v>10</v>
      </c>
      <c r="F9" s="125">
        <v>0.25</v>
      </c>
      <c r="G9" s="126">
        <v>297.17</v>
      </c>
      <c r="H9" s="126"/>
      <c r="I9" s="128"/>
      <c r="J9" s="111"/>
    </row>
    <row r="10" spans="1:10">
      <c r="A10" s="121"/>
      <c r="B10" s="122">
        <v>42875</v>
      </c>
      <c r="C10" s="123" t="s">
        <v>296</v>
      </c>
      <c r="D10" s="20" t="s">
        <v>14</v>
      </c>
      <c r="E10" s="124" t="s">
        <v>391</v>
      </c>
      <c r="F10" s="125">
        <v>0.25</v>
      </c>
      <c r="G10" s="126">
        <v>238.67</v>
      </c>
      <c r="H10" s="126"/>
      <c r="I10" s="128"/>
      <c r="J10" s="111"/>
    </row>
    <row r="11" spans="1:10">
      <c r="A11" s="26"/>
      <c r="B11" s="26">
        <v>42879</v>
      </c>
      <c r="C11" s="13" t="s">
        <v>24</v>
      </c>
      <c r="D11" s="14" t="s">
        <v>149</v>
      </c>
      <c r="E11" s="13" t="s">
        <v>391</v>
      </c>
      <c r="F11" s="56">
        <v>0.15</v>
      </c>
      <c r="G11" s="81">
        <v>646.69000000000005</v>
      </c>
      <c r="H11" s="127"/>
      <c r="I11" s="162"/>
      <c r="J11" s="162"/>
    </row>
    <row r="12" spans="1:10">
      <c r="A12" s="26"/>
      <c r="B12" s="26">
        <v>42879</v>
      </c>
      <c r="C12" s="13" t="s">
        <v>408</v>
      </c>
      <c r="D12" s="14" t="s">
        <v>14</v>
      </c>
      <c r="E12" s="13" t="s">
        <v>15</v>
      </c>
      <c r="F12" s="56">
        <v>0.15</v>
      </c>
      <c r="G12" s="81">
        <v>178.99</v>
      </c>
      <c r="H12" s="127"/>
      <c r="I12" s="678"/>
      <c r="J12" s="679"/>
    </row>
    <row r="13" spans="1:10">
      <c r="A13" s="26"/>
      <c r="B13" s="26">
        <v>42880</v>
      </c>
      <c r="C13" s="13" t="s">
        <v>35</v>
      </c>
      <c r="D13" s="14" t="s">
        <v>198</v>
      </c>
      <c r="E13" s="13" t="s">
        <v>10</v>
      </c>
      <c r="F13" s="56">
        <v>0.15</v>
      </c>
      <c r="G13" s="81">
        <v>244.9</v>
      </c>
      <c r="H13" s="127"/>
      <c r="I13" s="680"/>
      <c r="J13" s="681"/>
    </row>
    <row r="14" spans="1:10">
      <c r="A14" s="26"/>
      <c r="B14" s="26">
        <v>42882</v>
      </c>
      <c r="C14" s="13" t="s">
        <v>212</v>
      </c>
      <c r="D14" s="14" t="s">
        <v>14</v>
      </c>
      <c r="E14" s="13" t="s">
        <v>22</v>
      </c>
      <c r="F14" s="56">
        <v>0.22</v>
      </c>
      <c r="G14" s="81">
        <v>452.79</v>
      </c>
      <c r="H14" s="127"/>
      <c r="I14" s="162"/>
      <c r="J14" s="162"/>
    </row>
    <row r="15" spans="1:10">
      <c r="A15" s="26"/>
      <c r="B15" s="26">
        <v>42884</v>
      </c>
      <c r="C15" s="13" t="s">
        <v>299</v>
      </c>
      <c r="D15" s="14" t="s">
        <v>61</v>
      </c>
      <c r="E15" s="13" t="s">
        <v>19</v>
      </c>
      <c r="F15" s="56">
        <v>0.1</v>
      </c>
      <c r="G15" s="81">
        <v>187.77</v>
      </c>
      <c r="H15" s="127"/>
      <c r="I15" s="162"/>
      <c r="J15" s="162"/>
    </row>
    <row r="16" spans="1:10">
      <c r="A16" s="26"/>
      <c r="B16" s="26">
        <v>42885</v>
      </c>
      <c r="C16" s="13" t="s">
        <v>52</v>
      </c>
      <c r="D16" s="14" t="s">
        <v>14</v>
      </c>
      <c r="E16" s="13" t="s">
        <v>10</v>
      </c>
      <c r="F16" s="56">
        <v>0.1</v>
      </c>
      <c r="G16" s="81">
        <v>219.98</v>
      </c>
      <c r="H16" s="127"/>
      <c r="I16" s="162"/>
      <c r="J16" s="162"/>
    </row>
    <row r="17" spans="1:10">
      <c r="A17" s="22"/>
      <c r="B17" s="26"/>
      <c r="C17" s="13"/>
      <c r="D17" s="14"/>
      <c r="E17" s="13"/>
      <c r="F17" s="56"/>
      <c r="G17" s="87"/>
      <c r="H17" s="104"/>
      <c r="I17" s="108"/>
      <c r="J17" s="109"/>
    </row>
    <row r="18" spans="1:10">
      <c r="A18" s="22"/>
      <c r="B18" s="26"/>
      <c r="C18" s="13"/>
      <c r="D18" s="14"/>
      <c r="E18" s="13"/>
      <c r="F18" s="56"/>
      <c r="G18" s="87"/>
      <c r="H18" s="104"/>
      <c r="I18" s="108"/>
      <c r="J18" s="109"/>
    </row>
    <row r="19" spans="1:10">
      <c r="A19" s="22"/>
      <c r="B19" s="26"/>
      <c r="C19" s="13"/>
      <c r="D19" s="14"/>
      <c r="E19" s="13"/>
      <c r="F19" s="56"/>
      <c r="G19" s="87"/>
      <c r="H19" s="104"/>
      <c r="I19" s="108"/>
      <c r="J19" s="109"/>
    </row>
    <row r="20" spans="1:10">
      <c r="A20" s="22"/>
      <c r="B20" s="26"/>
      <c r="C20" s="13"/>
      <c r="D20" s="14"/>
      <c r="E20" s="13"/>
      <c r="F20" s="56"/>
      <c r="G20" s="87"/>
      <c r="H20" s="104"/>
      <c r="I20" s="108"/>
      <c r="J20" s="109"/>
    </row>
    <row r="21" spans="1:10">
      <c r="A21" s="22"/>
      <c r="B21" s="26"/>
      <c r="C21" s="13"/>
      <c r="D21" s="14"/>
      <c r="E21" s="13"/>
      <c r="F21" s="56"/>
      <c r="G21" s="87"/>
      <c r="H21" s="104"/>
      <c r="I21" s="108"/>
      <c r="J21" s="109"/>
    </row>
    <row r="22" spans="1:10">
      <c r="A22" s="22"/>
      <c r="B22" s="26"/>
      <c r="C22" s="13"/>
      <c r="D22" s="14"/>
      <c r="E22" s="13"/>
      <c r="F22" s="56"/>
      <c r="G22" s="87"/>
      <c r="H22" s="104"/>
      <c r="I22" s="108"/>
      <c r="J22" s="109"/>
    </row>
    <row r="23" spans="1:10">
      <c r="A23" s="22"/>
      <c r="B23" s="26"/>
      <c r="C23" s="13"/>
      <c r="D23" s="14"/>
      <c r="E23" s="13"/>
      <c r="F23" s="56"/>
      <c r="G23" s="87"/>
      <c r="H23" s="104"/>
      <c r="I23" s="108"/>
      <c r="J23" s="109"/>
    </row>
    <row r="24" spans="1:10">
      <c r="A24" s="85"/>
      <c r="B24" s="26"/>
      <c r="C24" s="13"/>
      <c r="D24" s="14"/>
      <c r="E24" s="13"/>
      <c r="F24" s="56"/>
      <c r="G24" s="87"/>
      <c r="H24" s="104"/>
      <c r="I24" s="108"/>
      <c r="J24" s="109"/>
    </row>
    <row r="25" spans="1:10">
      <c r="A25" s="22"/>
      <c r="B25" s="26"/>
      <c r="C25" s="13"/>
      <c r="D25" s="14"/>
      <c r="E25" s="13"/>
      <c r="F25" s="56"/>
      <c r="G25" s="87"/>
      <c r="H25" s="104"/>
      <c r="I25" s="108"/>
      <c r="J25" s="109"/>
    </row>
    <row r="26" spans="1:10">
      <c r="A26" s="22"/>
      <c r="B26" s="26"/>
      <c r="C26" s="13"/>
      <c r="D26" s="14"/>
      <c r="E26" s="13"/>
      <c r="F26" s="56"/>
      <c r="G26" s="87"/>
      <c r="H26" s="104"/>
      <c r="I26" s="108"/>
      <c r="J26" s="109"/>
    </row>
    <row r="27" spans="1:10">
      <c r="A27" s="90"/>
      <c r="B27" s="91"/>
      <c r="C27" s="92"/>
      <c r="D27" s="93"/>
      <c r="E27" s="92"/>
      <c r="F27" s="94"/>
      <c r="G27" s="95"/>
      <c r="H27" s="105"/>
      <c r="I27" s="108"/>
      <c r="J27" s="109"/>
    </row>
    <row r="28" spans="1:10">
      <c r="A28" s="90"/>
      <c r="B28" s="91"/>
      <c r="C28" s="92"/>
      <c r="D28" s="93"/>
      <c r="E28" s="92"/>
      <c r="F28" s="94"/>
      <c r="G28" s="95"/>
      <c r="H28" s="105"/>
      <c r="I28" s="108"/>
      <c r="J28" s="109"/>
    </row>
    <row r="29" spans="1:10">
      <c r="A29" s="90"/>
      <c r="B29" s="91"/>
      <c r="C29" s="92"/>
      <c r="D29" s="93"/>
      <c r="E29" s="92"/>
      <c r="F29" s="94"/>
      <c r="G29" s="95"/>
      <c r="H29" s="105"/>
      <c r="I29" s="108"/>
      <c r="J29" s="109"/>
    </row>
    <row r="30" spans="1:10">
      <c r="A30" s="90"/>
      <c r="B30" s="91"/>
      <c r="C30" s="92"/>
      <c r="D30" s="93"/>
      <c r="E30" s="92"/>
      <c r="F30" s="94"/>
      <c r="G30" s="95"/>
      <c r="H30" s="105"/>
      <c r="I30" s="108"/>
      <c r="J30" s="109"/>
    </row>
    <row r="31" spans="1:10">
      <c r="A31" s="90"/>
      <c r="B31" s="91"/>
      <c r="C31" s="92"/>
      <c r="D31" s="93"/>
      <c r="E31" s="92"/>
      <c r="F31" s="94"/>
      <c r="G31" s="95"/>
      <c r="H31" s="105"/>
      <c r="I31" s="108"/>
      <c r="J31" s="109"/>
    </row>
    <row r="32" spans="1:10">
      <c r="A32" s="90"/>
      <c r="B32" s="91"/>
      <c r="C32" s="92"/>
      <c r="D32" s="93"/>
      <c r="E32" s="92"/>
      <c r="F32" s="94"/>
      <c r="G32" s="95"/>
      <c r="H32" s="105"/>
      <c r="I32" s="108"/>
      <c r="J32" s="109"/>
    </row>
    <row r="33" spans="1:10">
      <c r="A33" s="90"/>
      <c r="B33" s="91"/>
      <c r="C33" s="92"/>
      <c r="D33" s="93"/>
      <c r="E33" s="92"/>
      <c r="F33" s="94"/>
      <c r="G33" s="95"/>
      <c r="H33" s="105"/>
      <c r="I33" s="108"/>
      <c r="J33" s="109"/>
    </row>
    <row r="34" spans="1:10">
      <c r="A34" s="90"/>
      <c r="B34" s="91"/>
      <c r="C34" s="92"/>
      <c r="D34" s="93"/>
      <c r="E34" s="92"/>
      <c r="F34" s="94"/>
      <c r="G34" s="95"/>
      <c r="H34" s="105"/>
      <c r="I34" s="108"/>
      <c r="J34" s="109"/>
    </row>
    <row r="35" spans="1:10">
      <c r="A35" s="90"/>
      <c r="B35" s="91"/>
      <c r="C35" s="92"/>
      <c r="D35" s="93"/>
      <c r="E35" s="92"/>
      <c r="F35" s="94"/>
      <c r="G35" s="95"/>
      <c r="H35" s="105"/>
      <c r="I35" s="108"/>
      <c r="J35" s="109"/>
    </row>
    <row r="36" spans="1:10">
      <c r="A36" s="90"/>
      <c r="B36" s="91"/>
      <c r="C36" s="92"/>
      <c r="D36" s="93"/>
      <c r="E36" s="92"/>
      <c r="F36" s="94"/>
      <c r="G36" s="95"/>
      <c r="H36" s="105"/>
      <c r="I36" s="108"/>
      <c r="J36" s="109"/>
    </row>
    <row r="37" spans="1:10">
      <c r="A37" s="90"/>
      <c r="B37" s="91"/>
      <c r="C37" s="92"/>
      <c r="D37" s="93"/>
      <c r="E37" s="92"/>
      <c r="F37" s="94"/>
      <c r="G37" s="95"/>
      <c r="H37" s="105"/>
      <c r="I37" s="108"/>
      <c r="J37" s="109"/>
    </row>
    <row r="38" spans="1:10">
      <c r="A38" s="90"/>
      <c r="B38" s="91"/>
      <c r="C38" s="92"/>
      <c r="D38" s="93"/>
      <c r="E38" s="92"/>
      <c r="F38" s="94"/>
      <c r="G38" s="95"/>
      <c r="H38" s="105"/>
      <c r="I38" s="108"/>
      <c r="J38" s="109"/>
    </row>
    <row r="39" spans="1:10">
      <c r="A39" s="90"/>
      <c r="B39" s="91"/>
      <c r="C39" s="92"/>
      <c r="D39" s="93"/>
      <c r="E39" s="92"/>
      <c r="F39" s="94"/>
      <c r="G39" s="95"/>
      <c r="H39" s="106"/>
      <c r="I39" s="108"/>
      <c r="J39" s="109"/>
    </row>
    <row r="40" spans="1:10" ht="19.5">
      <c r="A40" s="673" t="s">
        <v>39</v>
      </c>
      <c r="B40" s="674"/>
      <c r="C40" s="674"/>
      <c r="D40" s="674"/>
      <c r="E40" s="674"/>
      <c r="F40" s="675"/>
      <c r="G40" s="129">
        <f>SUM(G2:G39)</f>
        <v>3334.1</v>
      </c>
      <c r="H40" s="107">
        <f>SUM(H11:H39)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32"/>
  <sheetViews>
    <sheetView workbookViewId="0"/>
  </sheetViews>
  <sheetFormatPr defaultRowHeight="15"/>
  <sheetData>
    <row r="1" spans="1:10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86" t="s">
        <v>7</v>
      </c>
      <c r="H1" s="88" t="s">
        <v>307</v>
      </c>
      <c r="I1" s="676" t="s">
        <v>370</v>
      </c>
      <c r="J1" s="110"/>
    </row>
    <row r="2" spans="1:10">
      <c r="A2" s="31"/>
      <c r="B2" s="32">
        <v>42888</v>
      </c>
      <c r="C2" s="7" t="s">
        <v>256</v>
      </c>
      <c r="D2" s="8" t="s">
        <v>14</v>
      </c>
      <c r="E2" s="7" t="s">
        <v>29</v>
      </c>
      <c r="F2" s="55">
        <v>0.1</v>
      </c>
      <c r="G2" s="65">
        <v>149.55000000000001</v>
      </c>
      <c r="H2" s="103"/>
      <c r="I2" s="108"/>
      <c r="J2" s="109"/>
    </row>
    <row r="3" spans="1:10">
      <c r="A3" s="31"/>
      <c r="B3" s="32">
        <v>42889</v>
      </c>
      <c r="C3" s="7" t="s">
        <v>409</v>
      </c>
      <c r="D3" s="8" t="s">
        <v>14</v>
      </c>
      <c r="E3" s="7" t="s">
        <v>10</v>
      </c>
      <c r="F3" s="55">
        <v>0.1</v>
      </c>
      <c r="G3" s="87">
        <v>319.17</v>
      </c>
      <c r="H3" s="104"/>
      <c r="I3" s="108"/>
      <c r="J3" s="109"/>
    </row>
    <row r="4" spans="1:10">
      <c r="A4" s="31"/>
      <c r="B4" s="32">
        <v>42890</v>
      </c>
      <c r="C4" s="7" t="s">
        <v>41</v>
      </c>
      <c r="D4" s="8" t="s">
        <v>14</v>
      </c>
      <c r="E4" s="7" t="s">
        <v>10</v>
      </c>
      <c r="F4" s="55">
        <v>0.1</v>
      </c>
      <c r="G4" s="72">
        <v>128.66999999999999</v>
      </c>
      <c r="H4" s="104"/>
      <c r="I4" s="677"/>
      <c r="J4" s="677"/>
    </row>
    <row r="5" spans="1:10">
      <c r="A5" s="22"/>
      <c r="B5" s="26">
        <v>42894</v>
      </c>
      <c r="C5" s="13" t="s">
        <v>300</v>
      </c>
      <c r="D5" s="14" t="s">
        <v>14</v>
      </c>
      <c r="E5" s="13" t="s">
        <v>29</v>
      </c>
      <c r="F5" s="56">
        <v>0.1</v>
      </c>
      <c r="G5" s="87">
        <v>220.19</v>
      </c>
      <c r="H5" s="104"/>
      <c r="I5" s="108"/>
      <c r="J5" s="109"/>
    </row>
    <row r="6" spans="1:10">
      <c r="A6" s="22"/>
      <c r="B6" s="26">
        <v>42895</v>
      </c>
      <c r="C6" s="13" t="s">
        <v>410</v>
      </c>
      <c r="D6" s="14" t="s">
        <v>9</v>
      </c>
      <c r="E6" s="13" t="s">
        <v>391</v>
      </c>
      <c r="F6" s="56">
        <v>0.1</v>
      </c>
      <c r="G6" s="87">
        <v>83.06</v>
      </c>
      <c r="H6" s="104"/>
      <c r="I6" s="108"/>
      <c r="J6" s="109"/>
    </row>
    <row r="7" spans="1:10">
      <c r="A7" s="22"/>
      <c r="B7" s="26">
        <v>42898</v>
      </c>
      <c r="C7" s="13" t="s">
        <v>49</v>
      </c>
      <c r="D7" s="14" t="s">
        <v>14</v>
      </c>
      <c r="E7" s="13" t="s">
        <v>10</v>
      </c>
      <c r="F7" s="56">
        <v>0.1</v>
      </c>
      <c r="G7" s="87">
        <v>90.95</v>
      </c>
      <c r="H7" s="104"/>
      <c r="I7" s="108"/>
      <c r="J7" s="109"/>
    </row>
    <row r="8" spans="1:10">
      <c r="A8" s="22"/>
      <c r="B8" s="26">
        <v>42898</v>
      </c>
      <c r="C8" s="13" t="s">
        <v>411</v>
      </c>
      <c r="D8" s="14" t="s">
        <v>70</v>
      </c>
      <c r="E8" s="13" t="s">
        <v>17</v>
      </c>
      <c r="F8" s="56">
        <v>0.15</v>
      </c>
      <c r="G8" s="87">
        <v>188.51</v>
      </c>
      <c r="H8" s="104"/>
      <c r="I8" s="108"/>
      <c r="J8" s="109"/>
    </row>
    <row r="9" spans="1:10">
      <c r="A9" s="22"/>
      <c r="B9" s="26">
        <v>42898</v>
      </c>
      <c r="C9" s="13" t="s">
        <v>52</v>
      </c>
      <c r="D9" s="14" t="s">
        <v>21</v>
      </c>
      <c r="E9" s="13" t="s">
        <v>412</v>
      </c>
      <c r="F9" s="56">
        <v>0.1</v>
      </c>
      <c r="G9" s="87">
        <v>236.02</v>
      </c>
      <c r="H9" s="104"/>
      <c r="I9" s="108"/>
      <c r="J9" s="109"/>
    </row>
    <row r="10" spans="1:10">
      <c r="A10" s="22"/>
      <c r="B10" s="26">
        <v>42900</v>
      </c>
      <c r="C10" s="13" t="s">
        <v>48</v>
      </c>
      <c r="D10" s="14" t="s">
        <v>25</v>
      </c>
      <c r="E10" s="13" t="s">
        <v>19</v>
      </c>
      <c r="F10" s="56">
        <v>0.1</v>
      </c>
      <c r="G10" s="87">
        <v>107.72</v>
      </c>
      <c r="H10" s="104"/>
      <c r="I10" s="108"/>
      <c r="J10" s="109"/>
    </row>
    <row r="11" spans="1:10">
      <c r="A11" s="22"/>
      <c r="B11" s="26">
        <v>42901</v>
      </c>
      <c r="C11" s="13" t="s">
        <v>413</v>
      </c>
      <c r="D11" s="14" t="s">
        <v>14</v>
      </c>
      <c r="E11" s="13" t="s">
        <v>22</v>
      </c>
      <c r="F11" s="56">
        <v>0.1</v>
      </c>
      <c r="G11" s="87">
        <v>100.07</v>
      </c>
      <c r="H11" s="104"/>
      <c r="I11" s="108"/>
      <c r="J11" s="109"/>
    </row>
    <row r="12" spans="1:10">
      <c r="A12" s="22"/>
      <c r="B12" s="26">
        <v>42903</v>
      </c>
      <c r="C12" s="13" t="s">
        <v>52</v>
      </c>
      <c r="D12" s="14" t="s">
        <v>61</v>
      </c>
      <c r="E12" s="13" t="s">
        <v>17</v>
      </c>
      <c r="F12" s="56">
        <v>0.2</v>
      </c>
      <c r="G12" s="87">
        <v>207.85</v>
      </c>
      <c r="H12" s="104"/>
      <c r="I12" s="108"/>
      <c r="J12" s="109"/>
    </row>
    <row r="13" spans="1:10">
      <c r="A13" s="22"/>
      <c r="B13" s="26">
        <v>42906</v>
      </c>
      <c r="C13" s="13" t="s">
        <v>63</v>
      </c>
      <c r="D13" s="14" t="s">
        <v>14</v>
      </c>
      <c r="E13" s="13" t="s">
        <v>10</v>
      </c>
      <c r="F13" s="56">
        <v>0.15</v>
      </c>
      <c r="G13" s="87">
        <v>101.45</v>
      </c>
      <c r="H13" s="104"/>
      <c r="I13" s="108"/>
      <c r="J13" s="109"/>
    </row>
    <row r="14" spans="1:10">
      <c r="A14" s="22"/>
      <c r="B14" s="26">
        <v>42907</v>
      </c>
      <c r="C14" s="13" t="s">
        <v>414</v>
      </c>
      <c r="D14" s="14" t="s">
        <v>9</v>
      </c>
      <c r="E14" s="13" t="s">
        <v>362</v>
      </c>
      <c r="F14" s="56">
        <v>0.1</v>
      </c>
      <c r="G14" s="87">
        <v>61.08</v>
      </c>
      <c r="H14" s="104"/>
      <c r="I14" s="108"/>
      <c r="J14" s="109"/>
    </row>
    <row r="15" spans="1:10">
      <c r="A15" s="22"/>
      <c r="B15" s="26">
        <v>42906</v>
      </c>
      <c r="C15" s="13" t="s">
        <v>63</v>
      </c>
      <c r="D15" s="14" t="s">
        <v>14</v>
      </c>
      <c r="E15" s="13" t="s">
        <v>10</v>
      </c>
      <c r="F15" s="56">
        <v>0.1</v>
      </c>
      <c r="G15" s="87">
        <v>72.540000000000006</v>
      </c>
      <c r="H15" s="104"/>
      <c r="I15" s="108"/>
      <c r="J15" s="109"/>
    </row>
    <row r="16" spans="1:10">
      <c r="A16" s="85"/>
      <c r="B16" s="26">
        <v>42909</v>
      </c>
      <c r="C16" s="13" t="s">
        <v>53</v>
      </c>
      <c r="D16" s="14" t="s">
        <v>25</v>
      </c>
      <c r="E16" s="13" t="s">
        <v>10</v>
      </c>
      <c r="F16" s="56">
        <v>0.15</v>
      </c>
      <c r="G16" s="87">
        <v>154.66999999999999</v>
      </c>
      <c r="H16" s="104"/>
      <c r="I16" s="108"/>
      <c r="J16" s="109"/>
    </row>
    <row r="17" spans="1:10">
      <c r="A17" s="22"/>
      <c r="B17" s="26">
        <v>42910</v>
      </c>
      <c r="C17" s="13" t="s">
        <v>415</v>
      </c>
      <c r="D17" s="14" t="s">
        <v>61</v>
      </c>
      <c r="E17" s="13" t="s">
        <v>19</v>
      </c>
      <c r="F17" s="56">
        <v>0.1</v>
      </c>
      <c r="G17" s="87">
        <v>137.30000000000001</v>
      </c>
      <c r="H17" s="104"/>
      <c r="I17" s="108"/>
      <c r="J17" s="109"/>
    </row>
    <row r="18" spans="1:10">
      <c r="A18" s="22"/>
      <c r="B18" s="26"/>
      <c r="C18" s="13"/>
      <c r="D18" s="14"/>
      <c r="E18" s="13"/>
      <c r="F18" s="56"/>
      <c r="G18" s="87"/>
      <c r="H18" s="104"/>
      <c r="I18" s="108"/>
      <c r="J18" s="109"/>
    </row>
    <row r="19" spans="1:10">
      <c r="A19" s="90"/>
      <c r="B19" s="91"/>
      <c r="C19" s="92"/>
      <c r="D19" s="93"/>
      <c r="E19" s="92"/>
      <c r="F19" s="94"/>
      <c r="G19" s="95"/>
      <c r="H19" s="105"/>
      <c r="I19" s="108"/>
      <c r="J19" s="109"/>
    </row>
    <row r="20" spans="1:10">
      <c r="A20" s="90"/>
      <c r="B20" s="91"/>
      <c r="C20" s="92"/>
      <c r="D20" s="93"/>
      <c r="E20" s="92"/>
      <c r="F20" s="94"/>
      <c r="G20" s="95"/>
      <c r="H20" s="105"/>
      <c r="I20" s="108"/>
      <c r="J20" s="109"/>
    </row>
    <row r="21" spans="1:10">
      <c r="A21" s="90"/>
      <c r="B21" s="91"/>
      <c r="C21" s="92"/>
      <c r="D21" s="93"/>
      <c r="E21" s="92"/>
      <c r="F21" s="94"/>
      <c r="G21" s="95"/>
      <c r="H21" s="105"/>
      <c r="I21" s="108"/>
      <c r="J21" s="109"/>
    </row>
    <row r="22" spans="1:10">
      <c r="A22" s="90"/>
      <c r="B22" s="91"/>
      <c r="C22" s="92"/>
      <c r="D22" s="93"/>
      <c r="E22" s="92"/>
      <c r="F22" s="94"/>
      <c r="G22" s="95"/>
      <c r="H22" s="105"/>
      <c r="I22" s="108"/>
      <c r="J22" s="109"/>
    </row>
    <row r="23" spans="1:10">
      <c r="A23" s="90"/>
      <c r="B23" s="91"/>
      <c r="C23" s="92"/>
      <c r="D23" s="93"/>
      <c r="E23" s="92"/>
      <c r="F23" s="94"/>
      <c r="G23" s="95"/>
      <c r="H23" s="105"/>
      <c r="I23" s="108"/>
      <c r="J23" s="109"/>
    </row>
    <row r="24" spans="1:10">
      <c r="A24" s="90"/>
      <c r="B24" s="91"/>
      <c r="C24" s="92"/>
      <c r="D24" s="93"/>
      <c r="E24" s="92"/>
      <c r="F24" s="94"/>
      <c r="G24" s="95"/>
      <c r="H24" s="105"/>
      <c r="I24" s="108"/>
      <c r="J24" s="109"/>
    </row>
    <row r="25" spans="1:10">
      <c r="A25" s="90"/>
      <c r="B25" s="91"/>
      <c r="C25" s="92"/>
      <c r="D25" s="93"/>
      <c r="E25" s="92"/>
      <c r="F25" s="94"/>
      <c r="G25" s="95"/>
      <c r="H25" s="105"/>
      <c r="I25" s="108"/>
      <c r="J25" s="109"/>
    </row>
    <row r="26" spans="1:10">
      <c r="A26" s="90"/>
      <c r="B26" s="91"/>
      <c r="C26" s="92"/>
      <c r="D26" s="93"/>
      <c r="E26" s="92"/>
      <c r="F26" s="94"/>
      <c r="G26" s="95"/>
      <c r="H26" s="105"/>
      <c r="I26" s="108"/>
      <c r="J26" s="109"/>
    </row>
    <row r="27" spans="1:10">
      <c r="A27" s="90"/>
      <c r="B27" s="91"/>
      <c r="C27" s="92"/>
      <c r="D27" s="93"/>
      <c r="E27" s="92"/>
      <c r="F27" s="94"/>
      <c r="G27" s="95"/>
      <c r="H27" s="105"/>
      <c r="I27" s="108"/>
      <c r="J27" s="109"/>
    </row>
    <row r="28" spans="1:10">
      <c r="A28" s="90"/>
      <c r="B28" s="91"/>
      <c r="C28" s="92"/>
      <c r="D28" s="93"/>
      <c r="E28" s="92"/>
      <c r="F28" s="94"/>
      <c r="G28" s="95"/>
      <c r="H28" s="105"/>
      <c r="I28" s="108"/>
      <c r="J28" s="109"/>
    </row>
    <row r="29" spans="1:10">
      <c r="A29" s="90"/>
      <c r="B29" s="91"/>
      <c r="C29" s="92"/>
      <c r="D29" s="93"/>
      <c r="E29" s="92"/>
      <c r="F29" s="94"/>
      <c r="G29" s="95"/>
      <c r="H29" s="105"/>
      <c r="I29" s="108"/>
      <c r="J29" s="109"/>
    </row>
    <row r="30" spans="1:10">
      <c r="A30" s="90"/>
      <c r="B30" s="91"/>
      <c r="C30" s="92"/>
      <c r="D30" s="93"/>
      <c r="E30" s="92"/>
      <c r="F30" s="94"/>
      <c r="G30" s="95"/>
      <c r="H30" s="105"/>
      <c r="I30" s="108"/>
      <c r="J30" s="109"/>
    </row>
    <row r="31" spans="1:10">
      <c r="A31" s="90"/>
      <c r="B31" s="91"/>
      <c r="C31" s="92"/>
      <c r="D31" s="93"/>
      <c r="E31" s="92"/>
      <c r="F31" s="94"/>
      <c r="G31" s="95"/>
      <c r="H31" s="106"/>
      <c r="I31" s="108"/>
      <c r="J31" s="109"/>
    </row>
    <row r="32" spans="1:10" ht="19.5">
      <c r="A32" s="673" t="s">
        <v>39</v>
      </c>
      <c r="B32" s="674"/>
      <c r="C32" s="674"/>
      <c r="D32" s="674"/>
      <c r="E32" s="674"/>
      <c r="F32" s="675"/>
      <c r="G32" s="89">
        <f>SUM(G2:G31)</f>
        <v>2358.8000000000002</v>
      </c>
      <c r="H32" s="107">
        <f>SUM(H2:H31)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40"/>
  <sheetViews>
    <sheetView workbookViewId="0"/>
  </sheetViews>
  <sheetFormatPr defaultRowHeight="15"/>
  <sheetData>
    <row r="1" spans="1:10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86" t="s">
        <v>7</v>
      </c>
      <c r="H1" s="88" t="s">
        <v>307</v>
      </c>
      <c r="I1" s="676" t="s">
        <v>370</v>
      </c>
      <c r="J1" s="110"/>
    </row>
    <row r="2" spans="1:10">
      <c r="A2" s="31"/>
      <c r="B2" s="32">
        <v>42917</v>
      </c>
      <c r="C2" s="7" t="s">
        <v>68</v>
      </c>
      <c r="D2" s="8" t="s">
        <v>25</v>
      </c>
      <c r="E2" s="7" t="s">
        <v>10</v>
      </c>
      <c r="F2" s="55">
        <v>0.1</v>
      </c>
      <c r="G2" s="65">
        <v>174.52</v>
      </c>
      <c r="H2" s="103"/>
      <c r="I2" s="108"/>
      <c r="J2" s="109"/>
    </row>
    <row r="3" spans="1:10">
      <c r="A3" s="31"/>
      <c r="B3" s="32">
        <v>42918</v>
      </c>
      <c r="C3" s="7" t="s">
        <v>66</v>
      </c>
      <c r="D3" s="8" t="s">
        <v>21</v>
      </c>
      <c r="E3" s="7" t="s">
        <v>22</v>
      </c>
      <c r="F3" s="55">
        <v>0.25</v>
      </c>
      <c r="G3" s="87">
        <v>346.85</v>
      </c>
      <c r="H3" s="104"/>
      <c r="I3" s="108"/>
      <c r="J3" s="109"/>
    </row>
    <row r="4" spans="1:10">
      <c r="A4" s="31"/>
      <c r="B4" s="32">
        <v>42919</v>
      </c>
      <c r="C4" s="7" t="s">
        <v>416</v>
      </c>
      <c r="D4" s="8" t="s">
        <v>417</v>
      </c>
      <c r="E4" s="7" t="s">
        <v>10</v>
      </c>
      <c r="F4" s="55">
        <v>0.15</v>
      </c>
      <c r="G4" s="72">
        <v>220.43</v>
      </c>
      <c r="H4" s="104"/>
      <c r="I4" s="677"/>
      <c r="J4" s="677"/>
    </row>
    <row r="5" spans="1:10">
      <c r="A5" s="22"/>
      <c r="B5" s="26">
        <v>42919</v>
      </c>
      <c r="C5" s="13" t="s">
        <v>73</v>
      </c>
      <c r="D5" s="14" t="s">
        <v>418</v>
      </c>
      <c r="E5" s="13" t="s">
        <v>22</v>
      </c>
      <c r="F5" s="56" t="s">
        <v>419</v>
      </c>
      <c r="G5" s="87">
        <v>122.74</v>
      </c>
      <c r="H5" s="104"/>
      <c r="I5" s="108"/>
      <c r="J5" s="109"/>
    </row>
    <row r="6" spans="1:10">
      <c r="A6" s="22"/>
      <c r="B6" s="26">
        <v>42921</v>
      </c>
      <c r="C6" s="13" t="s">
        <v>69</v>
      </c>
      <c r="D6" s="14" t="s">
        <v>70</v>
      </c>
      <c r="E6" s="13" t="s">
        <v>22</v>
      </c>
      <c r="F6" s="56">
        <v>0.1</v>
      </c>
      <c r="G6" s="87">
        <v>226.52</v>
      </c>
      <c r="H6" s="104"/>
      <c r="I6" s="108"/>
      <c r="J6" s="109"/>
    </row>
    <row r="7" spans="1:10">
      <c r="A7" s="22"/>
      <c r="B7" s="26">
        <v>42923</v>
      </c>
      <c r="C7" s="13" t="s">
        <v>47</v>
      </c>
      <c r="D7" s="14" t="s">
        <v>21</v>
      </c>
      <c r="E7" s="13" t="s">
        <v>10</v>
      </c>
      <c r="F7" s="56">
        <v>0.15</v>
      </c>
      <c r="G7" s="87">
        <v>210.33</v>
      </c>
      <c r="H7" s="104"/>
      <c r="I7" s="108"/>
      <c r="J7" s="109"/>
    </row>
    <row r="8" spans="1:10">
      <c r="A8" s="22"/>
      <c r="B8" s="26">
        <v>42923</v>
      </c>
      <c r="C8" s="13" t="s">
        <v>77</v>
      </c>
      <c r="D8" s="14" t="s">
        <v>9</v>
      </c>
      <c r="E8" s="13" t="s">
        <v>10</v>
      </c>
      <c r="F8" s="56">
        <v>0.1</v>
      </c>
      <c r="G8" s="87">
        <v>112.29</v>
      </c>
      <c r="H8" s="104"/>
      <c r="I8" s="108"/>
      <c r="J8" s="109"/>
    </row>
    <row r="9" spans="1:10">
      <c r="A9" s="22"/>
      <c r="B9" s="26">
        <v>42924</v>
      </c>
      <c r="C9" s="13" t="s">
        <v>420</v>
      </c>
      <c r="D9" s="14" t="s">
        <v>9</v>
      </c>
      <c r="E9" s="13" t="s">
        <v>10</v>
      </c>
      <c r="F9" s="56">
        <v>0.1</v>
      </c>
      <c r="G9" s="87">
        <v>191.16</v>
      </c>
      <c r="H9" s="104"/>
      <c r="I9" s="108"/>
      <c r="J9" s="109"/>
    </row>
    <row r="10" spans="1:10">
      <c r="A10" s="22"/>
      <c r="B10" s="26">
        <v>42924</v>
      </c>
      <c r="C10" s="13" t="s">
        <v>421</v>
      </c>
      <c r="D10" s="14" t="s">
        <v>25</v>
      </c>
      <c r="E10" s="13" t="s">
        <v>17</v>
      </c>
      <c r="F10" s="56">
        <v>0.15</v>
      </c>
      <c r="G10" s="87">
        <v>181.9</v>
      </c>
      <c r="H10" s="104"/>
      <c r="I10" s="108"/>
      <c r="J10" s="109"/>
    </row>
    <row r="11" spans="1:10">
      <c r="A11" s="22"/>
      <c r="B11" s="26">
        <v>42925</v>
      </c>
      <c r="C11" s="13" t="s">
        <v>79</v>
      </c>
      <c r="D11" s="14" t="s">
        <v>61</v>
      </c>
      <c r="E11" s="13" t="s">
        <v>17</v>
      </c>
      <c r="F11" s="56">
        <v>0.2</v>
      </c>
      <c r="G11" s="87">
        <v>267.20999999999998</v>
      </c>
      <c r="H11" s="104"/>
      <c r="I11" s="108"/>
      <c r="J11" s="109"/>
    </row>
    <row r="12" spans="1:10">
      <c r="A12" s="22"/>
      <c r="B12" s="26">
        <v>42927</v>
      </c>
      <c r="C12" s="13" t="s">
        <v>341</v>
      </c>
      <c r="D12" s="14" t="s">
        <v>422</v>
      </c>
      <c r="E12" s="13" t="s">
        <v>19</v>
      </c>
      <c r="F12" s="56">
        <v>0.1</v>
      </c>
      <c r="G12" s="87">
        <v>282.86</v>
      </c>
      <c r="H12" s="104"/>
      <c r="I12" s="108"/>
      <c r="J12" s="109"/>
    </row>
    <row r="13" spans="1:10">
      <c r="A13" s="22"/>
      <c r="B13" s="26">
        <v>42931</v>
      </c>
      <c r="C13" s="13" t="s">
        <v>423</v>
      </c>
      <c r="D13" s="14" t="s">
        <v>417</v>
      </c>
      <c r="E13" s="13" t="s">
        <v>17</v>
      </c>
      <c r="F13" s="56">
        <v>0.2</v>
      </c>
      <c r="G13" s="87">
        <v>213.77</v>
      </c>
      <c r="H13" s="104"/>
      <c r="I13" s="108"/>
      <c r="J13" s="109"/>
    </row>
    <row r="14" spans="1:10">
      <c r="A14" s="22"/>
      <c r="B14" s="26">
        <v>42933</v>
      </c>
      <c r="C14" s="13" t="s">
        <v>320</v>
      </c>
      <c r="D14" s="14" t="s">
        <v>9</v>
      </c>
      <c r="E14" s="13" t="s">
        <v>10</v>
      </c>
      <c r="F14" s="56">
        <v>0.15</v>
      </c>
      <c r="G14" s="87">
        <v>145.53</v>
      </c>
      <c r="H14" s="104"/>
      <c r="I14" s="108"/>
      <c r="J14" s="109"/>
    </row>
    <row r="15" spans="1:10">
      <c r="A15" s="85"/>
      <c r="B15" s="26">
        <v>42931</v>
      </c>
      <c r="C15" s="13" t="s">
        <v>424</v>
      </c>
      <c r="D15" s="14" t="s">
        <v>21</v>
      </c>
      <c r="E15" s="13" t="s">
        <v>57</v>
      </c>
      <c r="F15" s="56">
        <v>0.1</v>
      </c>
      <c r="G15" s="87">
        <v>138.30000000000001</v>
      </c>
      <c r="H15" s="104"/>
      <c r="I15" s="108"/>
      <c r="J15" s="109"/>
    </row>
    <row r="16" spans="1:10">
      <c r="A16" s="85"/>
      <c r="B16" s="26">
        <v>42931</v>
      </c>
      <c r="C16" s="13" t="s">
        <v>425</v>
      </c>
      <c r="D16" s="14" t="s">
        <v>417</v>
      </c>
      <c r="E16" s="13" t="s">
        <v>57</v>
      </c>
      <c r="F16" s="56">
        <v>0.16</v>
      </c>
      <c r="G16" s="87">
        <v>456.05</v>
      </c>
      <c r="H16" s="104"/>
      <c r="I16" s="108"/>
      <c r="J16" s="109"/>
    </row>
    <row r="17" spans="1:10">
      <c r="A17" s="85"/>
      <c r="B17" s="26">
        <v>42932</v>
      </c>
      <c r="C17" s="13" t="s">
        <v>318</v>
      </c>
      <c r="D17" s="14" t="s">
        <v>61</v>
      </c>
      <c r="E17" s="13" t="s">
        <v>17</v>
      </c>
      <c r="F17" s="56">
        <v>0.2</v>
      </c>
      <c r="G17" s="87">
        <v>303.64999999999998</v>
      </c>
      <c r="H17" s="104"/>
      <c r="I17" s="108"/>
      <c r="J17" s="109"/>
    </row>
    <row r="18" spans="1:10">
      <c r="A18" s="85"/>
      <c r="B18" s="26">
        <v>42934</v>
      </c>
      <c r="C18" s="13" t="s">
        <v>379</v>
      </c>
      <c r="D18" s="14" t="s">
        <v>417</v>
      </c>
      <c r="E18" s="13" t="s">
        <v>59</v>
      </c>
      <c r="F18" s="56">
        <v>0.1</v>
      </c>
      <c r="G18" s="87">
        <v>124.56</v>
      </c>
      <c r="H18" s="104"/>
      <c r="I18" s="108"/>
      <c r="J18" s="109"/>
    </row>
    <row r="19" spans="1:10">
      <c r="A19" s="85"/>
      <c r="B19" s="26">
        <v>42935</v>
      </c>
      <c r="C19" s="13" t="s">
        <v>426</v>
      </c>
      <c r="D19" s="14" t="s">
        <v>9</v>
      </c>
      <c r="E19" s="13" t="s">
        <v>10</v>
      </c>
      <c r="F19" s="56">
        <v>0.2</v>
      </c>
      <c r="G19" s="87">
        <v>319.27999999999997</v>
      </c>
      <c r="H19" s="104"/>
      <c r="I19" s="108"/>
      <c r="J19" s="109"/>
    </row>
    <row r="20" spans="1:10">
      <c r="A20" s="85"/>
      <c r="B20" s="26">
        <v>42935</v>
      </c>
      <c r="C20" s="13" t="s">
        <v>427</v>
      </c>
      <c r="D20" s="14" t="s">
        <v>381</v>
      </c>
      <c r="E20" s="13" t="s">
        <v>10</v>
      </c>
      <c r="F20" s="56">
        <v>0.15</v>
      </c>
      <c r="G20" s="87">
        <v>190.03</v>
      </c>
      <c r="H20" s="104"/>
      <c r="I20" s="108"/>
      <c r="J20" s="109"/>
    </row>
    <row r="21" spans="1:10">
      <c r="A21" s="85"/>
      <c r="B21" s="26">
        <v>42935</v>
      </c>
      <c r="C21" s="13" t="s">
        <v>81</v>
      </c>
      <c r="D21" s="14" t="s">
        <v>21</v>
      </c>
      <c r="E21" s="13" t="s">
        <v>22</v>
      </c>
      <c r="F21" s="56">
        <v>0.15</v>
      </c>
      <c r="G21" s="87">
        <v>507.97</v>
      </c>
      <c r="H21" s="104"/>
      <c r="I21" s="108"/>
      <c r="J21" s="109"/>
    </row>
    <row r="22" spans="1:10">
      <c r="A22" s="85"/>
      <c r="B22" s="26">
        <v>42938</v>
      </c>
      <c r="C22" s="13" t="s">
        <v>87</v>
      </c>
      <c r="D22" s="14" t="s">
        <v>25</v>
      </c>
      <c r="E22" s="13" t="s">
        <v>22</v>
      </c>
      <c r="F22" s="56">
        <v>0.25</v>
      </c>
      <c r="G22" s="87">
        <v>193.59</v>
      </c>
      <c r="H22" s="104"/>
      <c r="I22" s="108"/>
      <c r="J22" s="109"/>
    </row>
    <row r="23" spans="1:10">
      <c r="A23" s="85"/>
      <c r="B23" s="26">
        <v>42938</v>
      </c>
      <c r="C23" s="13" t="s">
        <v>321</v>
      </c>
      <c r="D23" s="14" t="s">
        <v>417</v>
      </c>
      <c r="E23" s="13" t="s">
        <v>22</v>
      </c>
      <c r="F23" s="56">
        <v>0.1</v>
      </c>
      <c r="G23" s="87">
        <v>246.07</v>
      </c>
      <c r="H23" s="104"/>
      <c r="I23" s="108"/>
      <c r="J23" s="109"/>
    </row>
    <row r="24" spans="1:10">
      <c r="A24" s="85"/>
      <c r="B24" s="26">
        <v>42940</v>
      </c>
      <c r="C24" s="13" t="s">
        <v>428</v>
      </c>
      <c r="D24" s="14" t="s">
        <v>417</v>
      </c>
      <c r="E24" s="13" t="s">
        <v>10</v>
      </c>
      <c r="F24" s="56">
        <v>0.25</v>
      </c>
      <c r="G24" s="87">
        <v>368.3</v>
      </c>
      <c r="H24" s="104"/>
      <c r="I24" s="108"/>
      <c r="J24" s="109"/>
    </row>
    <row r="25" spans="1:10">
      <c r="A25" s="22"/>
      <c r="B25" s="26">
        <v>42941</v>
      </c>
      <c r="C25" s="13" t="s">
        <v>86</v>
      </c>
      <c r="D25" s="14" t="s">
        <v>417</v>
      </c>
      <c r="E25" s="13" t="s">
        <v>10</v>
      </c>
      <c r="F25" s="56">
        <v>0.25</v>
      </c>
      <c r="G25" s="87">
        <v>340.98</v>
      </c>
      <c r="H25" s="104"/>
      <c r="I25" s="108"/>
      <c r="J25" s="109"/>
    </row>
    <row r="26" spans="1:10">
      <c r="A26" s="22"/>
      <c r="B26" s="26">
        <v>42943</v>
      </c>
      <c r="C26" s="13" t="s">
        <v>429</v>
      </c>
      <c r="D26" s="14" t="s">
        <v>417</v>
      </c>
      <c r="E26" s="13" t="s">
        <v>10</v>
      </c>
      <c r="F26" s="56">
        <v>0.1</v>
      </c>
      <c r="G26" s="87">
        <v>72.7</v>
      </c>
      <c r="H26" s="104"/>
      <c r="I26" s="108"/>
      <c r="J26" s="109"/>
    </row>
    <row r="27" spans="1:10">
      <c r="A27" s="90"/>
      <c r="B27" s="91">
        <v>42942</v>
      </c>
      <c r="C27" s="92" t="s">
        <v>324</v>
      </c>
      <c r="D27" s="93" t="s">
        <v>61</v>
      </c>
      <c r="E27" s="92" t="s">
        <v>17</v>
      </c>
      <c r="F27" s="94">
        <v>0.25</v>
      </c>
      <c r="G27" s="95">
        <v>305.88</v>
      </c>
      <c r="H27" s="105"/>
      <c r="I27" s="108"/>
      <c r="J27" s="109"/>
    </row>
    <row r="28" spans="1:10">
      <c r="A28" s="90"/>
      <c r="B28" s="91">
        <v>42942</v>
      </c>
      <c r="C28" s="92" t="s">
        <v>169</v>
      </c>
      <c r="D28" s="93" t="s">
        <v>418</v>
      </c>
      <c r="E28" s="92" t="s">
        <v>279</v>
      </c>
      <c r="F28" s="94">
        <v>0.1</v>
      </c>
      <c r="G28" s="95">
        <v>152.16</v>
      </c>
      <c r="H28" s="105"/>
      <c r="I28" s="108"/>
      <c r="J28" s="109"/>
    </row>
    <row r="29" spans="1:10">
      <c r="A29" s="90"/>
      <c r="B29" s="91">
        <v>42944</v>
      </c>
      <c r="C29" s="92" t="s">
        <v>91</v>
      </c>
      <c r="D29" s="93" t="s">
        <v>9</v>
      </c>
      <c r="E29" s="92" t="s">
        <v>10</v>
      </c>
      <c r="F29" s="94">
        <v>0.17</v>
      </c>
      <c r="G29" s="95">
        <v>313.14999999999998</v>
      </c>
      <c r="H29" s="105"/>
      <c r="I29" s="108"/>
      <c r="J29" s="109"/>
    </row>
    <row r="30" spans="1:10">
      <c r="A30" s="90"/>
      <c r="B30" s="91">
        <v>42945</v>
      </c>
      <c r="C30" s="92" t="s">
        <v>430</v>
      </c>
      <c r="D30" s="93" t="s">
        <v>417</v>
      </c>
      <c r="E30" s="92" t="s">
        <v>391</v>
      </c>
      <c r="F30" s="94">
        <v>0.2</v>
      </c>
      <c r="G30" s="95">
        <v>387.76</v>
      </c>
      <c r="H30" s="105"/>
      <c r="I30" s="108"/>
      <c r="J30" s="109"/>
    </row>
    <row r="31" spans="1:10">
      <c r="A31" s="90"/>
      <c r="B31" s="91"/>
      <c r="C31" s="92"/>
      <c r="D31" s="93"/>
      <c r="E31" s="92"/>
      <c r="F31" s="94"/>
      <c r="G31" s="95"/>
      <c r="H31" s="105"/>
      <c r="I31" s="108"/>
      <c r="J31" s="109"/>
    </row>
    <row r="32" spans="1:10">
      <c r="A32" s="90"/>
      <c r="B32" s="91"/>
      <c r="C32" s="92"/>
      <c r="D32" s="93"/>
      <c r="E32" s="92"/>
      <c r="F32" s="94"/>
      <c r="G32" s="95"/>
      <c r="H32" s="105"/>
      <c r="I32" s="108"/>
      <c r="J32" s="109"/>
    </row>
    <row r="33" spans="1:10">
      <c r="A33" s="90"/>
      <c r="B33" s="91"/>
      <c r="C33" s="92"/>
      <c r="D33" s="93"/>
      <c r="E33" s="92"/>
      <c r="F33" s="94"/>
      <c r="G33" s="95"/>
      <c r="H33" s="105"/>
      <c r="I33" s="108"/>
      <c r="J33" s="109"/>
    </row>
    <row r="34" spans="1:10">
      <c r="A34" s="90"/>
      <c r="B34" s="91"/>
      <c r="C34" s="92"/>
      <c r="D34" s="93"/>
      <c r="E34" s="92"/>
      <c r="F34" s="94"/>
      <c r="G34" s="95"/>
      <c r="H34" s="105"/>
      <c r="I34" s="108"/>
      <c r="J34" s="109"/>
    </row>
    <row r="35" spans="1:10">
      <c r="A35" s="90"/>
      <c r="B35" s="91"/>
      <c r="C35" s="92"/>
      <c r="D35" s="93"/>
      <c r="E35" s="92"/>
      <c r="F35" s="94"/>
      <c r="G35" s="95"/>
      <c r="H35" s="105"/>
      <c r="I35" s="108"/>
      <c r="J35" s="109"/>
    </row>
    <row r="36" spans="1:10">
      <c r="A36" s="90"/>
      <c r="B36" s="91"/>
      <c r="C36" s="92"/>
      <c r="D36" s="93"/>
      <c r="E36" s="92"/>
      <c r="F36" s="94"/>
      <c r="G36" s="95"/>
      <c r="H36" s="105"/>
      <c r="I36" s="108"/>
      <c r="J36" s="109"/>
    </row>
    <row r="37" spans="1:10">
      <c r="A37" s="90"/>
      <c r="B37" s="91"/>
      <c r="C37" s="92"/>
      <c r="D37" s="93"/>
      <c r="E37" s="92"/>
      <c r="F37" s="94"/>
      <c r="G37" s="95"/>
      <c r="H37" s="105"/>
      <c r="I37" s="108"/>
      <c r="J37" s="109"/>
    </row>
    <row r="38" spans="1:10">
      <c r="A38" s="90"/>
      <c r="B38" s="91"/>
      <c r="C38" s="92"/>
      <c r="D38" s="93"/>
      <c r="E38" s="92"/>
      <c r="F38" s="94"/>
      <c r="G38" s="95"/>
      <c r="H38" s="105"/>
      <c r="I38" s="108"/>
      <c r="J38" s="109"/>
    </row>
    <row r="39" spans="1:10">
      <c r="A39" s="90"/>
      <c r="B39" s="91"/>
      <c r="C39" s="92"/>
      <c r="D39" s="93"/>
      <c r="E39" s="92"/>
      <c r="F39" s="94"/>
      <c r="G39" s="95"/>
      <c r="H39" s="106"/>
      <c r="I39" s="108"/>
      <c r="J39" s="109"/>
    </row>
    <row r="40" spans="1:10" ht="19.5">
      <c r="A40" s="673" t="s">
        <v>39</v>
      </c>
      <c r="B40" s="674"/>
      <c r="C40" s="674"/>
      <c r="D40" s="674"/>
      <c r="E40" s="674"/>
      <c r="F40" s="675"/>
      <c r="G40" s="89">
        <f>SUM(G2:G39)</f>
        <v>7116.5400000000009</v>
      </c>
      <c r="H40" s="107">
        <f>SUM(H2:H39)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37"/>
  <sheetViews>
    <sheetView workbookViewId="0"/>
  </sheetViews>
  <sheetFormatPr defaultRowHeight="15"/>
  <sheetData>
    <row r="1" spans="1:10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86" t="s">
        <v>7</v>
      </c>
      <c r="H1" s="88" t="s">
        <v>307</v>
      </c>
      <c r="I1" s="676" t="s">
        <v>370</v>
      </c>
      <c r="J1" s="110"/>
    </row>
    <row r="2" spans="1:10">
      <c r="A2" s="31"/>
      <c r="B2" s="32">
        <v>42968</v>
      </c>
      <c r="C2" s="7" t="s">
        <v>329</v>
      </c>
      <c r="D2" s="8" t="s">
        <v>61</v>
      </c>
      <c r="E2" s="7" t="s">
        <v>19</v>
      </c>
      <c r="F2" s="55">
        <v>0.1</v>
      </c>
      <c r="G2" s="65">
        <v>107.98</v>
      </c>
      <c r="H2" s="103"/>
      <c r="I2" s="108"/>
      <c r="J2" s="109"/>
    </row>
    <row r="3" spans="1:10">
      <c r="A3" s="31"/>
      <c r="B3" s="32">
        <v>42967</v>
      </c>
      <c r="C3" s="7" t="s">
        <v>104</v>
      </c>
      <c r="D3" s="8" t="s">
        <v>209</v>
      </c>
      <c r="E3" s="7" t="s">
        <v>10</v>
      </c>
      <c r="F3" s="55">
        <v>0.25</v>
      </c>
      <c r="G3" s="87">
        <v>295.31</v>
      </c>
      <c r="H3" s="104"/>
      <c r="I3" s="108"/>
      <c r="J3" s="109"/>
    </row>
    <row r="4" spans="1:10">
      <c r="A4" s="22"/>
      <c r="B4" s="26">
        <v>42964</v>
      </c>
      <c r="C4" s="13" t="s">
        <v>431</v>
      </c>
      <c r="D4" s="14" t="s">
        <v>61</v>
      </c>
      <c r="E4" s="13" t="s">
        <v>19</v>
      </c>
      <c r="F4" s="56">
        <v>0.17</v>
      </c>
      <c r="G4" s="133">
        <v>390.85</v>
      </c>
      <c r="H4" s="104"/>
      <c r="I4" s="108"/>
      <c r="J4" s="109"/>
    </row>
    <row r="5" spans="1:10">
      <c r="A5" s="22"/>
      <c r="B5" s="26">
        <v>42961</v>
      </c>
      <c r="C5" s="13" t="s">
        <v>432</v>
      </c>
      <c r="D5" s="14" t="s">
        <v>14</v>
      </c>
      <c r="E5" s="13" t="s">
        <v>10</v>
      </c>
      <c r="F5" s="56">
        <v>0.1</v>
      </c>
      <c r="G5" s="87">
        <v>149.09</v>
      </c>
      <c r="H5" s="104"/>
      <c r="I5" s="108"/>
      <c r="J5" s="109"/>
    </row>
    <row r="6" spans="1:10">
      <c r="A6" s="22"/>
      <c r="B6" s="26">
        <v>42962</v>
      </c>
      <c r="C6" s="13" t="s">
        <v>98</v>
      </c>
      <c r="D6" s="14" t="s">
        <v>14</v>
      </c>
      <c r="E6" s="13" t="s">
        <v>22</v>
      </c>
      <c r="F6" s="56">
        <v>0.1</v>
      </c>
      <c r="G6" s="87">
        <v>338.58</v>
      </c>
      <c r="H6" s="104"/>
      <c r="I6" s="108"/>
      <c r="J6" s="109"/>
    </row>
    <row r="7" spans="1:10">
      <c r="A7" s="22"/>
      <c r="B7" s="26">
        <v>42959</v>
      </c>
      <c r="C7" s="13" t="s">
        <v>204</v>
      </c>
      <c r="D7" s="14" t="s">
        <v>14</v>
      </c>
      <c r="E7" s="13" t="s">
        <v>10</v>
      </c>
      <c r="F7" s="56">
        <v>0.1</v>
      </c>
      <c r="G7" s="87">
        <v>88.74</v>
      </c>
      <c r="H7" s="104"/>
      <c r="I7" s="108"/>
      <c r="J7" s="109"/>
    </row>
    <row r="8" spans="1:10">
      <c r="A8" s="22"/>
      <c r="B8" s="26">
        <v>42956</v>
      </c>
      <c r="C8" s="13" t="s">
        <v>433</v>
      </c>
      <c r="D8" s="14" t="s">
        <v>14</v>
      </c>
      <c r="E8" s="13" t="s">
        <v>10</v>
      </c>
      <c r="F8" s="56">
        <v>0.1</v>
      </c>
      <c r="G8" s="87">
        <v>87.02</v>
      </c>
      <c r="H8" s="104"/>
      <c r="I8" s="108"/>
      <c r="J8" s="109"/>
    </row>
    <row r="9" spans="1:10">
      <c r="A9" s="22"/>
      <c r="B9" s="26">
        <v>42962</v>
      </c>
      <c r="C9" s="13" t="s">
        <v>101</v>
      </c>
      <c r="D9" s="14" t="s">
        <v>9</v>
      </c>
      <c r="E9" s="13" t="s">
        <v>10</v>
      </c>
      <c r="F9" s="56">
        <v>0.2</v>
      </c>
      <c r="G9" s="87">
        <v>224.9</v>
      </c>
      <c r="H9" s="104"/>
      <c r="I9" s="108"/>
      <c r="J9" s="109"/>
    </row>
    <row r="10" spans="1:10">
      <c r="A10" s="22"/>
      <c r="B10" s="26">
        <v>42975</v>
      </c>
      <c r="C10" s="13" t="s">
        <v>337</v>
      </c>
      <c r="D10" s="14" t="s">
        <v>14</v>
      </c>
      <c r="E10" s="13" t="s">
        <v>10</v>
      </c>
      <c r="F10" s="56">
        <v>0.1</v>
      </c>
      <c r="G10" s="87">
        <v>138.31</v>
      </c>
      <c r="H10" s="104"/>
      <c r="I10" s="108"/>
      <c r="J10" s="109"/>
    </row>
    <row r="11" spans="1:10">
      <c r="A11" s="22"/>
      <c r="B11" s="26">
        <v>42972</v>
      </c>
      <c r="C11" s="13" t="s">
        <v>434</v>
      </c>
      <c r="D11" s="14" t="s">
        <v>61</v>
      </c>
      <c r="E11" s="13" t="s">
        <v>19</v>
      </c>
      <c r="F11" s="56">
        <v>0.1</v>
      </c>
      <c r="G11" s="87">
        <v>91.09</v>
      </c>
      <c r="H11" s="104"/>
      <c r="I11" s="108"/>
      <c r="J11" s="109"/>
    </row>
    <row r="12" spans="1:10">
      <c r="A12" s="22"/>
      <c r="B12" s="26">
        <v>42973</v>
      </c>
      <c r="C12" s="13" t="s">
        <v>50</v>
      </c>
      <c r="D12" s="14" t="s">
        <v>21</v>
      </c>
      <c r="E12" s="13" t="s">
        <v>75</v>
      </c>
      <c r="F12" s="56">
        <v>0.1</v>
      </c>
      <c r="G12" s="87">
        <v>144.31</v>
      </c>
      <c r="H12" s="104"/>
      <c r="I12" s="108"/>
      <c r="J12" s="109"/>
    </row>
    <row r="13" spans="1:10">
      <c r="A13" s="85"/>
      <c r="B13" s="26">
        <v>42971</v>
      </c>
      <c r="C13" s="13" t="s">
        <v>334</v>
      </c>
      <c r="D13" s="14" t="s">
        <v>14</v>
      </c>
      <c r="E13" s="13" t="s">
        <v>10</v>
      </c>
      <c r="F13" s="56">
        <v>0.2</v>
      </c>
      <c r="G13" s="87">
        <v>417.5</v>
      </c>
      <c r="H13" s="104"/>
      <c r="I13" s="108"/>
      <c r="J13" s="109"/>
    </row>
    <row r="14" spans="1:10">
      <c r="A14" s="85"/>
      <c r="B14" s="26">
        <v>42977</v>
      </c>
      <c r="C14" s="13" t="s">
        <v>336</v>
      </c>
      <c r="D14" s="14" t="s">
        <v>14</v>
      </c>
      <c r="E14" s="13" t="s">
        <v>10</v>
      </c>
      <c r="F14" s="56">
        <v>0.15</v>
      </c>
      <c r="G14" s="87">
        <v>305.41000000000003</v>
      </c>
      <c r="H14" s="104"/>
      <c r="I14" s="108"/>
      <c r="J14" s="109"/>
    </row>
    <row r="15" spans="1:10">
      <c r="A15" s="85"/>
      <c r="B15" s="26">
        <v>42973</v>
      </c>
      <c r="C15" s="13" t="s">
        <v>435</v>
      </c>
      <c r="D15" s="14" t="s">
        <v>14</v>
      </c>
      <c r="E15" s="13" t="s">
        <v>10</v>
      </c>
      <c r="F15" s="56">
        <v>0.1</v>
      </c>
      <c r="G15" s="87">
        <v>101.04</v>
      </c>
      <c r="H15" s="104"/>
      <c r="I15" s="108"/>
      <c r="J15" s="109"/>
    </row>
    <row r="16" spans="1:10">
      <c r="A16" s="85"/>
      <c r="B16" s="26"/>
      <c r="C16" s="13"/>
      <c r="D16" s="14"/>
      <c r="E16" s="13"/>
      <c r="F16" s="56"/>
      <c r="G16" s="87"/>
      <c r="H16" s="104"/>
      <c r="I16" s="108"/>
      <c r="J16" s="109"/>
    </row>
    <row r="17" spans="1:10">
      <c r="A17" s="85"/>
      <c r="B17" s="26"/>
      <c r="C17" s="13"/>
      <c r="D17" s="14"/>
      <c r="E17" s="13"/>
      <c r="F17" s="56"/>
      <c r="G17" s="87"/>
      <c r="H17" s="104"/>
      <c r="I17" s="108"/>
      <c r="J17" s="109"/>
    </row>
    <row r="18" spans="1:10">
      <c r="A18" s="85"/>
      <c r="B18" s="26"/>
      <c r="C18" s="13"/>
      <c r="D18" s="14"/>
      <c r="E18" s="13"/>
      <c r="F18" s="56"/>
      <c r="G18" s="87"/>
      <c r="H18" s="104"/>
      <c r="I18" s="108"/>
      <c r="J18" s="109"/>
    </row>
    <row r="19" spans="1:10">
      <c r="A19" s="85"/>
      <c r="B19" s="26"/>
      <c r="C19" s="13"/>
      <c r="D19" s="14"/>
      <c r="E19" s="13"/>
      <c r="F19" s="56"/>
      <c r="G19" s="87"/>
      <c r="H19" s="104"/>
      <c r="I19" s="108"/>
      <c r="J19" s="109"/>
    </row>
    <row r="20" spans="1:10">
      <c r="A20" s="85"/>
      <c r="B20" s="26"/>
      <c r="C20" s="13"/>
      <c r="D20" s="14"/>
      <c r="E20" s="13"/>
      <c r="F20" s="56"/>
      <c r="G20" s="87"/>
      <c r="H20" s="104"/>
      <c r="I20" s="108"/>
      <c r="J20" s="109"/>
    </row>
    <row r="21" spans="1:10">
      <c r="A21" s="85"/>
      <c r="B21" s="26"/>
      <c r="C21" s="13"/>
      <c r="D21" s="14"/>
      <c r="E21" s="13"/>
      <c r="F21" s="56"/>
      <c r="G21" s="87"/>
      <c r="H21" s="104"/>
      <c r="I21" s="108"/>
      <c r="J21" s="109"/>
    </row>
    <row r="22" spans="1:10">
      <c r="A22" s="22"/>
      <c r="B22" s="26"/>
      <c r="C22" s="13"/>
      <c r="D22" s="14"/>
      <c r="E22" s="13"/>
      <c r="F22" s="56"/>
      <c r="G22" s="87"/>
      <c r="H22" s="104"/>
      <c r="I22" s="108"/>
      <c r="J22" s="109"/>
    </row>
    <row r="23" spans="1:10">
      <c r="A23" s="22"/>
      <c r="B23" s="26"/>
      <c r="C23" s="13"/>
      <c r="D23" s="14"/>
      <c r="E23" s="13"/>
      <c r="F23" s="56"/>
      <c r="G23" s="87"/>
      <c r="H23" s="104"/>
      <c r="I23" s="108"/>
      <c r="J23" s="109"/>
    </row>
    <row r="24" spans="1:10">
      <c r="A24" s="90"/>
      <c r="B24" s="91"/>
      <c r="C24" s="92"/>
      <c r="D24" s="93"/>
      <c r="E24" s="92"/>
      <c r="F24" s="94"/>
      <c r="G24" s="95"/>
      <c r="H24" s="105"/>
      <c r="I24" s="108"/>
      <c r="J24" s="109"/>
    </row>
    <row r="25" spans="1:10">
      <c r="A25" s="90"/>
      <c r="B25" s="91"/>
      <c r="C25" s="92"/>
      <c r="D25" s="93"/>
      <c r="E25" s="92"/>
      <c r="F25" s="94"/>
      <c r="G25" s="95"/>
      <c r="H25" s="105"/>
      <c r="I25" s="108"/>
      <c r="J25" s="109"/>
    </row>
    <row r="26" spans="1:10">
      <c r="A26" s="90"/>
      <c r="B26" s="91"/>
      <c r="C26" s="92"/>
      <c r="D26" s="93"/>
      <c r="E26" s="92"/>
      <c r="F26" s="94"/>
      <c r="G26" s="95"/>
      <c r="H26" s="105"/>
      <c r="I26" s="108"/>
      <c r="J26" s="109"/>
    </row>
    <row r="27" spans="1:10">
      <c r="A27" s="90"/>
      <c r="B27" s="91"/>
      <c r="C27" s="92"/>
      <c r="D27" s="93"/>
      <c r="E27" s="92"/>
      <c r="F27" s="94"/>
      <c r="G27" s="95"/>
      <c r="H27" s="105"/>
      <c r="I27" s="108"/>
      <c r="J27" s="109"/>
    </row>
    <row r="28" spans="1:10">
      <c r="A28" s="90"/>
      <c r="B28" s="91"/>
      <c r="C28" s="92"/>
      <c r="D28" s="93"/>
      <c r="E28" s="92"/>
      <c r="F28" s="94"/>
      <c r="G28" s="95"/>
      <c r="H28" s="105"/>
      <c r="I28" s="108"/>
      <c r="J28" s="109"/>
    </row>
    <row r="29" spans="1:10">
      <c r="A29" s="90"/>
      <c r="B29" s="91"/>
      <c r="C29" s="92"/>
      <c r="D29" s="93"/>
      <c r="E29" s="92"/>
      <c r="F29" s="94"/>
      <c r="G29" s="95"/>
      <c r="H29" s="105"/>
      <c r="I29" s="108"/>
      <c r="J29" s="109"/>
    </row>
    <row r="30" spans="1:10">
      <c r="A30" s="90"/>
      <c r="B30" s="91"/>
      <c r="C30" s="92"/>
      <c r="D30" s="93"/>
      <c r="E30" s="92"/>
      <c r="F30" s="94"/>
      <c r="G30" s="95"/>
      <c r="H30" s="105"/>
      <c r="I30" s="108"/>
      <c r="J30" s="109"/>
    </row>
    <row r="31" spans="1:10">
      <c r="A31" s="90"/>
      <c r="B31" s="91"/>
      <c r="C31" s="92"/>
      <c r="D31" s="93"/>
      <c r="E31" s="92"/>
      <c r="F31" s="94"/>
      <c r="G31" s="95"/>
      <c r="H31" s="105"/>
      <c r="I31" s="108"/>
      <c r="J31" s="109"/>
    </row>
    <row r="32" spans="1:10">
      <c r="A32" s="90"/>
      <c r="B32" s="91"/>
      <c r="C32" s="92"/>
      <c r="D32" s="93"/>
      <c r="E32" s="92"/>
      <c r="F32" s="94"/>
      <c r="G32" s="95"/>
      <c r="H32" s="105"/>
      <c r="I32" s="108"/>
      <c r="J32" s="109"/>
    </row>
    <row r="33" spans="1:10">
      <c r="A33" s="90"/>
      <c r="B33" s="91"/>
      <c r="C33" s="92"/>
      <c r="D33" s="93"/>
      <c r="E33" s="92"/>
      <c r="F33" s="94"/>
      <c r="G33" s="95"/>
      <c r="H33" s="105"/>
      <c r="I33" s="108"/>
      <c r="J33" s="109"/>
    </row>
    <row r="34" spans="1:10">
      <c r="A34" s="90"/>
      <c r="B34" s="91"/>
      <c r="C34" s="92"/>
      <c r="D34" s="93"/>
      <c r="E34" s="92"/>
      <c r="F34" s="94"/>
      <c r="G34" s="95"/>
      <c r="H34" s="105"/>
      <c r="I34" s="108"/>
      <c r="J34" s="109"/>
    </row>
    <row r="35" spans="1:10">
      <c r="A35" s="90"/>
      <c r="B35" s="91"/>
      <c r="C35" s="92"/>
      <c r="D35" s="93"/>
      <c r="E35" s="92"/>
      <c r="F35" s="94"/>
      <c r="G35" s="95"/>
      <c r="H35" s="105"/>
      <c r="I35" s="108"/>
      <c r="J35" s="109"/>
    </row>
    <row r="36" spans="1:10">
      <c r="A36" s="90"/>
      <c r="B36" s="91"/>
      <c r="C36" s="92"/>
      <c r="D36" s="93"/>
      <c r="E36" s="92"/>
      <c r="F36" s="94"/>
      <c r="G36" s="95"/>
      <c r="H36" s="106"/>
      <c r="I36" s="108"/>
      <c r="J36" s="109"/>
    </row>
    <row r="37" spans="1:10" ht="19.5">
      <c r="A37" s="673" t="s">
        <v>39</v>
      </c>
      <c r="B37" s="674"/>
      <c r="C37" s="674"/>
      <c r="D37" s="674"/>
      <c r="E37" s="674"/>
      <c r="F37" s="675"/>
      <c r="G37" s="89">
        <f>SUM(G2:G36)</f>
        <v>2880.13</v>
      </c>
      <c r="H37" s="107">
        <f>SUM(H2:H36)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40"/>
  <sheetViews>
    <sheetView workbookViewId="0"/>
  </sheetViews>
  <sheetFormatPr defaultRowHeight="15"/>
  <sheetData>
    <row r="1" spans="1:10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86" t="s">
        <v>7</v>
      </c>
      <c r="H1" s="88" t="s">
        <v>307</v>
      </c>
      <c r="I1" s="676" t="s">
        <v>370</v>
      </c>
      <c r="J1" s="110"/>
    </row>
    <row r="2" spans="1:10">
      <c r="A2" s="31"/>
      <c r="B2" s="32">
        <v>42979</v>
      </c>
      <c r="C2" s="7" t="s">
        <v>338</v>
      </c>
      <c r="D2" s="8" t="s">
        <v>70</v>
      </c>
      <c r="E2" s="7" t="s">
        <v>279</v>
      </c>
      <c r="F2" s="55">
        <v>0.17</v>
      </c>
      <c r="G2" s="65">
        <v>411.9</v>
      </c>
      <c r="H2" s="103"/>
      <c r="I2" s="108"/>
      <c r="J2" s="109"/>
    </row>
    <row r="3" spans="1:10">
      <c r="A3" s="31"/>
      <c r="B3" s="32">
        <v>42981</v>
      </c>
      <c r="C3" s="7" t="s">
        <v>119</v>
      </c>
      <c r="D3" s="8" t="s">
        <v>322</v>
      </c>
      <c r="E3" s="7" t="s">
        <v>10</v>
      </c>
      <c r="F3" s="55">
        <v>0.1</v>
      </c>
      <c r="G3" s="87">
        <v>150.52000000000001</v>
      </c>
      <c r="H3" s="104"/>
      <c r="I3" s="108"/>
      <c r="J3" s="109"/>
    </row>
    <row r="4" spans="1:10">
      <c r="A4" s="31"/>
      <c r="B4" s="32">
        <v>42982</v>
      </c>
      <c r="C4" s="7" t="s">
        <v>120</v>
      </c>
      <c r="D4" s="8" t="s">
        <v>14</v>
      </c>
      <c r="E4" s="7" t="s">
        <v>15</v>
      </c>
      <c r="F4" s="55">
        <v>0.15</v>
      </c>
      <c r="G4" s="72">
        <v>359.6</v>
      </c>
      <c r="H4" s="104"/>
      <c r="I4" s="677"/>
      <c r="J4" s="677"/>
    </row>
    <row r="5" spans="1:10">
      <c r="A5" s="22"/>
      <c r="B5" s="26">
        <v>42993</v>
      </c>
      <c r="C5" s="13" t="s">
        <v>125</v>
      </c>
      <c r="D5" s="14" t="s">
        <v>14</v>
      </c>
      <c r="E5" s="13" t="s">
        <v>29</v>
      </c>
      <c r="F5" s="56">
        <v>0.1</v>
      </c>
      <c r="G5" s="133">
        <v>246.61</v>
      </c>
      <c r="H5" s="104"/>
      <c r="I5" s="108"/>
      <c r="J5" s="109"/>
    </row>
    <row r="6" spans="1:10">
      <c r="A6" s="22"/>
      <c r="B6" s="26">
        <v>42988</v>
      </c>
      <c r="C6" s="13" t="s">
        <v>436</v>
      </c>
      <c r="D6" s="14" t="s">
        <v>14</v>
      </c>
      <c r="E6" s="13" t="s">
        <v>15</v>
      </c>
      <c r="F6" s="56">
        <v>0.2</v>
      </c>
      <c r="G6" s="87">
        <v>382.13</v>
      </c>
      <c r="H6" s="104"/>
      <c r="I6" s="108"/>
      <c r="J6" s="109"/>
    </row>
    <row r="7" spans="1:10">
      <c r="A7" s="22"/>
      <c r="B7" s="26">
        <v>42999</v>
      </c>
      <c r="C7" s="13" t="s">
        <v>129</v>
      </c>
      <c r="D7" s="14" t="s">
        <v>14</v>
      </c>
      <c r="E7" s="13" t="s">
        <v>10</v>
      </c>
      <c r="F7" s="56">
        <v>0.1</v>
      </c>
      <c r="G7" s="87">
        <v>133.5</v>
      </c>
      <c r="H7" s="104"/>
      <c r="I7" s="108"/>
      <c r="J7" s="109"/>
    </row>
    <row r="8" spans="1:10">
      <c r="A8" s="22"/>
      <c r="B8" s="26">
        <v>42986</v>
      </c>
      <c r="C8" s="13" t="s">
        <v>437</v>
      </c>
      <c r="D8" s="14" t="s">
        <v>14</v>
      </c>
      <c r="E8" s="13" t="s">
        <v>438</v>
      </c>
      <c r="F8" s="56">
        <v>0.17</v>
      </c>
      <c r="G8" s="87">
        <v>128.55000000000001</v>
      </c>
      <c r="H8" s="104"/>
      <c r="I8" s="108"/>
      <c r="J8" s="109"/>
    </row>
    <row r="9" spans="1:10">
      <c r="A9" s="22"/>
      <c r="B9" s="26">
        <v>42993</v>
      </c>
      <c r="C9" s="13" t="s">
        <v>439</v>
      </c>
      <c r="D9" s="14" t="s">
        <v>14</v>
      </c>
      <c r="E9" s="13" t="s">
        <v>10</v>
      </c>
      <c r="F9" s="56">
        <v>0.19</v>
      </c>
      <c r="G9" s="87">
        <v>183.92</v>
      </c>
      <c r="H9" s="104"/>
      <c r="I9" s="108"/>
      <c r="J9" s="109"/>
    </row>
    <row r="10" spans="1:10">
      <c r="A10" s="22"/>
      <c r="B10" s="26">
        <v>42993</v>
      </c>
      <c r="C10" s="13" t="s">
        <v>127</v>
      </c>
      <c r="D10" s="14" t="s">
        <v>25</v>
      </c>
      <c r="E10" s="13" t="s">
        <v>17</v>
      </c>
      <c r="F10" s="56">
        <v>0.25</v>
      </c>
      <c r="G10" s="87">
        <v>305.14999999999998</v>
      </c>
      <c r="H10" s="104"/>
      <c r="I10" s="108" t="s">
        <v>440</v>
      </c>
      <c r="J10" s="109"/>
    </row>
    <row r="11" spans="1:10">
      <c r="A11" s="22"/>
      <c r="B11" s="26">
        <v>42990</v>
      </c>
      <c r="C11" s="13" t="s">
        <v>126</v>
      </c>
      <c r="D11" s="14" t="s">
        <v>61</v>
      </c>
      <c r="E11" s="13" t="s">
        <v>17</v>
      </c>
      <c r="F11" s="56">
        <v>0.15</v>
      </c>
      <c r="G11" s="87">
        <v>117.66</v>
      </c>
      <c r="H11" s="104"/>
      <c r="I11" s="108"/>
      <c r="J11" s="109"/>
    </row>
    <row r="12" spans="1:10">
      <c r="A12" s="22"/>
      <c r="B12" s="26">
        <v>43007</v>
      </c>
      <c r="C12" s="13" t="s">
        <v>441</v>
      </c>
      <c r="D12" s="14" t="s">
        <v>14</v>
      </c>
      <c r="E12" s="13" t="s">
        <v>10</v>
      </c>
      <c r="F12" s="56">
        <v>0.15</v>
      </c>
      <c r="G12" s="87">
        <v>169.36</v>
      </c>
      <c r="H12" s="104" t="s">
        <v>442</v>
      </c>
      <c r="I12" s="108"/>
      <c r="J12" s="109"/>
    </row>
    <row r="13" spans="1:10">
      <c r="A13" s="22"/>
      <c r="B13" s="26">
        <v>42992</v>
      </c>
      <c r="C13" s="13" t="s">
        <v>443</v>
      </c>
      <c r="D13" s="14" t="s">
        <v>14</v>
      </c>
      <c r="E13" s="13" t="s">
        <v>10</v>
      </c>
      <c r="F13" s="56">
        <v>0.1</v>
      </c>
      <c r="G13" s="87">
        <v>88.5</v>
      </c>
      <c r="H13" s="104"/>
      <c r="I13" s="108"/>
      <c r="J13" s="109"/>
    </row>
    <row r="14" spans="1:10">
      <c r="A14" s="22"/>
      <c r="B14" s="26">
        <v>42992</v>
      </c>
      <c r="C14" s="13" t="s">
        <v>379</v>
      </c>
      <c r="D14" s="14" t="s">
        <v>14</v>
      </c>
      <c r="E14" s="13" t="s">
        <v>279</v>
      </c>
      <c r="F14" s="56">
        <v>0.25</v>
      </c>
      <c r="G14" s="87">
        <v>683.18</v>
      </c>
      <c r="H14" s="104"/>
      <c r="I14" s="108"/>
      <c r="J14" s="109"/>
    </row>
    <row r="15" spans="1:10">
      <c r="A15" s="85"/>
      <c r="B15" s="26">
        <v>42994</v>
      </c>
      <c r="C15" s="13" t="s">
        <v>444</v>
      </c>
      <c r="D15" s="14" t="s">
        <v>14</v>
      </c>
      <c r="E15" s="13" t="s">
        <v>15</v>
      </c>
      <c r="F15" s="56">
        <v>0.1</v>
      </c>
      <c r="G15" s="87">
        <v>204.78</v>
      </c>
      <c r="H15" s="104"/>
      <c r="I15" s="108"/>
      <c r="J15" s="109"/>
    </row>
    <row r="16" spans="1:10">
      <c r="A16" s="85"/>
      <c r="B16" s="26">
        <v>42997</v>
      </c>
      <c r="C16" s="13" t="s">
        <v>122</v>
      </c>
      <c r="D16" s="14" t="s">
        <v>14</v>
      </c>
      <c r="E16" s="13" t="s">
        <v>10</v>
      </c>
      <c r="F16" s="56">
        <v>0.25</v>
      </c>
      <c r="G16" s="87">
        <v>226.15</v>
      </c>
      <c r="H16" s="104"/>
      <c r="I16" s="108"/>
      <c r="J16" s="109"/>
    </row>
    <row r="17" spans="1:10">
      <c r="A17" s="85"/>
      <c r="B17" s="26">
        <v>43002</v>
      </c>
      <c r="C17" s="13" t="s">
        <v>43</v>
      </c>
      <c r="D17" s="14" t="s">
        <v>61</v>
      </c>
      <c r="E17" s="13" t="s">
        <v>75</v>
      </c>
      <c r="F17" s="56">
        <v>0.1</v>
      </c>
      <c r="G17" s="87">
        <v>182.21</v>
      </c>
      <c r="H17" s="104"/>
      <c r="I17" s="108"/>
      <c r="J17" s="109"/>
    </row>
    <row r="18" spans="1:10">
      <c r="A18" s="85"/>
      <c r="B18" s="26">
        <v>43007</v>
      </c>
      <c r="C18" s="13" t="s">
        <v>133</v>
      </c>
      <c r="D18" s="14" t="s">
        <v>21</v>
      </c>
      <c r="E18" s="13" t="s">
        <v>10</v>
      </c>
      <c r="F18" s="56">
        <v>0.1</v>
      </c>
      <c r="G18" s="87">
        <v>162.91</v>
      </c>
      <c r="H18" s="104"/>
      <c r="I18" s="108"/>
      <c r="J18" s="109"/>
    </row>
    <row r="19" spans="1:10">
      <c r="A19" s="85"/>
      <c r="B19" s="26">
        <v>42999</v>
      </c>
      <c r="C19" s="13" t="s">
        <v>445</v>
      </c>
      <c r="D19" s="14" t="s">
        <v>14</v>
      </c>
      <c r="E19" s="13" t="s">
        <v>10</v>
      </c>
      <c r="F19" s="56">
        <v>0.25</v>
      </c>
      <c r="G19" s="87">
        <v>325.81</v>
      </c>
      <c r="H19" s="104"/>
      <c r="I19" s="108"/>
      <c r="J19" s="109"/>
    </row>
    <row r="20" spans="1:10">
      <c r="A20" s="85"/>
      <c r="B20" s="26">
        <v>43004</v>
      </c>
      <c r="C20" s="13" t="s">
        <v>107</v>
      </c>
      <c r="D20" s="14" t="s">
        <v>61</v>
      </c>
      <c r="E20" s="13" t="s">
        <v>19</v>
      </c>
      <c r="F20" s="56">
        <v>0.1</v>
      </c>
      <c r="G20" s="87">
        <v>249.03</v>
      </c>
      <c r="H20" s="104"/>
      <c r="I20" s="108"/>
      <c r="J20" s="109"/>
    </row>
    <row r="21" spans="1:10">
      <c r="A21" s="85"/>
      <c r="B21" s="26">
        <v>43005</v>
      </c>
      <c r="C21" s="13" t="s">
        <v>132</v>
      </c>
      <c r="D21" s="14" t="s">
        <v>14</v>
      </c>
      <c r="E21" s="13" t="s">
        <v>10</v>
      </c>
      <c r="F21" s="56">
        <v>0.15</v>
      </c>
      <c r="G21" s="87">
        <v>167.8</v>
      </c>
      <c r="H21" s="104"/>
      <c r="I21" s="108"/>
      <c r="J21" s="109"/>
    </row>
    <row r="22" spans="1:10">
      <c r="A22" s="85"/>
      <c r="B22" s="26">
        <v>43008</v>
      </c>
      <c r="C22" s="13" t="s">
        <v>446</v>
      </c>
      <c r="D22" s="14" t="s">
        <v>209</v>
      </c>
      <c r="E22" s="13" t="s">
        <v>10</v>
      </c>
      <c r="F22" s="56">
        <v>0.1</v>
      </c>
      <c r="G22" s="87">
        <v>149.53</v>
      </c>
      <c r="H22" s="104"/>
      <c r="I22" s="108"/>
      <c r="J22" s="109"/>
    </row>
    <row r="23" spans="1:10">
      <c r="A23" s="85"/>
      <c r="B23" s="26">
        <v>43007</v>
      </c>
      <c r="C23" s="13" t="s">
        <v>447</v>
      </c>
      <c r="D23" s="14" t="s">
        <v>448</v>
      </c>
      <c r="E23" s="13" t="s">
        <v>279</v>
      </c>
      <c r="F23" s="56">
        <v>0.1</v>
      </c>
      <c r="G23" s="87">
        <v>145.16999999999999</v>
      </c>
      <c r="H23" s="104"/>
      <c r="I23" s="108"/>
      <c r="J23" s="109"/>
    </row>
    <row r="24" spans="1:10">
      <c r="A24" s="85"/>
      <c r="B24" s="26">
        <v>43006</v>
      </c>
      <c r="C24" s="13" t="s">
        <v>449</v>
      </c>
      <c r="D24" s="14" t="s">
        <v>448</v>
      </c>
      <c r="E24" s="13" t="s">
        <v>75</v>
      </c>
      <c r="F24" s="56">
        <v>0.1</v>
      </c>
      <c r="G24" s="87">
        <v>186.71</v>
      </c>
      <c r="H24" s="104"/>
      <c r="I24" s="108"/>
      <c r="J24" s="109"/>
    </row>
    <row r="25" spans="1:10">
      <c r="A25" s="22"/>
      <c r="B25" s="26">
        <v>43008</v>
      </c>
      <c r="C25" s="13" t="s">
        <v>232</v>
      </c>
      <c r="D25" s="14" t="s">
        <v>70</v>
      </c>
      <c r="E25" s="13" t="s">
        <v>279</v>
      </c>
      <c r="F25" s="56">
        <v>0.1</v>
      </c>
      <c r="G25" s="87">
        <v>183.37</v>
      </c>
      <c r="H25" s="104"/>
      <c r="I25" s="108"/>
      <c r="J25" s="109"/>
    </row>
    <row r="26" spans="1:10">
      <c r="A26" s="22"/>
      <c r="B26" s="26"/>
      <c r="C26" s="13"/>
      <c r="D26" s="14"/>
      <c r="E26" s="13"/>
      <c r="F26" s="56"/>
      <c r="G26" s="87"/>
      <c r="H26" s="104"/>
      <c r="I26" s="108"/>
      <c r="J26" s="109"/>
    </row>
    <row r="27" spans="1:10">
      <c r="A27" s="90"/>
      <c r="B27" s="91"/>
      <c r="C27" s="92"/>
      <c r="D27" s="93"/>
      <c r="E27" s="92"/>
      <c r="F27" s="94"/>
      <c r="G27" s="95"/>
      <c r="H27" s="105"/>
      <c r="I27" s="108"/>
      <c r="J27" s="109"/>
    </row>
    <row r="28" spans="1:10">
      <c r="A28" s="90"/>
      <c r="B28" s="91"/>
      <c r="C28" s="92"/>
      <c r="D28" s="93"/>
      <c r="E28" s="92"/>
      <c r="F28" s="94"/>
      <c r="G28" s="95"/>
      <c r="H28" s="105"/>
      <c r="I28" s="108"/>
      <c r="J28" s="109"/>
    </row>
    <row r="29" spans="1:10">
      <c r="A29" s="90"/>
      <c r="B29" s="91"/>
      <c r="C29" s="92"/>
      <c r="D29" s="93"/>
      <c r="E29" s="92"/>
      <c r="F29" s="94"/>
      <c r="G29" s="95"/>
      <c r="H29" s="105"/>
      <c r="I29" s="108"/>
      <c r="J29" s="109"/>
    </row>
    <row r="30" spans="1:10">
      <c r="A30" s="90"/>
      <c r="B30" s="91"/>
      <c r="C30" s="92"/>
      <c r="D30" s="93"/>
      <c r="E30" s="92"/>
      <c r="F30" s="94"/>
      <c r="G30" s="95"/>
      <c r="H30" s="105"/>
      <c r="I30" s="108"/>
      <c r="J30" s="109"/>
    </row>
    <row r="31" spans="1:10">
      <c r="A31" s="90"/>
      <c r="B31" s="91"/>
      <c r="C31" s="92"/>
      <c r="D31" s="93"/>
      <c r="E31" s="92"/>
      <c r="F31" s="94"/>
      <c r="G31" s="95"/>
      <c r="H31" s="105"/>
      <c r="I31" s="108"/>
      <c r="J31" s="109"/>
    </row>
    <row r="32" spans="1:10">
      <c r="A32" s="90"/>
      <c r="B32" s="91"/>
      <c r="C32" s="92"/>
      <c r="D32" s="93"/>
      <c r="E32" s="92"/>
      <c r="F32" s="94"/>
      <c r="G32" s="95"/>
      <c r="H32" s="105"/>
      <c r="I32" s="108"/>
      <c r="J32" s="109"/>
    </row>
    <row r="33" spans="1:10">
      <c r="A33" s="90"/>
      <c r="B33" s="91"/>
      <c r="C33" s="92"/>
      <c r="D33" s="93"/>
      <c r="E33" s="92"/>
      <c r="F33" s="94"/>
      <c r="G33" s="95"/>
      <c r="H33" s="105"/>
      <c r="I33" s="108"/>
      <c r="J33" s="109"/>
    </row>
    <row r="34" spans="1:10">
      <c r="A34" s="90"/>
      <c r="B34" s="91"/>
      <c r="C34" s="92"/>
      <c r="D34" s="93"/>
      <c r="E34" s="92"/>
      <c r="F34" s="94"/>
      <c r="G34" s="95"/>
      <c r="H34" s="105"/>
      <c r="I34" s="108"/>
      <c r="J34" s="109"/>
    </row>
    <row r="35" spans="1:10">
      <c r="A35" s="90"/>
      <c r="B35" s="91"/>
      <c r="C35" s="92"/>
      <c r="D35" s="93"/>
      <c r="E35" s="92"/>
      <c r="F35" s="94"/>
      <c r="G35" s="95"/>
      <c r="H35" s="105"/>
      <c r="I35" s="108"/>
      <c r="J35" s="109"/>
    </row>
    <row r="36" spans="1:10">
      <c r="A36" s="90"/>
      <c r="B36" s="91"/>
      <c r="C36" s="92"/>
      <c r="D36" s="93"/>
      <c r="E36" s="92"/>
      <c r="F36" s="94"/>
      <c r="G36" s="95"/>
      <c r="H36" s="105"/>
      <c r="I36" s="108"/>
      <c r="J36" s="109"/>
    </row>
    <row r="37" spans="1:10">
      <c r="A37" s="90"/>
      <c r="B37" s="91"/>
      <c r="C37" s="92"/>
      <c r="D37" s="93"/>
      <c r="E37" s="92"/>
      <c r="F37" s="94"/>
      <c r="G37" s="95"/>
      <c r="H37" s="105"/>
      <c r="I37" s="108"/>
      <c r="J37" s="109"/>
    </row>
    <row r="38" spans="1:10">
      <c r="A38" s="90"/>
      <c r="B38" s="91"/>
      <c r="C38" s="92"/>
      <c r="D38" s="93"/>
      <c r="E38" s="92"/>
      <c r="F38" s="94"/>
      <c r="G38" s="95"/>
      <c r="H38" s="105"/>
      <c r="I38" s="108"/>
      <c r="J38" s="109"/>
    </row>
    <row r="39" spans="1:10">
      <c r="A39" s="90"/>
      <c r="B39" s="91"/>
      <c r="C39" s="92"/>
      <c r="D39" s="93"/>
      <c r="E39" s="92"/>
      <c r="F39" s="94"/>
      <c r="G39" s="95"/>
      <c r="H39" s="106"/>
      <c r="I39" s="108"/>
      <c r="J39" s="109"/>
    </row>
    <row r="40" spans="1:10" ht="19.5">
      <c r="A40" s="673" t="s">
        <v>39</v>
      </c>
      <c r="B40" s="674"/>
      <c r="C40" s="674"/>
      <c r="D40" s="674"/>
      <c r="E40" s="674"/>
      <c r="F40" s="675"/>
      <c r="G40" s="89">
        <f>SUM(G2:G39)</f>
        <v>5544.05</v>
      </c>
      <c r="H40" s="107">
        <f>SUM(H2:H39)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39"/>
  <sheetViews>
    <sheetView workbookViewId="0"/>
  </sheetViews>
  <sheetFormatPr defaultRowHeight="15"/>
  <sheetData>
    <row r="1" spans="1:10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86" t="s">
        <v>7</v>
      </c>
      <c r="H1" s="88" t="s">
        <v>307</v>
      </c>
      <c r="I1" s="676" t="s">
        <v>370</v>
      </c>
      <c r="J1" s="110"/>
    </row>
    <row r="2" spans="1:10">
      <c r="A2" s="31"/>
      <c r="B2" s="32">
        <v>43009</v>
      </c>
      <c r="C2" s="7" t="s">
        <v>345</v>
      </c>
      <c r="D2" s="8" t="s">
        <v>21</v>
      </c>
      <c r="E2" s="7" t="s">
        <v>75</v>
      </c>
      <c r="F2" s="55">
        <v>0.1</v>
      </c>
      <c r="G2" s="65">
        <v>509.04</v>
      </c>
      <c r="H2" s="103"/>
      <c r="I2" s="108"/>
      <c r="J2" s="109"/>
    </row>
    <row r="3" spans="1:10">
      <c r="A3" s="31"/>
      <c r="B3" s="32">
        <v>43011</v>
      </c>
      <c r="C3" s="7" t="s">
        <v>450</v>
      </c>
      <c r="D3" s="8" t="s">
        <v>14</v>
      </c>
      <c r="E3" s="7" t="s">
        <v>29</v>
      </c>
      <c r="F3" s="55">
        <v>0.1</v>
      </c>
      <c r="G3" s="87">
        <v>164.32</v>
      </c>
      <c r="H3" s="104"/>
      <c r="I3" s="108"/>
      <c r="J3" s="109"/>
    </row>
    <row r="4" spans="1:10">
      <c r="A4" s="31"/>
      <c r="B4" s="32">
        <v>43013</v>
      </c>
      <c r="C4" s="7" t="s">
        <v>138</v>
      </c>
      <c r="D4" s="8" t="s">
        <v>14</v>
      </c>
      <c r="E4" s="7" t="s">
        <v>10</v>
      </c>
      <c r="F4" s="55">
        <v>0.1</v>
      </c>
      <c r="G4" s="72">
        <v>109.17</v>
      </c>
      <c r="H4" s="104"/>
      <c r="I4" s="677"/>
      <c r="J4" s="677"/>
    </row>
    <row r="5" spans="1:10">
      <c r="A5" s="22"/>
      <c r="B5" s="26">
        <v>43013</v>
      </c>
      <c r="C5" s="13" t="s">
        <v>451</v>
      </c>
      <c r="D5" s="14" t="s">
        <v>448</v>
      </c>
      <c r="E5" s="13" t="s">
        <v>279</v>
      </c>
      <c r="F5" s="56">
        <v>0.2</v>
      </c>
      <c r="G5" s="133">
        <v>317.91000000000003</v>
      </c>
      <c r="H5" s="104"/>
      <c r="I5" s="108"/>
      <c r="J5" s="109"/>
    </row>
    <row r="6" spans="1:10">
      <c r="A6" s="22"/>
      <c r="B6" s="26">
        <v>43018</v>
      </c>
      <c r="C6" s="13" t="s">
        <v>349</v>
      </c>
      <c r="D6" s="14" t="s">
        <v>70</v>
      </c>
      <c r="E6" s="13" t="s">
        <v>10</v>
      </c>
      <c r="F6" s="56">
        <v>0.15</v>
      </c>
      <c r="G6" s="87">
        <v>230.16</v>
      </c>
      <c r="H6" s="104"/>
      <c r="I6" s="108"/>
      <c r="J6" s="109"/>
    </row>
    <row r="7" spans="1:10">
      <c r="A7" s="22"/>
      <c r="B7" s="26">
        <v>43020</v>
      </c>
      <c r="C7" s="13" t="s">
        <v>140</v>
      </c>
      <c r="D7" s="14" t="s">
        <v>14</v>
      </c>
      <c r="E7" s="13" t="s">
        <v>10</v>
      </c>
      <c r="F7" s="56">
        <v>0.2</v>
      </c>
      <c r="G7" s="87">
        <v>243.38</v>
      </c>
      <c r="H7" s="104"/>
      <c r="I7" s="108"/>
      <c r="J7" s="109"/>
    </row>
    <row r="8" spans="1:10">
      <c r="A8" s="22"/>
      <c r="B8" s="26">
        <v>43018</v>
      </c>
      <c r="C8" s="134" t="s">
        <v>128</v>
      </c>
      <c r="D8" s="14" t="s">
        <v>70</v>
      </c>
      <c r="E8" s="13" t="s">
        <v>75</v>
      </c>
      <c r="F8" s="56">
        <v>0.1</v>
      </c>
      <c r="G8" s="87">
        <v>92.79</v>
      </c>
      <c r="H8" s="104"/>
      <c r="I8" s="108"/>
      <c r="J8" s="109"/>
    </row>
    <row r="9" spans="1:10">
      <c r="A9" s="22"/>
      <c r="B9" s="26">
        <v>43019</v>
      </c>
      <c r="C9" s="13" t="s">
        <v>145</v>
      </c>
      <c r="D9" s="14" t="s">
        <v>14</v>
      </c>
      <c r="E9" s="13" t="s">
        <v>10</v>
      </c>
      <c r="F9" s="56">
        <v>0.15</v>
      </c>
      <c r="G9" s="87">
        <v>242.73</v>
      </c>
      <c r="H9" s="104"/>
      <c r="I9" s="108"/>
      <c r="J9" s="109"/>
    </row>
    <row r="10" spans="1:10">
      <c r="A10" s="22"/>
      <c r="B10" s="26">
        <v>43021</v>
      </c>
      <c r="C10" s="13" t="s">
        <v>81</v>
      </c>
      <c r="D10" s="14" t="s">
        <v>209</v>
      </c>
      <c r="E10" s="13" t="s">
        <v>438</v>
      </c>
      <c r="F10" s="56">
        <v>0.1</v>
      </c>
      <c r="G10" s="87">
        <v>184.06</v>
      </c>
      <c r="H10" s="104">
        <v>92.03</v>
      </c>
      <c r="I10" s="108" t="s">
        <v>452</v>
      </c>
      <c r="J10" s="109"/>
    </row>
    <row r="11" spans="1:10">
      <c r="A11" s="22"/>
      <c r="B11" s="26">
        <v>43027</v>
      </c>
      <c r="C11" s="13" t="s">
        <v>125</v>
      </c>
      <c r="D11" s="14" t="s">
        <v>448</v>
      </c>
      <c r="E11" s="13" t="s">
        <v>453</v>
      </c>
      <c r="F11" s="56" t="s">
        <v>454</v>
      </c>
      <c r="G11" s="87">
        <v>150</v>
      </c>
      <c r="H11" s="104"/>
      <c r="I11" s="108"/>
      <c r="J11" s="109"/>
    </row>
    <row r="12" spans="1:10">
      <c r="A12" s="22"/>
      <c r="B12" s="26">
        <v>43030</v>
      </c>
      <c r="C12" s="13" t="s">
        <v>455</v>
      </c>
      <c r="D12" s="14" t="s">
        <v>14</v>
      </c>
      <c r="E12" s="13" t="s">
        <v>10</v>
      </c>
      <c r="F12" s="56">
        <v>0.1</v>
      </c>
      <c r="G12" s="87">
        <v>108.66</v>
      </c>
      <c r="H12" s="104"/>
      <c r="I12" s="108"/>
      <c r="J12" s="109"/>
    </row>
    <row r="13" spans="1:10">
      <c r="A13" s="22"/>
      <c r="B13" s="26">
        <v>43022</v>
      </c>
      <c r="C13" s="13" t="s">
        <v>141</v>
      </c>
      <c r="D13" s="14" t="s">
        <v>14</v>
      </c>
      <c r="E13" s="13" t="s">
        <v>22</v>
      </c>
      <c r="F13" s="56">
        <v>0.15</v>
      </c>
      <c r="G13" s="87">
        <v>266.2</v>
      </c>
      <c r="H13" s="104"/>
      <c r="I13" s="108"/>
      <c r="J13" s="109"/>
    </row>
    <row r="14" spans="1:10">
      <c r="A14" s="85"/>
      <c r="B14" s="26">
        <v>43030</v>
      </c>
      <c r="C14" s="13" t="s">
        <v>456</v>
      </c>
      <c r="D14" s="14" t="s">
        <v>198</v>
      </c>
      <c r="E14" s="13" t="s">
        <v>15</v>
      </c>
      <c r="F14" s="56">
        <v>0.1</v>
      </c>
      <c r="G14" s="87">
        <v>161.97</v>
      </c>
      <c r="H14" s="104"/>
      <c r="I14" s="108"/>
      <c r="J14" s="109"/>
    </row>
    <row r="15" spans="1:10">
      <c r="A15" s="85"/>
      <c r="B15" s="26">
        <v>43029</v>
      </c>
      <c r="C15" s="13" t="s">
        <v>457</v>
      </c>
      <c r="D15" s="14" t="s">
        <v>9</v>
      </c>
      <c r="E15" s="13" t="s">
        <v>458</v>
      </c>
      <c r="F15" s="56">
        <v>0.1</v>
      </c>
      <c r="G15" s="87">
        <v>218.11</v>
      </c>
      <c r="H15" s="104"/>
      <c r="I15" s="108"/>
      <c r="J15" s="109"/>
    </row>
    <row r="16" spans="1:10">
      <c r="A16" s="85"/>
      <c r="B16" s="26">
        <v>43034</v>
      </c>
      <c r="C16" s="13" t="s">
        <v>150</v>
      </c>
      <c r="D16" s="14" t="s">
        <v>9</v>
      </c>
      <c r="E16" s="13" t="s">
        <v>10</v>
      </c>
      <c r="F16" s="56">
        <v>0.25</v>
      </c>
      <c r="G16" s="87">
        <v>351.51</v>
      </c>
      <c r="H16" s="104"/>
      <c r="I16" s="108"/>
      <c r="J16" s="109"/>
    </row>
    <row r="17" spans="1:10">
      <c r="A17" s="85"/>
      <c r="B17" s="26">
        <v>43033</v>
      </c>
      <c r="C17" s="13" t="s">
        <v>459</v>
      </c>
      <c r="D17" s="14" t="s">
        <v>9</v>
      </c>
      <c r="E17" s="13" t="s">
        <v>279</v>
      </c>
      <c r="F17" s="56">
        <v>0.1</v>
      </c>
      <c r="G17" s="87">
        <v>120.6</v>
      </c>
      <c r="H17" s="104"/>
      <c r="I17" s="108"/>
      <c r="J17" s="109"/>
    </row>
    <row r="18" spans="1:10">
      <c r="A18" s="85"/>
      <c r="B18" s="26">
        <v>43036</v>
      </c>
      <c r="C18" s="13" t="s">
        <v>460</v>
      </c>
      <c r="D18" s="14" t="s">
        <v>61</v>
      </c>
      <c r="E18" s="13" t="s">
        <v>17</v>
      </c>
      <c r="F18" s="56">
        <v>0.22500000000000001</v>
      </c>
      <c r="G18" s="87">
        <v>323.75</v>
      </c>
      <c r="H18" s="104"/>
      <c r="I18" s="108"/>
      <c r="J18" s="109"/>
    </row>
    <row r="19" spans="1:10">
      <c r="A19" s="85"/>
      <c r="B19" s="26">
        <v>43037</v>
      </c>
      <c r="C19" s="13" t="s">
        <v>461</v>
      </c>
      <c r="D19" s="14" t="s">
        <v>61</v>
      </c>
      <c r="E19" s="13" t="s">
        <v>19</v>
      </c>
      <c r="F19" s="56">
        <v>0.13</v>
      </c>
      <c r="G19" s="87">
        <v>102.85</v>
      </c>
      <c r="H19" s="104"/>
      <c r="I19" s="108"/>
      <c r="J19" s="109"/>
    </row>
    <row r="20" spans="1:10">
      <c r="A20" s="85"/>
      <c r="B20" s="26">
        <v>43039</v>
      </c>
      <c r="C20" s="13" t="s">
        <v>462</v>
      </c>
      <c r="D20" s="14" t="s">
        <v>61</v>
      </c>
      <c r="E20" s="13" t="s">
        <v>19</v>
      </c>
      <c r="F20" s="56">
        <v>0.1</v>
      </c>
      <c r="G20" s="87">
        <v>126.53</v>
      </c>
      <c r="H20" s="104"/>
      <c r="I20" s="108"/>
      <c r="J20" s="109"/>
    </row>
    <row r="21" spans="1:10">
      <c r="A21" s="85"/>
      <c r="B21" s="26">
        <v>43039</v>
      </c>
      <c r="C21" s="13" t="s">
        <v>155</v>
      </c>
      <c r="D21" s="14" t="s">
        <v>9</v>
      </c>
      <c r="E21" s="13" t="s">
        <v>75</v>
      </c>
      <c r="F21" s="56">
        <v>0.13</v>
      </c>
      <c r="G21" s="87">
        <v>172.47</v>
      </c>
      <c r="H21" s="104"/>
      <c r="I21" s="108"/>
      <c r="J21" s="109"/>
    </row>
    <row r="22" spans="1:10">
      <c r="A22" s="85"/>
      <c r="B22" s="26">
        <v>43036</v>
      </c>
      <c r="C22" s="13" t="s">
        <v>463</v>
      </c>
      <c r="D22" s="14" t="s">
        <v>448</v>
      </c>
      <c r="E22" s="13" t="s">
        <v>453</v>
      </c>
      <c r="F22" s="56" t="s">
        <v>454</v>
      </c>
      <c r="G22" s="87">
        <v>150</v>
      </c>
      <c r="H22" s="104"/>
      <c r="I22" s="108"/>
      <c r="J22" s="109"/>
    </row>
    <row r="23" spans="1:10">
      <c r="A23" s="85"/>
      <c r="B23" s="26"/>
      <c r="C23" s="13"/>
      <c r="D23" s="14"/>
      <c r="E23" s="13"/>
      <c r="F23" s="56"/>
      <c r="G23" s="87"/>
      <c r="H23" s="104"/>
      <c r="I23" s="108"/>
      <c r="J23" s="109"/>
    </row>
    <row r="24" spans="1:10">
      <c r="A24" s="22"/>
      <c r="B24" s="26"/>
      <c r="C24" s="13"/>
      <c r="D24" s="14"/>
      <c r="E24" s="13"/>
      <c r="F24" s="56"/>
      <c r="G24" s="87"/>
      <c r="H24" s="104"/>
      <c r="I24" s="108"/>
      <c r="J24" s="109"/>
    </row>
    <row r="25" spans="1:10">
      <c r="A25" s="22"/>
      <c r="B25" s="26"/>
      <c r="C25" s="13"/>
      <c r="D25" s="14"/>
      <c r="E25" s="13"/>
      <c r="F25" s="56"/>
      <c r="G25" s="87"/>
      <c r="H25" s="104"/>
      <c r="I25" s="108"/>
      <c r="J25" s="109"/>
    </row>
    <row r="26" spans="1:10">
      <c r="A26" s="90"/>
      <c r="B26" s="91"/>
      <c r="C26" s="92"/>
      <c r="D26" s="93"/>
      <c r="E26" s="92"/>
      <c r="F26" s="94"/>
      <c r="G26" s="95"/>
      <c r="H26" s="105"/>
      <c r="I26" s="108"/>
      <c r="J26" s="109"/>
    </row>
    <row r="27" spans="1:10">
      <c r="A27" s="90"/>
      <c r="B27" s="91"/>
      <c r="C27" s="92"/>
      <c r="D27" s="93"/>
      <c r="E27" s="92"/>
      <c r="F27" s="94"/>
      <c r="G27" s="95"/>
      <c r="H27" s="105"/>
      <c r="I27" s="108"/>
      <c r="J27" s="109"/>
    </row>
    <row r="28" spans="1:10">
      <c r="A28" s="90"/>
      <c r="B28" s="91"/>
      <c r="C28" s="92"/>
      <c r="D28" s="93"/>
      <c r="E28" s="92"/>
      <c r="F28" s="94"/>
      <c r="G28" s="95"/>
      <c r="H28" s="105"/>
      <c r="I28" s="108"/>
      <c r="J28" s="109"/>
    </row>
    <row r="29" spans="1:10">
      <c r="A29" s="90"/>
      <c r="B29" s="91"/>
      <c r="C29" s="92"/>
      <c r="D29" s="93"/>
      <c r="E29" s="92"/>
      <c r="F29" s="94"/>
      <c r="G29" s="95"/>
      <c r="H29" s="105"/>
      <c r="I29" s="108"/>
      <c r="J29" s="109"/>
    </row>
    <row r="30" spans="1:10">
      <c r="A30" s="90"/>
      <c r="B30" s="91"/>
      <c r="C30" s="92"/>
      <c r="D30" s="93"/>
      <c r="E30" s="92"/>
      <c r="F30" s="94"/>
      <c r="G30" s="95"/>
      <c r="H30" s="105"/>
      <c r="I30" s="108"/>
      <c r="J30" s="109"/>
    </row>
    <row r="31" spans="1:10">
      <c r="A31" s="90"/>
      <c r="B31" s="91"/>
      <c r="C31" s="92"/>
      <c r="D31" s="93"/>
      <c r="E31" s="92"/>
      <c r="F31" s="94"/>
      <c r="G31" s="95"/>
      <c r="H31" s="105"/>
      <c r="I31" s="108"/>
      <c r="J31" s="109"/>
    </row>
    <row r="32" spans="1:10">
      <c r="A32" s="90"/>
      <c r="B32" s="91"/>
      <c r="C32" s="92"/>
      <c r="D32" s="93"/>
      <c r="E32" s="92"/>
      <c r="F32" s="94"/>
      <c r="G32" s="95"/>
      <c r="H32" s="105"/>
      <c r="I32" s="108"/>
      <c r="J32" s="109"/>
    </row>
    <row r="33" spans="1:10">
      <c r="A33" s="90"/>
      <c r="B33" s="91"/>
      <c r="C33" s="92"/>
      <c r="D33" s="93"/>
      <c r="E33" s="92"/>
      <c r="F33" s="94"/>
      <c r="G33" s="95"/>
      <c r="H33" s="105"/>
      <c r="I33" s="108"/>
      <c r="J33" s="109"/>
    </row>
    <row r="34" spans="1:10">
      <c r="A34" s="90"/>
      <c r="B34" s="91"/>
      <c r="C34" s="92"/>
      <c r="D34" s="93"/>
      <c r="E34" s="92"/>
      <c r="F34" s="94"/>
      <c r="G34" s="95"/>
      <c r="H34" s="105"/>
      <c r="I34" s="108"/>
      <c r="J34" s="109"/>
    </row>
    <row r="35" spans="1:10">
      <c r="A35" s="90"/>
      <c r="B35" s="91"/>
      <c r="C35" s="92"/>
      <c r="D35" s="93"/>
      <c r="E35" s="92"/>
      <c r="F35" s="94"/>
      <c r="G35" s="95"/>
      <c r="H35" s="105"/>
      <c r="I35" s="108"/>
      <c r="J35" s="109"/>
    </row>
    <row r="36" spans="1:10">
      <c r="A36" s="90"/>
      <c r="B36" s="91"/>
      <c r="C36" s="92"/>
      <c r="D36" s="93"/>
      <c r="E36" s="92"/>
      <c r="F36" s="94"/>
      <c r="G36" s="95"/>
      <c r="H36" s="105"/>
      <c r="I36" s="108"/>
      <c r="J36" s="109"/>
    </row>
    <row r="37" spans="1:10">
      <c r="A37" s="90"/>
      <c r="B37" s="91"/>
      <c r="C37" s="92"/>
      <c r="D37" s="93"/>
      <c r="E37" s="92"/>
      <c r="F37" s="94"/>
      <c r="G37" s="95"/>
      <c r="H37" s="105"/>
      <c r="I37" s="108"/>
      <c r="J37" s="109"/>
    </row>
    <row r="38" spans="1:10">
      <c r="A38" s="90"/>
      <c r="B38" s="91"/>
      <c r="C38" s="92"/>
      <c r="D38" s="93"/>
      <c r="E38" s="92"/>
      <c r="F38" s="94"/>
      <c r="G38" s="95"/>
      <c r="H38" s="106"/>
      <c r="I38" s="108"/>
      <c r="J38" s="109"/>
    </row>
    <row r="39" spans="1:10" ht="19.5">
      <c r="A39" s="673" t="s">
        <v>39</v>
      </c>
      <c r="B39" s="674"/>
      <c r="C39" s="674"/>
      <c r="D39" s="674"/>
      <c r="E39" s="674"/>
      <c r="F39" s="675"/>
      <c r="G39" s="89">
        <f>SUM(G2:G38)</f>
        <v>4346.2099999999991</v>
      </c>
      <c r="H39" s="107">
        <f>SUM(H2:H38)</f>
        <v>92.03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40"/>
  <sheetViews>
    <sheetView workbookViewId="0"/>
  </sheetViews>
  <sheetFormatPr defaultRowHeight="15"/>
  <cols>
    <col min="3" max="3" width="44.85546875" customWidth="1"/>
  </cols>
  <sheetData>
    <row r="1" spans="1:10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86" t="s">
        <v>7</v>
      </c>
      <c r="H1" s="88" t="s">
        <v>307</v>
      </c>
      <c r="I1" s="676" t="s">
        <v>370</v>
      </c>
      <c r="J1" s="110"/>
    </row>
    <row r="2" spans="1:10">
      <c r="A2" s="31"/>
      <c r="B2" s="32">
        <v>43055</v>
      </c>
      <c r="C2" s="7" t="s">
        <v>161</v>
      </c>
      <c r="D2" s="8" t="s">
        <v>25</v>
      </c>
      <c r="E2" s="7" t="s">
        <v>22</v>
      </c>
      <c r="F2" s="55">
        <v>0.1</v>
      </c>
      <c r="G2" s="65">
        <v>143.03</v>
      </c>
      <c r="H2" s="103"/>
      <c r="I2" s="108"/>
      <c r="J2" s="109"/>
    </row>
    <row r="3" spans="1:10">
      <c r="A3" s="31"/>
      <c r="B3" s="32">
        <v>43044</v>
      </c>
      <c r="C3" s="7" t="s">
        <v>162</v>
      </c>
      <c r="D3" s="8" t="s">
        <v>61</v>
      </c>
      <c r="E3" s="7" t="s">
        <v>17</v>
      </c>
      <c r="F3" s="55">
        <v>0.25</v>
      </c>
      <c r="G3" s="87">
        <v>333.43</v>
      </c>
      <c r="H3" s="104"/>
      <c r="I3" s="108"/>
      <c r="J3" s="109"/>
    </row>
    <row r="4" spans="1:10">
      <c r="A4" s="31"/>
      <c r="B4" s="32">
        <v>43050</v>
      </c>
      <c r="C4" s="7" t="s">
        <v>164</v>
      </c>
      <c r="D4" s="8" t="s">
        <v>14</v>
      </c>
      <c r="E4" s="7" t="s">
        <v>10</v>
      </c>
      <c r="F4" s="55">
        <v>0.15</v>
      </c>
      <c r="G4" s="72">
        <v>177.05</v>
      </c>
      <c r="H4" s="104"/>
      <c r="I4" s="677"/>
      <c r="J4" s="677"/>
    </row>
    <row r="5" spans="1:10">
      <c r="A5" s="22"/>
      <c r="B5" s="26">
        <v>43051</v>
      </c>
      <c r="C5" s="13" t="s">
        <v>464</v>
      </c>
      <c r="D5" s="14" t="s">
        <v>61</v>
      </c>
      <c r="E5" s="13" t="s">
        <v>15</v>
      </c>
      <c r="F5" s="56">
        <v>0.1</v>
      </c>
      <c r="G5" s="133">
        <v>337.48</v>
      </c>
      <c r="H5" s="104"/>
      <c r="I5" s="108"/>
      <c r="J5" s="109"/>
    </row>
    <row r="6" spans="1:10">
      <c r="A6" s="22"/>
      <c r="B6" s="26">
        <v>43049</v>
      </c>
      <c r="C6" s="13" t="s">
        <v>352</v>
      </c>
      <c r="D6" s="14" t="s">
        <v>61</v>
      </c>
      <c r="E6" s="13" t="s">
        <v>17</v>
      </c>
      <c r="F6" s="56">
        <v>0.1</v>
      </c>
      <c r="G6" s="87">
        <v>184.97</v>
      </c>
      <c r="H6" s="104"/>
      <c r="I6" s="108"/>
      <c r="J6" s="109"/>
    </row>
    <row r="7" spans="1:10">
      <c r="A7" s="22"/>
      <c r="B7" s="26">
        <v>43051</v>
      </c>
      <c r="C7" s="13" t="s">
        <v>465</v>
      </c>
      <c r="D7" s="14" t="s">
        <v>14</v>
      </c>
      <c r="E7" s="13" t="s">
        <v>10</v>
      </c>
      <c r="F7" s="56">
        <v>0.21</v>
      </c>
      <c r="G7" s="87">
        <v>195.27</v>
      </c>
      <c r="H7" s="104"/>
      <c r="I7" s="108"/>
      <c r="J7" s="109"/>
    </row>
    <row r="8" spans="1:10">
      <c r="A8" s="22"/>
      <c r="B8" s="26" t="s">
        <v>466</v>
      </c>
      <c r="C8" s="134" t="s">
        <v>409</v>
      </c>
      <c r="D8" s="14" t="s">
        <v>14</v>
      </c>
      <c r="E8" s="13" t="s">
        <v>10</v>
      </c>
      <c r="F8" s="56">
        <v>0.1</v>
      </c>
      <c r="G8" s="87">
        <v>405.42</v>
      </c>
      <c r="H8" s="104"/>
      <c r="I8" s="108"/>
      <c r="J8" s="109"/>
    </row>
    <row r="9" spans="1:10">
      <c r="A9" s="22"/>
      <c r="B9" s="26">
        <v>43046</v>
      </c>
      <c r="C9" s="13" t="s">
        <v>165</v>
      </c>
      <c r="D9" s="14" t="s">
        <v>21</v>
      </c>
      <c r="E9" s="13" t="s">
        <v>22</v>
      </c>
      <c r="F9" s="56">
        <v>0.1</v>
      </c>
      <c r="G9" s="87">
        <v>333.35</v>
      </c>
      <c r="H9" s="104"/>
      <c r="I9" s="108"/>
      <c r="J9" s="109"/>
    </row>
    <row r="10" spans="1:10">
      <c r="A10" s="22"/>
      <c r="B10" s="26">
        <v>43050</v>
      </c>
      <c r="C10" s="13" t="s">
        <v>467</v>
      </c>
      <c r="D10" s="14" t="s">
        <v>14</v>
      </c>
      <c r="E10" s="13" t="s">
        <v>10</v>
      </c>
      <c r="F10" s="56">
        <v>0.13</v>
      </c>
      <c r="G10" s="87">
        <v>150.63</v>
      </c>
      <c r="H10" s="104"/>
      <c r="I10" s="108"/>
      <c r="J10" s="109"/>
    </row>
    <row r="11" spans="1:10">
      <c r="A11" s="22"/>
      <c r="B11" s="26">
        <v>43061</v>
      </c>
      <c r="C11" s="13" t="s">
        <v>175</v>
      </c>
      <c r="D11" s="14" t="s">
        <v>14</v>
      </c>
      <c r="E11" s="13" t="s">
        <v>10</v>
      </c>
      <c r="F11" s="56">
        <v>0.1</v>
      </c>
      <c r="G11" s="87">
        <v>146.08000000000001</v>
      </c>
      <c r="H11" s="104"/>
      <c r="I11" s="108"/>
      <c r="J11" s="109"/>
    </row>
    <row r="12" spans="1:10">
      <c r="A12" s="22"/>
      <c r="B12" s="26">
        <v>43055</v>
      </c>
      <c r="C12" s="13" t="s">
        <v>468</v>
      </c>
      <c r="D12" s="14" t="s">
        <v>448</v>
      </c>
      <c r="E12" s="13" t="s">
        <v>469</v>
      </c>
      <c r="F12" s="56" t="s">
        <v>454</v>
      </c>
      <c r="G12" s="87">
        <v>300</v>
      </c>
      <c r="H12" s="104"/>
      <c r="I12" s="108"/>
      <c r="J12" s="109"/>
    </row>
    <row r="13" spans="1:10">
      <c r="A13" s="22"/>
      <c r="B13" s="26">
        <v>43060</v>
      </c>
      <c r="C13" s="13" t="s">
        <v>357</v>
      </c>
      <c r="D13" s="14" t="s">
        <v>149</v>
      </c>
      <c r="E13" s="13" t="s">
        <v>10</v>
      </c>
      <c r="F13" s="56">
        <v>0.155</v>
      </c>
      <c r="G13" s="87">
        <v>320.07</v>
      </c>
      <c r="H13" s="104"/>
      <c r="I13" s="108"/>
      <c r="J13" s="109"/>
    </row>
    <row r="14" spans="1:10">
      <c r="A14" s="22"/>
      <c r="B14" s="26">
        <v>43058</v>
      </c>
      <c r="C14" s="13" t="s">
        <v>470</v>
      </c>
      <c r="D14" s="14" t="s">
        <v>14</v>
      </c>
      <c r="E14" s="13" t="s">
        <v>10</v>
      </c>
      <c r="F14" s="56">
        <v>0.1</v>
      </c>
      <c r="G14" s="87">
        <v>115.71</v>
      </c>
      <c r="H14" s="104"/>
      <c r="I14" s="108"/>
      <c r="J14" s="109"/>
    </row>
    <row r="15" spans="1:10">
      <c r="A15" s="85"/>
      <c r="B15" s="26">
        <v>43055</v>
      </c>
      <c r="C15" s="13" t="s">
        <v>168</v>
      </c>
      <c r="D15" s="14" t="s">
        <v>14</v>
      </c>
      <c r="E15" s="13" t="s">
        <v>10</v>
      </c>
      <c r="F15" s="56">
        <v>0.2</v>
      </c>
      <c r="G15" s="87">
        <v>185.4</v>
      </c>
      <c r="H15" s="104"/>
      <c r="I15" s="108"/>
      <c r="J15" s="109"/>
    </row>
    <row r="16" spans="1:10">
      <c r="A16" s="85"/>
      <c r="B16" s="26">
        <v>43063</v>
      </c>
      <c r="C16" s="13" t="s">
        <v>179</v>
      </c>
      <c r="D16" s="14" t="s">
        <v>14</v>
      </c>
      <c r="E16" s="13" t="s">
        <v>10</v>
      </c>
      <c r="F16" s="56">
        <v>0.16</v>
      </c>
      <c r="G16" s="87">
        <v>125.32</v>
      </c>
      <c r="H16" s="104"/>
      <c r="I16" s="108"/>
      <c r="J16" s="109"/>
    </row>
    <row r="17" spans="1:10">
      <c r="A17" s="85"/>
      <c r="B17" s="26">
        <v>43064</v>
      </c>
      <c r="C17" s="13" t="s">
        <v>471</v>
      </c>
      <c r="D17" s="14" t="s">
        <v>14</v>
      </c>
      <c r="E17" s="13" t="s">
        <v>22</v>
      </c>
      <c r="F17" s="56">
        <v>0.1</v>
      </c>
      <c r="G17" s="87">
        <v>116.79</v>
      </c>
      <c r="H17" s="104"/>
      <c r="I17" s="108"/>
      <c r="J17" s="109"/>
    </row>
    <row r="18" spans="1:10">
      <c r="A18" s="85"/>
      <c r="B18" s="26">
        <v>43065</v>
      </c>
      <c r="C18" s="13" t="s">
        <v>358</v>
      </c>
      <c r="D18" s="14" t="s">
        <v>14</v>
      </c>
      <c r="E18" s="13" t="s">
        <v>10</v>
      </c>
      <c r="F18" s="56">
        <v>0.1</v>
      </c>
      <c r="G18" s="87">
        <v>148.47</v>
      </c>
      <c r="H18" s="104"/>
      <c r="I18" s="108"/>
      <c r="J18" s="109"/>
    </row>
    <row r="19" spans="1:10">
      <c r="A19" s="85"/>
      <c r="B19" s="26"/>
      <c r="C19" s="13"/>
      <c r="D19" s="14"/>
      <c r="E19" s="13"/>
      <c r="F19" s="56"/>
      <c r="G19" s="87"/>
      <c r="H19" s="104"/>
      <c r="I19" s="108"/>
      <c r="J19" s="109"/>
    </row>
    <row r="20" spans="1:10">
      <c r="A20" s="85"/>
      <c r="B20" s="26"/>
      <c r="C20" s="13"/>
      <c r="D20" s="14"/>
      <c r="E20" s="13"/>
      <c r="F20" s="56"/>
      <c r="G20" s="87"/>
      <c r="H20" s="104"/>
      <c r="I20" s="108"/>
      <c r="J20" s="109"/>
    </row>
    <row r="21" spans="1:10">
      <c r="A21" s="85"/>
      <c r="B21" s="26"/>
      <c r="C21" s="13"/>
      <c r="D21" s="14"/>
      <c r="E21" s="13"/>
      <c r="F21" s="56"/>
      <c r="G21" s="87"/>
      <c r="H21" s="104"/>
      <c r="I21" s="108"/>
      <c r="J21" s="109"/>
    </row>
    <row r="22" spans="1:10">
      <c r="A22" s="85"/>
      <c r="B22" s="26"/>
      <c r="C22" s="13"/>
      <c r="D22" s="14"/>
      <c r="E22" s="13"/>
      <c r="F22" s="56"/>
      <c r="G22" s="87"/>
      <c r="H22" s="104"/>
      <c r="I22" s="108"/>
      <c r="J22" s="109"/>
    </row>
    <row r="23" spans="1:10">
      <c r="A23" s="85"/>
      <c r="B23" s="26"/>
      <c r="C23" s="13"/>
      <c r="D23" s="14"/>
      <c r="E23" s="13"/>
      <c r="F23" s="56"/>
      <c r="G23" s="87"/>
      <c r="H23" s="104"/>
      <c r="I23" s="108"/>
      <c r="J23" s="109"/>
    </row>
    <row r="24" spans="1:10">
      <c r="A24" s="85"/>
      <c r="B24" s="26"/>
      <c r="C24" s="13"/>
      <c r="D24" s="14"/>
      <c r="E24" s="13"/>
      <c r="F24" s="56"/>
      <c r="G24" s="87"/>
      <c r="H24" s="104"/>
      <c r="I24" s="108"/>
      <c r="J24" s="109"/>
    </row>
    <row r="25" spans="1:10">
      <c r="A25" s="22"/>
      <c r="B25" s="26"/>
      <c r="C25" s="13"/>
      <c r="D25" s="14"/>
      <c r="E25" s="13"/>
      <c r="F25" s="56"/>
      <c r="G25" s="87"/>
      <c r="H25" s="104"/>
      <c r="I25" s="108"/>
      <c r="J25" s="109"/>
    </row>
    <row r="26" spans="1:10">
      <c r="A26" s="22"/>
      <c r="B26" s="26"/>
      <c r="C26" s="13"/>
      <c r="D26" s="14"/>
      <c r="E26" s="13"/>
      <c r="F26" s="56"/>
      <c r="G26" s="87"/>
      <c r="H26" s="104"/>
      <c r="I26" s="108"/>
      <c r="J26" s="109"/>
    </row>
    <row r="27" spans="1:10">
      <c r="A27" s="90"/>
      <c r="B27" s="91"/>
      <c r="C27" s="92"/>
      <c r="D27" s="93"/>
      <c r="E27" s="92"/>
      <c r="F27" s="94"/>
      <c r="G27" s="95"/>
      <c r="H27" s="105"/>
      <c r="I27" s="108"/>
      <c r="J27" s="109"/>
    </row>
    <row r="28" spans="1:10">
      <c r="A28" s="90"/>
      <c r="B28" s="91"/>
      <c r="C28" s="92"/>
      <c r="D28" s="93"/>
      <c r="E28" s="92"/>
      <c r="F28" s="94"/>
      <c r="G28" s="95"/>
      <c r="H28" s="105"/>
      <c r="I28" s="108"/>
      <c r="J28" s="109"/>
    </row>
    <row r="29" spans="1:10">
      <c r="A29" s="90"/>
      <c r="B29" s="91"/>
      <c r="C29" s="92"/>
      <c r="D29" s="93"/>
      <c r="E29" s="92"/>
      <c r="F29" s="94"/>
      <c r="G29" s="95"/>
      <c r="H29" s="105"/>
      <c r="I29" s="108"/>
      <c r="J29" s="109"/>
    </row>
    <row r="30" spans="1:10">
      <c r="A30" s="90"/>
      <c r="B30" s="91"/>
      <c r="C30" s="92"/>
      <c r="D30" s="93"/>
      <c r="E30" s="92"/>
      <c r="F30" s="94"/>
      <c r="G30" s="95"/>
      <c r="H30" s="105"/>
      <c r="I30" s="108"/>
      <c r="J30" s="109"/>
    </row>
    <row r="31" spans="1:10">
      <c r="A31" s="90"/>
      <c r="B31" s="91"/>
      <c r="C31" s="92"/>
      <c r="D31" s="93"/>
      <c r="E31" s="92"/>
      <c r="F31" s="94"/>
      <c r="G31" s="95"/>
      <c r="H31" s="105"/>
      <c r="I31" s="108"/>
      <c r="J31" s="109"/>
    </row>
    <row r="32" spans="1:10">
      <c r="A32" s="90"/>
      <c r="B32" s="91"/>
      <c r="C32" s="92"/>
      <c r="D32" s="93"/>
      <c r="E32" s="92"/>
      <c r="F32" s="94"/>
      <c r="G32" s="95"/>
      <c r="H32" s="105"/>
      <c r="I32" s="108"/>
      <c r="J32" s="109"/>
    </row>
    <row r="33" spans="1:10">
      <c r="A33" s="90"/>
      <c r="B33" s="91"/>
      <c r="C33" s="92"/>
      <c r="D33" s="93"/>
      <c r="E33" s="92"/>
      <c r="F33" s="94"/>
      <c r="G33" s="95"/>
      <c r="H33" s="105"/>
      <c r="I33" s="108"/>
      <c r="J33" s="109"/>
    </row>
    <row r="34" spans="1:10">
      <c r="A34" s="90"/>
      <c r="B34" s="91"/>
      <c r="C34" s="92"/>
      <c r="D34" s="93"/>
      <c r="E34" s="92"/>
      <c r="F34" s="94"/>
      <c r="G34" s="95"/>
      <c r="H34" s="105"/>
      <c r="I34" s="108"/>
      <c r="J34" s="109"/>
    </row>
    <row r="35" spans="1:10">
      <c r="A35" s="90"/>
      <c r="B35" s="91"/>
      <c r="C35" s="92"/>
      <c r="D35" s="93"/>
      <c r="E35" s="92"/>
      <c r="F35" s="94"/>
      <c r="G35" s="95"/>
      <c r="H35" s="105"/>
      <c r="I35" s="108"/>
      <c r="J35" s="109"/>
    </row>
    <row r="36" spans="1:10">
      <c r="A36" s="90"/>
      <c r="B36" s="91"/>
      <c r="C36" s="92"/>
      <c r="D36" s="93"/>
      <c r="E36" s="92"/>
      <c r="F36" s="94"/>
      <c r="G36" s="95"/>
      <c r="H36" s="105"/>
      <c r="I36" s="108"/>
      <c r="J36" s="109"/>
    </row>
    <row r="37" spans="1:10">
      <c r="A37" s="90"/>
      <c r="B37" s="91"/>
      <c r="C37" s="92"/>
      <c r="D37" s="93"/>
      <c r="E37" s="92"/>
      <c r="F37" s="94"/>
      <c r="G37" s="95"/>
      <c r="H37" s="105"/>
      <c r="I37" s="108"/>
      <c r="J37" s="109"/>
    </row>
    <row r="38" spans="1:10">
      <c r="A38" s="90"/>
      <c r="B38" s="91"/>
      <c r="C38" s="92"/>
      <c r="D38" s="93"/>
      <c r="E38" s="92"/>
      <c r="F38" s="94"/>
      <c r="G38" s="95"/>
      <c r="H38" s="105"/>
      <c r="I38" s="108"/>
      <c r="J38" s="109"/>
    </row>
    <row r="39" spans="1:10">
      <c r="A39" s="90"/>
      <c r="B39" s="91"/>
      <c r="C39" s="92"/>
      <c r="D39" s="93"/>
      <c r="E39" s="92"/>
      <c r="F39" s="94"/>
      <c r="G39" s="95"/>
      <c r="H39" s="106"/>
      <c r="I39" s="108"/>
      <c r="J39" s="109"/>
    </row>
    <row r="40" spans="1:10" ht="19.5">
      <c r="A40" s="673" t="s">
        <v>39</v>
      </c>
      <c r="B40" s="674"/>
      <c r="C40" s="674"/>
      <c r="D40" s="674"/>
      <c r="E40" s="674"/>
      <c r="F40" s="675"/>
      <c r="G40" s="89">
        <f>SUM(G2:G39)</f>
        <v>3718.4700000000003</v>
      </c>
      <c r="H40" s="107">
        <f>SUM(H2:H39)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38"/>
  <sheetViews>
    <sheetView workbookViewId="0"/>
  </sheetViews>
  <sheetFormatPr defaultRowHeight="15"/>
  <sheetData>
    <row r="1" spans="1:10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86" t="s">
        <v>7</v>
      </c>
      <c r="H1" s="88" t="s">
        <v>307</v>
      </c>
      <c r="I1" s="676" t="s">
        <v>370</v>
      </c>
      <c r="J1" s="110"/>
    </row>
    <row r="2" spans="1:10">
      <c r="A2" s="31"/>
      <c r="B2" s="32">
        <v>43071</v>
      </c>
      <c r="C2" s="7" t="s">
        <v>190</v>
      </c>
      <c r="D2" s="8" t="s">
        <v>14</v>
      </c>
      <c r="E2" s="7" t="s">
        <v>362</v>
      </c>
      <c r="F2" s="55">
        <v>0.1</v>
      </c>
      <c r="G2" s="65">
        <v>108.7</v>
      </c>
      <c r="H2" s="103"/>
      <c r="I2" s="108"/>
      <c r="J2" s="109"/>
    </row>
    <row r="3" spans="1:10">
      <c r="A3" s="31"/>
      <c r="B3" s="32">
        <v>43073</v>
      </c>
      <c r="C3" s="7" t="s">
        <v>189</v>
      </c>
      <c r="D3" s="8" t="s">
        <v>25</v>
      </c>
      <c r="E3" s="7" t="s">
        <v>17</v>
      </c>
      <c r="F3" s="55">
        <v>0.12</v>
      </c>
      <c r="G3" s="87">
        <v>184.47</v>
      </c>
      <c r="H3" s="104"/>
      <c r="I3" s="108"/>
      <c r="J3" s="109"/>
    </row>
    <row r="4" spans="1:10">
      <c r="A4" s="31"/>
      <c r="B4" s="32">
        <v>43072</v>
      </c>
      <c r="C4" s="7" t="s">
        <v>472</v>
      </c>
      <c r="D4" s="8" t="s">
        <v>25</v>
      </c>
      <c r="E4" s="7" t="s">
        <v>10</v>
      </c>
      <c r="F4" s="55">
        <v>0.15</v>
      </c>
      <c r="G4" s="72">
        <v>177.66</v>
      </c>
      <c r="H4" s="104"/>
      <c r="I4" s="677"/>
      <c r="J4" s="677"/>
    </row>
    <row r="5" spans="1:10">
      <c r="A5" s="22"/>
      <c r="B5" s="26">
        <v>43071</v>
      </c>
      <c r="C5" s="13" t="s">
        <v>473</v>
      </c>
      <c r="D5" s="14" t="s">
        <v>448</v>
      </c>
      <c r="E5" s="13" t="s">
        <v>453</v>
      </c>
      <c r="F5" s="56" t="s">
        <v>454</v>
      </c>
      <c r="G5" s="133">
        <v>150</v>
      </c>
      <c r="H5" s="104"/>
      <c r="I5" s="108"/>
      <c r="J5" s="109"/>
    </row>
    <row r="6" spans="1:10">
      <c r="A6" s="22"/>
      <c r="B6" s="26">
        <v>43071</v>
      </c>
      <c r="C6" s="13" t="s">
        <v>474</v>
      </c>
      <c r="D6" s="14" t="s">
        <v>112</v>
      </c>
      <c r="E6" s="13" t="s">
        <v>279</v>
      </c>
      <c r="F6" s="56">
        <v>0.25</v>
      </c>
      <c r="G6" s="87">
        <v>179.18</v>
      </c>
      <c r="H6" s="104"/>
      <c r="I6" s="108"/>
      <c r="J6" s="109"/>
    </row>
    <row r="7" spans="1:10">
      <c r="A7" s="22"/>
      <c r="B7" s="26">
        <v>43078</v>
      </c>
      <c r="C7" s="13" t="s">
        <v>360</v>
      </c>
      <c r="D7" s="14" t="s">
        <v>14</v>
      </c>
      <c r="E7" s="13" t="s">
        <v>10</v>
      </c>
      <c r="F7" s="56">
        <v>0.1</v>
      </c>
      <c r="G7" s="87">
        <v>157.41</v>
      </c>
      <c r="H7" s="104"/>
      <c r="I7" s="108"/>
      <c r="J7" s="109"/>
    </row>
    <row r="8" spans="1:10">
      <c r="A8" s="22"/>
      <c r="B8" s="26">
        <v>43074</v>
      </c>
      <c r="C8" s="134" t="s">
        <v>191</v>
      </c>
      <c r="D8" s="14" t="s">
        <v>9</v>
      </c>
      <c r="E8" s="13" t="s">
        <v>17</v>
      </c>
      <c r="F8" s="56">
        <v>0.1</v>
      </c>
      <c r="G8" s="87">
        <v>185.28</v>
      </c>
      <c r="H8" s="104"/>
      <c r="I8" s="108"/>
      <c r="J8" s="109"/>
    </row>
    <row r="9" spans="1:10">
      <c r="A9" s="22"/>
      <c r="B9" s="26">
        <v>43074</v>
      </c>
      <c r="C9" s="13" t="s">
        <v>475</v>
      </c>
      <c r="D9" s="14" t="s">
        <v>448</v>
      </c>
      <c r="E9" s="13" t="s">
        <v>469</v>
      </c>
      <c r="F9" s="56" t="s">
        <v>454</v>
      </c>
      <c r="G9" s="87">
        <v>150</v>
      </c>
      <c r="H9" s="104"/>
      <c r="I9" s="108"/>
      <c r="J9" s="109"/>
    </row>
    <row r="10" spans="1:10">
      <c r="A10" s="22"/>
      <c r="B10" s="26">
        <v>43081</v>
      </c>
      <c r="C10" s="13" t="s">
        <v>196</v>
      </c>
      <c r="D10" s="14" t="s">
        <v>198</v>
      </c>
      <c r="E10" s="13" t="s">
        <v>17</v>
      </c>
      <c r="F10" s="56">
        <v>0.1</v>
      </c>
      <c r="G10" s="87">
        <v>265.13</v>
      </c>
      <c r="H10" s="104"/>
      <c r="I10" s="108"/>
      <c r="J10" s="109"/>
    </row>
    <row r="11" spans="1:10">
      <c r="A11" s="22"/>
      <c r="B11" s="26">
        <v>43076</v>
      </c>
      <c r="C11" s="13" t="s">
        <v>476</v>
      </c>
      <c r="D11" s="14" t="s">
        <v>9</v>
      </c>
      <c r="E11" s="13" t="s">
        <v>477</v>
      </c>
      <c r="F11" s="56">
        <v>0.17</v>
      </c>
      <c r="G11" s="87">
        <v>123.24</v>
      </c>
      <c r="H11" s="104"/>
      <c r="I11" s="108"/>
      <c r="J11" s="109"/>
    </row>
    <row r="12" spans="1:10">
      <c r="A12" s="22"/>
      <c r="B12" s="26">
        <v>43089</v>
      </c>
      <c r="C12" s="13" t="s">
        <v>204</v>
      </c>
      <c r="D12" s="14" t="s">
        <v>25</v>
      </c>
      <c r="E12" s="13" t="s">
        <v>10</v>
      </c>
      <c r="F12" s="56">
        <v>0.13</v>
      </c>
      <c r="G12" s="87">
        <v>135.30000000000001</v>
      </c>
      <c r="H12" s="104"/>
      <c r="I12" s="108"/>
      <c r="J12" s="109"/>
    </row>
    <row r="13" spans="1:10">
      <c r="A13" s="22"/>
      <c r="B13" s="26">
        <v>43083</v>
      </c>
      <c r="C13" s="13" t="s">
        <v>176</v>
      </c>
      <c r="D13" s="14" t="s">
        <v>21</v>
      </c>
      <c r="E13" s="13" t="s">
        <v>10</v>
      </c>
      <c r="F13" s="56">
        <v>0.14000000000000001</v>
      </c>
      <c r="G13" s="87">
        <v>184.89</v>
      </c>
      <c r="H13" s="104"/>
      <c r="I13" s="108"/>
      <c r="J13" s="109"/>
    </row>
    <row r="14" spans="1:10">
      <c r="A14" s="22"/>
      <c r="B14" s="26">
        <v>42780</v>
      </c>
      <c r="C14" s="13" t="s">
        <v>361</v>
      </c>
      <c r="D14" s="14" t="s">
        <v>14</v>
      </c>
      <c r="E14" s="13" t="s">
        <v>362</v>
      </c>
      <c r="F14" s="56">
        <v>0.1</v>
      </c>
      <c r="G14" s="87">
        <v>221.08</v>
      </c>
      <c r="H14" s="104"/>
      <c r="I14" s="108"/>
      <c r="J14" s="109"/>
    </row>
    <row r="15" spans="1:10">
      <c r="A15" s="85"/>
      <c r="B15" s="26">
        <v>43087</v>
      </c>
      <c r="C15" s="13" t="s">
        <v>87</v>
      </c>
      <c r="D15" s="14" t="s">
        <v>25</v>
      </c>
      <c r="E15" s="13" t="s">
        <v>29</v>
      </c>
      <c r="F15" s="56">
        <v>0.2</v>
      </c>
      <c r="G15" s="87">
        <v>332.39</v>
      </c>
      <c r="H15" s="104"/>
      <c r="I15" s="108"/>
      <c r="J15" s="109"/>
    </row>
    <row r="16" spans="1:10">
      <c r="A16" s="85"/>
      <c r="B16" s="26">
        <v>43092</v>
      </c>
      <c r="C16" s="13" t="s">
        <v>478</v>
      </c>
      <c r="D16" s="14" t="s">
        <v>14</v>
      </c>
      <c r="E16" s="13" t="s">
        <v>10</v>
      </c>
      <c r="F16" s="56">
        <v>0.16</v>
      </c>
      <c r="G16" s="87">
        <v>204.65</v>
      </c>
      <c r="H16" s="104"/>
      <c r="I16" s="108"/>
      <c r="J16" s="109"/>
    </row>
    <row r="17" spans="1:10">
      <c r="A17" s="85"/>
      <c r="B17" s="26">
        <v>43092</v>
      </c>
      <c r="C17" s="13" t="s">
        <v>479</v>
      </c>
      <c r="D17" s="14" t="s">
        <v>70</v>
      </c>
      <c r="E17" s="13" t="s">
        <v>75</v>
      </c>
      <c r="F17" s="56">
        <v>0.1</v>
      </c>
      <c r="G17" s="87">
        <v>116.95</v>
      </c>
      <c r="H17" s="104"/>
      <c r="I17" s="108"/>
      <c r="J17" s="109"/>
    </row>
    <row r="18" spans="1:10">
      <c r="A18" s="85"/>
      <c r="B18" s="26">
        <v>43088</v>
      </c>
      <c r="C18" s="13" t="s">
        <v>480</v>
      </c>
      <c r="D18" s="14" t="s">
        <v>25</v>
      </c>
      <c r="E18" s="13" t="s">
        <v>29</v>
      </c>
      <c r="F18" s="56">
        <v>0.1</v>
      </c>
      <c r="G18" s="87">
        <v>218.79</v>
      </c>
      <c r="H18" s="104"/>
      <c r="I18" s="108"/>
      <c r="J18" s="109"/>
    </row>
    <row r="19" spans="1:10">
      <c r="A19" s="85"/>
      <c r="B19" s="26">
        <v>43084</v>
      </c>
      <c r="C19" s="13" t="s">
        <v>364</v>
      </c>
      <c r="D19" s="14" t="s">
        <v>14</v>
      </c>
      <c r="E19" s="13" t="s">
        <v>10</v>
      </c>
      <c r="F19" s="56">
        <v>0.1</v>
      </c>
      <c r="G19" s="87">
        <v>130.38</v>
      </c>
      <c r="H19" s="104"/>
      <c r="I19" s="108"/>
      <c r="J19" s="109"/>
    </row>
    <row r="20" spans="1:10">
      <c r="A20" s="85"/>
      <c r="B20" s="26">
        <v>43084</v>
      </c>
      <c r="C20" s="13" t="s">
        <v>481</v>
      </c>
      <c r="D20" s="14" t="s">
        <v>14</v>
      </c>
      <c r="E20" s="13" t="s">
        <v>10</v>
      </c>
      <c r="F20" s="56">
        <v>0.1</v>
      </c>
      <c r="G20" s="87">
        <v>114.77</v>
      </c>
      <c r="H20" s="104"/>
      <c r="I20" s="108"/>
      <c r="J20" s="109"/>
    </row>
    <row r="21" spans="1:10">
      <c r="A21" s="85"/>
      <c r="B21" s="26">
        <v>43092</v>
      </c>
      <c r="C21" s="13" t="s">
        <v>367</v>
      </c>
      <c r="D21" s="14" t="s">
        <v>33</v>
      </c>
      <c r="E21" s="13" t="s">
        <v>29</v>
      </c>
      <c r="F21" s="56">
        <v>0.19</v>
      </c>
      <c r="G21" s="87">
        <v>278.14</v>
      </c>
      <c r="H21" s="104"/>
      <c r="I21" s="108"/>
      <c r="J21" s="109"/>
    </row>
    <row r="22" spans="1:10">
      <c r="A22" s="85"/>
      <c r="B22" s="26">
        <v>43091</v>
      </c>
      <c r="C22" s="13" t="s">
        <v>482</v>
      </c>
      <c r="D22" s="14" t="s">
        <v>61</v>
      </c>
      <c r="E22" s="13" t="s">
        <v>10</v>
      </c>
      <c r="F22" s="56">
        <v>0.1</v>
      </c>
      <c r="G22" s="87">
        <v>116.22</v>
      </c>
      <c r="H22" s="104"/>
      <c r="I22" s="108"/>
      <c r="J22" s="109"/>
    </row>
    <row r="23" spans="1:10">
      <c r="A23" s="85"/>
      <c r="B23" s="26">
        <v>43093</v>
      </c>
      <c r="C23" s="13" t="s">
        <v>483</v>
      </c>
      <c r="D23" s="14" t="s">
        <v>21</v>
      </c>
      <c r="E23" s="13" t="s">
        <v>75</v>
      </c>
      <c r="F23" s="56">
        <v>0.1</v>
      </c>
      <c r="G23" s="87">
        <v>139.88</v>
      </c>
      <c r="H23" s="104"/>
      <c r="I23" s="108"/>
      <c r="J23" s="109"/>
    </row>
    <row r="24" spans="1:10">
      <c r="A24" s="22"/>
      <c r="B24" s="26">
        <v>43092</v>
      </c>
      <c r="C24" s="13" t="s">
        <v>361</v>
      </c>
      <c r="D24" s="14" t="s">
        <v>14</v>
      </c>
      <c r="E24" s="13" t="s">
        <v>10</v>
      </c>
      <c r="F24" s="56">
        <v>0.1</v>
      </c>
      <c r="G24" s="87">
        <v>217.35</v>
      </c>
      <c r="H24" s="104"/>
      <c r="I24" s="108"/>
      <c r="J24" s="109"/>
    </row>
    <row r="25" spans="1:10">
      <c r="A25" s="90"/>
      <c r="B25" s="91">
        <v>43087</v>
      </c>
      <c r="C25" s="92" t="s">
        <v>484</v>
      </c>
      <c r="D25" s="93" t="s">
        <v>14</v>
      </c>
      <c r="E25" s="92" t="s">
        <v>362</v>
      </c>
      <c r="F25" s="94">
        <v>0.1</v>
      </c>
      <c r="G25" s="95">
        <v>323.08</v>
      </c>
      <c r="H25" s="105"/>
      <c r="I25" s="108"/>
      <c r="J25" s="109"/>
    </row>
    <row r="26" spans="1:10">
      <c r="A26" s="90"/>
      <c r="B26" s="91">
        <v>43099</v>
      </c>
      <c r="C26" s="92" t="s">
        <v>358</v>
      </c>
      <c r="D26" s="93" t="s">
        <v>417</v>
      </c>
      <c r="E26" s="92" t="s">
        <v>29</v>
      </c>
      <c r="F26" s="94">
        <v>0.2</v>
      </c>
      <c r="G26" s="95">
        <v>283.85000000000002</v>
      </c>
      <c r="H26" s="105"/>
      <c r="I26" s="108"/>
      <c r="J26" s="109"/>
    </row>
    <row r="27" spans="1:10">
      <c r="A27" s="90"/>
      <c r="B27" s="91">
        <v>43092</v>
      </c>
      <c r="C27" s="92" t="s">
        <v>368</v>
      </c>
      <c r="D27" s="93" t="s">
        <v>14</v>
      </c>
      <c r="E27" s="92" t="s">
        <v>10</v>
      </c>
      <c r="F27" s="94">
        <v>0.1</v>
      </c>
      <c r="G27" s="95">
        <v>130.63999999999999</v>
      </c>
      <c r="H27" s="105"/>
      <c r="I27" s="108"/>
      <c r="J27" s="109"/>
    </row>
    <row r="28" spans="1:10">
      <c r="A28" s="90"/>
      <c r="B28" s="91">
        <v>43096</v>
      </c>
      <c r="C28" s="92" t="s">
        <v>28</v>
      </c>
      <c r="D28" s="93" t="s">
        <v>9</v>
      </c>
      <c r="E28" s="92" t="s">
        <v>10</v>
      </c>
      <c r="F28" s="94">
        <v>0.1</v>
      </c>
      <c r="G28" s="95">
        <v>303.81</v>
      </c>
      <c r="H28" s="105"/>
      <c r="I28" s="108"/>
      <c r="J28" s="109"/>
    </row>
    <row r="29" spans="1:10">
      <c r="A29" s="90"/>
      <c r="B29" s="91">
        <v>43099</v>
      </c>
      <c r="C29" s="92" t="s">
        <v>485</v>
      </c>
      <c r="D29" s="93" t="s">
        <v>14</v>
      </c>
      <c r="E29" s="92" t="s">
        <v>17</v>
      </c>
      <c r="F29" s="94">
        <v>0.1</v>
      </c>
      <c r="G29" s="95">
        <v>197.6</v>
      </c>
      <c r="H29" s="105"/>
      <c r="I29" s="108"/>
      <c r="J29" s="109"/>
    </row>
    <row r="30" spans="1:10">
      <c r="A30" s="90"/>
      <c r="B30" s="91">
        <v>43097</v>
      </c>
      <c r="C30" s="92" t="s">
        <v>369</v>
      </c>
      <c r="D30" s="93" t="s">
        <v>14</v>
      </c>
      <c r="E30" s="92" t="s">
        <v>10</v>
      </c>
      <c r="F30" s="94">
        <v>0.1</v>
      </c>
      <c r="G30" s="95">
        <v>133.87</v>
      </c>
      <c r="H30" s="105"/>
      <c r="I30" s="108"/>
      <c r="J30" s="109"/>
    </row>
    <row r="31" spans="1:10">
      <c r="A31" s="90"/>
      <c r="B31" s="91"/>
      <c r="C31" s="92"/>
      <c r="D31" s="93"/>
      <c r="E31" s="92"/>
      <c r="F31" s="94"/>
      <c r="G31" s="95"/>
      <c r="H31" s="105"/>
      <c r="I31" s="108"/>
      <c r="J31" s="109"/>
    </row>
    <row r="32" spans="1:10">
      <c r="A32" s="90"/>
      <c r="B32" s="91"/>
      <c r="C32" s="92"/>
      <c r="D32" s="93"/>
      <c r="E32" s="92"/>
      <c r="F32" s="94"/>
      <c r="G32" s="95"/>
      <c r="H32" s="105"/>
      <c r="I32" s="108"/>
      <c r="J32" s="109"/>
    </row>
    <row r="33" spans="1:10">
      <c r="A33" s="90"/>
      <c r="B33" s="91"/>
      <c r="C33" s="92"/>
      <c r="D33" s="93"/>
      <c r="E33" s="92"/>
      <c r="F33" s="94"/>
      <c r="G33" s="95"/>
      <c r="H33" s="105"/>
      <c r="I33" s="108"/>
      <c r="J33" s="109"/>
    </row>
    <row r="34" spans="1:10">
      <c r="A34" s="90"/>
      <c r="B34" s="91"/>
      <c r="C34" s="92"/>
      <c r="D34" s="93"/>
      <c r="E34" s="92"/>
      <c r="F34" s="94"/>
      <c r="G34" s="95"/>
      <c r="H34" s="105"/>
      <c r="I34" s="108"/>
      <c r="J34" s="109"/>
    </row>
    <row r="35" spans="1:10">
      <c r="A35" s="90"/>
      <c r="B35" s="91"/>
      <c r="C35" s="92"/>
      <c r="D35" s="93"/>
      <c r="E35" s="92"/>
      <c r="F35" s="94"/>
      <c r="G35" s="95"/>
      <c r="H35" s="105"/>
      <c r="I35" s="108"/>
      <c r="J35" s="109"/>
    </row>
    <row r="36" spans="1:10">
      <c r="A36" s="90"/>
      <c r="B36" s="91"/>
      <c r="C36" s="92"/>
      <c r="D36" s="93"/>
      <c r="E36" s="92"/>
      <c r="F36" s="94"/>
      <c r="G36" s="95"/>
      <c r="H36" s="105"/>
      <c r="I36" s="108"/>
      <c r="J36" s="109"/>
    </row>
    <row r="37" spans="1:10">
      <c r="A37" s="90"/>
      <c r="B37" s="91"/>
      <c r="C37" s="92"/>
      <c r="D37" s="93"/>
      <c r="E37" s="92"/>
      <c r="F37" s="94"/>
      <c r="G37" s="95"/>
      <c r="H37" s="106"/>
      <c r="I37" s="108"/>
      <c r="J37" s="109"/>
    </row>
    <row r="38" spans="1:10" ht="19.5">
      <c r="A38" s="673" t="s">
        <v>39</v>
      </c>
      <c r="B38" s="674"/>
      <c r="C38" s="674"/>
      <c r="D38" s="674"/>
      <c r="E38" s="674"/>
      <c r="F38" s="675"/>
      <c r="G38" s="89">
        <f>SUM(G2:G37)</f>
        <v>5464.7100000000009</v>
      </c>
      <c r="H38" s="107">
        <f>SUM(H2:H37)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42"/>
  <sheetViews>
    <sheetView workbookViewId="0"/>
  </sheetViews>
  <sheetFormatPr defaultRowHeight="15"/>
  <sheetData>
    <row r="1" spans="1:10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86" t="s">
        <v>7</v>
      </c>
      <c r="H1" s="88" t="s">
        <v>307</v>
      </c>
      <c r="I1" s="676" t="s">
        <v>370</v>
      </c>
      <c r="J1" s="110"/>
    </row>
    <row r="2" spans="1:10">
      <c r="A2" s="31"/>
      <c r="B2" s="32">
        <v>43103</v>
      </c>
      <c r="C2" s="7" t="s">
        <v>486</v>
      </c>
      <c r="D2" s="8" t="s">
        <v>14</v>
      </c>
      <c r="E2" s="7" t="s">
        <v>10</v>
      </c>
      <c r="F2" s="55">
        <v>0.1</v>
      </c>
      <c r="G2" s="65">
        <v>140.24</v>
      </c>
      <c r="H2" s="103"/>
      <c r="I2" s="108"/>
      <c r="J2" s="109"/>
    </row>
    <row r="3" spans="1:10">
      <c r="A3" s="31"/>
      <c r="B3" s="32">
        <v>43106</v>
      </c>
      <c r="C3" s="7" t="s">
        <v>487</v>
      </c>
      <c r="D3" s="8" t="s">
        <v>25</v>
      </c>
      <c r="E3" s="7" t="s">
        <v>10</v>
      </c>
      <c r="F3" s="55">
        <v>0.16</v>
      </c>
      <c r="G3" s="87">
        <v>248.92</v>
      </c>
      <c r="H3" s="104"/>
      <c r="I3" s="108"/>
      <c r="J3" s="109"/>
    </row>
    <row r="4" spans="1:10">
      <c r="A4" s="31"/>
      <c r="B4" s="32">
        <v>43463</v>
      </c>
      <c r="C4" s="7" t="s">
        <v>488</v>
      </c>
      <c r="D4" s="8" t="s">
        <v>14</v>
      </c>
      <c r="E4" s="7" t="s">
        <v>22</v>
      </c>
      <c r="F4" s="55">
        <v>0.1</v>
      </c>
      <c r="G4" s="72">
        <v>166.17</v>
      </c>
      <c r="H4" s="104"/>
      <c r="I4" s="677"/>
      <c r="J4" s="677"/>
    </row>
    <row r="5" spans="1:10">
      <c r="A5" s="22"/>
      <c r="B5" s="26">
        <v>43109</v>
      </c>
      <c r="C5" s="13" t="s">
        <v>489</v>
      </c>
      <c r="D5" s="14" t="s">
        <v>25</v>
      </c>
      <c r="E5" s="13" t="s">
        <v>10</v>
      </c>
      <c r="F5" s="56" t="s">
        <v>490</v>
      </c>
      <c r="G5" s="133">
        <v>277.44</v>
      </c>
      <c r="H5" s="104">
        <v>138.72</v>
      </c>
      <c r="I5" s="682" t="s">
        <v>491</v>
      </c>
      <c r="J5" s="660"/>
    </row>
    <row r="6" spans="1:10">
      <c r="A6" s="22"/>
      <c r="B6" s="26">
        <v>43108</v>
      </c>
      <c r="C6" s="13" t="s">
        <v>492</v>
      </c>
      <c r="D6" s="14" t="s">
        <v>14</v>
      </c>
      <c r="E6" s="13" t="s">
        <v>22</v>
      </c>
      <c r="F6" s="56">
        <v>0.15</v>
      </c>
      <c r="G6" s="87">
        <v>376.67</v>
      </c>
      <c r="H6" s="104"/>
      <c r="I6" s="108"/>
      <c r="J6" s="109"/>
    </row>
    <row r="7" spans="1:10">
      <c r="A7" s="22"/>
      <c r="B7" s="26">
        <v>43108</v>
      </c>
      <c r="C7" s="13" t="s">
        <v>493</v>
      </c>
      <c r="D7" s="14" t="s">
        <v>14</v>
      </c>
      <c r="E7" s="13" t="s">
        <v>17</v>
      </c>
      <c r="F7" s="56">
        <v>0.19</v>
      </c>
      <c r="G7" s="87">
        <v>182.96</v>
      </c>
      <c r="H7" s="104">
        <v>91.48</v>
      </c>
      <c r="I7" s="406" t="s">
        <v>373</v>
      </c>
      <c r="J7" s="407"/>
    </row>
    <row r="8" spans="1:10">
      <c r="A8" s="22"/>
      <c r="B8" s="26">
        <v>43105</v>
      </c>
      <c r="C8" s="134" t="s">
        <v>217</v>
      </c>
      <c r="D8" s="14" t="s">
        <v>14</v>
      </c>
      <c r="E8" s="13" t="s">
        <v>17</v>
      </c>
      <c r="F8" s="56" t="s">
        <v>494</v>
      </c>
      <c r="G8" s="87">
        <v>370.84</v>
      </c>
      <c r="H8" s="104">
        <v>185.42</v>
      </c>
      <c r="I8" s="406" t="s">
        <v>371</v>
      </c>
      <c r="J8" s="407"/>
    </row>
    <row r="9" spans="1:10">
      <c r="A9" s="22"/>
      <c r="B9" s="26">
        <v>43106</v>
      </c>
      <c r="C9" s="13" t="s">
        <v>28</v>
      </c>
      <c r="D9" s="14" t="s">
        <v>448</v>
      </c>
      <c r="E9" s="13" t="s">
        <v>469</v>
      </c>
      <c r="F9" s="56" t="s">
        <v>454</v>
      </c>
      <c r="G9" s="87">
        <v>250</v>
      </c>
      <c r="H9" s="104"/>
      <c r="I9" s="108"/>
      <c r="J9" s="109"/>
    </row>
    <row r="10" spans="1:10">
      <c r="A10" s="22"/>
      <c r="B10" s="26">
        <v>43110</v>
      </c>
      <c r="C10" s="13" t="s">
        <v>221</v>
      </c>
      <c r="D10" s="14" t="s">
        <v>25</v>
      </c>
      <c r="E10" s="13" t="s">
        <v>10</v>
      </c>
      <c r="F10" s="56">
        <v>0.1</v>
      </c>
      <c r="G10" s="87">
        <v>161.24</v>
      </c>
      <c r="H10" s="104"/>
      <c r="I10" s="108"/>
      <c r="J10" s="109"/>
    </row>
    <row r="11" spans="1:10">
      <c r="A11" s="22"/>
      <c r="B11" s="26">
        <v>43112</v>
      </c>
      <c r="C11" s="13" t="s">
        <v>223</v>
      </c>
      <c r="D11" s="14" t="s">
        <v>14</v>
      </c>
      <c r="E11" s="13" t="s">
        <v>10</v>
      </c>
      <c r="F11" s="56">
        <v>0.15</v>
      </c>
      <c r="G11" s="87">
        <v>225.24</v>
      </c>
      <c r="H11" s="104"/>
      <c r="I11" s="108"/>
      <c r="J11" s="109"/>
    </row>
    <row r="12" spans="1:10">
      <c r="A12" s="22"/>
      <c r="B12" s="26">
        <v>43111</v>
      </c>
      <c r="C12" s="13" t="s">
        <v>480</v>
      </c>
      <c r="D12" s="14" t="s">
        <v>25</v>
      </c>
      <c r="E12" s="13" t="s">
        <v>29</v>
      </c>
      <c r="F12" s="56" t="s">
        <v>495</v>
      </c>
      <c r="G12" s="87">
        <v>168.44</v>
      </c>
      <c r="H12" s="104"/>
      <c r="I12" s="108"/>
      <c r="J12" s="109"/>
    </row>
    <row r="13" spans="1:10">
      <c r="A13" s="85"/>
      <c r="B13" s="26">
        <v>43122</v>
      </c>
      <c r="C13" s="13" t="s">
        <v>374</v>
      </c>
      <c r="D13" s="14" t="s">
        <v>9</v>
      </c>
      <c r="E13" s="13" t="s">
        <v>10</v>
      </c>
      <c r="F13" s="56">
        <v>0.25</v>
      </c>
      <c r="G13" s="87">
        <v>290.56</v>
      </c>
      <c r="H13" s="104"/>
      <c r="I13" s="108"/>
      <c r="J13" s="109"/>
    </row>
    <row r="14" spans="1:10">
      <c r="A14" s="85"/>
      <c r="B14" s="26">
        <v>43117</v>
      </c>
      <c r="C14" s="13" t="s">
        <v>34</v>
      </c>
      <c r="D14" s="14" t="s">
        <v>14</v>
      </c>
      <c r="E14" s="13" t="s">
        <v>10</v>
      </c>
      <c r="F14" s="56">
        <v>0.15</v>
      </c>
      <c r="G14" s="87">
        <v>379.8</v>
      </c>
      <c r="H14" s="104"/>
      <c r="I14" s="108"/>
      <c r="J14" s="109"/>
    </row>
    <row r="15" spans="1:10">
      <c r="A15" s="85"/>
      <c r="B15" s="26">
        <v>43067</v>
      </c>
      <c r="C15" s="135" t="s">
        <v>312</v>
      </c>
      <c r="D15" s="14" t="s">
        <v>14</v>
      </c>
      <c r="E15" s="13" t="s">
        <v>10</v>
      </c>
      <c r="F15" s="56">
        <v>0.1</v>
      </c>
      <c r="G15" s="87">
        <v>96.1</v>
      </c>
      <c r="H15" s="104"/>
      <c r="I15" s="108"/>
      <c r="J15" s="109"/>
    </row>
    <row r="16" spans="1:10">
      <c r="A16" s="85"/>
      <c r="B16" s="26">
        <v>43117</v>
      </c>
      <c r="C16" s="13" t="s">
        <v>496</v>
      </c>
      <c r="D16" s="14" t="s">
        <v>448</v>
      </c>
      <c r="E16" s="13" t="s">
        <v>469</v>
      </c>
      <c r="F16" s="56" t="s">
        <v>454</v>
      </c>
      <c r="G16" s="87">
        <v>300</v>
      </c>
      <c r="H16" s="104"/>
      <c r="I16" s="108"/>
      <c r="J16" s="109"/>
    </row>
    <row r="17" spans="1:10">
      <c r="A17" s="85"/>
      <c r="B17" s="26">
        <v>43117</v>
      </c>
      <c r="C17" s="13" t="s">
        <v>496</v>
      </c>
      <c r="D17" s="14" t="s">
        <v>448</v>
      </c>
      <c r="E17" s="13" t="s">
        <v>469</v>
      </c>
      <c r="F17" s="56" t="s">
        <v>454</v>
      </c>
      <c r="G17" s="87">
        <v>150</v>
      </c>
      <c r="H17" s="104"/>
      <c r="I17" s="108"/>
      <c r="J17" s="109"/>
    </row>
    <row r="18" spans="1:10">
      <c r="A18" s="85"/>
      <c r="B18" s="26">
        <v>43122</v>
      </c>
      <c r="C18" s="13" t="s">
        <v>377</v>
      </c>
      <c r="D18" s="14" t="s">
        <v>14</v>
      </c>
      <c r="E18" s="13" t="s">
        <v>29</v>
      </c>
      <c r="F18" s="56">
        <v>0.1</v>
      </c>
      <c r="G18" s="87">
        <v>158.19999999999999</v>
      </c>
      <c r="H18" s="104"/>
      <c r="I18" s="108"/>
      <c r="J18" s="109"/>
    </row>
    <row r="19" spans="1:10">
      <c r="A19" s="85"/>
      <c r="B19" s="26">
        <v>43116</v>
      </c>
      <c r="C19" s="13" t="s">
        <v>497</v>
      </c>
      <c r="D19" s="14" t="s">
        <v>9</v>
      </c>
      <c r="E19" s="13" t="s">
        <v>10</v>
      </c>
      <c r="F19" s="56">
        <v>0.1</v>
      </c>
      <c r="G19" s="87">
        <v>258.05</v>
      </c>
      <c r="H19" s="104"/>
      <c r="I19" s="108"/>
      <c r="J19" s="109"/>
    </row>
    <row r="20" spans="1:10">
      <c r="A20" s="85"/>
      <c r="B20" s="26">
        <v>43120</v>
      </c>
      <c r="C20" s="13" t="s">
        <v>372</v>
      </c>
      <c r="D20" s="14" t="s">
        <v>9</v>
      </c>
      <c r="E20" s="13" t="s">
        <v>17</v>
      </c>
      <c r="F20" s="56">
        <v>0.19</v>
      </c>
      <c r="G20" s="87">
        <v>236.25</v>
      </c>
      <c r="H20" s="104">
        <v>118.12</v>
      </c>
      <c r="I20" s="108" t="s">
        <v>373</v>
      </c>
      <c r="J20" s="109"/>
    </row>
    <row r="21" spans="1:10">
      <c r="A21" s="85"/>
      <c r="B21" s="26">
        <v>43122</v>
      </c>
      <c r="C21" s="13" t="s">
        <v>498</v>
      </c>
      <c r="D21" s="14" t="s">
        <v>61</v>
      </c>
      <c r="E21" s="13" t="s">
        <v>90</v>
      </c>
      <c r="F21" s="56">
        <v>0.1</v>
      </c>
      <c r="G21" s="87">
        <v>227.71</v>
      </c>
      <c r="H21" s="104"/>
      <c r="I21" s="108"/>
      <c r="J21" s="109"/>
    </row>
    <row r="22" spans="1:10">
      <c r="A22" s="85"/>
      <c r="B22" s="26">
        <v>43125</v>
      </c>
      <c r="C22" s="13" t="s">
        <v>120</v>
      </c>
      <c r="D22" s="14" t="s">
        <v>21</v>
      </c>
      <c r="E22" s="13" t="s">
        <v>22</v>
      </c>
      <c r="F22" s="56">
        <v>0.1</v>
      </c>
      <c r="G22" s="87">
        <v>337.71</v>
      </c>
      <c r="H22" s="104"/>
      <c r="I22" s="108"/>
      <c r="J22" s="109"/>
    </row>
    <row r="23" spans="1:10">
      <c r="A23" s="22"/>
      <c r="B23" s="26"/>
      <c r="C23" s="13"/>
      <c r="D23" s="14"/>
      <c r="E23" s="13"/>
      <c r="F23" s="56"/>
      <c r="G23" s="87"/>
      <c r="H23" s="104"/>
      <c r="I23" s="108"/>
      <c r="J23" s="109"/>
    </row>
    <row r="24" spans="1:10">
      <c r="A24" s="22"/>
      <c r="B24" s="26"/>
      <c r="C24" s="13"/>
      <c r="D24" s="14"/>
      <c r="E24" s="13"/>
      <c r="F24" s="56"/>
      <c r="G24" s="87"/>
      <c r="H24" s="104"/>
      <c r="I24" s="108"/>
      <c r="J24" s="109"/>
    </row>
    <row r="25" spans="1:10">
      <c r="A25" s="90"/>
      <c r="B25" s="91"/>
      <c r="C25" s="92"/>
      <c r="D25" s="93"/>
      <c r="E25" s="92"/>
      <c r="F25" s="94"/>
      <c r="G25" s="95"/>
      <c r="H25" s="105"/>
      <c r="I25" s="108"/>
      <c r="J25" s="109"/>
    </row>
    <row r="26" spans="1:10">
      <c r="A26" s="90"/>
      <c r="B26" s="91"/>
      <c r="C26" s="92"/>
      <c r="D26" s="93"/>
      <c r="E26" s="92"/>
      <c r="F26" s="94"/>
      <c r="G26" s="95"/>
      <c r="H26" s="105"/>
      <c r="I26" s="108"/>
      <c r="J26" s="109"/>
    </row>
    <row r="27" spans="1:10">
      <c r="A27" s="90"/>
      <c r="B27" s="91"/>
      <c r="C27" s="92"/>
      <c r="D27" s="93"/>
      <c r="E27" s="92"/>
      <c r="F27" s="94"/>
      <c r="G27" s="95"/>
      <c r="H27" s="105"/>
      <c r="I27" s="108"/>
      <c r="J27" s="109"/>
    </row>
    <row r="28" spans="1:10">
      <c r="A28" s="90"/>
      <c r="B28" s="91"/>
      <c r="C28" s="92"/>
      <c r="D28" s="93"/>
      <c r="E28" s="92"/>
      <c r="F28" s="94"/>
      <c r="G28" s="95"/>
      <c r="H28" s="105"/>
      <c r="I28" s="108"/>
      <c r="J28" s="109"/>
    </row>
    <row r="29" spans="1:10">
      <c r="A29" s="90"/>
      <c r="B29" s="91"/>
      <c r="C29" s="92"/>
      <c r="D29" s="93"/>
      <c r="E29" s="92"/>
      <c r="F29" s="94"/>
      <c r="G29" s="95"/>
      <c r="H29" s="105"/>
      <c r="I29" s="108"/>
      <c r="J29" s="109"/>
    </row>
    <row r="30" spans="1:10">
      <c r="A30" s="90"/>
      <c r="B30" s="91"/>
      <c r="C30" s="92"/>
      <c r="D30" s="93"/>
      <c r="E30" s="92"/>
      <c r="F30" s="94"/>
      <c r="G30" s="95"/>
      <c r="H30" s="105"/>
      <c r="I30" s="108"/>
      <c r="J30" s="109"/>
    </row>
    <row r="31" spans="1:10">
      <c r="A31" s="90"/>
      <c r="B31" s="91"/>
      <c r="C31" s="92"/>
      <c r="D31" s="93"/>
      <c r="E31" s="92"/>
      <c r="F31" s="94"/>
      <c r="G31" s="95"/>
      <c r="H31" s="105"/>
      <c r="I31" s="108"/>
      <c r="J31" s="109"/>
    </row>
    <row r="32" spans="1:10">
      <c r="A32" s="90"/>
      <c r="B32" s="91"/>
      <c r="C32" s="92"/>
      <c r="D32" s="93"/>
      <c r="E32" s="92"/>
      <c r="F32" s="94"/>
      <c r="G32" s="95"/>
      <c r="H32" s="105"/>
      <c r="I32" s="108"/>
      <c r="J32" s="109"/>
    </row>
    <row r="33" spans="1:10">
      <c r="A33" s="90"/>
      <c r="B33" s="91"/>
      <c r="C33" s="92"/>
      <c r="D33" s="93"/>
      <c r="E33" s="92"/>
      <c r="F33" s="94"/>
      <c r="G33" s="95"/>
      <c r="H33" s="105"/>
      <c r="I33" s="108"/>
      <c r="J33" s="109"/>
    </row>
    <row r="34" spans="1:10">
      <c r="A34" s="90"/>
      <c r="B34" s="91"/>
      <c r="C34" s="92"/>
      <c r="D34" s="93"/>
      <c r="E34" s="92"/>
      <c r="F34" s="94"/>
      <c r="G34" s="95"/>
      <c r="H34" s="105"/>
      <c r="I34" s="108"/>
      <c r="J34" s="109"/>
    </row>
    <row r="35" spans="1:10">
      <c r="A35" s="90"/>
      <c r="B35" s="91"/>
      <c r="C35" s="92"/>
      <c r="D35" s="93"/>
      <c r="E35" s="92"/>
      <c r="F35" s="94"/>
      <c r="G35" s="95"/>
      <c r="H35" s="105"/>
      <c r="I35" s="108"/>
      <c r="J35" s="109"/>
    </row>
    <row r="36" spans="1:10">
      <c r="A36" s="90"/>
      <c r="B36" s="91"/>
      <c r="C36" s="92"/>
      <c r="D36" s="93"/>
      <c r="E36" s="92"/>
      <c r="F36" s="94"/>
      <c r="G36" s="95"/>
      <c r="H36" s="105"/>
      <c r="I36" s="108"/>
      <c r="J36" s="109"/>
    </row>
    <row r="37" spans="1:10">
      <c r="A37" s="90"/>
      <c r="B37" s="91"/>
      <c r="C37" s="92"/>
      <c r="D37" s="93"/>
      <c r="E37" s="92"/>
      <c r="F37" s="94"/>
      <c r="G37" s="95"/>
      <c r="H37" s="106"/>
      <c r="I37" s="108"/>
      <c r="J37" s="109"/>
    </row>
    <row r="38" spans="1:10" ht="19.5">
      <c r="A38" s="673" t="s">
        <v>39</v>
      </c>
      <c r="B38" s="674"/>
      <c r="C38" s="674"/>
      <c r="D38" s="674"/>
      <c r="E38" s="674"/>
      <c r="F38" s="675"/>
      <c r="G38" s="89">
        <f>SUM(G2:G37)</f>
        <v>5002.54</v>
      </c>
      <c r="H38" s="107">
        <f>SUM(H2:H37)</f>
        <v>533.74</v>
      </c>
    </row>
    <row r="42" spans="1:10">
      <c r="F42" t="s">
        <v>442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36"/>
  <sheetViews>
    <sheetView workbookViewId="0"/>
  </sheetViews>
  <sheetFormatPr defaultRowHeight="15"/>
  <sheetData>
    <row r="1" spans="1:10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86" t="s">
        <v>7</v>
      </c>
      <c r="H1" s="88" t="s">
        <v>307</v>
      </c>
      <c r="I1" s="676" t="s">
        <v>370</v>
      </c>
      <c r="J1" s="110"/>
    </row>
    <row r="2" spans="1:10">
      <c r="A2" s="31"/>
      <c r="B2" s="32">
        <v>43133</v>
      </c>
      <c r="C2" s="7" t="s">
        <v>250</v>
      </c>
      <c r="D2" s="8" t="s">
        <v>14</v>
      </c>
      <c r="E2" s="7" t="s">
        <v>22</v>
      </c>
      <c r="F2" s="55">
        <v>0.1</v>
      </c>
      <c r="G2" s="65">
        <v>225.59</v>
      </c>
      <c r="H2" s="103"/>
      <c r="I2" s="108"/>
      <c r="J2" s="109"/>
    </row>
    <row r="3" spans="1:10">
      <c r="A3" s="31"/>
      <c r="B3" s="32">
        <v>43132</v>
      </c>
      <c r="C3" s="7" t="s">
        <v>230</v>
      </c>
      <c r="D3" s="8" t="s">
        <v>21</v>
      </c>
      <c r="E3" s="7" t="s">
        <v>22</v>
      </c>
      <c r="F3" s="55">
        <v>0.12</v>
      </c>
      <c r="G3" s="87">
        <v>441.36</v>
      </c>
      <c r="H3" s="104"/>
      <c r="I3" s="108"/>
      <c r="J3" s="109"/>
    </row>
    <row r="4" spans="1:10">
      <c r="A4" s="31"/>
      <c r="B4" s="32">
        <v>43132</v>
      </c>
      <c r="C4" s="7" t="s">
        <v>499</v>
      </c>
      <c r="D4" s="8" t="s">
        <v>14</v>
      </c>
      <c r="E4" s="7" t="s">
        <v>500</v>
      </c>
      <c r="F4" s="55">
        <v>0.15</v>
      </c>
      <c r="G4" s="72">
        <v>665.49</v>
      </c>
      <c r="H4" s="104"/>
      <c r="I4" s="677"/>
      <c r="J4" s="677"/>
    </row>
    <row r="5" spans="1:10">
      <c r="A5" s="22"/>
      <c r="B5" s="26">
        <v>43134</v>
      </c>
      <c r="C5" s="13" t="s">
        <v>501</v>
      </c>
      <c r="D5" s="14" t="s">
        <v>14</v>
      </c>
      <c r="E5" s="13" t="s">
        <v>22</v>
      </c>
      <c r="F5" s="56">
        <v>0.1</v>
      </c>
      <c r="G5" s="87">
        <v>222.68</v>
      </c>
      <c r="H5" s="104"/>
      <c r="I5" s="682"/>
      <c r="J5" s="660"/>
    </row>
    <row r="6" spans="1:10">
      <c r="A6" s="22"/>
      <c r="B6" s="26">
        <v>43137</v>
      </c>
      <c r="C6" s="13" t="s">
        <v>502</v>
      </c>
      <c r="D6" s="14" t="s">
        <v>14</v>
      </c>
      <c r="E6" s="13" t="s">
        <v>500</v>
      </c>
      <c r="F6" s="56" t="s">
        <v>503</v>
      </c>
      <c r="G6" s="87">
        <v>512.51</v>
      </c>
      <c r="H6" s="104"/>
      <c r="I6" s="108"/>
      <c r="J6" s="109"/>
    </row>
    <row r="7" spans="1:10">
      <c r="A7" s="22" t="s">
        <v>351</v>
      </c>
      <c r="B7" s="26">
        <v>43136</v>
      </c>
      <c r="C7" s="13" t="s">
        <v>504</v>
      </c>
      <c r="D7" s="14" t="s">
        <v>14</v>
      </c>
      <c r="E7" s="13" t="s">
        <v>15</v>
      </c>
      <c r="F7" s="56">
        <v>0.2</v>
      </c>
      <c r="G7" s="87">
        <v>135.72999999999999</v>
      </c>
      <c r="H7" s="104"/>
      <c r="I7" s="406"/>
      <c r="J7" s="407"/>
    </row>
    <row r="8" spans="1:10">
      <c r="A8" s="22" t="s">
        <v>351</v>
      </c>
      <c r="B8" s="26">
        <v>43141</v>
      </c>
      <c r="C8" s="134" t="s">
        <v>505</v>
      </c>
      <c r="D8" s="14" t="s">
        <v>25</v>
      </c>
      <c r="E8" s="13" t="s">
        <v>438</v>
      </c>
      <c r="F8" s="56">
        <v>0.22</v>
      </c>
      <c r="G8" s="87">
        <v>250.64</v>
      </c>
      <c r="H8" s="104"/>
      <c r="I8" s="406"/>
      <c r="J8" s="407"/>
    </row>
    <row r="9" spans="1:10">
      <c r="A9" s="22"/>
      <c r="B9" s="26">
        <v>43144</v>
      </c>
      <c r="C9" s="13" t="s">
        <v>235</v>
      </c>
      <c r="D9" s="14" t="s">
        <v>14</v>
      </c>
      <c r="E9" s="13" t="s">
        <v>10</v>
      </c>
      <c r="F9" s="56">
        <v>0.1</v>
      </c>
      <c r="G9" s="87">
        <v>173.98</v>
      </c>
      <c r="H9" s="104"/>
      <c r="I9" s="108"/>
      <c r="J9" s="109"/>
    </row>
    <row r="10" spans="1:10">
      <c r="A10" s="22"/>
      <c r="B10" s="26">
        <v>43140</v>
      </c>
      <c r="C10" s="13" t="s">
        <v>506</v>
      </c>
      <c r="D10" s="14" t="s">
        <v>14</v>
      </c>
      <c r="E10" s="13" t="s">
        <v>90</v>
      </c>
      <c r="F10" s="56">
        <v>0.1</v>
      </c>
      <c r="G10" s="87">
        <v>147.33000000000001</v>
      </c>
      <c r="H10" s="104"/>
      <c r="I10" s="108"/>
      <c r="J10" s="109"/>
    </row>
    <row r="11" spans="1:10">
      <c r="A11" s="22"/>
      <c r="B11" s="26">
        <v>43136</v>
      </c>
      <c r="C11" s="13" t="s">
        <v>231</v>
      </c>
      <c r="D11" s="14" t="s">
        <v>70</v>
      </c>
      <c r="E11" s="13" t="s">
        <v>10</v>
      </c>
      <c r="F11" s="56">
        <v>0.1</v>
      </c>
      <c r="G11" s="87">
        <v>167.04</v>
      </c>
      <c r="H11" s="104"/>
      <c r="I11" s="108"/>
      <c r="J11" s="109"/>
    </row>
    <row r="12" spans="1:10">
      <c r="A12" s="22"/>
      <c r="B12" s="26">
        <v>43141</v>
      </c>
      <c r="C12" s="13" t="s">
        <v>507</v>
      </c>
      <c r="D12" s="14" t="s">
        <v>14</v>
      </c>
      <c r="E12" s="13" t="s">
        <v>17</v>
      </c>
      <c r="F12" s="56">
        <v>0.1</v>
      </c>
      <c r="G12" s="87">
        <v>109.4</v>
      </c>
      <c r="H12" s="104"/>
      <c r="I12" s="108"/>
      <c r="J12" s="109"/>
    </row>
    <row r="13" spans="1:10">
      <c r="A13" s="85"/>
      <c r="B13" s="26">
        <v>43144</v>
      </c>
      <c r="C13" s="13" t="s">
        <v>280</v>
      </c>
      <c r="D13" s="14" t="s">
        <v>448</v>
      </c>
      <c r="E13" s="13" t="s">
        <v>469</v>
      </c>
      <c r="F13" s="56" t="s">
        <v>454</v>
      </c>
      <c r="G13" s="87">
        <v>300</v>
      </c>
      <c r="H13" s="104"/>
      <c r="I13" s="108"/>
      <c r="J13" s="109"/>
    </row>
    <row r="14" spans="1:10">
      <c r="A14" s="85"/>
      <c r="B14" s="26">
        <v>43145</v>
      </c>
      <c r="C14" s="13" t="s">
        <v>236</v>
      </c>
      <c r="D14" s="14" t="s">
        <v>21</v>
      </c>
      <c r="E14" s="13" t="s">
        <v>500</v>
      </c>
      <c r="F14" s="56">
        <v>0.1</v>
      </c>
      <c r="G14" s="87">
        <v>82.88</v>
      </c>
      <c r="H14" s="104"/>
      <c r="I14" s="108"/>
      <c r="J14" s="109"/>
    </row>
    <row r="15" spans="1:10">
      <c r="A15" s="85"/>
      <c r="B15" s="26">
        <v>43157</v>
      </c>
      <c r="C15" s="13" t="s">
        <v>508</v>
      </c>
      <c r="D15" s="14" t="s">
        <v>25</v>
      </c>
      <c r="E15" s="13" t="s">
        <v>10</v>
      </c>
      <c r="F15" s="56">
        <v>0.15</v>
      </c>
      <c r="G15" s="87">
        <v>248.83</v>
      </c>
      <c r="H15" s="104"/>
      <c r="I15" s="108"/>
      <c r="J15" s="109"/>
    </row>
    <row r="16" spans="1:10">
      <c r="A16" s="85"/>
      <c r="B16" s="26">
        <v>43150</v>
      </c>
      <c r="C16" s="13" t="s">
        <v>241</v>
      </c>
      <c r="D16" s="14" t="s">
        <v>9</v>
      </c>
      <c r="E16" s="13" t="s">
        <v>10</v>
      </c>
      <c r="F16" s="56">
        <v>0.13</v>
      </c>
      <c r="G16" s="87">
        <v>123.83</v>
      </c>
      <c r="H16" s="104"/>
      <c r="I16" s="108"/>
      <c r="J16" s="109"/>
    </row>
    <row r="17" spans="1:10">
      <c r="A17" s="85"/>
      <c r="B17" s="26">
        <v>42783</v>
      </c>
      <c r="C17" s="13" t="s">
        <v>220</v>
      </c>
      <c r="D17" s="14" t="s">
        <v>14</v>
      </c>
      <c r="E17" s="13" t="s">
        <v>10</v>
      </c>
      <c r="F17" s="56">
        <v>0.1</v>
      </c>
      <c r="G17" s="87">
        <v>102.96</v>
      </c>
      <c r="H17" s="104"/>
      <c r="I17" s="108"/>
      <c r="J17" s="109"/>
    </row>
    <row r="18" spans="1:10">
      <c r="A18" s="85"/>
      <c r="B18" s="26">
        <v>43145</v>
      </c>
      <c r="C18" s="13" t="s">
        <v>237</v>
      </c>
      <c r="D18" s="14" t="s">
        <v>14</v>
      </c>
      <c r="E18" s="13" t="s">
        <v>10</v>
      </c>
      <c r="F18" s="56">
        <v>0.1</v>
      </c>
      <c r="G18" s="87">
        <v>127.28</v>
      </c>
      <c r="H18" s="104"/>
      <c r="I18" s="108"/>
      <c r="J18" s="109"/>
    </row>
    <row r="19" spans="1:10">
      <c r="A19" s="85"/>
      <c r="B19" s="26">
        <v>43152</v>
      </c>
      <c r="C19" s="13" t="s">
        <v>509</v>
      </c>
      <c r="D19" s="14" t="s">
        <v>14</v>
      </c>
      <c r="E19" s="13" t="s">
        <v>22</v>
      </c>
      <c r="F19" s="56">
        <v>0.15</v>
      </c>
      <c r="G19" s="87">
        <v>573.87</v>
      </c>
      <c r="H19" s="104"/>
      <c r="I19" s="108"/>
      <c r="J19" s="109"/>
    </row>
    <row r="20" spans="1:10">
      <c r="A20" s="85"/>
      <c r="B20" s="26">
        <v>43153</v>
      </c>
      <c r="C20" s="13" t="s">
        <v>243</v>
      </c>
      <c r="D20" s="14" t="s">
        <v>14</v>
      </c>
      <c r="E20" s="13" t="s">
        <v>10</v>
      </c>
      <c r="F20" s="56">
        <v>0.1</v>
      </c>
      <c r="G20" s="87">
        <v>166.29</v>
      </c>
      <c r="H20" s="104"/>
      <c r="I20" s="108"/>
      <c r="J20" s="109"/>
    </row>
    <row r="21" spans="1:10">
      <c r="A21" s="136" t="s">
        <v>510</v>
      </c>
      <c r="B21" s="26">
        <v>42918</v>
      </c>
      <c r="C21" s="13" t="s">
        <v>68</v>
      </c>
      <c r="D21" s="14" t="s">
        <v>25</v>
      </c>
      <c r="E21" s="13" t="s">
        <v>10</v>
      </c>
      <c r="F21" s="56">
        <v>0.24</v>
      </c>
      <c r="G21" s="87">
        <v>147.72</v>
      </c>
      <c r="H21" s="104"/>
      <c r="I21" s="108"/>
      <c r="J21" s="109"/>
    </row>
    <row r="22" spans="1:10">
      <c r="A22" s="136"/>
      <c r="B22" s="26">
        <v>42790</v>
      </c>
      <c r="C22" s="13" t="s">
        <v>244</v>
      </c>
      <c r="D22" s="14" t="s">
        <v>14</v>
      </c>
      <c r="E22" s="13" t="s">
        <v>19</v>
      </c>
      <c r="F22" s="56">
        <v>0.15</v>
      </c>
      <c r="G22" s="87">
        <v>323.98</v>
      </c>
      <c r="H22" s="104"/>
      <c r="I22" s="108"/>
      <c r="J22" s="109"/>
    </row>
    <row r="23" spans="1:10">
      <c r="A23" s="90"/>
      <c r="B23" s="91">
        <v>42792</v>
      </c>
      <c r="C23" s="92" t="s">
        <v>384</v>
      </c>
      <c r="D23" s="93" t="s">
        <v>14</v>
      </c>
      <c r="E23" s="92" t="s">
        <v>10</v>
      </c>
      <c r="F23" s="94">
        <v>0.11</v>
      </c>
      <c r="G23" s="95">
        <v>149.26</v>
      </c>
      <c r="H23" s="105"/>
      <c r="I23" s="108"/>
      <c r="J23" s="109"/>
    </row>
    <row r="24" spans="1:10">
      <c r="A24" s="90"/>
      <c r="B24" s="91">
        <v>43156</v>
      </c>
      <c r="C24" s="92" t="s">
        <v>385</v>
      </c>
      <c r="D24" s="93" t="s">
        <v>422</v>
      </c>
      <c r="E24" s="92" t="s">
        <v>143</v>
      </c>
      <c r="F24" s="94">
        <v>0.12</v>
      </c>
      <c r="G24" s="95">
        <v>154.69999999999999</v>
      </c>
      <c r="H24" s="105"/>
      <c r="I24" s="108"/>
      <c r="J24" s="109"/>
    </row>
    <row r="25" spans="1:10">
      <c r="A25" s="90"/>
      <c r="B25" s="91"/>
      <c r="C25" s="92"/>
      <c r="D25" s="93"/>
      <c r="E25" s="92"/>
      <c r="F25" s="94"/>
      <c r="G25" s="95"/>
      <c r="H25" s="105"/>
      <c r="I25" s="108"/>
      <c r="J25" s="109"/>
    </row>
    <row r="26" spans="1:10">
      <c r="A26" s="90"/>
      <c r="B26" s="91"/>
      <c r="C26" s="92"/>
      <c r="D26" s="93"/>
      <c r="E26" s="92"/>
      <c r="F26" s="94"/>
      <c r="G26" s="95"/>
      <c r="H26" s="105"/>
      <c r="I26" s="108"/>
      <c r="J26" s="109"/>
    </row>
    <row r="27" spans="1:10">
      <c r="A27" s="90"/>
      <c r="B27" s="91"/>
      <c r="C27" s="92"/>
      <c r="D27" s="93"/>
      <c r="E27" s="92"/>
      <c r="F27" s="94"/>
      <c r="G27" s="95"/>
      <c r="H27" s="105"/>
      <c r="I27" s="108"/>
      <c r="J27" s="109"/>
    </row>
    <row r="28" spans="1:10">
      <c r="A28" s="90"/>
      <c r="B28" s="91"/>
      <c r="C28" s="92"/>
      <c r="D28" s="93"/>
      <c r="E28" s="92"/>
      <c r="F28" s="94"/>
      <c r="G28" s="95"/>
      <c r="H28" s="105"/>
      <c r="I28" s="108"/>
      <c r="J28" s="109"/>
    </row>
    <row r="29" spans="1:10">
      <c r="A29" s="90"/>
      <c r="B29" s="91"/>
      <c r="C29" s="92"/>
      <c r="D29" s="93"/>
      <c r="E29" s="92"/>
      <c r="F29" s="94"/>
      <c r="G29" s="95"/>
      <c r="H29" s="105"/>
      <c r="I29" s="108"/>
      <c r="J29" s="109"/>
    </row>
    <row r="30" spans="1:10">
      <c r="A30" s="90"/>
      <c r="B30" s="91"/>
      <c r="C30" s="92"/>
      <c r="D30" s="93"/>
      <c r="E30" s="92"/>
      <c r="F30" s="94"/>
      <c r="G30" s="95"/>
      <c r="H30" s="105"/>
      <c r="I30" s="108"/>
      <c r="J30" s="109"/>
    </row>
    <row r="31" spans="1:10">
      <c r="A31" s="90"/>
      <c r="B31" s="91"/>
      <c r="C31" s="92"/>
      <c r="D31" s="93"/>
      <c r="E31" s="92"/>
      <c r="F31" s="94"/>
      <c r="G31" s="95"/>
      <c r="H31" s="105"/>
      <c r="I31" s="108"/>
      <c r="J31" s="109"/>
    </row>
    <row r="32" spans="1:10">
      <c r="A32" s="90"/>
      <c r="B32" s="91"/>
      <c r="C32" s="92"/>
      <c r="D32" s="93"/>
      <c r="E32" s="92"/>
      <c r="F32" s="94"/>
      <c r="G32" s="95"/>
      <c r="H32" s="105"/>
      <c r="I32" s="108"/>
      <c r="J32" s="109"/>
    </row>
    <row r="33" spans="1:10">
      <c r="A33" s="90"/>
      <c r="B33" s="91"/>
      <c r="C33" s="92"/>
      <c r="D33" s="93"/>
      <c r="E33" s="92"/>
      <c r="F33" s="94"/>
      <c r="G33" s="95"/>
      <c r="H33" s="105"/>
      <c r="I33" s="108"/>
      <c r="J33" s="109"/>
    </row>
    <row r="34" spans="1:10">
      <c r="A34" s="90"/>
      <c r="B34" s="91"/>
      <c r="C34" s="92"/>
      <c r="D34" s="93"/>
      <c r="E34" s="92"/>
      <c r="F34" s="94"/>
      <c r="G34" s="95"/>
      <c r="H34" s="105"/>
      <c r="I34" s="108"/>
      <c r="J34" s="109"/>
    </row>
    <row r="35" spans="1:10">
      <c r="A35" s="90"/>
      <c r="B35" s="91"/>
      <c r="C35" s="92"/>
      <c r="D35" s="93"/>
      <c r="E35" s="92"/>
      <c r="F35" s="94"/>
      <c r="G35" s="95"/>
      <c r="H35" s="106"/>
      <c r="I35" s="108"/>
      <c r="J35" s="109"/>
    </row>
    <row r="36" spans="1:10" ht="19.5">
      <c r="A36" s="673" t="s">
        <v>39</v>
      </c>
      <c r="B36" s="674"/>
      <c r="C36" s="674"/>
      <c r="D36" s="674"/>
      <c r="E36" s="674"/>
      <c r="F36" s="675"/>
      <c r="G36" s="89">
        <f>SUM(G2:G35)</f>
        <v>5553.3500000000013</v>
      </c>
      <c r="H36" s="107">
        <f>SUM(H2:H35)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43"/>
  <sheetViews>
    <sheetView workbookViewId="0"/>
  </sheetViews>
  <sheetFormatPr defaultRowHeight="15"/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511</v>
      </c>
      <c r="G1" s="3" t="s">
        <v>6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31"/>
      <c r="B2" s="32">
        <v>43165</v>
      </c>
      <c r="C2" s="7" t="s">
        <v>256</v>
      </c>
      <c r="D2" s="8" t="s">
        <v>14</v>
      </c>
      <c r="E2" s="7" t="s">
        <v>500</v>
      </c>
      <c r="F2" s="144">
        <v>1179.67</v>
      </c>
      <c r="G2" s="55">
        <v>0.2</v>
      </c>
      <c r="H2" s="65">
        <v>237.56</v>
      </c>
      <c r="I2" s="103"/>
      <c r="J2" s="108"/>
      <c r="K2" s="109"/>
    </row>
    <row r="3" spans="1:11">
      <c r="A3" s="31"/>
      <c r="B3" s="32">
        <v>43162</v>
      </c>
      <c r="C3" s="7" t="s">
        <v>251</v>
      </c>
      <c r="D3" s="8" t="s">
        <v>14</v>
      </c>
      <c r="E3" s="7" t="s">
        <v>362</v>
      </c>
      <c r="F3" s="144">
        <v>1736.08</v>
      </c>
      <c r="G3" s="55">
        <v>0.17</v>
      </c>
      <c r="H3" s="87">
        <v>258.35000000000002</v>
      </c>
      <c r="I3" s="104"/>
      <c r="J3" s="108"/>
      <c r="K3" s="109"/>
    </row>
    <row r="4" spans="1:11">
      <c r="A4" s="31"/>
      <c r="B4" s="32">
        <v>43163</v>
      </c>
      <c r="C4" s="7" t="s">
        <v>387</v>
      </c>
      <c r="D4" s="8" t="s">
        <v>25</v>
      </c>
      <c r="E4" s="7" t="s">
        <v>10</v>
      </c>
      <c r="F4" s="144">
        <v>1954.18</v>
      </c>
      <c r="G4" s="55">
        <v>0.15</v>
      </c>
      <c r="H4" s="72">
        <v>256.60000000000002</v>
      </c>
      <c r="I4" s="104"/>
      <c r="J4" s="677"/>
      <c r="K4" s="677"/>
    </row>
    <row r="5" spans="1:11">
      <c r="A5" s="22"/>
      <c r="B5" s="26">
        <v>43160</v>
      </c>
      <c r="C5" s="13" t="s">
        <v>246</v>
      </c>
      <c r="D5" s="14" t="s">
        <v>14</v>
      </c>
      <c r="E5" s="13" t="s">
        <v>362</v>
      </c>
      <c r="F5" s="145">
        <v>1723.29</v>
      </c>
      <c r="G5" s="56">
        <v>0.1</v>
      </c>
      <c r="H5" s="87">
        <v>150.85</v>
      </c>
      <c r="I5" s="104"/>
      <c r="J5" s="682"/>
      <c r="K5" s="660"/>
    </row>
    <row r="6" spans="1:11">
      <c r="A6" s="22"/>
      <c r="B6" s="26">
        <v>43161</v>
      </c>
      <c r="C6" s="13" t="s">
        <v>512</v>
      </c>
      <c r="D6" s="14" t="s">
        <v>25</v>
      </c>
      <c r="E6" s="13" t="s">
        <v>10</v>
      </c>
      <c r="F6" s="145">
        <v>1873.46</v>
      </c>
      <c r="G6" s="56">
        <v>0.14000000000000001</v>
      </c>
      <c r="H6" s="87">
        <v>229.96</v>
      </c>
      <c r="I6" s="104"/>
      <c r="J6" s="108"/>
      <c r="K6" s="109"/>
    </row>
    <row r="7" spans="1:11">
      <c r="A7" s="22"/>
      <c r="B7" s="26">
        <v>43176</v>
      </c>
      <c r="C7" s="134" t="s">
        <v>513</v>
      </c>
      <c r="D7" s="14" t="s">
        <v>14</v>
      </c>
      <c r="E7" s="13" t="s">
        <v>10</v>
      </c>
      <c r="F7" s="145">
        <v>2429.94</v>
      </c>
      <c r="G7" s="56">
        <v>0.1</v>
      </c>
      <c r="H7" s="87">
        <v>212.71</v>
      </c>
      <c r="I7" s="104"/>
      <c r="J7" s="406"/>
      <c r="K7" s="407"/>
    </row>
    <row r="8" spans="1:11">
      <c r="A8" s="22"/>
      <c r="B8" s="26">
        <v>43166</v>
      </c>
      <c r="C8" s="13" t="s">
        <v>140</v>
      </c>
      <c r="D8" s="14" t="s">
        <v>14</v>
      </c>
      <c r="E8" s="13" t="s">
        <v>10</v>
      </c>
      <c r="F8" s="145">
        <v>1587.77</v>
      </c>
      <c r="G8" s="56">
        <v>0.1</v>
      </c>
      <c r="H8" s="87">
        <v>138.99</v>
      </c>
      <c r="I8" s="104"/>
      <c r="J8" s="108"/>
      <c r="K8" s="109"/>
    </row>
    <row r="9" spans="1:11">
      <c r="A9" s="22"/>
      <c r="B9" s="26">
        <v>43161</v>
      </c>
      <c r="C9" s="13" t="s">
        <v>239</v>
      </c>
      <c r="D9" s="14" t="s">
        <v>198</v>
      </c>
      <c r="E9" s="13" t="s">
        <v>500</v>
      </c>
      <c r="F9" s="145">
        <v>2176.9</v>
      </c>
      <c r="G9" s="56">
        <v>0.15</v>
      </c>
      <c r="H9" s="87">
        <v>256.37</v>
      </c>
      <c r="I9" s="104"/>
      <c r="J9" s="108"/>
      <c r="K9" s="109"/>
    </row>
    <row r="10" spans="1:11">
      <c r="A10" s="22"/>
      <c r="B10" s="26">
        <v>43165</v>
      </c>
      <c r="C10" s="13" t="s">
        <v>253</v>
      </c>
      <c r="D10" s="14" t="s">
        <v>33</v>
      </c>
      <c r="E10" s="13" t="s">
        <v>10</v>
      </c>
      <c r="F10" s="145">
        <v>1684.29</v>
      </c>
      <c r="G10" s="56">
        <v>0.17</v>
      </c>
      <c r="H10" s="87">
        <v>232.24</v>
      </c>
      <c r="I10" s="104"/>
      <c r="J10" s="108"/>
      <c r="K10" s="109"/>
    </row>
    <row r="11" spans="1:11">
      <c r="A11" s="22"/>
      <c r="B11" s="26">
        <v>43162</v>
      </c>
      <c r="C11" s="13" t="s">
        <v>393</v>
      </c>
      <c r="D11" s="14" t="s">
        <v>14</v>
      </c>
      <c r="E11" s="13" t="s">
        <v>10</v>
      </c>
      <c r="F11" s="145">
        <v>1253.0899999999999</v>
      </c>
      <c r="G11" s="56">
        <v>0.1</v>
      </c>
      <c r="H11" s="87">
        <v>109.69</v>
      </c>
      <c r="I11" s="104"/>
      <c r="J11" s="108"/>
      <c r="K11" s="109"/>
    </row>
    <row r="12" spans="1:11">
      <c r="A12" s="85"/>
      <c r="B12" s="26">
        <v>43165</v>
      </c>
      <c r="C12" s="13" t="s">
        <v>28</v>
      </c>
      <c r="D12" s="14" t="s">
        <v>9</v>
      </c>
      <c r="E12" s="13" t="s">
        <v>10</v>
      </c>
      <c r="F12" s="145">
        <v>2479.54</v>
      </c>
      <c r="G12" s="56">
        <v>0.1</v>
      </c>
      <c r="H12" s="87">
        <v>187.49</v>
      </c>
      <c r="I12" s="104"/>
      <c r="J12" s="108"/>
      <c r="K12" s="109"/>
    </row>
    <row r="13" spans="1:11">
      <c r="A13" s="85"/>
      <c r="B13" s="26">
        <v>43165</v>
      </c>
      <c r="C13" s="13" t="s">
        <v>358</v>
      </c>
      <c r="D13" s="14" t="s">
        <v>61</v>
      </c>
      <c r="E13" s="13" t="s">
        <v>143</v>
      </c>
      <c r="F13" s="145">
        <v>3593.07</v>
      </c>
      <c r="G13" s="56">
        <v>0.1</v>
      </c>
      <c r="H13" s="87">
        <v>314.52999999999997</v>
      </c>
      <c r="I13" s="104"/>
      <c r="J13" s="108"/>
      <c r="K13" s="109"/>
    </row>
    <row r="14" spans="1:11">
      <c r="A14" s="85"/>
      <c r="B14" s="26">
        <v>43166</v>
      </c>
      <c r="C14" s="13" t="s">
        <v>312</v>
      </c>
      <c r="D14" s="14" t="s">
        <v>25</v>
      </c>
      <c r="E14" s="13" t="s">
        <v>22</v>
      </c>
      <c r="F14" s="145">
        <v>615.97</v>
      </c>
      <c r="G14" s="56">
        <v>0.16</v>
      </c>
      <c r="H14" s="87">
        <v>86.27</v>
      </c>
      <c r="I14" s="104"/>
      <c r="J14" s="108"/>
      <c r="K14" s="109"/>
    </row>
    <row r="15" spans="1:11">
      <c r="A15" s="85"/>
      <c r="B15" s="26">
        <v>43167</v>
      </c>
      <c r="C15" s="13" t="s">
        <v>514</v>
      </c>
      <c r="D15" s="14" t="s">
        <v>21</v>
      </c>
      <c r="E15" s="13" t="s">
        <v>500</v>
      </c>
      <c r="F15" s="145">
        <v>1621.58</v>
      </c>
      <c r="G15" s="56">
        <v>0.1</v>
      </c>
      <c r="H15" s="87">
        <v>152.41999999999999</v>
      </c>
      <c r="I15" s="104"/>
      <c r="J15" s="108"/>
      <c r="K15" s="109"/>
    </row>
    <row r="16" spans="1:11">
      <c r="A16" s="85"/>
      <c r="B16" s="26">
        <v>43168</v>
      </c>
      <c r="C16" s="13" t="s">
        <v>515</v>
      </c>
      <c r="D16" s="14" t="s">
        <v>14</v>
      </c>
      <c r="E16" s="13" t="s">
        <v>29</v>
      </c>
      <c r="F16" s="145">
        <v>1600.73</v>
      </c>
      <c r="G16" s="56">
        <v>0.1</v>
      </c>
      <c r="H16" s="87">
        <v>140.12</v>
      </c>
      <c r="I16" s="104"/>
      <c r="J16" s="108"/>
      <c r="K16" s="109"/>
    </row>
    <row r="17" spans="1:11">
      <c r="A17" s="85"/>
      <c r="B17" s="26">
        <v>43169</v>
      </c>
      <c r="C17" s="13" t="s">
        <v>258</v>
      </c>
      <c r="D17" s="14" t="s">
        <v>70</v>
      </c>
      <c r="E17" s="13" t="s">
        <v>10</v>
      </c>
      <c r="F17" s="145">
        <v>1109.92</v>
      </c>
      <c r="G17" s="56">
        <v>0.1</v>
      </c>
      <c r="H17" s="87">
        <v>97.16</v>
      </c>
      <c r="I17" s="104"/>
      <c r="J17" s="108"/>
      <c r="K17" s="109"/>
    </row>
    <row r="18" spans="1:11">
      <c r="A18" s="85"/>
      <c r="B18" s="26">
        <v>43173</v>
      </c>
      <c r="C18" s="13" t="s">
        <v>516</v>
      </c>
      <c r="D18" s="14" t="s">
        <v>70</v>
      </c>
      <c r="E18" s="13" t="s">
        <v>438</v>
      </c>
      <c r="F18" s="145">
        <v>2703.75</v>
      </c>
      <c r="G18" s="56">
        <v>0.1</v>
      </c>
      <c r="H18" s="87">
        <v>254.15</v>
      </c>
      <c r="I18" s="104"/>
      <c r="J18" s="108"/>
      <c r="K18" s="109"/>
    </row>
    <row r="19" spans="1:11">
      <c r="A19" s="85"/>
      <c r="B19" s="26">
        <v>43174</v>
      </c>
      <c r="C19" s="13" t="s">
        <v>517</v>
      </c>
      <c r="D19" s="14" t="s">
        <v>25</v>
      </c>
      <c r="E19" s="13" t="s">
        <v>10</v>
      </c>
      <c r="F19" s="145">
        <v>1661.89</v>
      </c>
      <c r="G19" s="56">
        <v>0.18</v>
      </c>
      <c r="H19" s="87">
        <v>261.86</v>
      </c>
      <c r="I19" s="104">
        <v>130.93</v>
      </c>
      <c r="J19" s="108" t="s">
        <v>518</v>
      </c>
      <c r="K19" s="109"/>
    </row>
    <row r="20" spans="1:11">
      <c r="A20" s="85"/>
      <c r="B20" s="26">
        <v>43173</v>
      </c>
      <c r="C20" s="13" t="s">
        <v>265</v>
      </c>
      <c r="D20" s="14" t="s">
        <v>9</v>
      </c>
      <c r="E20" s="13" t="s">
        <v>10</v>
      </c>
      <c r="F20" s="145">
        <v>1112.18</v>
      </c>
      <c r="G20" s="56">
        <v>0.25</v>
      </c>
      <c r="H20" s="87">
        <v>243.39</v>
      </c>
      <c r="I20" s="104"/>
      <c r="J20" s="108"/>
      <c r="K20" s="109"/>
    </row>
    <row r="21" spans="1:11">
      <c r="A21" s="22"/>
      <c r="B21" s="26">
        <v>43173</v>
      </c>
      <c r="C21" s="13" t="s">
        <v>312</v>
      </c>
      <c r="D21" s="14" t="s">
        <v>25</v>
      </c>
      <c r="E21" s="13" t="s">
        <v>22</v>
      </c>
      <c r="F21" s="145">
        <v>153.99</v>
      </c>
      <c r="G21" s="56">
        <v>0.16</v>
      </c>
      <c r="H21" s="87">
        <v>23</v>
      </c>
      <c r="I21" s="104"/>
      <c r="J21" s="108"/>
      <c r="K21" s="109"/>
    </row>
    <row r="22" spans="1:11">
      <c r="A22" s="22"/>
      <c r="B22" s="26">
        <v>43174</v>
      </c>
      <c r="C22" s="13" t="s">
        <v>247</v>
      </c>
      <c r="D22" s="14" t="s">
        <v>14</v>
      </c>
      <c r="E22" s="13" t="s">
        <v>15</v>
      </c>
      <c r="F22" s="145">
        <v>2194.98</v>
      </c>
      <c r="G22" s="56">
        <v>0.1</v>
      </c>
      <c r="H22" s="87">
        <v>192.14</v>
      </c>
      <c r="I22" s="104"/>
      <c r="J22" s="108"/>
      <c r="K22" s="109"/>
    </row>
    <row r="23" spans="1:11">
      <c r="A23" s="90"/>
      <c r="B23" s="91">
        <v>43174</v>
      </c>
      <c r="C23" s="92" t="s">
        <v>261</v>
      </c>
      <c r="D23" s="93" t="s">
        <v>14</v>
      </c>
      <c r="E23" s="92" t="s">
        <v>10</v>
      </c>
      <c r="F23" s="146">
        <v>1335.83</v>
      </c>
      <c r="G23" s="94">
        <v>0.1</v>
      </c>
      <c r="H23" s="95">
        <v>116.93</v>
      </c>
      <c r="I23" s="105"/>
      <c r="J23" s="108"/>
      <c r="K23" s="109"/>
    </row>
    <row r="24" spans="1:11">
      <c r="A24" s="90"/>
      <c r="B24" s="91">
        <v>43182</v>
      </c>
      <c r="C24" s="92" t="s">
        <v>266</v>
      </c>
      <c r="D24" s="93" t="s">
        <v>25</v>
      </c>
      <c r="E24" s="92" t="s">
        <v>22</v>
      </c>
      <c r="F24" s="146">
        <v>1811.72</v>
      </c>
      <c r="G24" s="94">
        <v>0.1</v>
      </c>
      <c r="H24" s="95">
        <v>166.59</v>
      </c>
      <c r="I24" s="105"/>
      <c r="J24" s="108"/>
      <c r="K24" s="109"/>
    </row>
    <row r="25" spans="1:11">
      <c r="A25" s="90"/>
      <c r="B25" s="91">
        <v>43180</v>
      </c>
      <c r="C25" s="92" t="s">
        <v>264</v>
      </c>
      <c r="D25" s="93" t="s">
        <v>14</v>
      </c>
      <c r="E25" s="92" t="s">
        <v>17</v>
      </c>
      <c r="F25" s="146">
        <v>1689.21</v>
      </c>
      <c r="G25" s="94">
        <v>0.1</v>
      </c>
      <c r="H25" s="95">
        <v>147.87</v>
      </c>
      <c r="I25" s="105"/>
      <c r="J25" s="108"/>
      <c r="K25" s="109"/>
    </row>
    <row r="26" spans="1:11">
      <c r="A26" s="90"/>
      <c r="B26" s="91">
        <v>43180</v>
      </c>
      <c r="C26" s="92" t="s">
        <v>519</v>
      </c>
      <c r="D26" s="93" t="s">
        <v>14</v>
      </c>
      <c r="E26" s="92" t="s">
        <v>22</v>
      </c>
      <c r="F26" s="146">
        <v>2016.11</v>
      </c>
      <c r="G26" s="94">
        <v>0.17</v>
      </c>
      <c r="H26" s="95">
        <v>300.02999999999997</v>
      </c>
      <c r="I26" s="105"/>
      <c r="J26" s="108"/>
      <c r="K26" s="109"/>
    </row>
    <row r="27" spans="1:11">
      <c r="A27" s="90"/>
      <c r="B27" s="91">
        <v>43181</v>
      </c>
      <c r="C27" s="92" t="s">
        <v>268</v>
      </c>
      <c r="D27" s="93" t="s">
        <v>61</v>
      </c>
      <c r="E27" s="92" t="s">
        <v>19</v>
      </c>
      <c r="F27" s="146">
        <v>1366.06</v>
      </c>
      <c r="G27" s="94">
        <v>0.1</v>
      </c>
      <c r="H27" s="95">
        <v>119.56</v>
      </c>
      <c r="I27" s="105"/>
      <c r="J27" s="108"/>
      <c r="K27" s="109"/>
    </row>
    <row r="28" spans="1:11">
      <c r="A28" s="90"/>
      <c r="B28" s="91">
        <v>43181</v>
      </c>
      <c r="C28" s="92" t="s">
        <v>520</v>
      </c>
      <c r="D28" s="93" t="s">
        <v>14</v>
      </c>
      <c r="E28" s="92" t="s">
        <v>362</v>
      </c>
      <c r="F28" s="146">
        <v>2998.47</v>
      </c>
      <c r="G28" s="94">
        <v>0.1</v>
      </c>
      <c r="H28" s="95">
        <v>262.48</v>
      </c>
      <c r="I28" s="105"/>
      <c r="J28" s="108"/>
      <c r="K28" s="109"/>
    </row>
    <row r="29" spans="1:11">
      <c r="A29" s="90"/>
      <c r="B29" s="91">
        <v>43183</v>
      </c>
      <c r="C29" s="92" t="s">
        <v>521</v>
      </c>
      <c r="D29" s="93" t="s">
        <v>25</v>
      </c>
      <c r="E29" s="92" t="s">
        <v>10</v>
      </c>
      <c r="F29" s="146">
        <v>1720.54</v>
      </c>
      <c r="G29" s="94">
        <v>0.2</v>
      </c>
      <c r="H29" s="95">
        <v>301.23</v>
      </c>
      <c r="I29" s="105"/>
      <c r="J29" s="108"/>
      <c r="K29" s="109"/>
    </row>
    <row r="30" spans="1:11">
      <c r="A30" s="90"/>
      <c r="B30" s="91">
        <v>43181</v>
      </c>
      <c r="C30" s="92" t="s">
        <v>219</v>
      </c>
      <c r="D30" s="93" t="s">
        <v>9</v>
      </c>
      <c r="E30" s="92" t="s">
        <v>10</v>
      </c>
      <c r="F30" s="146">
        <v>3155.33</v>
      </c>
      <c r="G30" s="94">
        <v>0.11</v>
      </c>
      <c r="H30" s="95">
        <v>259.83</v>
      </c>
      <c r="I30" s="105"/>
      <c r="J30" s="108"/>
      <c r="K30" s="109"/>
    </row>
    <row r="31" spans="1:11">
      <c r="A31" s="90"/>
      <c r="B31" s="91">
        <v>43134</v>
      </c>
      <c r="C31" s="92" t="s">
        <v>312</v>
      </c>
      <c r="D31" s="93" t="s">
        <v>14</v>
      </c>
      <c r="E31" s="92" t="s">
        <v>22</v>
      </c>
      <c r="F31" s="146">
        <v>1820.07</v>
      </c>
      <c r="G31" s="94">
        <v>0.1</v>
      </c>
      <c r="H31" s="95">
        <v>159.32</v>
      </c>
      <c r="I31" s="105"/>
      <c r="J31" s="108"/>
      <c r="K31" s="109"/>
    </row>
    <row r="32" spans="1:11">
      <c r="A32" s="90"/>
      <c r="B32" s="91">
        <v>43184</v>
      </c>
      <c r="C32" s="92" t="s">
        <v>522</v>
      </c>
      <c r="D32" s="93" t="s">
        <v>14</v>
      </c>
      <c r="E32" s="92" t="s">
        <v>10</v>
      </c>
      <c r="F32" s="146">
        <v>2378.0300000000002</v>
      </c>
      <c r="G32" s="94">
        <v>0.1</v>
      </c>
      <c r="H32" s="95">
        <v>208.17</v>
      </c>
      <c r="I32" s="105"/>
      <c r="J32" s="108"/>
      <c r="K32" s="109"/>
    </row>
    <row r="33" spans="1:11">
      <c r="A33" s="90"/>
      <c r="B33" s="91">
        <v>43184</v>
      </c>
      <c r="C33" s="137" t="s">
        <v>523</v>
      </c>
      <c r="D33" s="93" t="s">
        <v>14</v>
      </c>
      <c r="E33" s="92" t="s">
        <v>10</v>
      </c>
      <c r="F33" s="146">
        <v>1516.43</v>
      </c>
      <c r="G33" s="94">
        <v>0.11</v>
      </c>
      <c r="H33" s="95">
        <v>146.02000000000001</v>
      </c>
      <c r="I33" s="105"/>
      <c r="J33" s="108"/>
      <c r="K33" s="109"/>
    </row>
    <row r="34" spans="1:11">
      <c r="A34" s="90"/>
      <c r="B34" s="91">
        <v>43187</v>
      </c>
      <c r="C34" s="92" t="s">
        <v>312</v>
      </c>
      <c r="D34" s="93" t="s">
        <v>9</v>
      </c>
      <c r="E34" s="92" t="s">
        <v>22</v>
      </c>
      <c r="F34" s="146">
        <v>572.92999999999995</v>
      </c>
      <c r="G34" s="94">
        <v>0.1</v>
      </c>
      <c r="H34" s="95">
        <v>57.82</v>
      </c>
      <c r="I34" s="105"/>
      <c r="J34" s="108"/>
      <c r="K34" s="109"/>
    </row>
    <row r="35" spans="1:11">
      <c r="A35" s="90"/>
      <c r="B35" s="91">
        <v>43188</v>
      </c>
      <c r="C35" s="139" t="s">
        <v>524</v>
      </c>
      <c r="D35" s="93" t="s">
        <v>14</v>
      </c>
      <c r="E35" s="92" t="s">
        <v>10</v>
      </c>
      <c r="F35" s="146">
        <v>1426.7</v>
      </c>
      <c r="G35" s="94">
        <v>0.12</v>
      </c>
      <c r="H35" s="95">
        <v>149.87</v>
      </c>
      <c r="I35" s="105"/>
      <c r="J35" s="108"/>
      <c r="K35" s="109"/>
    </row>
    <row r="36" spans="1:11">
      <c r="A36" s="90"/>
      <c r="B36" s="91">
        <v>43165</v>
      </c>
      <c r="C36" s="139" t="s">
        <v>312</v>
      </c>
      <c r="D36" s="93" t="s">
        <v>9</v>
      </c>
      <c r="E36" s="92" t="s">
        <v>10</v>
      </c>
      <c r="F36" s="146">
        <v>2178.69</v>
      </c>
      <c r="G36" s="94">
        <v>0.1</v>
      </c>
      <c r="H36" s="95">
        <v>163.1</v>
      </c>
      <c r="I36" s="105"/>
      <c r="J36" s="108"/>
      <c r="K36" s="109"/>
    </row>
    <row r="37" spans="1:11">
      <c r="A37" s="90"/>
      <c r="B37" s="91">
        <v>43190</v>
      </c>
      <c r="C37" s="140" t="s">
        <v>525</v>
      </c>
      <c r="D37" s="93" t="s">
        <v>9</v>
      </c>
      <c r="E37" s="92" t="s">
        <v>10</v>
      </c>
      <c r="F37" s="146">
        <v>1666.01</v>
      </c>
      <c r="G37" s="94">
        <v>0.2</v>
      </c>
      <c r="H37" s="95">
        <v>251.95</v>
      </c>
      <c r="I37" s="105"/>
      <c r="J37" s="108"/>
      <c r="K37" s="109"/>
    </row>
    <row r="38" spans="1:11">
      <c r="A38" s="90"/>
      <c r="B38" s="91">
        <v>43187</v>
      </c>
      <c r="C38" s="92" t="s">
        <v>399</v>
      </c>
      <c r="D38" s="93" t="s">
        <v>448</v>
      </c>
      <c r="E38" s="92" t="s">
        <v>22</v>
      </c>
      <c r="F38" s="146">
        <v>2133.2199999999998</v>
      </c>
      <c r="G38" s="94">
        <v>0.1</v>
      </c>
      <c r="H38" s="95">
        <v>186.74</v>
      </c>
      <c r="I38" s="105"/>
      <c r="J38" s="108"/>
      <c r="K38" s="109"/>
    </row>
    <row r="39" spans="1:11">
      <c r="A39" s="90"/>
      <c r="B39" s="91">
        <v>43165</v>
      </c>
      <c r="C39" s="92" t="s">
        <v>526</v>
      </c>
      <c r="D39" s="93" t="s">
        <v>448</v>
      </c>
      <c r="E39" s="92" t="s">
        <v>469</v>
      </c>
      <c r="F39" s="146"/>
      <c r="G39" s="94" t="s">
        <v>454</v>
      </c>
      <c r="H39" s="95">
        <v>50</v>
      </c>
      <c r="I39" s="106"/>
      <c r="J39" s="108"/>
      <c r="K39" s="109"/>
    </row>
    <row r="40" spans="1:11" ht="19.5">
      <c r="A40" s="673" t="s">
        <v>39</v>
      </c>
      <c r="B40" s="674"/>
      <c r="C40" s="674"/>
      <c r="D40" s="674"/>
      <c r="E40" s="674"/>
      <c r="F40" s="147">
        <f>SUM(F2:F39)</f>
        <v>66231.62000000001</v>
      </c>
      <c r="G40" s="143"/>
      <c r="H40" s="129">
        <f>SUM(H2:H39)</f>
        <v>7083.3599999999988</v>
      </c>
      <c r="I40" s="107">
        <f>SUM(I2:I39)</f>
        <v>130.93</v>
      </c>
    </row>
    <row r="43" spans="1:11">
      <c r="D43" s="138"/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42"/>
  <sheetViews>
    <sheetView workbookViewId="0"/>
  </sheetViews>
  <sheetFormatPr defaultRowHeight="15"/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511</v>
      </c>
      <c r="G1" s="3" t="s">
        <v>6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31"/>
      <c r="B2" s="32">
        <v>43191</v>
      </c>
      <c r="C2" s="7" t="s">
        <v>527</v>
      </c>
      <c r="D2" s="8" t="s">
        <v>25</v>
      </c>
      <c r="E2" s="7" t="s">
        <v>10</v>
      </c>
      <c r="F2" s="144">
        <v>847.66</v>
      </c>
      <c r="G2" s="55">
        <v>0.1</v>
      </c>
      <c r="H2" s="65">
        <v>74.2</v>
      </c>
      <c r="I2" s="103"/>
      <c r="J2" s="108"/>
      <c r="K2" s="109"/>
    </row>
    <row r="3" spans="1:11">
      <c r="A3" s="31"/>
      <c r="B3" s="32">
        <v>43192</v>
      </c>
      <c r="C3" s="7" t="s">
        <v>528</v>
      </c>
      <c r="D3" s="8" t="s">
        <v>61</v>
      </c>
      <c r="E3" s="7" t="s">
        <v>10</v>
      </c>
      <c r="F3" s="144">
        <v>1096.99</v>
      </c>
      <c r="G3" s="55">
        <v>0.2</v>
      </c>
      <c r="H3" s="87">
        <v>192.06</v>
      </c>
      <c r="I3" s="104"/>
      <c r="J3" s="108"/>
      <c r="K3" s="109"/>
    </row>
    <row r="4" spans="1:11">
      <c r="A4" s="31"/>
      <c r="B4" s="32">
        <v>43191</v>
      </c>
      <c r="C4" s="7" t="s">
        <v>529</v>
      </c>
      <c r="D4" s="8" t="s">
        <v>21</v>
      </c>
      <c r="E4" s="7" t="s">
        <v>22</v>
      </c>
      <c r="F4" s="144">
        <v>1411.84</v>
      </c>
      <c r="G4" s="55">
        <v>0.1</v>
      </c>
      <c r="H4" s="72">
        <v>123.59</v>
      </c>
      <c r="I4" s="104"/>
      <c r="J4" s="677"/>
      <c r="K4" s="677"/>
    </row>
    <row r="5" spans="1:11">
      <c r="A5" s="22"/>
      <c r="B5" s="26">
        <v>43212</v>
      </c>
      <c r="C5" s="13" t="s">
        <v>285</v>
      </c>
      <c r="D5" s="14" t="s">
        <v>25</v>
      </c>
      <c r="E5" s="13" t="s">
        <v>75</v>
      </c>
      <c r="F5" s="145">
        <v>2051.61</v>
      </c>
      <c r="G5" s="56">
        <v>0.115</v>
      </c>
      <c r="H5" s="87">
        <v>206.53</v>
      </c>
      <c r="I5" s="104"/>
      <c r="J5" s="108"/>
      <c r="K5" s="109"/>
    </row>
    <row r="6" spans="1:11">
      <c r="A6" s="22"/>
      <c r="B6" s="26">
        <v>43206</v>
      </c>
      <c r="C6" s="134" t="s">
        <v>530</v>
      </c>
      <c r="D6" s="14" t="s">
        <v>448</v>
      </c>
      <c r="E6" s="13" t="s">
        <v>469</v>
      </c>
      <c r="F6" s="145">
        <v>928.8</v>
      </c>
      <c r="G6" s="56" t="s">
        <v>454</v>
      </c>
      <c r="H6" s="87">
        <v>150</v>
      </c>
      <c r="I6" s="104"/>
      <c r="J6" s="406"/>
      <c r="K6" s="407"/>
    </row>
    <row r="7" spans="1:11">
      <c r="A7" s="22"/>
      <c r="B7" s="26">
        <v>43204</v>
      </c>
      <c r="C7" s="13" t="s">
        <v>531</v>
      </c>
      <c r="D7" s="14" t="s">
        <v>21</v>
      </c>
      <c r="E7" s="13" t="s">
        <v>75</v>
      </c>
      <c r="F7" s="145">
        <v>3336.39</v>
      </c>
      <c r="G7" s="56">
        <v>0.1</v>
      </c>
      <c r="H7" s="87">
        <v>292.06</v>
      </c>
      <c r="I7" s="104"/>
      <c r="J7" s="108"/>
      <c r="K7" s="109"/>
    </row>
    <row r="8" spans="1:11">
      <c r="A8" s="22"/>
      <c r="B8" s="26">
        <v>43199</v>
      </c>
      <c r="C8" s="13" t="s">
        <v>278</v>
      </c>
      <c r="D8" s="14" t="s">
        <v>14</v>
      </c>
      <c r="E8" s="13" t="s">
        <v>10</v>
      </c>
      <c r="F8" s="145">
        <v>2680.34</v>
      </c>
      <c r="G8" s="56">
        <v>0.1</v>
      </c>
      <c r="H8" s="87">
        <v>234.63</v>
      </c>
      <c r="I8" s="104"/>
      <c r="J8" s="108"/>
      <c r="K8" s="109"/>
    </row>
    <row r="9" spans="1:11">
      <c r="A9" s="22"/>
      <c r="B9" s="26">
        <v>43208</v>
      </c>
      <c r="C9" s="13" t="s">
        <v>532</v>
      </c>
      <c r="D9" s="14" t="s">
        <v>533</v>
      </c>
      <c r="E9" s="13" t="s">
        <v>469</v>
      </c>
      <c r="F9" s="145">
        <v>1846.8</v>
      </c>
      <c r="G9" s="56" t="s">
        <v>454</v>
      </c>
      <c r="H9" s="87">
        <v>150</v>
      </c>
      <c r="I9" s="104"/>
      <c r="J9" s="108"/>
      <c r="K9" s="109"/>
    </row>
    <row r="10" spans="1:11">
      <c r="A10" s="22"/>
      <c r="B10" s="26">
        <v>43204</v>
      </c>
      <c r="C10" s="13" t="s">
        <v>534</v>
      </c>
      <c r="D10" s="14" t="s">
        <v>21</v>
      </c>
      <c r="E10" s="13" t="s">
        <v>22</v>
      </c>
      <c r="F10" s="145">
        <v>1100.03</v>
      </c>
      <c r="G10" s="56">
        <v>0.15</v>
      </c>
      <c r="H10" s="87">
        <v>144.44</v>
      </c>
      <c r="I10" s="104"/>
      <c r="J10" s="108"/>
      <c r="K10" s="109"/>
    </row>
    <row r="11" spans="1:11">
      <c r="A11" s="85"/>
      <c r="B11" s="26">
        <v>43207</v>
      </c>
      <c r="C11" s="13" t="s">
        <v>535</v>
      </c>
      <c r="D11" s="14" t="s">
        <v>33</v>
      </c>
      <c r="E11" s="13" t="s">
        <v>29</v>
      </c>
      <c r="F11" s="145">
        <v>3326.53</v>
      </c>
      <c r="G11" s="56">
        <v>0.1</v>
      </c>
      <c r="H11" s="87">
        <v>256.16000000000003</v>
      </c>
      <c r="I11" s="104"/>
      <c r="J11" s="108"/>
      <c r="K11" s="109"/>
    </row>
    <row r="12" spans="1:11">
      <c r="A12" s="85"/>
      <c r="B12" s="26">
        <v>43209</v>
      </c>
      <c r="C12" s="13" t="s">
        <v>409</v>
      </c>
      <c r="D12" s="14" t="s">
        <v>21</v>
      </c>
      <c r="E12" s="13" t="s">
        <v>22</v>
      </c>
      <c r="F12" s="145">
        <v>5386.33</v>
      </c>
      <c r="G12" s="56">
        <v>0.1</v>
      </c>
      <c r="H12" s="87">
        <v>471.51</v>
      </c>
      <c r="I12" s="104"/>
      <c r="J12" s="108"/>
      <c r="K12" s="109"/>
    </row>
    <row r="13" spans="1:11">
      <c r="A13" s="85"/>
      <c r="B13" s="26">
        <v>43209</v>
      </c>
      <c r="C13" s="13" t="s">
        <v>49</v>
      </c>
      <c r="D13" s="14" t="s">
        <v>14</v>
      </c>
      <c r="E13" s="13" t="s">
        <v>22</v>
      </c>
      <c r="F13" s="145">
        <v>1598.45</v>
      </c>
      <c r="G13" s="56">
        <v>0.16</v>
      </c>
      <c r="H13" s="87">
        <v>223.88</v>
      </c>
      <c r="I13" s="104"/>
      <c r="J13" s="108"/>
      <c r="K13" s="109"/>
    </row>
    <row r="14" spans="1:11">
      <c r="A14" s="85"/>
      <c r="B14" s="26">
        <v>43212</v>
      </c>
      <c r="C14" s="13" t="s">
        <v>284</v>
      </c>
      <c r="D14" s="14" t="s">
        <v>14</v>
      </c>
      <c r="E14" s="13" t="s">
        <v>17</v>
      </c>
      <c r="F14" s="145">
        <v>957</v>
      </c>
      <c r="G14" s="56">
        <v>0.1</v>
      </c>
      <c r="H14" s="87">
        <v>83.77</v>
      </c>
      <c r="I14" s="104"/>
      <c r="J14" s="108"/>
      <c r="K14" s="109"/>
    </row>
    <row r="15" spans="1:11">
      <c r="A15" s="85"/>
      <c r="B15" s="26">
        <v>43210</v>
      </c>
      <c r="C15" s="13" t="s">
        <v>275</v>
      </c>
      <c r="D15" s="14" t="s">
        <v>14</v>
      </c>
      <c r="E15" s="13" t="s">
        <v>29</v>
      </c>
      <c r="F15" s="145">
        <v>2217.41</v>
      </c>
      <c r="G15" s="56">
        <v>0.13</v>
      </c>
      <c r="H15" s="87">
        <v>252.34</v>
      </c>
      <c r="I15" s="104"/>
      <c r="J15" s="108"/>
      <c r="K15" s="109"/>
    </row>
    <row r="16" spans="1:11">
      <c r="A16" s="85"/>
      <c r="B16" s="26">
        <v>43214</v>
      </c>
      <c r="C16" s="13" t="s">
        <v>536</v>
      </c>
      <c r="D16" s="14" t="s">
        <v>25</v>
      </c>
      <c r="E16" s="13" t="s">
        <v>75</v>
      </c>
      <c r="F16" s="145">
        <v>1507.11</v>
      </c>
      <c r="G16" s="56">
        <v>0.12</v>
      </c>
      <c r="H16" s="87">
        <v>128.43</v>
      </c>
      <c r="I16" s="104"/>
      <c r="J16" s="108"/>
      <c r="K16" s="109"/>
    </row>
    <row r="17" spans="1:11">
      <c r="A17" s="85"/>
      <c r="B17" s="26">
        <v>43220</v>
      </c>
      <c r="C17" s="13" t="s">
        <v>537</v>
      </c>
      <c r="D17" s="14" t="s">
        <v>14</v>
      </c>
      <c r="E17" s="13" t="s">
        <v>10</v>
      </c>
      <c r="F17" s="145">
        <v>3058.93</v>
      </c>
      <c r="G17" s="56">
        <v>0.1</v>
      </c>
      <c r="H17" s="87">
        <v>267.77</v>
      </c>
      <c r="I17" s="104"/>
      <c r="J17" s="108"/>
      <c r="K17" s="109"/>
    </row>
    <row r="18" spans="1:11">
      <c r="A18" s="85"/>
      <c r="B18" s="26">
        <v>43218</v>
      </c>
      <c r="C18" s="13" t="s">
        <v>538</v>
      </c>
      <c r="D18" s="14" t="s">
        <v>14</v>
      </c>
      <c r="E18" s="13" t="s">
        <v>29</v>
      </c>
      <c r="F18" s="145">
        <v>4874.8</v>
      </c>
      <c r="G18" s="56">
        <v>0.14000000000000001</v>
      </c>
      <c r="H18" s="87">
        <v>597.42999999999995</v>
      </c>
      <c r="I18" s="104"/>
      <c r="J18" s="108"/>
      <c r="K18" s="109"/>
    </row>
    <row r="19" spans="1:11">
      <c r="A19" s="85"/>
      <c r="B19" s="26">
        <v>43220</v>
      </c>
      <c r="C19" s="13" t="s">
        <v>539</v>
      </c>
      <c r="D19" s="14" t="s">
        <v>14</v>
      </c>
      <c r="E19" s="13" t="s">
        <v>22</v>
      </c>
      <c r="F19" s="145">
        <v>1254.08</v>
      </c>
      <c r="G19" s="56">
        <v>0.125</v>
      </c>
      <c r="H19" s="87">
        <v>137.22</v>
      </c>
      <c r="I19" s="104"/>
      <c r="J19" s="108"/>
      <c r="K19" s="109"/>
    </row>
    <row r="20" spans="1:11">
      <c r="A20" s="22"/>
      <c r="B20" s="26"/>
      <c r="C20" s="13"/>
      <c r="D20" s="14"/>
      <c r="E20" s="13"/>
      <c r="F20" s="145"/>
      <c r="G20" s="56"/>
      <c r="H20" s="87"/>
      <c r="I20" s="104"/>
      <c r="J20" s="108"/>
      <c r="K20" s="109"/>
    </row>
    <row r="21" spans="1:11">
      <c r="A21" s="22"/>
      <c r="B21" s="26"/>
      <c r="C21" s="13"/>
      <c r="D21" s="14"/>
      <c r="E21" s="13"/>
      <c r="F21" s="145"/>
      <c r="G21" s="56"/>
      <c r="H21" s="87"/>
      <c r="I21" s="104"/>
      <c r="J21" s="108"/>
      <c r="K21" s="109"/>
    </row>
    <row r="22" spans="1:11">
      <c r="A22" s="90"/>
      <c r="B22" s="91"/>
      <c r="C22" s="92"/>
      <c r="D22" s="93"/>
      <c r="E22" s="92"/>
      <c r="F22" s="146"/>
      <c r="G22" s="94"/>
      <c r="H22" s="95"/>
      <c r="I22" s="105"/>
      <c r="J22" s="108"/>
      <c r="K22" s="109"/>
    </row>
    <row r="23" spans="1:11">
      <c r="A23" s="90"/>
      <c r="B23" s="91"/>
      <c r="C23" s="92"/>
      <c r="D23" s="93"/>
      <c r="E23" s="92"/>
      <c r="F23" s="146"/>
      <c r="G23" s="94"/>
      <c r="H23" s="95"/>
      <c r="I23" s="105"/>
      <c r="J23" s="108"/>
      <c r="K23" s="109"/>
    </row>
    <row r="24" spans="1:11">
      <c r="A24" s="90"/>
      <c r="B24" s="91"/>
      <c r="C24" s="92"/>
      <c r="D24" s="93"/>
      <c r="E24" s="92"/>
      <c r="F24" s="146"/>
      <c r="G24" s="94"/>
      <c r="H24" s="95"/>
      <c r="I24" s="105"/>
      <c r="J24" s="108"/>
      <c r="K24" s="109"/>
    </row>
    <row r="25" spans="1:11">
      <c r="A25" s="90"/>
      <c r="B25" s="91"/>
      <c r="C25" s="92"/>
      <c r="D25" s="93"/>
      <c r="E25" s="92"/>
      <c r="F25" s="146"/>
      <c r="G25" s="94"/>
      <c r="H25" s="95"/>
      <c r="I25" s="105"/>
      <c r="J25" s="108"/>
      <c r="K25" s="109"/>
    </row>
    <row r="26" spans="1:11">
      <c r="A26" s="90"/>
      <c r="B26" s="91"/>
      <c r="C26" s="92"/>
      <c r="D26" s="93"/>
      <c r="E26" s="92"/>
      <c r="F26" s="146"/>
      <c r="G26" s="94"/>
      <c r="H26" s="95"/>
      <c r="I26" s="105"/>
      <c r="J26" s="108"/>
      <c r="K26" s="109"/>
    </row>
    <row r="27" spans="1:11">
      <c r="A27" s="90"/>
      <c r="B27" s="91"/>
      <c r="C27" s="92"/>
      <c r="D27" s="93"/>
      <c r="E27" s="92"/>
      <c r="F27" s="146"/>
      <c r="G27" s="94"/>
      <c r="H27" s="95"/>
      <c r="I27" s="105"/>
      <c r="J27" s="108"/>
      <c r="K27" s="109"/>
    </row>
    <row r="28" spans="1:11">
      <c r="A28" s="90"/>
      <c r="B28" s="91"/>
      <c r="C28" s="92"/>
      <c r="D28" s="93"/>
      <c r="E28" s="92"/>
      <c r="F28" s="146"/>
      <c r="G28" s="94"/>
      <c r="H28" s="95"/>
      <c r="I28" s="105"/>
      <c r="J28" s="108"/>
      <c r="K28" s="109"/>
    </row>
    <row r="29" spans="1:11">
      <c r="A29" s="90"/>
      <c r="B29" s="91"/>
      <c r="C29" s="92"/>
      <c r="D29" s="93"/>
      <c r="E29" s="92"/>
      <c r="F29" s="146"/>
      <c r="G29" s="94"/>
      <c r="H29" s="95"/>
      <c r="I29" s="105"/>
      <c r="J29" s="108"/>
      <c r="K29" s="109"/>
    </row>
    <row r="30" spans="1:11">
      <c r="A30" s="90"/>
      <c r="B30" s="91"/>
      <c r="C30" s="92"/>
      <c r="D30" s="93"/>
      <c r="E30" s="92"/>
      <c r="F30" s="146"/>
      <c r="G30" s="94"/>
      <c r="H30" s="95"/>
      <c r="I30" s="105"/>
      <c r="J30" s="108"/>
      <c r="K30" s="109"/>
    </row>
    <row r="31" spans="1:11">
      <c r="A31" s="90"/>
      <c r="B31" s="91"/>
      <c r="C31" s="92"/>
      <c r="D31" s="93"/>
      <c r="E31" s="92"/>
      <c r="F31" s="146"/>
      <c r="G31" s="94"/>
      <c r="H31" s="95"/>
      <c r="I31" s="105"/>
      <c r="J31" s="108"/>
      <c r="K31" s="109"/>
    </row>
    <row r="32" spans="1:11">
      <c r="A32" s="90"/>
      <c r="B32" s="91"/>
      <c r="C32" s="137"/>
      <c r="D32" s="93"/>
      <c r="E32" s="92"/>
      <c r="F32" s="146"/>
      <c r="G32" s="94"/>
      <c r="H32" s="95"/>
      <c r="I32" s="105"/>
      <c r="J32" s="108"/>
      <c r="K32" s="109"/>
    </row>
    <row r="33" spans="1:11">
      <c r="A33" s="90"/>
      <c r="B33" s="91"/>
      <c r="C33" s="92"/>
      <c r="D33" s="93"/>
      <c r="E33" s="92"/>
      <c r="F33" s="146"/>
      <c r="G33" s="94"/>
      <c r="H33" s="95"/>
      <c r="I33" s="105"/>
      <c r="J33" s="108"/>
      <c r="K33" s="109"/>
    </row>
    <row r="34" spans="1:11">
      <c r="A34" s="90"/>
      <c r="B34" s="91"/>
      <c r="C34" s="139"/>
      <c r="D34" s="93"/>
      <c r="E34" s="92"/>
      <c r="F34" s="146"/>
      <c r="G34" s="94"/>
      <c r="H34" s="95"/>
      <c r="I34" s="105"/>
      <c r="J34" s="108"/>
      <c r="K34" s="109"/>
    </row>
    <row r="35" spans="1:11">
      <c r="A35" s="90"/>
      <c r="B35" s="91"/>
      <c r="C35" s="139"/>
      <c r="D35" s="93"/>
      <c r="E35" s="92"/>
      <c r="F35" s="146"/>
      <c r="G35" s="94"/>
      <c r="H35" s="95"/>
      <c r="I35" s="105"/>
      <c r="J35" s="108"/>
      <c r="K35" s="109"/>
    </row>
    <row r="36" spans="1:11">
      <c r="A36" s="90"/>
      <c r="B36" s="91"/>
      <c r="C36" s="140"/>
      <c r="D36" s="93"/>
      <c r="E36" s="92"/>
      <c r="F36" s="146"/>
      <c r="G36" s="94"/>
      <c r="H36" s="95"/>
      <c r="I36" s="105"/>
      <c r="J36" s="108"/>
      <c r="K36" s="109"/>
    </row>
    <row r="37" spans="1:11">
      <c r="A37" s="90"/>
      <c r="B37" s="91"/>
      <c r="C37" s="92"/>
      <c r="D37" s="93"/>
      <c r="E37" s="92"/>
      <c r="F37" s="146"/>
      <c r="G37" s="94"/>
      <c r="H37" s="95"/>
      <c r="I37" s="105"/>
      <c r="J37" s="108"/>
      <c r="K37" s="109"/>
    </row>
    <row r="38" spans="1:11">
      <c r="A38" s="90"/>
      <c r="B38" s="91"/>
      <c r="C38" s="92"/>
      <c r="D38" s="93"/>
      <c r="E38" s="92"/>
      <c r="F38" s="146"/>
      <c r="G38" s="94"/>
      <c r="H38" s="95"/>
      <c r="I38" s="106"/>
      <c r="J38" s="108"/>
      <c r="K38" s="109"/>
    </row>
    <row r="39" spans="1:11" ht="19.5">
      <c r="A39" s="673" t="s">
        <v>39</v>
      </c>
      <c r="B39" s="674"/>
      <c r="C39" s="674"/>
      <c r="D39" s="674"/>
      <c r="E39" s="674"/>
      <c r="F39" s="147">
        <f>SUM(F2:F38)</f>
        <v>39481.100000000006</v>
      </c>
      <c r="G39" s="143"/>
      <c r="H39" s="129">
        <f>SUM(H2:H38)</f>
        <v>3986.02</v>
      </c>
      <c r="I39" s="107">
        <f>SUM(I2:I38)</f>
        <v>0</v>
      </c>
    </row>
    <row r="42" spans="1:11">
      <c r="D42" s="138"/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42"/>
  <sheetViews>
    <sheetView topLeftCell="A13" workbookViewId="0">
      <selection activeCell="C28" activeCellId="2" sqref="A1 C3 C28"/>
    </sheetView>
  </sheetViews>
  <sheetFormatPr defaultRowHeight="15"/>
  <cols>
    <col min="3" max="3" width="42.140625" bestFit="1" customWidth="1"/>
  </cols>
  <sheetData>
    <row r="1" spans="1:11">
      <c r="A1" s="1911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511</v>
      </c>
      <c r="G1" s="3" t="s">
        <v>6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31"/>
      <c r="B2" s="32">
        <v>43222</v>
      </c>
      <c r="C2" s="7" t="s">
        <v>11</v>
      </c>
      <c r="D2" s="8" t="s">
        <v>376</v>
      </c>
      <c r="E2" s="7" t="s">
        <v>10</v>
      </c>
      <c r="F2" s="144">
        <v>1330.5</v>
      </c>
      <c r="G2" s="55">
        <v>0.17</v>
      </c>
      <c r="H2" s="65">
        <v>198</v>
      </c>
      <c r="I2" s="103"/>
      <c r="J2" s="108"/>
      <c r="K2" s="109"/>
    </row>
    <row r="3" spans="1:11">
      <c r="A3" s="31"/>
      <c r="B3" s="32">
        <v>43222</v>
      </c>
      <c r="C3" s="1912" t="s">
        <v>402</v>
      </c>
      <c r="D3" s="8" t="s">
        <v>14</v>
      </c>
      <c r="E3" s="7" t="s">
        <v>391</v>
      </c>
      <c r="F3" s="144">
        <v>2238.35</v>
      </c>
      <c r="G3" s="55">
        <v>0.17</v>
      </c>
      <c r="H3" s="87">
        <v>333.1</v>
      </c>
      <c r="I3" s="104"/>
      <c r="J3" s="108"/>
      <c r="K3" s="109"/>
    </row>
    <row r="4" spans="1:11">
      <c r="A4" s="31"/>
      <c r="B4" s="32">
        <v>43225</v>
      </c>
      <c r="C4" s="7" t="s">
        <v>290</v>
      </c>
      <c r="D4" s="8" t="s">
        <v>9</v>
      </c>
      <c r="E4" s="7" t="s">
        <v>19</v>
      </c>
      <c r="F4" s="144">
        <v>1556.2</v>
      </c>
      <c r="G4" s="55">
        <v>0.13</v>
      </c>
      <c r="H4" s="72">
        <v>140.77000000000001</v>
      </c>
      <c r="I4" s="104"/>
      <c r="J4" s="677"/>
      <c r="K4" s="677"/>
    </row>
    <row r="5" spans="1:11">
      <c r="A5" s="22"/>
      <c r="B5" s="26">
        <v>43224</v>
      </c>
      <c r="C5" s="13" t="s">
        <v>190</v>
      </c>
      <c r="D5" s="14" t="s">
        <v>14</v>
      </c>
      <c r="E5" s="13" t="s">
        <v>15</v>
      </c>
      <c r="F5" s="145">
        <v>1869.55</v>
      </c>
      <c r="G5" s="56">
        <v>0.1</v>
      </c>
      <c r="H5" s="87">
        <v>163.65</v>
      </c>
      <c r="I5" s="104"/>
      <c r="J5" s="108"/>
      <c r="K5" s="109"/>
    </row>
    <row r="6" spans="1:11">
      <c r="A6" s="22"/>
      <c r="B6" s="26">
        <v>43224</v>
      </c>
      <c r="C6" s="134" t="s">
        <v>540</v>
      </c>
      <c r="D6" s="14" t="s">
        <v>9</v>
      </c>
      <c r="E6" s="13" t="s">
        <v>75</v>
      </c>
      <c r="F6" s="145">
        <v>1532.53</v>
      </c>
      <c r="G6" s="56">
        <v>0.1</v>
      </c>
      <c r="H6" s="87">
        <v>134.15</v>
      </c>
      <c r="I6" s="104"/>
      <c r="J6" s="406"/>
      <c r="K6" s="407"/>
    </row>
    <row r="7" spans="1:11">
      <c r="A7" s="22"/>
      <c r="B7" s="26">
        <v>43229</v>
      </c>
      <c r="C7" s="13" t="s">
        <v>541</v>
      </c>
      <c r="D7" s="14" t="s">
        <v>21</v>
      </c>
      <c r="E7" s="13" t="s">
        <v>22</v>
      </c>
      <c r="F7" s="145">
        <v>1232.25</v>
      </c>
      <c r="G7" s="56">
        <v>0.15</v>
      </c>
      <c r="H7" s="87">
        <v>161.80000000000001</v>
      </c>
      <c r="I7" s="104"/>
      <c r="J7" s="108"/>
      <c r="K7" s="109"/>
    </row>
    <row r="8" spans="1:11">
      <c r="A8" s="22"/>
      <c r="B8" s="26">
        <v>43226</v>
      </c>
      <c r="C8" s="13" t="s">
        <v>542</v>
      </c>
      <c r="D8" s="14" t="s">
        <v>21</v>
      </c>
      <c r="E8" s="13" t="s">
        <v>22</v>
      </c>
      <c r="F8" s="145">
        <v>1456.6</v>
      </c>
      <c r="G8" s="56">
        <v>0.17</v>
      </c>
      <c r="H8" s="87">
        <v>316.76</v>
      </c>
      <c r="I8" s="104"/>
      <c r="J8" s="108"/>
      <c r="K8" s="109"/>
    </row>
    <row r="9" spans="1:11">
      <c r="A9" s="22"/>
      <c r="B9" s="26">
        <v>43229</v>
      </c>
      <c r="C9" s="13" t="s">
        <v>20</v>
      </c>
      <c r="D9" s="14" t="s">
        <v>14</v>
      </c>
      <c r="E9" s="13" t="s">
        <v>10</v>
      </c>
      <c r="F9" s="145">
        <v>1065.92</v>
      </c>
      <c r="G9" s="56">
        <v>0.1</v>
      </c>
      <c r="H9" s="87">
        <v>93.31</v>
      </c>
      <c r="I9" s="104"/>
      <c r="J9" s="108"/>
      <c r="K9" s="109"/>
    </row>
    <row r="10" spans="1:11">
      <c r="A10" s="22"/>
      <c r="B10" s="26">
        <v>43230</v>
      </c>
      <c r="C10" s="13" t="s">
        <v>543</v>
      </c>
      <c r="D10" s="14" t="s">
        <v>61</v>
      </c>
      <c r="E10" s="13" t="s">
        <v>19</v>
      </c>
      <c r="F10" s="145">
        <v>1149.79</v>
      </c>
      <c r="G10" s="56">
        <v>0.1</v>
      </c>
      <c r="H10" s="87">
        <v>108.08</v>
      </c>
      <c r="I10" s="104"/>
      <c r="J10" s="108"/>
      <c r="K10" s="109"/>
    </row>
    <row r="11" spans="1:11">
      <c r="A11" s="85"/>
      <c r="B11" s="26">
        <v>43232</v>
      </c>
      <c r="C11" s="13" t="s">
        <v>544</v>
      </c>
      <c r="D11" s="14" t="s">
        <v>448</v>
      </c>
      <c r="E11" s="13" t="s">
        <v>545</v>
      </c>
      <c r="F11" s="145">
        <v>1282.8</v>
      </c>
      <c r="G11" s="56" t="s">
        <v>454</v>
      </c>
      <c r="H11" s="87">
        <v>250</v>
      </c>
      <c r="I11" s="104"/>
      <c r="J11" s="108"/>
      <c r="K11" s="109"/>
    </row>
    <row r="12" spans="1:11">
      <c r="A12" s="85"/>
      <c r="B12" s="26">
        <v>43234</v>
      </c>
      <c r="C12" s="13" t="s">
        <v>293</v>
      </c>
      <c r="D12" s="14" t="s">
        <v>25</v>
      </c>
      <c r="E12" s="13" t="s">
        <v>22</v>
      </c>
      <c r="F12" s="145">
        <v>1881.01</v>
      </c>
      <c r="G12" s="56">
        <v>0.17</v>
      </c>
      <c r="H12" s="87">
        <v>296.39</v>
      </c>
      <c r="I12" s="104"/>
      <c r="J12" s="108"/>
      <c r="K12" s="109"/>
    </row>
    <row r="13" spans="1:11">
      <c r="A13" s="85"/>
      <c r="B13" s="26">
        <v>43233</v>
      </c>
      <c r="C13" s="13" t="s">
        <v>27</v>
      </c>
      <c r="D13" s="14" t="s">
        <v>14</v>
      </c>
      <c r="E13" s="13" t="s">
        <v>10</v>
      </c>
      <c r="F13" s="145">
        <v>1319.45</v>
      </c>
      <c r="G13" s="56">
        <v>0.1</v>
      </c>
      <c r="H13" s="87">
        <v>115.5</v>
      </c>
      <c r="I13" s="104"/>
      <c r="J13" s="108"/>
      <c r="K13" s="109"/>
    </row>
    <row r="14" spans="1:11">
      <c r="A14" s="85"/>
      <c r="B14" s="26">
        <v>43232</v>
      </c>
      <c r="C14" s="13" t="s">
        <v>546</v>
      </c>
      <c r="D14" s="14" t="s">
        <v>448</v>
      </c>
      <c r="E14" s="13" t="s">
        <v>279</v>
      </c>
      <c r="F14" s="145">
        <v>1352.57</v>
      </c>
      <c r="G14" s="56">
        <v>0.1</v>
      </c>
      <c r="H14" s="87">
        <v>91.82</v>
      </c>
      <c r="I14" s="104"/>
      <c r="J14" s="108"/>
      <c r="K14" s="109"/>
    </row>
    <row r="15" spans="1:11">
      <c r="A15" s="85"/>
      <c r="B15" s="26">
        <v>43236</v>
      </c>
      <c r="C15" s="13" t="s">
        <v>547</v>
      </c>
      <c r="D15" s="14" t="s">
        <v>448</v>
      </c>
      <c r="E15" s="13" t="s">
        <v>545</v>
      </c>
      <c r="F15" s="145">
        <v>2818.8</v>
      </c>
      <c r="G15" s="56" t="s">
        <v>454</v>
      </c>
      <c r="H15" s="87">
        <v>300</v>
      </c>
      <c r="I15" s="104"/>
      <c r="J15" s="108"/>
      <c r="K15" s="109"/>
    </row>
    <row r="16" spans="1:11">
      <c r="A16" s="85"/>
      <c r="B16" s="26">
        <v>43235</v>
      </c>
      <c r="C16" s="13" t="s">
        <v>548</v>
      </c>
      <c r="D16" s="14" t="s">
        <v>61</v>
      </c>
      <c r="E16" s="13" t="s">
        <v>10</v>
      </c>
      <c r="F16" s="145">
        <v>2489.1</v>
      </c>
      <c r="G16" s="56">
        <v>0.1</v>
      </c>
      <c r="H16" s="87">
        <v>210.77</v>
      </c>
      <c r="I16" s="104"/>
      <c r="J16" s="108"/>
      <c r="K16" s="109"/>
    </row>
    <row r="17" spans="1:11">
      <c r="A17" s="85"/>
      <c r="B17" s="26">
        <v>43241</v>
      </c>
      <c r="C17" s="13" t="s">
        <v>295</v>
      </c>
      <c r="D17" s="14" t="s">
        <v>14</v>
      </c>
      <c r="E17" s="13" t="s">
        <v>10</v>
      </c>
      <c r="F17" s="145">
        <v>1853.12</v>
      </c>
      <c r="G17" s="56">
        <v>0.1</v>
      </c>
      <c r="H17" s="87">
        <v>162.22</v>
      </c>
      <c r="I17" s="104"/>
      <c r="J17" s="108"/>
      <c r="K17" s="109"/>
    </row>
    <row r="18" spans="1:11">
      <c r="A18" s="85"/>
      <c r="B18" s="26">
        <v>43237</v>
      </c>
      <c r="C18" s="13" t="s">
        <v>115</v>
      </c>
      <c r="D18" s="14" t="s">
        <v>9</v>
      </c>
      <c r="E18" s="13" t="s">
        <v>10</v>
      </c>
      <c r="F18" s="145">
        <v>1733.81</v>
      </c>
      <c r="G18" s="56">
        <v>0.1</v>
      </c>
      <c r="H18" s="87">
        <v>129.79</v>
      </c>
      <c r="I18" s="104"/>
      <c r="J18" s="108"/>
      <c r="K18" s="109"/>
    </row>
    <row r="19" spans="1:11">
      <c r="A19" s="85"/>
      <c r="B19" s="26">
        <v>43240</v>
      </c>
      <c r="C19" s="13" t="s">
        <v>549</v>
      </c>
      <c r="D19" s="14" t="s">
        <v>9</v>
      </c>
      <c r="E19" s="13" t="s">
        <v>362</v>
      </c>
      <c r="F19" s="145">
        <v>1073.5</v>
      </c>
      <c r="G19" s="56">
        <v>0.15</v>
      </c>
      <c r="H19" s="87">
        <v>140.94999999999999</v>
      </c>
      <c r="I19" s="104"/>
      <c r="J19" s="108"/>
      <c r="K19" s="109"/>
    </row>
    <row r="20" spans="1:11">
      <c r="A20" s="136"/>
      <c r="B20" s="148">
        <v>43241</v>
      </c>
      <c r="C20" s="135" t="s">
        <v>550</v>
      </c>
      <c r="D20" s="149" t="s">
        <v>14</v>
      </c>
      <c r="E20" s="135" t="s">
        <v>10</v>
      </c>
      <c r="F20" s="150">
        <v>1665.33</v>
      </c>
      <c r="G20" s="151">
        <v>0.1</v>
      </c>
      <c r="H20" s="152">
        <v>145.78</v>
      </c>
      <c r="I20" s="153"/>
      <c r="J20" s="295"/>
      <c r="K20" s="296"/>
    </row>
    <row r="21" spans="1:11">
      <c r="A21" s="22"/>
      <c r="B21" s="26">
        <v>43243</v>
      </c>
      <c r="C21" s="13" t="s">
        <v>36</v>
      </c>
      <c r="D21" s="14" t="s">
        <v>61</v>
      </c>
      <c r="E21" s="13" t="s">
        <v>10</v>
      </c>
      <c r="F21" s="145">
        <v>1213.4000000000001</v>
      </c>
      <c r="G21" s="56">
        <v>0.22</v>
      </c>
      <c r="H21" s="87">
        <v>233.68</v>
      </c>
      <c r="I21" s="104"/>
      <c r="J21" s="108"/>
      <c r="K21" s="109"/>
    </row>
    <row r="22" spans="1:11">
      <c r="A22" s="90"/>
      <c r="B22" s="91">
        <v>43242</v>
      </c>
      <c r="C22" s="92" t="s">
        <v>312</v>
      </c>
      <c r="D22" s="93" t="s">
        <v>25</v>
      </c>
      <c r="E22" s="92" t="s">
        <v>22</v>
      </c>
      <c r="F22" s="146">
        <v>180.97</v>
      </c>
      <c r="G22" s="94">
        <v>0.3</v>
      </c>
      <c r="H22" s="95">
        <v>47.52</v>
      </c>
      <c r="I22" s="105"/>
      <c r="J22" s="108"/>
      <c r="K22" s="109"/>
    </row>
    <row r="23" spans="1:11">
      <c r="A23" s="90"/>
      <c r="B23" s="91">
        <v>43244</v>
      </c>
      <c r="C23" s="92" t="s">
        <v>408</v>
      </c>
      <c r="D23" s="93" t="s">
        <v>9</v>
      </c>
      <c r="E23" s="92" t="s">
        <v>15</v>
      </c>
      <c r="F23" s="146">
        <v>1651.15</v>
      </c>
      <c r="G23" s="94">
        <v>0.1</v>
      </c>
      <c r="H23" s="95">
        <v>121.92</v>
      </c>
      <c r="I23" s="105"/>
      <c r="J23" s="108"/>
      <c r="K23" s="109"/>
    </row>
    <row r="24" spans="1:11">
      <c r="A24" s="90"/>
      <c r="B24" s="91">
        <v>43249</v>
      </c>
      <c r="C24" s="92" t="s">
        <v>551</v>
      </c>
      <c r="D24" s="93" t="s">
        <v>61</v>
      </c>
      <c r="E24" s="92" t="s">
        <v>29</v>
      </c>
      <c r="F24" s="146">
        <v>2513.33</v>
      </c>
      <c r="G24" s="94">
        <v>0.1</v>
      </c>
      <c r="H24" s="95">
        <v>197.64</v>
      </c>
      <c r="I24" s="105"/>
      <c r="J24" s="108"/>
      <c r="K24" s="109"/>
    </row>
    <row r="25" spans="1:11">
      <c r="A25" s="90"/>
      <c r="B25" s="91">
        <v>43247</v>
      </c>
      <c r="C25" s="92" t="s">
        <v>212</v>
      </c>
      <c r="D25" s="93" t="s">
        <v>21</v>
      </c>
      <c r="E25" s="92" t="s">
        <v>362</v>
      </c>
      <c r="F25" s="146">
        <v>1868.8</v>
      </c>
      <c r="G25" s="94">
        <v>0.25</v>
      </c>
      <c r="H25" s="95">
        <v>408.98</v>
      </c>
      <c r="I25" s="105"/>
      <c r="J25" s="108"/>
      <c r="K25" s="109"/>
    </row>
    <row r="26" spans="1:11">
      <c r="A26" s="90"/>
      <c r="B26" s="91">
        <v>43249</v>
      </c>
      <c r="C26" s="92" t="s">
        <v>552</v>
      </c>
      <c r="D26" s="93" t="s">
        <v>14</v>
      </c>
      <c r="E26" s="92" t="s">
        <v>10</v>
      </c>
      <c r="F26" s="146">
        <v>1431.41</v>
      </c>
      <c r="G26" s="94">
        <v>0.11</v>
      </c>
      <c r="H26" s="95">
        <v>137.83000000000001</v>
      </c>
      <c r="I26" s="105"/>
      <c r="J26" s="108"/>
      <c r="K26" s="109"/>
    </row>
    <row r="27" spans="1:11">
      <c r="A27" s="90"/>
      <c r="B27" s="91">
        <v>43249</v>
      </c>
      <c r="C27" s="92" t="s">
        <v>38</v>
      </c>
      <c r="D27" s="93" t="s">
        <v>14</v>
      </c>
      <c r="E27" s="92" t="s">
        <v>15</v>
      </c>
      <c r="F27" s="146">
        <v>1606.37</v>
      </c>
      <c r="G27" s="94">
        <v>0.1</v>
      </c>
      <c r="H27" s="95">
        <v>140.62</v>
      </c>
      <c r="I27" s="105"/>
      <c r="J27" s="108"/>
      <c r="K27" s="109"/>
    </row>
    <row r="28" spans="1:11">
      <c r="A28" s="90"/>
      <c r="B28" s="91">
        <v>43249</v>
      </c>
      <c r="C28" s="1909" t="s">
        <v>553</v>
      </c>
      <c r="D28" s="93" t="s">
        <v>112</v>
      </c>
      <c r="E28" s="92" t="s">
        <v>22</v>
      </c>
      <c r="F28" s="146">
        <v>2174.16</v>
      </c>
      <c r="G28" s="94">
        <v>0.1</v>
      </c>
      <c r="H28" s="95">
        <v>290.32</v>
      </c>
      <c r="I28" s="105"/>
      <c r="J28" s="108"/>
      <c r="K28" s="109"/>
    </row>
    <row r="29" spans="1:11">
      <c r="A29" s="90"/>
      <c r="B29" s="91">
        <v>43250</v>
      </c>
      <c r="C29" s="92" t="s">
        <v>554</v>
      </c>
      <c r="D29" s="93" t="s">
        <v>14</v>
      </c>
      <c r="E29" s="92" t="s">
        <v>10</v>
      </c>
      <c r="F29" s="146">
        <v>1991.72</v>
      </c>
      <c r="G29" s="94">
        <v>0.1</v>
      </c>
      <c r="H29" s="95">
        <v>174.35</v>
      </c>
      <c r="I29" s="105"/>
      <c r="J29" s="108"/>
      <c r="K29" s="109"/>
    </row>
    <row r="30" spans="1:11">
      <c r="A30" s="90"/>
      <c r="B30" s="91"/>
      <c r="C30" s="92"/>
      <c r="D30" s="93"/>
      <c r="E30" s="92"/>
      <c r="F30" s="146"/>
      <c r="G30" s="94"/>
      <c r="H30" s="95"/>
      <c r="I30" s="105"/>
      <c r="J30" s="108"/>
      <c r="K30" s="109"/>
    </row>
    <row r="31" spans="1:11">
      <c r="A31" s="90"/>
      <c r="B31" s="91"/>
      <c r="C31" s="92"/>
      <c r="D31" s="93"/>
      <c r="E31" s="92"/>
      <c r="F31" s="146"/>
      <c r="G31" s="94"/>
      <c r="H31" s="95"/>
      <c r="I31" s="105"/>
      <c r="J31" s="108"/>
      <c r="K31" s="109"/>
    </row>
    <row r="32" spans="1:11">
      <c r="A32" s="90"/>
      <c r="B32" s="91"/>
      <c r="C32" s="137"/>
      <c r="D32" s="93"/>
      <c r="E32" s="92"/>
      <c r="F32" s="146"/>
      <c r="G32" s="94"/>
      <c r="H32" s="95"/>
      <c r="I32" s="105"/>
      <c r="J32" s="108"/>
      <c r="K32" s="109"/>
    </row>
    <row r="33" spans="1:11">
      <c r="A33" s="90"/>
      <c r="B33" s="91"/>
      <c r="C33" s="92"/>
      <c r="D33" s="93"/>
      <c r="E33" s="92"/>
      <c r="F33" s="146"/>
      <c r="G33" s="94"/>
      <c r="H33" s="95"/>
      <c r="I33" s="105"/>
      <c r="J33" s="108"/>
      <c r="K33" s="109"/>
    </row>
    <row r="34" spans="1:11">
      <c r="A34" s="90"/>
      <c r="B34" s="91"/>
      <c r="C34" s="139"/>
      <c r="D34" s="93"/>
      <c r="E34" s="92"/>
      <c r="F34" s="146"/>
      <c r="G34" s="94"/>
      <c r="H34" s="95"/>
      <c r="I34" s="105"/>
      <c r="J34" s="108"/>
      <c r="K34" s="109"/>
    </row>
    <row r="35" spans="1:11">
      <c r="A35" s="90"/>
      <c r="B35" s="91"/>
      <c r="C35" s="139"/>
      <c r="D35" s="93"/>
      <c r="E35" s="92"/>
      <c r="F35" s="146"/>
      <c r="G35" s="94"/>
      <c r="H35" s="95"/>
      <c r="I35" s="105"/>
      <c r="J35" s="108"/>
      <c r="K35" s="109"/>
    </row>
    <row r="36" spans="1:11">
      <c r="A36" s="90"/>
      <c r="B36" s="91"/>
      <c r="C36" s="140"/>
      <c r="D36" s="93"/>
      <c r="E36" s="92"/>
      <c r="F36" s="146"/>
      <c r="G36" s="94"/>
      <c r="H36" s="95"/>
      <c r="I36" s="105"/>
      <c r="J36" s="108"/>
      <c r="K36" s="109"/>
    </row>
    <row r="37" spans="1:11">
      <c r="A37" s="90"/>
      <c r="B37" s="91"/>
      <c r="C37" s="92"/>
      <c r="D37" s="93"/>
      <c r="E37" s="92"/>
      <c r="F37" s="146"/>
      <c r="G37" s="94"/>
      <c r="H37" s="95"/>
      <c r="I37" s="105"/>
      <c r="J37" s="108"/>
      <c r="K37" s="109"/>
    </row>
    <row r="38" spans="1:11">
      <c r="A38" s="90"/>
      <c r="B38" s="91"/>
      <c r="C38" s="92"/>
      <c r="D38" s="93"/>
      <c r="E38" s="92"/>
      <c r="F38" s="146"/>
      <c r="G38" s="94"/>
      <c r="H38" s="95"/>
      <c r="I38" s="106"/>
      <c r="J38" s="108"/>
      <c r="K38" s="109"/>
    </row>
    <row r="39" spans="1:11" ht="19.5">
      <c r="A39" s="673" t="s">
        <v>39</v>
      </c>
      <c r="B39" s="674"/>
      <c r="C39" s="674"/>
      <c r="D39" s="674"/>
      <c r="E39" s="674"/>
      <c r="F39" s="147">
        <f>SUM(F2:F38)</f>
        <v>45532.49000000002</v>
      </c>
      <c r="G39" s="143"/>
      <c r="H39" s="129">
        <f>SUM(H2:H38)</f>
        <v>5245.7</v>
      </c>
      <c r="I39" s="107">
        <f>SUM(I2:I38)</f>
        <v>0</v>
      </c>
    </row>
    <row r="42" spans="1:11">
      <c r="D42" s="138"/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42"/>
  <sheetViews>
    <sheetView workbookViewId="0"/>
  </sheetViews>
  <sheetFormatPr defaultRowHeight="15"/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511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31"/>
      <c r="B2" s="32">
        <v>42859</v>
      </c>
      <c r="C2" s="7" t="s">
        <v>41</v>
      </c>
      <c r="D2" s="8" t="s">
        <v>14</v>
      </c>
      <c r="E2" s="7" t="s">
        <v>10</v>
      </c>
      <c r="F2" s="144">
        <v>1525.43</v>
      </c>
      <c r="G2" s="55">
        <v>0.1</v>
      </c>
      <c r="H2" s="65">
        <v>133.53</v>
      </c>
      <c r="I2" s="103"/>
      <c r="J2" s="108"/>
      <c r="K2" s="109"/>
    </row>
    <row r="3" spans="1:11">
      <c r="A3" s="31"/>
      <c r="B3" s="32">
        <v>42861</v>
      </c>
      <c r="C3" s="7" t="s">
        <v>556</v>
      </c>
      <c r="D3" s="8" t="s">
        <v>448</v>
      </c>
      <c r="E3" s="7" t="s">
        <v>469</v>
      </c>
      <c r="F3" s="144">
        <v>1882.8</v>
      </c>
      <c r="G3" s="55" t="s">
        <v>454</v>
      </c>
      <c r="H3" s="87">
        <v>250</v>
      </c>
      <c r="I3" s="104"/>
      <c r="J3" s="108"/>
      <c r="K3" s="109"/>
    </row>
    <row r="4" spans="1:11">
      <c r="A4" s="31"/>
      <c r="B4" s="91">
        <v>42888</v>
      </c>
      <c r="C4" s="92" t="s">
        <v>312</v>
      </c>
      <c r="D4" s="93" t="s">
        <v>25</v>
      </c>
      <c r="E4" s="92" t="s">
        <v>22</v>
      </c>
      <c r="F4" s="146">
        <v>102.34</v>
      </c>
      <c r="G4" s="94">
        <v>0.5</v>
      </c>
      <c r="H4" s="95">
        <v>43.94</v>
      </c>
      <c r="I4" s="104"/>
      <c r="J4" s="677"/>
      <c r="K4" s="677"/>
    </row>
    <row r="5" spans="1:11">
      <c r="A5" s="22"/>
      <c r="B5" s="26">
        <v>42895</v>
      </c>
      <c r="C5" s="13" t="s">
        <v>410</v>
      </c>
      <c r="D5" s="14" t="s">
        <v>9</v>
      </c>
      <c r="E5" s="13" t="s">
        <v>557</v>
      </c>
      <c r="F5" s="145">
        <v>1010.36</v>
      </c>
      <c r="G5" s="56">
        <v>0.2</v>
      </c>
      <c r="H5" s="87">
        <v>176.89</v>
      </c>
      <c r="I5" s="104"/>
      <c r="J5" s="108"/>
      <c r="K5" s="109"/>
    </row>
    <row r="6" spans="1:11">
      <c r="A6" s="22"/>
      <c r="B6" s="26">
        <v>42893</v>
      </c>
      <c r="C6" s="134" t="s">
        <v>312</v>
      </c>
      <c r="D6" s="14" t="s">
        <v>25</v>
      </c>
      <c r="E6" s="13" t="s">
        <v>22</v>
      </c>
      <c r="F6" s="145">
        <v>100.7</v>
      </c>
      <c r="G6" s="56">
        <v>0.47</v>
      </c>
      <c r="H6" s="87">
        <v>41.43</v>
      </c>
      <c r="I6" s="104"/>
      <c r="J6" s="406"/>
      <c r="K6" s="407"/>
    </row>
    <row r="7" spans="1:11">
      <c r="A7" s="22"/>
      <c r="B7" s="26">
        <v>42894</v>
      </c>
      <c r="C7" s="13" t="s">
        <v>91</v>
      </c>
      <c r="D7" s="14" t="s">
        <v>198</v>
      </c>
      <c r="E7" s="13" t="s">
        <v>279</v>
      </c>
      <c r="F7" s="145">
        <v>1173.68</v>
      </c>
      <c r="G7" s="56">
        <v>0.25</v>
      </c>
      <c r="H7" s="87">
        <v>217.89</v>
      </c>
      <c r="I7" s="104"/>
      <c r="J7" s="108"/>
      <c r="K7" s="109"/>
    </row>
    <row r="8" spans="1:11">
      <c r="A8" s="22"/>
      <c r="B8" s="26">
        <v>42900</v>
      </c>
      <c r="C8" s="13" t="s">
        <v>558</v>
      </c>
      <c r="D8" s="14" t="s">
        <v>14</v>
      </c>
      <c r="E8" s="13" t="s">
        <v>22</v>
      </c>
      <c r="F8" s="145">
        <v>1336.97</v>
      </c>
      <c r="G8" s="56">
        <v>0.1</v>
      </c>
      <c r="H8" s="87">
        <v>117.03</v>
      </c>
      <c r="I8" s="104"/>
      <c r="J8" s="108"/>
      <c r="K8" s="109"/>
    </row>
    <row r="9" spans="1:11">
      <c r="A9" s="22"/>
      <c r="B9" s="26">
        <v>42900</v>
      </c>
      <c r="C9" s="13" t="s">
        <v>312</v>
      </c>
      <c r="D9" s="14" t="s">
        <v>559</v>
      </c>
      <c r="E9" s="13" t="s">
        <v>22</v>
      </c>
      <c r="F9" s="145" t="s">
        <v>560</v>
      </c>
      <c r="G9" s="56" t="s">
        <v>560</v>
      </c>
      <c r="H9" s="87">
        <v>160</v>
      </c>
      <c r="I9" s="104"/>
      <c r="J9" s="108"/>
      <c r="K9" s="109"/>
    </row>
    <row r="10" spans="1:11">
      <c r="A10" s="22"/>
      <c r="B10" s="26">
        <v>42895</v>
      </c>
      <c r="C10" s="13" t="s">
        <v>312</v>
      </c>
      <c r="D10" s="14" t="s">
        <v>25</v>
      </c>
      <c r="E10" s="13" t="s">
        <v>22</v>
      </c>
      <c r="F10" s="145">
        <v>136.25</v>
      </c>
      <c r="G10" s="56">
        <v>0.4</v>
      </c>
      <c r="H10" s="87">
        <v>47.71</v>
      </c>
      <c r="I10" s="104"/>
      <c r="J10" s="108"/>
      <c r="K10" s="109"/>
    </row>
    <row r="11" spans="1:11">
      <c r="A11" s="85"/>
      <c r="B11" s="26">
        <v>42900</v>
      </c>
      <c r="C11" s="13" t="s">
        <v>48</v>
      </c>
      <c r="D11" s="14" t="s">
        <v>25</v>
      </c>
      <c r="E11" s="13" t="s">
        <v>19</v>
      </c>
      <c r="F11" s="145">
        <v>2207.33</v>
      </c>
      <c r="G11" s="56">
        <v>0.14000000000000001</v>
      </c>
      <c r="H11" s="87">
        <v>270.52</v>
      </c>
      <c r="I11" s="104"/>
      <c r="J11" s="108"/>
      <c r="K11" s="109"/>
    </row>
    <row r="12" spans="1:11">
      <c r="A12" s="85"/>
      <c r="B12" s="26">
        <v>42898</v>
      </c>
      <c r="C12" s="13" t="s">
        <v>312</v>
      </c>
      <c r="D12" s="14" t="s">
        <v>14</v>
      </c>
      <c r="E12" s="13" t="s">
        <v>90</v>
      </c>
      <c r="F12" s="145">
        <v>371.85</v>
      </c>
      <c r="G12" s="56">
        <v>0.2</v>
      </c>
      <c r="H12" s="87">
        <v>65.099999999999994</v>
      </c>
      <c r="I12" s="104"/>
      <c r="J12" s="108"/>
      <c r="K12" s="109"/>
    </row>
    <row r="13" spans="1:11">
      <c r="A13" s="85"/>
      <c r="B13" s="26">
        <v>42898</v>
      </c>
      <c r="C13" s="13" t="s">
        <v>561</v>
      </c>
      <c r="D13" s="14" t="s">
        <v>14</v>
      </c>
      <c r="E13" s="13" t="s">
        <v>143</v>
      </c>
      <c r="F13" s="145">
        <v>3222.79</v>
      </c>
      <c r="G13" s="56">
        <v>0.1</v>
      </c>
      <c r="H13" s="87">
        <v>282.12</v>
      </c>
      <c r="I13" s="104">
        <v>100</v>
      </c>
      <c r="J13" s="108"/>
      <c r="K13" s="109"/>
    </row>
    <row r="14" spans="1:11">
      <c r="A14" s="85"/>
      <c r="B14" s="26">
        <v>42908</v>
      </c>
      <c r="C14" s="13" t="s">
        <v>562</v>
      </c>
      <c r="D14" s="14" t="s">
        <v>9</v>
      </c>
      <c r="E14" s="13" t="s">
        <v>438</v>
      </c>
      <c r="F14" s="145">
        <v>2550.7800000000002</v>
      </c>
      <c r="G14" s="56">
        <v>0.2</v>
      </c>
      <c r="H14" s="87">
        <v>424.25</v>
      </c>
      <c r="I14" s="104"/>
      <c r="J14" s="108"/>
      <c r="K14" s="109"/>
    </row>
    <row r="15" spans="1:11">
      <c r="A15" s="85"/>
      <c r="B15" s="26">
        <v>42900</v>
      </c>
      <c r="C15" s="13" t="s">
        <v>312</v>
      </c>
      <c r="D15" s="14" t="s">
        <v>25</v>
      </c>
      <c r="E15" s="13" t="s">
        <v>22</v>
      </c>
      <c r="F15" s="145">
        <v>145.38</v>
      </c>
      <c r="G15" s="56">
        <v>0.5</v>
      </c>
      <c r="H15" s="87">
        <v>63.63</v>
      </c>
      <c r="I15" s="104"/>
      <c r="J15" s="108"/>
      <c r="K15" s="109"/>
    </row>
    <row r="16" spans="1:11">
      <c r="A16" s="85"/>
      <c r="B16" s="26">
        <v>42902</v>
      </c>
      <c r="C16" s="13" t="s">
        <v>66</v>
      </c>
      <c r="D16" s="14" t="s">
        <v>21</v>
      </c>
      <c r="E16" s="13" t="s">
        <v>22</v>
      </c>
      <c r="F16" s="145">
        <v>896.15</v>
      </c>
      <c r="G16" s="56">
        <v>0.13</v>
      </c>
      <c r="H16" s="87">
        <v>101.98</v>
      </c>
      <c r="I16" s="104"/>
      <c r="J16" s="108"/>
      <c r="K16" s="109"/>
    </row>
    <row r="17" spans="1:11">
      <c r="A17" s="85"/>
      <c r="B17" s="26">
        <v>42906</v>
      </c>
      <c r="C17" s="13" t="s">
        <v>63</v>
      </c>
      <c r="D17" s="14" t="s">
        <v>14</v>
      </c>
      <c r="E17" s="13" t="s">
        <v>10</v>
      </c>
      <c r="F17" s="145">
        <v>224.59</v>
      </c>
      <c r="G17" s="56">
        <v>0.17</v>
      </c>
      <c r="H17" s="87">
        <v>143.56</v>
      </c>
      <c r="I17" s="104"/>
      <c r="J17" s="108"/>
      <c r="K17" s="109"/>
    </row>
    <row r="18" spans="1:11">
      <c r="A18" s="85"/>
      <c r="B18" s="26">
        <v>42906</v>
      </c>
      <c r="C18" s="13" t="s">
        <v>312</v>
      </c>
      <c r="D18" s="14" t="s">
        <v>25</v>
      </c>
      <c r="E18" s="13" t="s">
        <v>22</v>
      </c>
      <c r="F18" s="145">
        <v>140.94999999999999</v>
      </c>
      <c r="G18" s="56">
        <v>0.5</v>
      </c>
      <c r="H18" s="87">
        <v>61.69</v>
      </c>
      <c r="I18" s="104"/>
      <c r="J18" s="108"/>
      <c r="K18" s="109"/>
    </row>
    <row r="19" spans="1:11">
      <c r="A19" s="85"/>
      <c r="B19" s="26">
        <v>42915</v>
      </c>
      <c r="C19" s="13" t="s">
        <v>52</v>
      </c>
      <c r="D19" s="14" t="s">
        <v>14</v>
      </c>
      <c r="E19" s="13" t="s">
        <v>17</v>
      </c>
      <c r="F19" s="145">
        <v>3303.14</v>
      </c>
      <c r="G19" s="56">
        <v>0.1</v>
      </c>
      <c r="H19" s="87">
        <v>289.14999999999998</v>
      </c>
      <c r="I19" s="104"/>
      <c r="J19" s="108"/>
      <c r="K19" s="109"/>
    </row>
    <row r="20" spans="1:11">
      <c r="A20" s="22"/>
      <c r="B20" s="26">
        <v>42915</v>
      </c>
      <c r="C20" s="13" t="s">
        <v>52</v>
      </c>
      <c r="D20" s="14" t="s">
        <v>14</v>
      </c>
      <c r="E20" s="13" t="s">
        <v>17</v>
      </c>
      <c r="F20" s="145">
        <v>2459.33</v>
      </c>
      <c r="G20" s="56">
        <v>0.1</v>
      </c>
      <c r="H20" s="87">
        <v>215.28</v>
      </c>
      <c r="I20" s="104"/>
      <c r="J20" s="108"/>
      <c r="K20" s="109"/>
    </row>
    <row r="21" spans="1:11">
      <c r="A21" s="22"/>
      <c r="B21" s="26">
        <v>42903</v>
      </c>
      <c r="C21" s="13" t="s">
        <v>563</v>
      </c>
      <c r="D21" s="14" t="s">
        <v>9</v>
      </c>
      <c r="E21" s="13" t="s">
        <v>75</v>
      </c>
      <c r="F21" s="145">
        <v>2078.98</v>
      </c>
      <c r="G21" s="56">
        <v>0.1</v>
      </c>
      <c r="H21" s="87">
        <v>193.61</v>
      </c>
      <c r="I21" s="104">
        <v>96.8</v>
      </c>
      <c r="J21" s="108"/>
      <c r="K21" s="109"/>
    </row>
    <row r="22" spans="1:11">
      <c r="A22" s="90"/>
      <c r="B22" s="91">
        <v>42907</v>
      </c>
      <c r="C22" s="92" t="s">
        <v>62</v>
      </c>
      <c r="D22" s="93" t="s">
        <v>9</v>
      </c>
      <c r="E22" s="92" t="s">
        <v>557</v>
      </c>
      <c r="F22" s="146">
        <v>1065.19</v>
      </c>
      <c r="G22" s="94">
        <v>0.1</v>
      </c>
      <c r="H22" s="95">
        <v>93.24</v>
      </c>
      <c r="I22" s="105"/>
      <c r="J22" s="108"/>
      <c r="K22" s="109"/>
    </row>
    <row r="23" spans="1:11">
      <c r="A23" s="90"/>
      <c r="B23" s="91">
        <v>42915</v>
      </c>
      <c r="C23" s="92" t="s">
        <v>329</v>
      </c>
      <c r="D23" s="93" t="s">
        <v>25</v>
      </c>
      <c r="E23" s="92" t="s">
        <v>362</v>
      </c>
      <c r="F23" s="146">
        <v>1640.97</v>
      </c>
      <c r="G23" s="94">
        <v>0.1</v>
      </c>
      <c r="H23" s="95">
        <v>143.63999999999999</v>
      </c>
      <c r="I23" s="105"/>
      <c r="J23" s="108"/>
      <c r="K23" s="109"/>
    </row>
    <row r="24" spans="1:11">
      <c r="A24" s="90"/>
      <c r="B24" s="91">
        <v>42909</v>
      </c>
      <c r="C24" s="92" t="s">
        <v>312</v>
      </c>
      <c r="D24" s="93" t="s">
        <v>25</v>
      </c>
      <c r="E24" s="92" t="s">
        <v>22</v>
      </c>
      <c r="F24" s="146">
        <v>6000</v>
      </c>
      <c r="G24" s="94">
        <v>0.03</v>
      </c>
      <c r="H24" s="95">
        <v>180</v>
      </c>
      <c r="I24" s="105"/>
      <c r="J24" s="108"/>
      <c r="K24" s="109"/>
    </row>
    <row r="25" spans="1:11">
      <c r="A25" s="90"/>
      <c r="B25" s="91"/>
      <c r="C25" s="92"/>
      <c r="D25" s="93"/>
      <c r="E25" s="92"/>
      <c r="F25" s="146"/>
      <c r="G25" s="94"/>
      <c r="H25" s="95"/>
      <c r="I25" s="105"/>
      <c r="J25" s="108"/>
      <c r="K25" s="109"/>
    </row>
    <row r="26" spans="1:11">
      <c r="A26" s="90"/>
      <c r="B26" s="91"/>
      <c r="C26" s="92"/>
      <c r="D26" s="93"/>
      <c r="E26" s="92"/>
      <c r="F26" s="146"/>
      <c r="G26" s="94"/>
      <c r="H26" s="95"/>
      <c r="I26" s="105"/>
      <c r="J26" s="108"/>
      <c r="K26" s="109"/>
    </row>
    <row r="27" spans="1:11">
      <c r="A27" s="90"/>
      <c r="B27" s="91"/>
      <c r="C27" s="92"/>
      <c r="D27" s="93"/>
      <c r="E27" s="92"/>
      <c r="F27" s="146"/>
      <c r="G27" s="94"/>
      <c r="H27" s="95"/>
      <c r="I27" s="105"/>
      <c r="J27" s="108"/>
      <c r="K27" s="109"/>
    </row>
    <row r="28" spans="1:11">
      <c r="A28" s="90"/>
      <c r="B28" s="91"/>
      <c r="C28" s="92"/>
      <c r="D28" s="93"/>
      <c r="E28" s="92"/>
      <c r="F28" s="146"/>
      <c r="G28" s="94"/>
      <c r="H28" s="95"/>
      <c r="I28" s="105"/>
      <c r="J28" s="108"/>
      <c r="K28" s="109"/>
    </row>
    <row r="29" spans="1:11">
      <c r="A29" s="90"/>
      <c r="B29" s="91"/>
      <c r="C29" s="92"/>
      <c r="D29" s="93"/>
      <c r="E29" s="92"/>
      <c r="F29" s="146"/>
      <c r="G29" s="94"/>
      <c r="H29" s="95"/>
      <c r="I29" s="105"/>
      <c r="J29" s="108"/>
      <c r="K29" s="109"/>
    </row>
    <row r="30" spans="1:11">
      <c r="A30" s="90"/>
      <c r="B30" s="91"/>
      <c r="C30" s="92"/>
      <c r="D30" s="93"/>
      <c r="E30" s="92"/>
      <c r="F30" s="146"/>
      <c r="G30" s="94"/>
      <c r="H30" s="95"/>
      <c r="I30" s="105"/>
      <c r="J30" s="108"/>
      <c r="K30" s="109"/>
    </row>
    <row r="31" spans="1:11">
      <c r="A31" s="90"/>
      <c r="B31" s="91"/>
      <c r="C31" s="92"/>
      <c r="D31" s="93"/>
      <c r="E31" s="92"/>
      <c r="F31" s="146"/>
      <c r="G31" s="94"/>
      <c r="H31" s="95"/>
      <c r="I31" s="105"/>
      <c r="J31" s="108"/>
      <c r="K31" s="109"/>
    </row>
    <row r="32" spans="1:11">
      <c r="A32" s="90"/>
      <c r="B32" s="91"/>
      <c r="C32" s="137"/>
      <c r="D32" s="93"/>
      <c r="E32" s="92"/>
      <c r="F32" s="146"/>
      <c r="G32" s="94"/>
      <c r="H32" s="95"/>
      <c r="I32" s="105"/>
      <c r="J32" s="108"/>
      <c r="K32" s="109"/>
    </row>
    <row r="33" spans="1:11">
      <c r="A33" s="90"/>
      <c r="B33" s="91"/>
      <c r="C33" s="92"/>
      <c r="D33" s="93"/>
      <c r="E33" s="92"/>
      <c r="F33" s="146"/>
      <c r="G33" s="94"/>
      <c r="H33" s="95"/>
      <c r="I33" s="105"/>
      <c r="J33" s="108"/>
      <c r="K33" s="109"/>
    </row>
    <row r="34" spans="1:11">
      <c r="A34" s="90"/>
      <c r="B34" s="91"/>
      <c r="C34" s="139"/>
      <c r="D34" s="93"/>
      <c r="E34" s="92"/>
      <c r="F34" s="146"/>
      <c r="G34" s="94"/>
      <c r="H34" s="95"/>
      <c r="I34" s="105"/>
      <c r="J34" s="108"/>
      <c r="K34" s="109"/>
    </row>
    <row r="35" spans="1:11">
      <c r="A35" s="90"/>
      <c r="B35" s="91"/>
      <c r="C35" s="139"/>
      <c r="D35" s="93"/>
      <c r="E35" s="92"/>
      <c r="F35" s="146"/>
      <c r="G35" s="94"/>
      <c r="H35" s="95"/>
      <c r="I35" s="105"/>
      <c r="J35" s="108"/>
      <c r="K35" s="109"/>
    </row>
    <row r="36" spans="1:11">
      <c r="A36" s="90"/>
      <c r="B36" s="91"/>
      <c r="C36" s="140"/>
      <c r="D36" s="93"/>
      <c r="E36" s="92"/>
      <c r="F36" s="146"/>
      <c r="G36" s="94"/>
      <c r="H36" s="95"/>
      <c r="I36" s="105"/>
      <c r="J36" s="108"/>
      <c r="K36" s="109"/>
    </row>
    <row r="37" spans="1:11">
      <c r="A37" s="90"/>
      <c r="B37" s="91"/>
      <c r="C37" s="92"/>
      <c r="D37" s="93"/>
      <c r="E37" s="92"/>
      <c r="F37" s="146"/>
      <c r="G37" s="94"/>
      <c r="H37" s="95"/>
      <c r="I37" s="105"/>
      <c r="J37" s="108"/>
      <c r="K37" s="109"/>
    </row>
    <row r="38" spans="1:11">
      <c r="A38" s="90"/>
      <c r="B38" s="91"/>
      <c r="C38" s="92"/>
      <c r="D38" s="93"/>
      <c r="E38" s="92"/>
      <c r="F38" s="146"/>
      <c r="G38" s="94"/>
      <c r="H38" s="95"/>
      <c r="I38" s="106"/>
      <c r="J38" s="108"/>
      <c r="K38" s="109"/>
    </row>
    <row r="39" spans="1:11" ht="19.5">
      <c r="A39" s="673" t="s">
        <v>39</v>
      </c>
      <c r="B39" s="674"/>
      <c r="C39" s="674"/>
      <c r="D39" s="674"/>
      <c r="E39" s="674"/>
      <c r="F39" s="147">
        <f>SUM(F2:F38)</f>
        <v>33575.96</v>
      </c>
      <c r="G39" s="143"/>
      <c r="H39" s="129">
        <f>SUM(H2:H38)</f>
        <v>3716.19</v>
      </c>
      <c r="I39" s="107">
        <f>SUM(I2:I38)</f>
        <v>196.8</v>
      </c>
    </row>
    <row r="42" spans="1:11">
      <c r="D42" s="138"/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42"/>
  <sheetViews>
    <sheetView workbookViewId="0"/>
  </sheetViews>
  <sheetFormatPr defaultRowHeight="15"/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511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31"/>
      <c r="B2" s="32">
        <v>43284</v>
      </c>
      <c r="C2" s="7" t="s">
        <v>72</v>
      </c>
      <c r="D2" s="8" t="s">
        <v>14</v>
      </c>
      <c r="E2" s="7" t="s">
        <v>10</v>
      </c>
      <c r="F2" s="144">
        <v>1587.4</v>
      </c>
      <c r="G2" s="55">
        <v>0.15</v>
      </c>
      <c r="H2" s="65">
        <v>208.44</v>
      </c>
      <c r="I2" s="103"/>
      <c r="J2" s="108"/>
      <c r="K2" s="109"/>
    </row>
    <row r="3" spans="1:11">
      <c r="A3" s="31"/>
      <c r="B3" s="32">
        <v>43286</v>
      </c>
      <c r="C3" s="7" t="s">
        <v>69</v>
      </c>
      <c r="D3" s="8" t="s">
        <v>70</v>
      </c>
      <c r="E3" s="7" t="s">
        <v>22</v>
      </c>
      <c r="F3" s="144">
        <v>2848.47</v>
      </c>
      <c r="G3" s="55">
        <v>0.1</v>
      </c>
      <c r="H3" s="87">
        <v>249.35</v>
      </c>
      <c r="I3" s="104"/>
      <c r="J3" s="108"/>
      <c r="K3" s="109"/>
    </row>
    <row r="4" spans="1:11">
      <c r="A4" s="31"/>
      <c r="B4" s="91">
        <v>43283</v>
      </c>
      <c r="C4" s="92" t="s">
        <v>68</v>
      </c>
      <c r="D4" s="93" t="s">
        <v>25</v>
      </c>
      <c r="E4" s="92" t="s">
        <v>10</v>
      </c>
      <c r="F4" s="146">
        <v>2733.41</v>
      </c>
      <c r="G4" s="94">
        <v>0.12</v>
      </c>
      <c r="H4" s="95">
        <v>287.13</v>
      </c>
      <c r="I4" s="104"/>
      <c r="J4" s="677"/>
      <c r="K4" s="677"/>
    </row>
    <row r="5" spans="1:11">
      <c r="A5" s="22"/>
      <c r="B5" s="26">
        <v>43283</v>
      </c>
      <c r="C5" s="13" t="s">
        <v>564</v>
      </c>
      <c r="D5" s="14" t="s">
        <v>149</v>
      </c>
      <c r="E5" s="13" t="s">
        <v>22</v>
      </c>
      <c r="F5" s="145">
        <v>1430.98</v>
      </c>
      <c r="G5" s="56">
        <v>0.17</v>
      </c>
      <c r="H5" s="87">
        <v>212.95</v>
      </c>
      <c r="I5" s="104"/>
      <c r="J5" s="108"/>
      <c r="K5" s="109"/>
    </row>
    <row r="6" spans="1:11">
      <c r="A6" s="22"/>
      <c r="B6" s="26">
        <v>43288</v>
      </c>
      <c r="C6" s="134" t="s">
        <v>565</v>
      </c>
      <c r="D6" s="14" t="s">
        <v>61</v>
      </c>
      <c r="E6" s="13" t="s">
        <v>19</v>
      </c>
      <c r="F6" s="145">
        <v>1067.47</v>
      </c>
      <c r="G6" s="56">
        <v>0.1</v>
      </c>
      <c r="H6" s="87">
        <v>93.44</v>
      </c>
      <c r="I6" s="104"/>
      <c r="J6" s="406"/>
      <c r="K6" s="407"/>
    </row>
    <row r="7" spans="1:11">
      <c r="A7" s="22"/>
      <c r="B7" s="26">
        <v>43284</v>
      </c>
      <c r="C7" s="13" t="s">
        <v>566</v>
      </c>
      <c r="D7" s="14" t="s">
        <v>21</v>
      </c>
      <c r="E7" s="13" t="s">
        <v>362</v>
      </c>
      <c r="F7" s="145">
        <v>1058.77</v>
      </c>
      <c r="G7" s="56">
        <v>0.13</v>
      </c>
      <c r="H7" s="87">
        <v>120.48</v>
      </c>
      <c r="I7" s="104"/>
      <c r="J7" s="108"/>
      <c r="K7" s="109"/>
    </row>
    <row r="8" spans="1:11">
      <c r="A8" s="22"/>
      <c r="B8" s="26">
        <v>43290</v>
      </c>
      <c r="C8" s="13" t="s">
        <v>79</v>
      </c>
      <c r="D8" s="14" t="s">
        <v>9</v>
      </c>
      <c r="E8" s="13" t="s">
        <v>17</v>
      </c>
      <c r="F8" s="145">
        <v>1671.77</v>
      </c>
      <c r="G8" s="56">
        <v>0.15</v>
      </c>
      <c r="H8" s="87">
        <v>188.95</v>
      </c>
      <c r="I8" s="104"/>
      <c r="J8" s="108"/>
      <c r="K8" s="109"/>
    </row>
    <row r="9" spans="1:11">
      <c r="A9" s="22"/>
      <c r="B9" s="26">
        <v>43288</v>
      </c>
      <c r="C9" s="13" t="s">
        <v>47</v>
      </c>
      <c r="D9" s="14" t="s">
        <v>61</v>
      </c>
      <c r="E9" s="13" t="s">
        <v>10</v>
      </c>
      <c r="F9" s="145">
        <v>1940.49</v>
      </c>
      <c r="G9" s="56">
        <v>0.1</v>
      </c>
      <c r="H9" s="87">
        <v>150.61000000000001</v>
      </c>
      <c r="I9" s="104"/>
      <c r="J9" s="108"/>
      <c r="K9" s="109"/>
    </row>
    <row r="10" spans="1:11">
      <c r="A10" s="22"/>
      <c r="B10" s="26">
        <v>43289</v>
      </c>
      <c r="C10" s="13" t="s">
        <v>567</v>
      </c>
      <c r="D10" s="14" t="s">
        <v>25</v>
      </c>
      <c r="E10" s="13" t="s">
        <v>10</v>
      </c>
      <c r="F10" s="145">
        <v>1248.75</v>
      </c>
      <c r="G10" s="56">
        <v>0.14000000000000001</v>
      </c>
      <c r="H10" s="87">
        <v>153.04</v>
      </c>
      <c r="I10" s="104"/>
      <c r="J10" s="108"/>
      <c r="K10" s="109"/>
    </row>
    <row r="11" spans="1:11">
      <c r="A11" s="85"/>
      <c r="B11" s="26">
        <v>43292</v>
      </c>
      <c r="C11" s="13" t="s">
        <v>568</v>
      </c>
      <c r="D11" s="14" t="s">
        <v>9</v>
      </c>
      <c r="E11" s="13" t="s">
        <v>75</v>
      </c>
      <c r="F11" s="145">
        <v>3133.9</v>
      </c>
      <c r="G11" s="56">
        <v>0.1</v>
      </c>
      <c r="H11" s="87">
        <v>236.15</v>
      </c>
      <c r="I11" s="104"/>
      <c r="J11" s="108"/>
      <c r="K11" s="109"/>
    </row>
    <row r="12" spans="1:11">
      <c r="A12" s="85"/>
      <c r="B12" s="26">
        <v>43296</v>
      </c>
      <c r="C12" s="13" t="s">
        <v>314</v>
      </c>
      <c r="D12" s="14" t="s">
        <v>14</v>
      </c>
      <c r="E12" s="13" t="s">
        <v>17</v>
      </c>
      <c r="F12" s="145">
        <v>1221.04</v>
      </c>
      <c r="G12" s="56">
        <v>0.16</v>
      </c>
      <c r="H12" s="87">
        <v>166.56</v>
      </c>
      <c r="I12" s="104"/>
      <c r="J12" s="108"/>
      <c r="K12" s="109"/>
    </row>
    <row r="13" spans="1:11">
      <c r="A13" s="85"/>
      <c r="B13" s="26">
        <v>42931</v>
      </c>
      <c r="C13" s="13" t="s">
        <v>425</v>
      </c>
      <c r="D13" s="14" t="s">
        <v>14</v>
      </c>
      <c r="E13" s="13" t="s">
        <v>75</v>
      </c>
      <c r="F13" s="145">
        <v>2972.48</v>
      </c>
      <c r="G13" s="56">
        <v>0.15</v>
      </c>
      <c r="H13" s="87">
        <v>390.31</v>
      </c>
      <c r="I13" s="104"/>
      <c r="J13" s="108"/>
      <c r="K13" s="109"/>
    </row>
    <row r="14" spans="1:11">
      <c r="A14" s="85"/>
      <c r="B14" s="26">
        <v>43297</v>
      </c>
      <c r="C14" s="13" t="s">
        <v>569</v>
      </c>
      <c r="D14" s="14" t="s">
        <v>14</v>
      </c>
      <c r="E14" s="13" t="s">
        <v>10</v>
      </c>
      <c r="F14" s="145">
        <v>1254.27</v>
      </c>
      <c r="G14" s="56">
        <v>0.15</v>
      </c>
      <c r="H14" s="87">
        <v>140.84</v>
      </c>
      <c r="I14" s="104"/>
      <c r="J14" s="108"/>
      <c r="K14" s="109"/>
    </row>
    <row r="15" spans="1:11">
      <c r="A15" s="85"/>
      <c r="B15" s="26">
        <v>43298</v>
      </c>
      <c r="C15" s="13" t="s">
        <v>570</v>
      </c>
      <c r="D15" s="14" t="s">
        <v>448</v>
      </c>
      <c r="E15" s="13" t="s">
        <v>19</v>
      </c>
      <c r="F15" s="145">
        <v>3770.59</v>
      </c>
      <c r="G15" s="56">
        <v>0.1</v>
      </c>
      <c r="H15" s="87">
        <v>256.07</v>
      </c>
      <c r="I15" s="104"/>
      <c r="J15" s="108"/>
      <c r="K15" s="109"/>
    </row>
    <row r="16" spans="1:11">
      <c r="A16" s="85"/>
      <c r="B16" s="26">
        <v>43299</v>
      </c>
      <c r="C16" s="13" t="s">
        <v>571</v>
      </c>
      <c r="D16" s="14" t="s">
        <v>14</v>
      </c>
      <c r="E16" s="13" t="s">
        <v>438</v>
      </c>
      <c r="F16" s="145">
        <v>1294.33</v>
      </c>
      <c r="G16" s="56">
        <v>0.1</v>
      </c>
      <c r="H16" s="87">
        <v>113.3</v>
      </c>
      <c r="I16" s="104"/>
      <c r="J16" s="108"/>
      <c r="K16" s="109"/>
    </row>
    <row r="17" spans="1:11">
      <c r="A17" s="85"/>
      <c r="B17" s="26">
        <v>43300</v>
      </c>
      <c r="C17" s="13" t="s">
        <v>572</v>
      </c>
      <c r="D17" s="14" t="s">
        <v>14</v>
      </c>
      <c r="E17" s="13" t="s">
        <v>22</v>
      </c>
      <c r="F17" s="145">
        <v>2586.6999999999998</v>
      </c>
      <c r="G17" s="56">
        <v>0.1</v>
      </c>
      <c r="H17" s="87">
        <v>226.43</v>
      </c>
      <c r="I17" s="104"/>
      <c r="J17" s="108"/>
      <c r="K17" s="109"/>
    </row>
    <row r="18" spans="1:11">
      <c r="A18" s="85"/>
      <c r="B18" s="26">
        <v>43300</v>
      </c>
      <c r="C18" s="13" t="s">
        <v>427</v>
      </c>
      <c r="D18" s="14" t="s">
        <v>9</v>
      </c>
      <c r="E18" s="13" t="s">
        <v>10</v>
      </c>
      <c r="F18" s="145">
        <v>1630.89</v>
      </c>
      <c r="G18" s="56">
        <v>0.1</v>
      </c>
      <c r="H18" s="87">
        <v>142.76</v>
      </c>
      <c r="I18" s="104"/>
      <c r="J18" s="108"/>
      <c r="K18" s="109"/>
    </row>
    <row r="19" spans="1:11">
      <c r="A19" s="85"/>
      <c r="B19" s="26">
        <v>43303</v>
      </c>
      <c r="C19" s="13" t="s">
        <v>573</v>
      </c>
      <c r="D19" s="14" t="s">
        <v>149</v>
      </c>
      <c r="E19" s="13" t="s">
        <v>22</v>
      </c>
      <c r="F19" s="145">
        <v>1196.1500000000001</v>
      </c>
      <c r="G19" s="56">
        <v>0.25</v>
      </c>
      <c r="H19" s="87">
        <v>261.77</v>
      </c>
      <c r="I19" s="104"/>
      <c r="J19" s="108"/>
      <c r="K19" s="109"/>
    </row>
    <row r="20" spans="1:11">
      <c r="A20" s="22"/>
      <c r="B20" s="26">
        <v>43305</v>
      </c>
      <c r="C20" s="13" t="s">
        <v>429</v>
      </c>
      <c r="D20" s="14" t="s">
        <v>381</v>
      </c>
      <c r="E20" s="13" t="s">
        <v>10</v>
      </c>
      <c r="F20" s="145">
        <v>1173.06</v>
      </c>
      <c r="G20" s="56">
        <v>0.1</v>
      </c>
      <c r="H20" s="87">
        <v>102.68</v>
      </c>
      <c r="I20" s="104"/>
      <c r="J20" s="108"/>
      <c r="K20" s="109"/>
    </row>
    <row r="21" spans="1:11">
      <c r="A21" s="22"/>
      <c r="B21" s="26">
        <v>43307</v>
      </c>
      <c r="C21" s="13" t="s">
        <v>574</v>
      </c>
      <c r="D21" s="14" t="s">
        <v>61</v>
      </c>
      <c r="E21" s="13" t="s">
        <v>362</v>
      </c>
      <c r="F21" s="145">
        <v>1338.51</v>
      </c>
      <c r="G21" s="56">
        <v>0.15</v>
      </c>
      <c r="H21" s="87">
        <v>175.75</v>
      </c>
      <c r="I21" s="104"/>
      <c r="J21" s="108"/>
      <c r="K21" s="109"/>
    </row>
    <row r="22" spans="1:11">
      <c r="A22" s="90"/>
      <c r="B22" s="91">
        <v>43307</v>
      </c>
      <c r="C22" s="92" t="s">
        <v>575</v>
      </c>
      <c r="D22" s="93" t="s">
        <v>61</v>
      </c>
      <c r="E22" s="92" t="s">
        <v>279</v>
      </c>
      <c r="F22" s="146">
        <v>1694.41</v>
      </c>
      <c r="G22" s="94">
        <v>0.17</v>
      </c>
      <c r="H22" s="95">
        <v>226.51</v>
      </c>
      <c r="I22" s="105"/>
      <c r="J22" s="108"/>
      <c r="K22" s="109"/>
    </row>
    <row r="23" spans="1:11">
      <c r="A23" s="90"/>
      <c r="B23" s="91">
        <v>43309</v>
      </c>
      <c r="C23" s="92" t="s">
        <v>576</v>
      </c>
      <c r="D23" s="93" t="s">
        <v>9</v>
      </c>
      <c r="E23" s="92" t="s">
        <v>10</v>
      </c>
      <c r="F23" s="146">
        <v>2480.0300000000002</v>
      </c>
      <c r="G23" s="94">
        <v>0.13</v>
      </c>
      <c r="H23" s="95">
        <v>241.36</v>
      </c>
      <c r="I23" s="105"/>
      <c r="J23" s="108"/>
      <c r="K23" s="109"/>
    </row>
    <row r="24" spans="1:11">
      <c r="A24" s="90"/>
      <c r="B24" s="91">
        <v>43309</v>
      </c>
      <c r="C24" s="92" t="s">
        <v>577</v>
      </c>
      <c r="D24" s="93" t="s">
        <v>14</v>
      </c>
      <c r="E24" s="92" t="s">
        <v>15</v>
      </c>
      <c r="F24" s="146">
        <v>5686.09</v>
      </c>
      <c r="G24" s="94">
        <v>0.1</v>
      </c>
      <c r="H24" s="95">
        <v>497.75</v>
      </c>
      <c r="I24" s="105"/>
      <c r="J24" s="108"/>
      <c r="K24" s="109"/>
    </row>
    <row r="25" spans="1:11">
      <c r="A25" s="90"/>
      <c r="B25" s="91">
        <v>43309</v>
      </c>
      <c r="C25" s="92" t="s">
        <v>578</v>
      </c>
      <c r="D25" s="93" t="s">
        <v>14</v>
      </c>
      <c r="E25" s="92" t="s">
        <v>15</v>
      </c>
      <c r="F25" s="146">
        <v>2465.54</v>
      </c>
      <c r="G25" s="94">
        <v>0.25</v>
      </c>
      <c r="H25" s="95">
        <v>539.58000000000004</v>
      </c>
      <c r="I25" s="105"/>
      <c r="J25" s="108"/>
      <c r="K25" s="109"/>
    </row>
    <row r="26" spans="1:11">
      <c r="A26" s="90"/>
      <c r="B26" s="91">
        <v>43308</v>
      </c>
      <c r="C26" s="92" t="s">
        <v>579</v>
      </c>
      <c r="D26" s="93" t="s">
        <v>9</v>
      </c>
      <c r="E26" s="92" t="s">
        <v>10</v>
      </c>
      <c r="F26" s="146">
        <v>2076.1999999999998</v>
      </c>
      <c r="G26" s="94">
        <v>0.1</v>
      </c>
      <c r="H26" s="95">
        <v>146.9</v>
      </c>
      <c r="I26" s="105"/>
      <c r="J26" s="108"/>
      <c r="K26" s="109"/>
    </row>
    <row r="27" spans="1:11">
      <c r="A27" s="90"/>
      <c r="B27" s="91">
        <v>43308</v>
      </c>
      <c r="C27" s="92" t="s">
        <v>580</v>
      </c>
      <c r="D27" s="93" t="s">
        <v>14</v>
      </c>
      <c r="E27" s="92" t="s">
        <v>22</v>
      </c>
      <c r="F27" s="146">
        <v>2012.47</v>
      </c>
      <c r="G27" s="94">
        <v>0.2</v>
      </c>
      <c r="H27" s="95">
        <v>352.34</v>
      </c>
      <c r="I27" s="105"/>
      <c r="J27" s="108"/>
      <c r="K27" s="109"/>
    </row>
    <row r="28" spans="1:11">
      <c r="A28" s="90"/>
      <c r="B28" s="91">
        <v>42932</v>
      </c>
      <c r="C28" s="92" t="s">
        <v>581</v>
      </c>
      <c r="D28" s="93" t="s">
        <v>14</v>
      </c>
      <c r="E28" s="92" t="s">
        <v>17</v>
      </c>
      <c r="F28" s="146">
        <v>1817.96</v>
      </c>
      <c r="G28" s="94">
        <v>0.1</v>
      </c>
      <c r="H28" s="95">
        <v>159.13999999999999</v>
      </c>
      <c r="I28" s="105"/>
      <c r="J28" s="108"/>
      <c r="K28" s="109"/>
    </row>
    <row r="29" spans="1:11">
      <c r="A29" s="90"/>
      <c r="B29" s="91"/>
      <c r="C29" s="92"/>
      <c r="D29" s="93"/>
      <c r="E29" s="92"/>
      <c r="F29" s="146"/>
      <c r="G29" s="94"/>
      <c r="H29" s="95"/>
      <c r="I29" s="105"/>
      <c r="J29" s="108"/>
      <c r="K29" s="109"/>
    </row>
    <row r="30" spans="1:11">
      <c r="A30" s="90"/>
      <c r="B30" s="91"/>
      <c r="C30" s="92"/>
      <c r="D30" s="93"/>
      <c r="E30" s="92"/>
      <c r="F30" s="146"/>
      <c r="G30" s="94"/>
      <c r="H30" s="95"/>
      <c r="I30" s="105"/>
      <c r="J30" s="108"/>
      <c r="K30" s="109"/>
    </row>
    <row r="31" spans="1:11">
      <c r="A31" s="90"/>
      <c r="B31" s="91"/>
      <c r="C31" s="92"/>
      <c r="D31" s="93"/>
      <c r="E31" s="92"/>
      <c r="F31" s="146"/>
      <c r="G31" s="94"/>
      <c r="H31" s="95"/>
      <c r="I31" s="105"/>
      <c r="J31" s="108"/>
      <c r="K31" s="109"/>
    </row>
    <row r="32" spans="1:11">
      <c r="A32" s="90"/>
      <c r="B32" s="91"/>
      <c r="C32" s="137"/>
      <c r="D32" s="93"/>
      <c r="E32" s="92"/>
      <c r="F32" s="146"/>
      <c r="G32" s="94"/>
      <c r="H32" s="95"/>
      <c r="I32" s="105"/>
      <c r="J32" s="108"/>
      <c r="K32" s="109"/>
    </row>
    <row r="33" spans="1:11">
      <c r="A33" s="90"/>
      <c r="B33" s="91"/>
      <c r="C33" s="92"/>
      <c r="D33" s="93"/>
      <c r="E33" s="92"/>
      <c r="F33" s="146"/>
      <c r="G33" s="94"/>
      <c r="H33" s="95"/>
      <c r="I33" s="105"/>
      <c r="J33" s="108"/>
      <c r="K33" s="109"/>
    </row>
    <row r="34" spans="1:11">
      <c r="A34" s="90"/>
      <c r="B34" s="91"/>
      <c r="C34" s="139"/>
      <c r="D34" s="93"/>
      <c r="E34" s="92"/>
      <c r="F34" s="146"/>
      <c r="G34" s="94"/>
      <c r="H34" s="95"/>
      <c r="I34" s="105"/>
      <c r="J34" s="108"/>
      <c r="K34" s="109"/>
    </row>
    <row r="35" spans="1:11">
      <c r="A35" s="90"/>
      <c r="B35" s="91"/>
      <c r="C35" s="139"/>
      <c r="D35" s="93"/>
      <c r="E35" s="92"/>
      <c r="F35" s="146"/>
      <c r="G35" s="94"/>
      <c r="H35" s="95"/>
      <c r="I35" s="105"/>
      <c r="J35" s="108"/>
      <c r="K35" s="109"/>
    </row>
    <row r="36" spans="1:11">
      <c r="A36" s="90"/>
      <c r="B36" s="91"/>
      <c r="C36" s="140"/>
      <c r="D36" s="93"/>
      <c r="E36" s="92"/>
      <c r="F36" s="146"/>
      <c r="G36" s="94"/>
      <c r="H36" s="95"/>
      <c r="I36" s="105"/>
      <c r="J36" s="108"/>
      <c r="K36" s="109"/>
    </row>
    <row r="37" spans="1:11">
      <c r="A37" s="90"/>
      <c r="B37" s="91"/>
      <c r="C37" s="92"/>
      <c r="D37" s="93"/>
      <c r="E37" s="92"/>
      <c r="F37" s="146"/>
      <c r="G37" s="94"/>
      <c r="H37" s="95"/>
      <c r="I37" s="105"/>
      <c r="J37" s="108"/>
      <c r="K37" s="109"/>
    </row>
    <row r="38" spans="1:11">
      <c r="A38" s="90"/>
      <c r="B38" s="91"/>
      <c r="C38" s="92"/>
      <c r="D38" s="93"/>
      <c r="E38" s="92"/>
      <c r="F38" s="146"/>
      <c r="G38" s="94"/>
      <c r="H38" s="95"/>
      <c r="I38" s="106"/>
      <c r="J38" s="108"/>
      <c r="K38" s="109"/>
    </row>
    <row r="39" spans="1:11" ht="19.5">
      <c r="A39" s="673" t="s">
        <v>39</v>
      </c>
      <c r="B39" s="674"/>
      <c r="C39" s="674"/>
      <c r="D39" s="674"/>
      <c r="E39" s="674"/>
      <c r="F39" s="147">
        <f>SUM(F2:F38)</f>
        <v>55392.130000000005</v>
      </c>
      <c r="G39" s="143"/>
      <c r="H39" s="129">
        <f>SUM(H2:H38)</f>
        <v>6040.59</v>
      </c>
      <c r="I39" s="107">
        <f>SUM(I2:I38)</f>
        <v>0</v>
      </c>
    </row>
    <row r="42" spans="1:11">
      <c r="D42" s="138"/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42"/>
  <sheetViews>
    <sheetView workbookViewId="0"/>
  </sheetViews>
  <sheetFormatPr defaultRowHeight="15"/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511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31"/>
      <c r="B2" s="32">
        <v>43313</v>
      </c>
      <c r="C2" s="7" t="s">
        <v>582</v>
      </c>
      <c r="D2" s="8" t="s">
        <v>9</v>
      </c>
      <c r="E2" s="7" t="s">
        <v>10</v>
      </c>
      <c r="F2" s="144">
        <v>1812.32</v>
      </c>
      <c r="G2" s="55">
        <v>0.1</v>
      </c>
      <c r="H2" s="65">
        <v>158.63999999999999</v>
      </c>
      <c r="I2" s="103"/>
      <c r="J2" s="108"/>
      <c r="K2" s="109"/>
    </row>
    <row r="3" spans="1:11">
      <c r="A3" s="31"/>
      <c r="B3" s="32">
        <v>43316</v>
      </c>
      <c r="C3" s="7" t="s">
        <v>583</v>
      </c>
      <c r="D3" s="8" t="s">
        <v>21</v>
      </c>
      <c r="E3" s="7" t="s">
        <v>75</v>
      </c>
      <c r="F3" s="144">
        <v>2211.27</v>
      </c>
      <c r="G3" s="55">
        <v>0.11</v>
      </c>
      <c r="H3" s="87">
        <v>193.57</v>
      </c>
      <c r="I3" s="104"/>
      <c r="J3" s="108"/>
      <c r="K3" s="109"/>
    </row>
    <row r="4" spans="1:11">
      <c r="A4" s="31"/>
      <c r="B4" s="91">
        <v>43320</v>
      </c>
      <c r="C4" s="92" t="s">
        <v>204</v>
      </c>
      <c r="D4" s="93" t="s">
        <v>14</v>
      </c>
      <c r="E4" s="92" t="s">
        <v>10</v>
      </c>
      <c r="F4" s="146">
        <v>1044.8699999999999</v>
      </c>
      <c r="G4" s="94">
        <v>0.1</v>
      </c>
      <c r="H4" s="95">
        <v>91.46</v>
      </c>
      <c r="I4" s="104"/>
      <c r="J4" s="677"/>
      <c r="K4" s="677"/>
    </row>
    <row r="5" spans="1:11">
      <c r="A5" s="22"/>
      <c r="B5" s="26">
        <v>43327</v>
      </c>
      <c r="C5" s="13" t="s">
        <v>98</v>
      </c>
      <c r="D5" s="14" t="s">
        <v>14</v>
      </c>
      <c r="E5" s="13" t="s">
        <v>29</v>
      </c>
      <c r="F5" s="145">
        <v>2983.86</v>
      </c>
      <c r="G5" s="56">
        <v>0.18</v>
      </c>
      <c r="H5" s="87">
        <v>470.18</v>
      </c>
      <c r="I5" s="104"/>
      <c r="J5" s="108"/>
      <c r="K5" s="109"/>
    </row>
    <row r="6" spans="1:11">
      <c r="A6" s="22"/>
      <c r="B6" s="26">
        <v>43321</v>
      </c>
      <c r="C6" s="134" t="s">
        <v>584</v>
      </c>
      <c r="D6" s="14" t="s">
        <v>61</v>
      </c>
      <c r="E6" s="13" t="s">
        <v>10</v>
      </c>
      <c r="F6" s="145">
        <v>1094.96</v>
      </c>
      <c r="G6" s="56">
        <v>0.1</v>
      </c>
      <c r="H6" s="87">
        <v>95.85</v>
      </c>
      <c r="I6" s="104"/>
      <c r="J6" s="406"/>
      <c r="K6" s="407"/>
    </row>
    <row r="7" spans="1:11">
      <c r="A7" s="22"/>
      <c r="B7" s="26">
        <v>43322</v>
      </c>
      <c r="C7" s="13" t="s">
        <v>328</v>
      </c>
      <c r="D7" s="14" t="s">
        <v>33</v>
      </c>
      <c r="E7" s="13" t="s">
        <v>17</v>
      </c>
      <c r="F7" s="145">
        <v>2242.02</v>
      </c>
      <c r="G7" s="56">
        <v>0.1</v>
      </c>
      <c r="H7" s="87">
        <v>177.43</v>
      </c>
      <c r="I7" s="104"/>
      <c r="J7" s="108"/>
      <c r="K7" s="109"/>
    </row>
    <row r="8" spans="1:11">
      <c r="A8" s="22"/>
      <c r="B8" s="26">
        <v>43323</v>
      </c>
      <c r="C8" s="13" t="s">
        <v>585</v>
      </c>
      <c r="D8" s="14" t="s">
        <v>9</v>
      </c>
      <c r="E8" s="13" t="s">
        <v>438</v>
      </c>
      <c r="F8" s="145">
        <v>2796.01</v>
      </c>
      <c r="G8" s="56">
        <v>0.1</v>
      </c>
      <c r="H8" s="87">
        <v>244.76</v>
      </c>
      <c r="I8" s="104"/>
      <c r="J8" s="108"/>
      <c r="K8" s="109"/>
    </row>
    <row r="9" spans="1:11">
      <c r="A9" s="22"/>
      <c r="B9" s="26">
        <v>43329</v>
      </c>
      <c r="C9" s="13" t="s">
        <v>431</v>
      </c>
      <c r="D9" s="14" t="s">
        <v>61</v>
      </c>
      <c r="E9" s="13" t="s">
        <v>19</v>
      </c>
      <c r="F9" s="145">
        <v>2616.77</v>
      </c>
      <c r="G9" s="56">
        <v>0.15</v>
      </c>
      <c r="H9" s="87">
        <v>343.6</v>
      </c>
      <c r="I9" s="104"/>
      <c r="J9" s="108"/>
      <c r="K9" s="109"/>
    </row>
    <row r="10" spans="1:11">
      <c r="A10" s="22"/>
      <c r="B10" s="26">
        <v>43327</v>
      </c>
      <c r="C10" s="13" t="s">
        <v>101</v>
      </c>
      <c r="D10" s="14" t="s">
        <v>21</v>
      </c>
      <c r="E10" s="13" t="s">
        <v>75</v>
      </c>
      <c r="F10" s="145">
        <v>1675.72</v>
      </c>
      <c r="G10" s="56">
        <v>0.18</v>
      </c>
      <c r="H10" s="87">
        <v>264.04000000000002</v>
      </c>
      <c r="I10" s="104"/>
      <c r="J10" s="108"/>
      <c r="K10" s="109"/>
    </row>
    <row r="11" spans="1:11">
      <c r="A11" s="85"/>
      <c r="B11" s="26">
        <v>43327</v>
      </c>
      <c r="C11" s="13" t="s">
        <v>586</v>
      </c>
      <c r="D11" s="14" t="s">
        <v>61</v>
      </c>
      <c r="E11" s="13" t="s">
        <v>19</v>
      </c>
      <c r="F11" s="145">
        <v>1646.15</v>
      </c>
      <c r="G11" s="56">
        <v>0.1</v>
      </c>
      <c r="H11" s="87">
        <v>154.72999999999999</v>
      </c>
      <c r="I11" s="104"/>
      <c r="J11" s="108"/>
      <c r="K11" s="109"/>
    </row>
    <row r="12" spans="1:11">
      <c r="A12" s="85"/>
      <c r="B12" s="26">
        <v>43328</v>
      </c>
      <c r="C12" s="13" t="s">
        <v>108</v>
      </c>
      <c r="D12" s="14" t="s">
        <v>21</v>
      </c>
      <c r="E12" s="13" t="s">
        <v>75</v>
      </c>
      <c r="F12" s="145">
        <v>2559.7399999999998</v>
      </c>
      <c r="G12" s="56">
        <v>0.19</v>
      </c>
      <c r="H12" s="87">
        <v>457.16</v>
      </c>
      <c r="I12" s="104"/>
      <c r="J12" s="108"/>
      <c r="K12" s="109"/>
    </row>
    <row r="13" spans="1:11">
      <c r="A13" s="85"/>
      <c r="B13" s="26">
        <v>43332</v>
      </c>
      <c r="C13" s="13" t="s">
        <v>587</v>
      </c>
      <c r="D13" s="14" t="s">
        <v>61</v>
      </c>
      <c r="E13" s="13" t="s">
        <v>19</v>
      </c>
      <c r="F13" s="145">
        <v>1260.03</v>
      </c>
      <c r="G13" s="56">
        <v>0.1</v>
      </c>
      <c r="H13" s="87">
        <v>110.3</v>
      </c>
      <c r="I13" s="104"/>
      <c r="J13" s="108"/>
      <c r="K13" s="109"/>
    </row>
    <row r="14" spans="1:11">
      <c r="A14" s="85"/>
      <c r="B14" s="26">
        <v>43332</v>
      </c>
      <c r="C14" s="13" t="s">
        <v>104</v>
      </c>
      <c r="D14" s="14" t="s">
        <v>14</v>
      </c>
      <c r="E14" s="13" t="s">
        <v>10</v>
      </c>
      <c r="F14" s="145">
        <v>1241.1300000000001</v>
      </c>
      <c r="G14" s="56">
        <v>0.25</v>
      </c>
      <c r="H14" s="87">
        <v>271.62</v>
      </c>
      <c r="I14" s="104"/>
      <c r="J14" s="108"/>
      <c r="K14" s="109"/>
    </row>
    <row r="15" spans="1:11">
      <c r="A15" s="85"/>
      <c r="B15" s="26">
        <v>43333</v>
      </c>
      <c r="C15" s="13" t="s">
        <v>588</v>
      </c>
      <c r="D15" s="14" t="s">
        <v>448</v>
      </c>
      <c r="E15" s="13" t="s">
        <v>279</v>
      </c>
      <c r="F15" s="145">
        <v>1527.96</v>
      </c>
      <c r="G15" s="56">
        <v>0.1</v>
      </c>
      <c r="H15" s="87">
        <v>103.73</v>
      </c>
      <c r="I15" s="104"/>
      <c r="J15" s="108"/>
      <c r="K15" s="109"/>
    </row>
    <row r="16" spans="1:11">
      <c r="A16" s="85"/>
      <c r="B16" s="26">
        <v>43343</v>
      </c>
      <c r="C16" s="13" t="s">
        <v>369</v>
      </c>
      <c r="D16" s="14" t="s">
        <v>9</v>
      </c>
      <c r="E16" s="13" t="s">
        <v>90</v>
      </c>
      <c r="F16" s="145">
        <v>2428.89</v>
      </c>
      <c r="G16" s="56">
        <v>0.2</v>
      </c>
      <c r="H16" s="87">
        <v>361.61</v>
      </c>
      <c r="I16" s="104"/>
      <c r="J16" s="108"/>
      <c r="K16" s="109"/>
    </row>
    <row r="17" spans="1:11">
      <c r="A17" s="85"/>
      <c r="B17" s="26">
        <v>43323</v>
      </c>
      <c r="C17" s="13" t="s">
        <v>589</v>
      </c>
      <c r="D17" s="14" t="s">
        <v>9</v>
      </c>
      <c r="E17" s="13" t="s">
        <v>22</v>
      </c>
      <c r="F17" s="145">
        <v>2213.14</v>
      </c>
      <c r="G17" s="56">
        <v>0.15</v>
      </c>
      <c r="H17" s="87">
        <v>290.60000000000002</v>
      </c>
      <c r="I17" s="104"/>
      <c r="J17" s="108"/>
      <c r="K17" s="109"/>
    </row>
    <row r="18" spans="1:11">
      <c r="A18" s="85"/>
      <c r="B18" s="26">
        <v>43338</v>
      </c>
      <c r="C18" s="13" t="s">
        <v>50</v>
      </c>
      <c r="D18" s="14" t="s">
        <v>21</v>
      </c>
      <c r="E18" s="13" t="s">
        <v>75</v>
      </c>
      <c r="F18" s="145">
        <v>2343.62</v>
      </c>
      <c r="G18" s="56">
        <v>0.1</v>
      </c>
      <c r="H18" s="87">
        <v>205.15</v>
      </c>
      <c r="I18" s="104"/>
      <c r="J18" s="108"/>
      <c r="K18" s="109"/>
    </row>
    <row r="19" spans="1:11">
      <c r="A19" s="85"/>
      <c r="B19" s="26">
        <v>43340</v>
      </c>
      <c r="C19" s="13" t="s">
        <v>590</v>
      </c>
      <c r="D19" s="14" t="s">
        <v>14</v>
      </c>
      <c r="E19" s="13" t="s">
        <v>10</v>
      </c>
      <c r="F19" s="145">
        <v>1132.08</v>
      </c>
      <c r="G19" s="56">
        <v>0.1</v>
      </c>
      <c r="H19" s="87">
        <v>99.1</v>
      </c>
      <c r="I19" s="104"/>
      <c r="J19" s="108"/>
      <c r="K19" s="109"/>
    </row>
    <row r="20" spans="1:11">
      <c r="A20" s="22"/>
      <c r="B20" s="26">
        <v>43336</v>
      </c>
      <c r="C20" s="13" t="s">
        <v>334</v>
      </c>
      <c r="D20" s="14" t="s">
        <v>14</v>
      </c>
      <c r="E20" s="13" t="s">
        <v>10</v>
      </c>
      <c r="F20" s="145">
        <v>2150.4899999999998</v>
      </c>
      <c r="G20" s="56">
        <v>0.17</v>
      </c>
      <c r="H20" s="87">
        <v>320.02</v>
      </c>
      <c r="I20" s="104"/>
      <c r="J20" s="108"/>
      <c r="K20" s="109"/>
    </row>
    <row r="21" spans="1:11">
      <c r="A21" s="22"/>
      <c r="B21" s="26">
        <v>43341</v>
      </c>
      <c r="C21" s="13" t="s">
        <v>591</v>
      </c>
      <c r="D21" s="14" t="s">
        <v>21</v>
      </c>
      <c r="E21" s="13" t="s">
        <v>75</v>
      </c>
      <c r="F21" s="145">
        <v>1477.75</v>
      </c>
      <c r="G21" s="56">
        <v>0.1</v>
      </c>
      <c r="H21" s="87">
        <v>129.36000000000001</v>
      </c>
      <c r="I21" s="104"/>
      <c r="J21" s="108"/>
      <c r="K21" s="109"/>
    </row>
    <row r="22" spans="1:11">
      <c r="A22" s="90"/>
      <c r="B22" s="91">
        <v>43341</v>
      </c>
      <c r="C22" s="92" t="s">
        <v>280</v>
      </c>
      <c r="D22" s="93" t="s">
        <v>61</v>
      </c>
      <c r="E22" s="92" t="s">
        <v>90</v>
      </c>
      <c r="F22" s="146">
        <v>2284.06</v>
      </c>
      <c r="G22" s="94">
        <v>0.1</v>
      </c>
      <c r="H22" s="95">
        <v>199.94</v>
      </c>
      <c r="I22" s="105"/>
      <c r="J22" s="108"/>
      <c r="K22" s="109"/>
    </row>
    <row r="23" spans="1:11">
      <c r="A23" s="90"/>
      <c r="B23" s="91">
        <v>43340</v>
      </c>
      <c r="C23" s="92" t="s">
        <v>592</v>
      </c>
      <c r="D23" s="93" t="s">
        <v>14</v>
      </c>
      <c r="E23" s="92" t="s">
        <v>10</v>
      </c>
      <c r="F23" s="146">
        <v>1404</v>
      </c>
      <c r="G23" s="94">
        <v>0.14000000000000001</v>
      </c>
      <c r="H23" s="95">
        <v>172.06</v>
      </c>
      <c r="I23" s="105"/>
      <c r="J23" s="108"/>
      <c r="K23" s="109"/>
    </row>
    <row r="24" spans="1:11">
      <c r="A24" s="90"/>
      <c r="B24" s="91">
        <v>43336</v>
      </c>
      <c r="C24" s="92" t="s">
        <v>593</v>
      </c>
      <c r="D24" s="93" t="s">
        <v>9</v>
      </c>
      <c r="E24" s="92" t="s">
        <v>10</v>
      </c>
      <c r="F24" s="146">
        <v>1624.37</v>
      </c>
      <c r="G24" s="94">
        <v>0.15</v>
      </c>
      <c r="H24" s="95">
        <v>213.29</v>
      </c>
      <c r="I24" s="105"/>
      <c r="J24" s="108"/>
      <c r="K24" s="109"/>
    </row>
    <row r="25" spans="1:11">
      <c r="A25" s="90"/>
      <c r="B25" s="91"/>
      <c r="C25" s="92"/>
      <c r="D25" s="93"/>
      <c r="E25" s="92"/>
      <c r="F25" s="146"/>
      <c r="G25" s="94"/>
      <c r="H25" s="95"/>
      <c r="I25" s="105"/>
      <c r="J25" s="108"/>
      <c r="K25" s="109"/>
    </row>
    <row r="26" spans="1:11">
      <c r="A26" s="90"/>
      <c r="B26" s="91"/>
      <c r="C26" s="92"/>
      <c r="D26" s="93"/>
      <c r="E26" s="92"/>
      <c r="F26" s="146"/>
      <c r="G26" s="94"/>
      <c r="H26" s="95"/>
      <c r="I26" s="105"/>
      <c r="J26" s="108"/>
      <c r="K26" s="109"/>
    </row>
    <row r="27" spans="1:11">
      <c r="A27" s="90"/>
      <c r="B27" s="91"/>
      <c r="C27" s="92"/>
      <c r="D27" s="93"/>
      <c r="E27" s="92"/>
      <c r="F27" s="146"/>
      <c r="G27" s="94"/>
      <c r="H27" s="95"/>
      <c r="I27" s="105"/>
      <c r="J27" s="108"/>
      <c r="K27" s="109"/>
    </row>
    <row r="28" spans="1:11">
      <c r="A28" s="90"/>
      <c r="B28" s="91"/>
      <c r="C28" s="92"/>
      <c r="D28" s="93"/>
      <c r="E28" s="92"/>
      <c r="F28" s="146"/>
      <c r="G28" s="94"/>
      <c r="H28" s="95"/>
      <c r="I28" s="105"/>
      <c r="J28" s="108"/>
      <c r="K28" s="109"/>
    </row>
    <row r="29" spans="1:11">
      <c r="A29" s="90"/>
      <c r="B29" s="91"/>
      <c r="C29" s="92"/>
      <c r="D29" s="93"/>
      <c r="E29" s="92"/>
      <c r="F29" s="146"/>
      <c r="G29" s="94"/>
      <c r="H29" s="95"/>
      <c r="I29" s="105"/>
      <c r="J29" s="108"/>
      <c r="K29" s="109"/>
    </row>
    <row r="30" spans="1:11">
      <c r="A30" s="90"/>
      <c r="B30" s="91"/>
      <c r="C30" s="92"/>
      <c r="D30" s="93"/>
      <c r="E30" s="92"/>
      <c r="F30" s="146"/>
      <c r="G30" s="94"/>
      <c r="H30" s="95"/>
      <c r="I30" s="105"/>
      <c r="J30" s="108"/>
      <c r="K30" s="109"/>
    </row>
    <row r="31" spans="1:11">
      <c r="A31" s="90"/>
      <c r="B31" s="91"/>
      <c r="C31" s="92"/>
      <c r="D31" s="93"/>
      <c r="E31" s="92"/>
      <c r="F31" s="146"/>
      <c r="G31" s="94"/>
      <c r="H31" s="95"/>
      <c r="I31" s="105"/>
      <c r="J31" s="108"/>
      <c r="K31" s="109"/>
    </row>
    <row r="32" spans="1:11">
      <c r="A32" s="90"/>
      <c r="B32" s="91"/>
      <c r="C32" s="137"/>
      <c r="D32" s="93"/>
      <c r="E32" s="92"/>
      <c r="F32" s="146"/>
      <c r="G32" s="94"/>
      <c r="H32" s="95"/>
      <c r="I32" s="105"/>
      <c r="J32" s="108"/>
      <c r="K32" s="109"/>
    </row>
    <row r="33" spans="1:11">
      <c r="A33" s="90"/>
      <c r="B33" s="91"/>
      <c r="C33" s="92"/>
      <c r="D33" s="93"/>
      <c r="E33" s="92"/>
      <c r="F33" s="146"/>
      <c r="G33" s="94"/>
      <c r="H33" s="95"/>
      <c r="I33" s="105"/>
      <c r="J33" s="108"/>
      <c r="K33" s="109"/>
    </row>
    <row r="34" spans="1:11">
      <c r="A34" s="90"/>
      <c r="B34" s="91"/>
      <c r="C34" s="139"/>
      <c r="D34" s="93"/>
      <c r="E34" s="92"/>
      <c r="F34" s="146"/>
      <c r="G34" s="94"/>
      <c r="H34" s="95"/>
      <c r="I34" s="105"/>
      <c r="J34" s="108"/>
      <c r="K34" s="109"/>
    </row>
    <row r="35" spans="1:11">
      <c r="A35" s="90"/>
      <c r="B35" s="91"/>
      <c r="C35" s="139"/>
      <c r="D35" s="93"/>
      <c r="E35" s="92"/>
      <c r="F35" s="146"/>
      <c r="G35" s="94"/>
      <c r="H35" s="95"/>
      <c r="I35" s="105"/>
      <c r="J35" s="108"/>
      <c r="K35" s="109"/>
    </row>
    <row r="36" spans="1:11">
      <c r="A36" s="90"/>
      <c r="B36" s="91"/>
      <c r="C36" s="140"/>
      <c r="D36" s="93"/>
      <c r="E36" s="92"/>
      <c r="F36" s="146"/>
      <c r="G36" s="94"/>
      <c r="H36" s="95"/>
      <c r="I36" s="105"/>
      <c r="J36" s="108"/>
      <c r="K36" s="109"/>
    </row>
    <row r="37" spans="1:11">
      <c r="A37" s="90"/>
      <c r="B37" s="91"/>
      <c r="C37" s="92"/>
      <c r="D37" s="93"/>
      <c r="E37" s="92"/>
      <c r="F37" s="146"/>
      <c r="G37" s="94"/>
      <c r="H37" s="95"/>
      <c r="I37" s="105"/>
      <c r="J37" s="108"/>
      <c r="K37" s="109"/>
    </row>
    <row r="38" spans="1:11">
      <c r="A38" s="90"/>
      <c r="B38" s="91"/>
      <c r="C38" s="92"/>
      <c r="D38" s="93"/>
      <c r="E38" s="92"/>
      <c r="F38" s="146"/>
      <c r="G38" s="94"/>
      <c r="H38" s="95"/>
      <c r="I38" s="106"/>
      <c r="J38" s="108"/>
      <c r="K38" s="109"/>
    </row>
    <row r="39" spans="1:11" ht="19.5">
      <c r="A39" s="673" t="s">
        <v>39</v>
      </c>
      <c r="B39" s="674"/>
      <c r="C39" s="674"/>
      <c r="D39" s="674"/>
      <c r="E39" s="674"/>
      <c r="F39" s="147">
        <f>SUM(F2:F38)</f>
        <v>43771.21</v>
      </c>
      <c r="G39" s="143"/>
      <c r="H39" s="129">
        <f>SUM(H2:H38)</f>
        <v>5128.1999999999989</v>
      </c>
      <c r="I39" s="107">
        <f>SUM(I2:I38)</f>
        <v>0</v>
      </c>
    </row>
    <row r="42" spans="1:11">
      <c r="D42" s="138"/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42"/>
  <sheetViews>
    <sheetView workbookViewId="0"/>
  </sheetViews>
  <sheetFormatPr defaultRowHeight="15"/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511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31"/>
      <c r="B2" s="32">
        <v>43344</v>
      </c>
      <c r="C2" s="7" t="s">
        <v>594</v>
      </c>
      <c r="D2" s="8" t="s">
        <v>14</v>
      </c>
      <c r="E2" s="7" t="s">
        <v>19</v>
      </c>
      <c r="F2" s="144">
        <v>3782.1</v>
      </c>
      <c r="G2" s="55">
        <v>0.1</v>
      </c>
      <c r="H2" s="65">
        <v>331.08</v>
      </c>
      <c r="I2" s="103"/>
      <c r="J2" s="108"/>
      <c r="K2" s="109"/>
    </row>
    <row r="3" spans="1:11">
      <c r="A3" s="31"/>
      <c r="B3" s="32">
        <v>43355</v>
      </c>
      <c r="C3" s="7" t="s">
        <v>595</v>
      </c>
      <c r="D3" s="8" t="s">
        <v>25</v>
      </c>
      <c r="E3" s="7" t="s">
        <v>362</v>
      </c>
      <c r="F3" s="144">
        <v>1830.75</v>
      </c>
      <c r="G3" s="55">
        <v>0.15</v>
      </c>
      <c r="H3" s="87">
        <v>240.39</v>
      </c>
      <c r="I3" s="104"/>
      <c r="J3" s="108"/>
      <c r="K3" s="109"/>
    </row>
    <row r="4" spans="1:11">
      <c r="A4" s="31"/>
      <c r="B4" s="91">
        <v>43346</v>
      </c>
      <c r="C4" s="92" t="s">
        <v>119</v>
      </c>
      <c r="D4" s="93" t="s">
        <v>21</v>
      </c>
      <c r="E4" s="92" t="s">
        <v>10</v>
      </c>
      <c r="F4" s="146">
        <v>1763.14</v>
      </c>
      <c r="G4" s="94">
        <v>0.1</v>
      </c>
      <c r="H4" s="95">
        <v>154.34</v>
      </c>
      <c r="I4" s="104"/>
      <c r="J4" s="677"/>
      <c r="K4" s="677"/>
    </row>
    <row r="5" spans="1:11">
      <c r="A5" s="22"/>
      <c r="B5" s="26">
        <v>43344</v>
      </c>
      <c r="C5" s="13" t="s">
        <v>336</v>
      </c>
      <c r="D5" s="14" t="s">
        <v>21</v>
      </c>
      <c r="E5" s="13" t="s">
        <v>22</v>
      </c>
      <c r="F5" s="145">
        <v>3143.74</v>
      </c>
      <c r="G5" s="56">
        <v>0.1</v>
      </c>
      <c r="H5" s="87">
        <v>275.2</v>
      </c>
      <c r="I5" s="104"/>
      <c r="J5" s="108"/>
      <c r="K5" s="109"/>
    </row>
    <row r="6" spans="1:11">
      <c r="A6" s="22"/>
      <c r="B6" s="26">
        <v>43351</v>
      </c>
      <c r="C6" s="134" t="s">
        <v>437</v>
      </c>
      <c r="D6" s="14" t="s">
        <v>9</v>
      </c>
      <c r="E6" s="13" t="s">
        <v>10</v>
      </c>
      <c r="F6" s="145">
        <v>977.73</v>
      </c>
      <c r="G6" s="56">
        <v>0.15</v>
      </c>
      <c r="H6" s="87">
        <v>128.38</v>
      </c>
      <c r="I6" s="104"/>
      <c r="J6" s="406"/>
      <c r="K6" s="407"/>
    </row>
    <row r="7" spans="1:11">
      <c r="A7" s="22"/>
      <c r="B7" s="26">
        <v>43355</v>
      </c>
      <c r="C7" s="13" t="s">
        <v>596</v>
      </c>
      <c r="D7" s="14" t="s">
        <v>14</v>
      </c>
      <c r="E7" s="13" t="s">
        <v>438</v>
      </c>
      <c r="F7" s="145">
        <v>1810.61</v>
      </c>
      <c r="G7" s="56">
        <v>0.1</v>
      </c>
      <c r="H7" s="87">
        <v>158.49</v>
      </c>
      <c r="I7" s="104"/>
      <c r="J7" s="108"/>
      <c r="K7" s="109"/>
    </row>
    <row r="8" spans="1:11">
      <c r="A8" s="22"/>
      <c r="B8" s="26">
        <v>43358</v>
      </c>
      <c r="C8" s="13" t="s">
        <v>597</v>
      </c>
      <c r="D8" s="14" t="s">
        <v>14</v>
      </c>
      <c r="E8" s="13" t="s">
        <v>10</v>
      </c>
      <c r="F8" s="145">
        <v>1079.83</v>
      </c>
      <c r="G8" s="56">
        <v>0.19</v>
      </c>
      <c r="H8" s="87">
        <v>179.6</v>
      </c>
      <c r="I8" s="104"/>
      <c r="J8" s="108"/>
      <c r="K8" s="109"/>
    </row>
    <row r="9" spans="1:11">
      <c r="A9" s="22"/>
      <c r="B9" s="26">
        <v>43353</v>
      </c>
      <c r="C9" s="13" t="s">
        <v>598</v>
      </c>
      <c r="D9" s="14" t="s">
        <v>9</v>
      </c>
      <c r="E9" s="13" t="s">
        <v>15</v>
      </c>
      <c r="F9" s="145">
        <v>2728.99</v>
      </c>
      <c r="G9" s="56">
        <v>0.1</v>
      </c>
      <c r="H9" s="87">
        <v>201.51</v>
      </c>
      <c r="I9" s="104"/>
      <c r="J9" s="108"/>
      <c r="K9" s="109"/>
    </row>
    <row r="10" spans="1:11">
      <c r="A10" s="22"/>
      <c r="B10" s="26">
        <v>43355</v>
      </c>
      <c r="C10" s="13" t="s">
        <v>126</v>
      </c>
      <c r="D10" s="14" t="s">
        <v>14</v>
      </c>
      <c r="E10" s="13" t="s">
        <v>17</v>
      </c>
      <c r="F10" s="145">
        <v>965.38</v>
      </c>
      <c r="G10" s="56">
        <v>0.1</v>
      </c>
      <c r="H10" s="87">
        <v>84.5</v>
      </c>
      <c r="I10" s="104"/>
      <c r="J10" s="108"/>
      <c r="K10" s="109"/>
    </row>
    <row r="11" spans="1:11">
      <c r="A11" s="85"/>
      <c r="B11" s="26">
        <v>43349</v>
      </c>
      <c r="C11" s="13" t="s">
        <v>520</v>
      </c>
      <c r="D11" s="14" t="s">
        <v>14</v>
      </c>
      <c r="E11" s="13" t="s">
        <v>10</v>
      </c>
      <c r="F11" s="145">
        <v>2903.51</v>
      </c>
      <c r="G11" s="56">
        <v>0.1</v>
      </c>
      <c r="H11" s="87">
        <v>254.17</v>
      </c>
      <c r="I11" s="104"/>
      <c r="J11" s="108"/>
      <c r="K11" s="109"/>
    </row>
    <row r="12" spans="1:11">
      <c r="A12" s="85"/>
      <c r="B12" s="26">
        <v>43358</v>
      </c>
      <c r="C12" s="13" t="s">
        <v>599</v>
      </c>
      <c r="D12" s="14" t="s">
        <v>70</v>
      </c>
      <c r="E12" s="13" t="s">
        <v>17</v>
      </c>
      <c r="F12" s="145">
        <v>1625.94</v>
      </c>
      <c r="G12" s="56">
        <v>0.25</v>
      </c>
      <c r="H12" s="87">
        <v>355.83</v>
      </c>
      <c r="I12" s="104"/>
      <c r="J12" s="108"/>
      <c r="K12" s="109"/>
    </row>
    <row r="13" spans="1:11">
      <c r="A13" s="85"/>
      <c r="B13" s="26">
        <v>43357</v>
      </c>
      <c r="C13" s="13" t="s">
        <v>379</v>
      </c>
      <c r="D13" s="14" t="s">
        <v>14</v>
      </c>
      <c r="E13" s="13" t="s">
        <v>279</v>
      </c>
      <c r="F13" s="145">
        <v>2560.5</v>
      </c>
      <c r="G13" s="56">
        <v>0.25</v>
      </c>
      <c r="H13" s="87">
        <v>530.33000000000004</v>
      </c>
      <c r="I13" s="104"/>
      <c r="J13" s="108"/>
      <c r="K13" s="109"/>
    </row>
    <row r="14" spans="1:11">
      <c r="A14" s="85"/>
      <c r="B14" s="26">
        <v>43362</v>
      </c>
      <c r="C14" s="13" t="s">
        <v>122</v>
      </c>
      <c r="D14" s="14" t="s">
        <v>14</v>
      </c>
      <c r="E14" s="13" t="s">
        <v>10</v>
      </c>
      <c r="F14" s="145">
        <v>1000.57</v>
      </c>
      <c r="G14" s="56">
        <v>0.25</v>
      </c>
      <c r="H14" s="87">
        <v>203.59</v>
      </c>
      <c r="I14" s="104"/>
      <c r="J14" s="108"/>
      <c r="K14" s="109"/>
    </row>
    <row r="15" spans="1:11">
      <c r="A15" s="85"/>
      <c r="B15" s="26">
        <v>43359</v>
      </c>
      <c r="C15" s="13" t="s">
        <v>600</v>
      </c>
      <c r="D15" s="14" t="s">
        <v>14</v>
      </c>
      <c r="E15" s="13" t="s">
        <v>15</v>
      </c>
      <c r="F15" s="145">
        <v>2698.34</v>
      </c>
      <c r="G15" s="56">
        <v>0.1</v>
      </c>
      <c r="H15" s="87">
        <v>236.21</v>
      </c>
      <c r="I15" s="104"/>
      <c r="J15" s="108"/>
      <c r="K15" s="109"/>
    </row>
    <row r="16" spans="1:11">
      <c r="A16" s="85"/>
      <c r="B16" s="26">
        <v>43364</v>
      </c>
      <c r="C16" s="13" t="s">
        <v>129</v>
      </c>
      <c r="D16" s="14" t="s">
        <v>14</v>
      </c>
      <c r="E16" s="13" t="s">
        <v>10</v>
      </c>
      <c r="F16" s="145">
        <v>1618.33</v>
      </c>
      <c r="G16" s="56">
        <v>0.1</v>
      </c>
      <c r="H16" s="87">
        <v>141.66</v>
      </c>
      <c r="I16" s="104"/>
      <c r="J16" s="108"/>
      <c r="K16" s="109"/>
    </row>
    <row r="17" spans="1:11">
      <c r="A17" s="85"/>
      <c r="B17" s="26">
        <v>43363</v>
      </c>
      <c r="C17" s="13" t="s">
        <v>601</v>
      </c>
      <c r="D17" s="14" t="s">
        <v>448</v>
      </c>
      <c r="E17" s="13" t="s">
        <v>602</v>
      </c>
      <c r="F17" s="145">
        <v>1726.8</v>
      </c>
      <c r="G17" s="56" t="s">
        <v>454</v>
      </c>
      <c r="H17" s="87">
        <v>150</v>
      </c>
      <c r="I17" s="104"/>
      <c r="J17" s="108"/>
      <c r="K17" s="109"/>
    </row>
    <row r="18" spans="1:11">
      <c r="A18" s="85"/>
      <c r="B18" s="26">
        <v>43358</v>
      </c>
      <c r="C18" s="13" t="s">
        <v>603</v>
      </c>
      <c r="D18" s="14" t="s">
        <v>14</v>
      </c>
      <c r="E18" s="13" t="s">
        <v>10</v>
      </c>
      <c r="F18" s="145">
        <v>2358.08</v>
      </c>
      <c r="G18" s="56">
        <v>0.1</v>
      </c>
      <c r="H18" s="87">
        <v>206.42</v>
      </c>
      <c r="I18" s="104"/>
      <c r="J18" s="108"/>
      <c r="K18" s="109"/>
    </row>
    <row r="19" spans="1:11">
      <c r="A19" s="85"/>
      <c r="B19" s="26">
        <v>43364</v>
      </c>
      <c r="C19" s="13" t="s">
        <v>604</v>
      </c>
      <c r="D19" s="14" t="s">
        <v>9</v>
      </c>
      <c r="E19" s="13" t="s">
        <v>10</v>
      </c>
      <c r="F19" s="145">
        <v>1484.7</v>
      </c>
      <c r="G19" s="56">
        <v>0.1</v>
      </c>
      <c r="H19" s="87">
        <v>138.56</v>
      </c>
      <c r="I19" s="104"/>
      <c r="J19" s="108"/>
      <c r="K19" s="109"/>
    </row>
    <row r="20" spans="1:11">
      <c r="A20" s="22"/>
      <c r="B20" s="26">
        <v>43372</v>
      </c>
      <c r="C20" s="13" t="s">
        <v>134</v>
      </c>
      <c r="D20" s="14" t="s">
        <v>14</v>
      </c>
      <c r="E20" s="13" t="s">
        <v>10</v>
      </c>
      <c r="F20" s="145">
        <v>1304.1400000000001</v>
      </c>
      <c r="G20" s="56">
        <v>0.1</v>
      </c>
      <c r="H20" s="87">
        <v>114.16</v>
      </c>
      <c r="I20" s="104"/>
      <c r="J20" s="108"/>
      <c r="K20" s="109"/>
    </row>
    <row r="21" spans="1:11">
      <c r="A21" s="22"/>
      <c r="B21" s="26">
        <v>43369</v>
      </c>
      <c r="C21" s="13" t="s">
        <v>107</v>
      </c>
      <c r="D21" s="14" t="s">
        <v>61</v>
      </c>
      <c r="E21" s="13" t="s">
        <v>19</v>
      </c>
      <c r="F21" s="145">
        <v>2747.29</v>
      </c>
      <c r="G21" s="56">
        <v>0.1</v>
      </c>
      <c r="H21" s="87">
        <v>240.49</v>
      </c>
      <c r="I21" s="104"/>
      <c r="J21" s="108"/>
      <c r="K21" s="109"/>
    </row>
    <row r="22" spans="1:11">
      <c r="A22" s="90"/>
      <c r="B22" s="91">
        <v>43370</v>
      </c>
      <c r="C22" s="92" t="s">
        <v>480</v>
      </c>
      <c r="D22" s="93" t="s">
        <v>14</v>
      </c>
      <c r="E22" s="92" t="s">
        <v>19</v>
      </c>
      <c r="F22" s="146">
        <v>1868.84</v>
      </c>
      <c r="G22" s="94">
        <v>0.1</v>
      </c>
      <c r="H22" s="95">
        <v>163.59</v>
      </c>
      <c r="I22" s="105"/>
      <c r="J22" s="108"/>
      <c r="K22" s="109"/>
    </row>
    <row r="23" spans="1:11">
      <c r="A23" s="90"/>
      <c r="B23" s="91">
        <v>43371</v>
      </c>
      <c r="C23" s="92" t="s">
        <v>605</v>
      </c>
      <c r="D23" s="93" t="s">
        <v>14</v>
      </c>
      <c r="E23" s="92" t="s">
        <v>22</v>
      </c>
      <c r="F23" s="146">
        <v>1571.33</v>
      </c>
      <c r="G23" s="94">
        <v>0.1</v>
      </c>
      <c r="H23" s="95">
        <v>137.55000000000001</v>
      </c>
      <c r="I23" s="105"/>
      <c r="J23" s="108"/>
      <c r="K23" s="109"/>
    </row>
    <row r="24" spans="1:11">
      <c r="A24" s="90"/>
      <c r="B24" s="91">
        <v>43372</v>
      </c>
      <c r="C24" s="92" t="s">
        <v>237</v>
      </c>
      <c r="D24" s="93" t="s">
        <v>9</v>
      </c>
      <c r="E24" s="92" t="s">
        <v>10</v>
      </c>
      <c r="F24" s="146">
        <v>2122.02</v>
      </c>
      <c r="G24" s="94">
        <v>0.15</v>
      </c>
      <c r="H24" s="95">
        <v>240.68</v>
      </c>
      <c r="I24" s="105"/>
      <c r="J24" s="108"/>
      <c r="K24" s="109"/>
    </row>
    <row r="25" spans="1:11">
      <c r="A25" s="90"/>
      <c r="B25" s="91">
        <v>43372</v>
      </c>
      <c r="C25" s="92" t="s">
        <v>133</v>
      </c>
      <c r="D25" s="93" t="s">
        <v>14</v>
      </c>
      <c r="E25" s="92" t="s">
        <v>22</v>
      </c>
      <c r="F25" s="146">
        <v>2128.06</v>
      </c>
      <c r="G25" s="94">
        <v>0.1</v>
      </c>
      <c r="H25" s="95">
        <v>186.34</v>
      </c>
      <c r="I25" s="105"/>
      <c r="J25" s="108"/>
      <c r="K25" s="109"/>
    </row>
    <row r="26" spans="1:11">
      <c r="A26" s="90"/>
      <c r="B26" s="91"/>
      <c r="C26" s="92"/>
      <c r="D26" s="93"/>
      <c r="E26" s="92"/>
      <c r="F26" s="146"/>
      <c r="G26" s="94"/>
      <c r="H26" s="95"/>
      <c r="I26" s="105"/>
      <c r="J26" s="108"/>
      <c r="K26" s="109"/>
    </row>
    <row r="27" spans="1:11">
      <c r="A27" s="90"/>
      <c r="B27" s="91"/>
      <c r="C27" s="92"/>
      <c r="D27" s="93"/>
      <c r="E27" s="92"/>
      <c r="F27" s="146"/>
      <c r="G27" s="94"/>
      <c r="H27" s="95"/>
      <c r="I27" s="105"/>
      <c r="J27" s="108"/>
      <c r="K27" s="109"/>
    </row>
    <row r="28" spans="1:11">
      <c r="A28" s="90"/>
      <c r="B28" s="91"/>
      <c r="C28" s="92"/>
      <c r="D28" s="93"/>
      <c r="E28" s="92"/>
      <c r="F28" s="146"/>
      <c r="G28" s="94"/>
      <c r="H28" s="95"/>
      <c r="I28" s="105"/>
      <c r="J28" s="108"/>
      <c r="K28" s="109"/>
    </row>
    <row r="29" spans="1:11">
      <c r="A29" s="90"/>
      <c r="B29" s="91"/>
      <c r="C29" s="92"/>
      <c r="D29" s="93"/>
      <c r="E29" s="92"/>
      <c r="F29" s="146"/>
      <c r="G29" s="94"/>
      <c r="H29" s="95"/>
      <c r="I29" s="105"/>
      <c r="J29" s="108"/>
      <c r="K29" s="109"/>
    </row>
    <row r="30" spans="1:11">
      <c r="A30" s="90"/>
      <c r="B30" s="91"/>
      <c r="C30" s="92"/>
      <c r="D30" s="93"/>
      <c r="E30" s="92"/>
      <c r="F30" s="146"/>
      <c r="G30" s="94"/>
      <c r="H30" s="95"/>
      <c r="I30" s="105"/>
      <c r="J30" s="108"/>
      <c r="K30" s="109"/>
    </row>
    <row r="31" spans="1:11">
      <c r="A31" s="90"/>
      <c r="B31" s="91"/>
      <c r="C31" s="92"/>
      <c r="D31" s="93"/>
      <c r="E31" s="92"/>
      <c r="F31" s="146"/>
      <c r="G31" s="94"/>
      <c r="H31" s="95"/>
      <c r="I31" s="105"/>
      <c r="J31" s="108"/>
      <c r="K31" s="109"/>
    </row>
    <row r="32" spans="1:11">
      <c r="A32" s="90"/>
      <c r="B32" s="91"/>
      <c r="C32" s="137"/>
      <c r="D32" s="93"/>
      <c r="E32" s="92"/>
      <c r="F32" s="146"/>
      <c r="G32" s="94"/>
      <c r="H32" s="95"/>
      <c r="I32" s="105"/>
      <c r="J32" s="108"/>
      <c r="K32" s="109"/>
    </row>
    <row r="33" spans="1:11">
      <c r="A33" s="90"/>
      <c r="B33" s="91"/>
      <c r="C33" s="92"/>
      <c r="D33" s="93"/>
      <c r="E33" s="92"/>
      <c r="F33" s="146"/>
      <c r="G33" s="94"/>
      <c r="H33" s="95"/>
      <c r="I33" s="105"/>
      <c r="J33" s="108"/>
      <c r="K33" s="109"/>
    </row>
    <row r="34" spans="1:11">
      <c r="A34" s="90"/>
      <c r="B34" s="91"/>
      <c r="C34" s="139"/>
      <c r="D34" s="93"/>
      <c r="E34" s="92"/>
      <c r="F34" s="146"/>
      <c r="G34" s="94"/>
      <c r="H34" s="95"/>
      <c r="I34" s="105"/>
      <c r="J34" s="108"/>
      <c r="K34" s="109"/>
    </row>
    <row r="35" spans="1:11">
      <c r="A35" s="90"/>
      <c r="B35" s="91"/>
      <c r="C35" s="139"/>
      <c r="D35" s="93"/>
      <c r="E35" s="92"/>
      <c r="F35" s="146"/>
      <c r="G35" s="94"/>
      <c r="H35" s="95"/>
      <c r="I35" s="105"/>
      <c r="J35" s="108"/>
      <c r="K35" s="109"/>
    </row>
    <row r="36" spans="1:11">
      <c r="A36" s="90"/>
      <c r="B36" s="91"/>
      <c r="C36" s="140"/>
      <c r="D36" s="93"/>
      <c r="E36" s="92"/>
      <c r="F36" s="146"/>
      <c r="G36" s="94"/>
      <c r="H36" s="95"/>
      <c r="I36" s="105"/>
      <c r="J36" s="108"/>
      <c r="K36" s="109"/>
    </row>
    <row r="37" spans="1:11">
      <c r="A37" s="90"/>
      <c r="B37" s="91"/>
      <c r="C37" s="92"/>
      <c r="D37" s="93"/>
      <c r="E37" s="92"/>
      <c r="F37" s="146"/>
      <c r="G37" s="94"/>
      <c r="H37" s="95"/>
      <c r="I37" s="105"/>
      <c r="J37" s="108"/>
      <c r="K37" s="109"/>
    </row>
    <row r="38" spans="1:11">
      <c r="A38" s="90"/>
      <c r="B38" s="91"/>
      <c r="C38" s="92"/>
      <c r="D38" s="93"/>
      <c r="E38" s="92"/>
      <c r="F38" s="146"/>
      <c r="G38" s="94"/>
      <c r="H38" s="95"/>
      <c r="I38" s="106"/>
      <c r="J38" s="108"/>
      <c r="K38" s="109"/>
    </row>
    <row r="39" spans="1:11" ht="19.5">
      <c r="A39" s="673" t="s">
        <v>39</v>
      </c>
      <c r="B39" s="674"/>
      <c r="C39" s="674"/>
      <c r="D39" s="674"/>
      <c r="E39" s="674"/>
      <c r="F39" s="147">
        <f>SUM(F2:F38)</f>
        <v>47800.719999999987</v>
      </c>
      <c r="G39" s="143"/>
      <c r="H39" s="129">
        <f>SUM(H2:H38)</f>
        <v>5053.0700000000006</v>
      </c>
      <c r="I39" s="107">
        <f>SUM(I2:I38)</f>
        <v>0</v>
      </c>
    </row>
    <row r="42" spans="1:11">
      <c r="D42" s="138"/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41"/>
  <sheetViews>
    <sheetView topLeftCell="A19" workbookViewId="0">
      <selection activeCell="C37" sqref="C37"/>
    </sheetView>
  </sheetViews>
  <sheetFormatPr defaultRowHeight="15"/>
  <cols>
    <col min="1" max="1" width="11.5703125" bestFit="1" customWidth="1"/>
  </cols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511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31"/>
      <c r="B2" s="32">
        <v>43376</v>
      </c>
      <c r="C2" s="7" t="s">
        <v>450</v>
      </c>
      <c r="D2" s="8" t="s">
        <v>33</v>
      </c>
      <c r="E2" s="7" t="s">
        <v>29</v>
      </c>
      <c r="F2" s="144">
        <v>2515.5700000000002</v>
      </c>
      <c r="G2" s="55">
        <v>0.1</v>
      </c>
      <c r="H2" s="65">
        <v>193.71</v>
      </c>
      <c r="I2" s="103"/>
      <c r="J2" s="108"/>
      <c r="K2" s="109"/>
    </row>
    <row r="3" spans="1:11">
      <c r="A3" s="31"/>
      <c r="B3" s="32">
        <v>43375</v>
      </c>
      <c r="C3" s="7" t="s">
        <v>606</v>
      </c>
      <c r="D3" s="8" t="s">
        <v>61</v>
      </c>
      <c r="E3" s="7" t="s">
        <v>10</v>
      </c>
      <c r="F3" s="144">
        <v>3223.38</v>
      </c>
      <c r="G3" s="55">
        <v>0.1</v>
      </c>
      <c r="H3" s="87">
        <v>282.17</v>
      </c>
      <c r="I3" s="104"/>
      <c r="J3" s="108"/>
      <c r="K3" s="109"/>
    </row>
    <row r="4" spans="1:11">
      <c r="A4" s="22"/>
      <c r="B4" s="26">
        <v>43377</v>
      </c>
      <c r="C4" s="13" t="s">
        <v>227</v>
      </c>
      <c r="D4" s="14" t="s">
        <v>61</v>
      </c>
      <c r="E4" s="13" t="s">
        <v>19</v>
      </c>
      <c r="F4" s="145">
        <v>2237.19</v>
      </c>
      <c r="G4" s="56">
        <v>0.12</v>
      </c>
      <c r="H4" s="87">
        <v>235.01</v>
      </c>
      <c r="I4" s="104"/>
      <c r="J4" s="108"/>
      <c r="K4" s="109"/>
    </row>
    <row r="5" spans="1:11">
      <c r="A5" s="22"/>
      <c r="B5" s="26">
        <v>43377</v>
      </c>
      <c r="C5" s="134" t="s">
        <v>607</v>
      </c>
      <c r="D5" s="14" t="s">
        <v>448</v>
      </c>
      <c r="E5" s="13" t="s">
        <v>608</v>
      </c>
      <c r="F5" s="145">
        <v>2340</v>
      </c>
      <c r="G5" s="154" t="s">
        <v>609</v>
      </c>
      <c r="H5" s="87">
        <v>250</v>
      </c>
      <c r="I5" s="104"/>
      <c r="J5" s="406"/>
      <c r="K5" s="407"/>
    </row>
    <row r="6" spans="1:11">
      <c r="A6" s="22"/>
      <c r="B6" s="26">
        <v>43383</v>
      </c>
      <c r="C6" s="13" t="s">
        <v>28</v>
      </c>
      <c r="D6" s="14" t="s">
        <v>254</v>
      </c>
      <c r="E6" s="13" t="s">
        <v>29</v>
      </c>
      <c r="F6" s="145">
        <v>2834.21</v>
      </c>
      <c r="G6" s="56">
        <v>0.1</v>
      </c>
      <c r="H6" s="87">
        <v>248.1</v>
      </c>
      <c r="I6" s="104"/>
      <c r="J6" s="108"/>
      <c r="K6" s="109"/>
    </row>
    <row r="7" spans="1:11">
      <c r="A7" s="22"/>
      <c r="B7" s="26">
        <v>43378</v>
      </c>
      <c r="C7" s="13" t="s">
        <v>610</v>
      </c>
      <c r="D7" s="14" t="s">
        <v>14</v>
      </c>
      <c r="E7" s="13" t="s">
        <v>10</v>
      </c>
      <c r="F7" s="145">
        <v>1104.01</v>
      </c>
      <c r="G7" s="56">
        <v>0.1</v>
      </c>
      <c r="H7" s="87">
        <v>96.64</v>
      </c>
      <c r="I7" s="104"/>
      <c r="J7" s="108"/>
      <c r="K7" s="109"/>
    </row>
    <row r="8" spans="1:11">
      <c r="A8" s="22"/>
      <c r="B8" s="26">
        <v>43385</v>
      </c>
      <c r="C8" s="13" t="s">
        <v>140</v>
      </c>
      <c r="D8" s="14" t="s">
        <v>14</v>
      </c>
      <c r="E8" s="13" t="s">
        <v>10</v>
      </c>
      <c r="F8" s="145">
        <v>1236.76</v>
      </c>
      <c r="G8" s="56">
        <v>0.2</v>
      </c>
      <c r="H8" s="87">
        <v>216.53</v>
      </c>
      <c r="I8" s="104"/>
      <c r="J8" s="108"/>
      <c r="K8" s="109"/>
    </row>
    <row r="9" spans="1:11">
      <c r="A9" s="22"/>
      <c r="B9" s="26">
        <v>43382</v>
      </c>
      <c r="C9" s="13" t="s">
        <v>611</v>
      </c>
      <c r="D9" s="14" t="s">
        <v>14</v>
      </c>
      <c r="E9" s="13" t="s">
        <v>438</v>
      </c>
      <c r="F9" s="145">
        <v>1537.25</v>
      </c>
      <c r="G9" s="56">
        <v>0.1</v>
      </c>
      <c r="H9" s="87">
        <v>134.57</v>
      </c>
      <c r="I9" s="104"/>
      <c r="J9" s="108"/>
      <c r="K9" s="109"/>
    </row>
    <row r="10" spans="1:11">
      <c r="A10" s="85"/>
      <c r="B10" s="26">
        <v>43384</v>
      </c>
      <c r="C10" s="13" t="s">
        <v>145</v>
      </c>
      <c r="D10" s="14" t="s">
        <v>14</v>
      </c>
      <c r="E10" s="13" t="s">
        <v>10</v>
      </c>
      <c r="F10" s="145">
        <v>2276.39</v>
      </c>
      <c r="G10" s="56">
        <v>0.1</v>
      </c>
      <c r="H10" s="87">
        <v>199.27</v>
      </c>
      <c r="I10" s="104"/>
      <c r="J10" s="108"/>
      <c r="K10" s="109"/>
    </row>
    <row r="11" spans="1:11">
      <c r="A11" s="85"/>
      <c r="B11" s="26">
        <v>43387</v>
      </c>
      <c r="C11" s="13" t="s">
        <v>612</v>
      </c>
      <c r="D11" s="14" t="s">
        <v>14</v>
      </c>
      <c r="E11" s="13" t="s">
        <v>22</v>
      </c>
      <c r="F11" s="145">
        <v>2232.41</v>
      </c>
      <c r="G11" s="56">
        <v>0.1</v>
      </c>
      <c r="H11" s="87">
        <v>195.42</v>
      </c>
      <c r="I11" s="104"/>
      <c r="J11" s="108"/>
      <c r="K11" s="109"/>
    </row>
    <row r="12" spans="1:11">
      <c r="A12" s="85"/>
      <c r="B12" s="26">
        <v>43383</v>
      </c>
      <c r="C12" s="13" t="s">
        <v>28</v>
      </c>
      <c r="D12" s="14" t="s">
        <v>448</v>
      </c>
      <c r="E12" s="13" t="s">
        <v>279</v>
      </c>
      <c r="F12" s="145">
        <v>4353.62</v>
      </c>
      <c r="G12" s="56">
        <v>0.1</v>
      </c>
      <c r="H12" s="87">
        <v>295.56</v>
      </c>
      <c r="I12" s="104"/>
      <c r="J12" s="108"/>
      <c r="K12" s="109"/>
    </row>
    <row r="13" spans="1:11">
      <c r="A13" s="85"/>
      <c r="B13" s="26">
        <v>43400</v>
      </c>
      <c r="C13" s="13" t="s">
        <v>125</v>
      </c>
      <c r="D13" s="14" t="s">
        <v>448</v>
      </c>
      <c r="E13" s="13" t="s">
        <v>602</v>
      </c>
      <c r="F13" s="145">
        <v>1198.8</v>
      </c>
      <c r="G13" s="56" t="s">
        <v>454</v>
      </c>
      <c r="H13" s="87">
        <v>150</v>
      </c>
      <c r="I13" s="104"/>
      <c r="J13" s="108"/>
      <c r="K13" s="109"/>
    </row>
    <row r="14" spans="1:11">
      <c r="A14" s="85"/>
      <c r="B14" s="26">
        <v>43390</v>
      </c>
      <c r="C14" s="13" t="s">
        <v>613</v>
      </c>
      <c r="D14" s="14" t="s">
        <v>14</v>
      </c>
      <c r="E14" s="13" t="s">
        <v>10</v>
      </c>
      <c r="F14" s="145">
        <v>1488.97</v>
      </c>
      <c r="G14" s="56">
        <v>0.1</v>
      </c>
      <c r="H14" s="87">
        <v>130.34</v>
      </c>
      <c r="I14" s="104"/>
      <c r="J14" s="108"/>
      <c r="K14" s="109"/>
    </row>
    <row r="15" spans="1:11">
      <c r="A15" s="85"/>
      <c r="B15" s="26">
        <v>43392</v>
      </c>
      <c r="C15" s="13" t="s">
        <v>62</v>
      </c>
      <c r="D15" s="14" t="s">
        <v>70</v>
      </c>
      <c r="E15" s="13" t="s">
        <v>279</v>
      </c>
      <c r="F15" s="145">
        <v>559.35</v>
      </c>
      <c r="G15" s="56">
        <v>0.1</v>
      </c>
      <c r="H15" s="87">
        <v>48.96</v>
      </c>
      <c r="I15" s="104"/>
      <c r="J15" s="108"/>
      <c r="K15" s="109"/>
    </row>
    <row r="16" spans="1:11">
      <c r="A16" s="85"/>
      <c r="B16" s="26">
        <v>43395</v>
      </c>
      <c r="C16" s="13" t="s">
        <v>614</v>
      </c>
      <c r="D16" s="14" t="s">
        <v>33</v>
      </c>
      <c r="E16" s="13" t="s">
        <v>10</v>
      </c>
      <c r="F16" s="145">
        <v>1231.6099999999999</v>
      </c>
      <c r="G16" s="56">
        <v>0.1</v>
      </c>
      <c r="H16" s="87">
        <v>207.24</v>
      </c>
      <c r="I16" s="104"/>
      <c r="J16" s="108"/>
      <c r="K16" s="109"/>
    </row>
    <row r="17" spans="1:11">
      <c r="A17" s="85"/>
      <c r="B17" s="26">
        <v>43395</v>
      </c>
      <c r="C17" s="13" t="s">
        <v>457</v>
      </c>
      <c r="D17" s="14" t="s">
        <v>9</v>
      </c>
      <c r="E17" s="13" t="s">
        <v>22</v>
      </c>
      <c r="F17" s="145">
        <v>2803.97</v>
      </c>
      <c r="G17" s="56">
        <v>0.1</v>
      </c>
      <c r="H17" s="87">
        <v>245.45</v>
      </c>
      <c r="I17" s="104"/>
      <c r="J17" s="108"/>
      <c r="K17" s="109"/>
    </row>
    <row r="18" spans="1:11">
      <c r="A18" s="85"/>
      <c r="B18" s="26">
        <v>43396</v>
      </c>
      <c r="C18" s="13" t="s">
        <v>296</v>
      </c>
      <c r="D18" s="14" t="s">
        <v>61</v>
      </c>
      <c r="E18" s="13" t="s">
        <v>19</v>
      </c>
      <c r="F18" s="145">
        <v>1801.18</v>
      </c>
      <c r="G18" s="56">
        <v>0.1</v>
      </c>
      <c r="H18" s="87">
        <v>189.2</v>
      </c>
      <c r="I18" s="104"/>
      <c r="J18" s="108"/>
      <c r="K18" s="109"/>
    </row>
    <row r="19" spans="1:11">
      <c r="A19" s="22"/>
      <c r="B19" s="26">
        <v>43401</v>
      </c>
      <c r="C19" s="13" t="s">
        <v>151</v>
      </c>
      <c r="D19" s="14" t="s">
        <v>21</v>
      </c>
      <c r="E19" s="13" t="s">
        <v>17</v>
      </c>
      <c r="F19" s="145">
        <v>1567.12</v>
      </c>
      <c r="G19" s="56">
        <v>0.17</v>
      </c>
      <c r="H19" s="87">
        <v>233.3</v>
      </c>
      <c r="I19" s="104"/>
      <c r="J19" s="108"/>
      <c r="K19" s="109"/>
    </row>
    <row r="20" spans="1:11">
      <c r="A20" s="22"/>
      <c r="B20" s="26">
        <v>43399</v>
      </c>
      <c r="C20" s="13" t="s">
        <v>150</v>
      </c>
      <c r="D20" s="14" t="s">
        <v>9</v>
      </c>
      <c r="E20" s="13" t="s">
        <v>10</v>
      </c>
      <c r="F20" s="145">
        <v>1593.48</v>
      </c>
      <c r="G20" s="56">
        <v>0.18</v>
      </c>
      <c r="H20" s="87">
        <v>251.08</v>
      </c>
      <c r="I20" s="104"/>
      <c r="J20" s="108"/>
      <c r="K20" s="109"/>
    </row>
    <row r="21" spans="1:11">
      <c r="A21" s="90"/>
      <c r="B21" s="91">
        <v>43404</v>
      </c>
      <c r="C21" s="92" t="s">
        <v>615</v>
      </c>
      <c r="D21" s="93" t="s">
        <v>61</v>
      </c>
      <c r="E21" s="92" t="s">
        <v>19</v>
      </c>
      <c r="F21" s="146">
        <v>2030.34</v>
      </c>
      <c r="G21" s="94">
        <v>0.1</v>
      </c>
      <c r="H21" s="95">
        <v>177.73</v>
      </c>
      <c r="I21" s="105"/>
      <c r="J21" s="108"/>
      <c r="K21" s="109"/>
    </row>
    <row r="22" spans="1:11">
      <c r="A22" s="90"/>
      <c r="B22" s="91"/>
      <c r="C22" s="92"/>
      <c r="D22" s="93"/>
      <c r="E22" s="92"/>
      <c r="F22" s="146"/>
      <c r="G22" s="94"/>
      <c r="H22" s="95"/>
      <c r="I22" s="105"/>
      <c r="J22" s="108"/>
      <c r="K22" s="109"/>
    </row>
    <row r="23" spans="1:11">
      <c r="A23" s="90"/>
      <c r="B23" s="91"/>
      <c r="C23" s="92"/>
      <c r="D23" s="93"/>
      <c r="E23" s="92"/>
      <c r="F23" s="146"/>
      <c r="G23" s="94"/>
      <c r="H23" s="95"/>
      <c r="I23" s="105"/>
      <c r="J23" s="108"/>
      <c r="K23" s="109"/>
    </row>
    <row r="24" spans="1:11">
      <c r="A24" s="90"/>
      <c r="B24" s="91"/>
      <c r="C24" s="92"/>
      <c r="D24" s="93"/>
      <c r="E24" s="92"/>
      <c r="F24" s="146"/>
      <c r="G24" s="94"/>
      <c r="H24" s="95"/>
      <c r="I24" s="105"/>
      <c r="J24" s="108"/>
      <c r="K24" s="109"/>
    </row>
    <row r="25" spans="1:11">
      <c r="A25" s="90"/>
      <c r="B25" s="91"/>
      <c r="C25" s="92"/>
      <c r="D25" s="93"/>
      <c r="E25" s="92"/>
      <c r="F25" s="146"/>
      <c r="G25" s="94"/>
      <c r="H25" s="95"/>
      <c r="I25" s="105"/>
      <c r="J25" s="108"/>
      <c r="K25" s="109"/>
    </row>
    <row r="26" spans="1:11">
      <c r="A26" s="90"/>
      <c r="B26" s="91"/>
      <c r="C26" s="92"/>
      <c r="D26" s="93"/>
      <c r="E26" s="92"/>
      <c r="F26" s="146"/>
      <c r="G26" s="94"/>
      <c r="H26" s="95"/>
      <c r="I26" s="105"/>
      <c r="J26" s="108"/>
      <c r="K26" s="109"/>
    </row>
    <row r="27" spans="1:11">
      <c r="A27" s="90"/>
      <c r="B27" s="91"/>
      <c r="C27" s="92"/>
      <c r="D27" s="93"/>
      <c r="E27" s="92"/>
      <c r="F27" s="146"/>
      <c r="G27" s="94"/>
      <c r="H27" s="95"/>
      <c r="I27" s="105"/>
      <c r="J27" s="108"/>
      <c r="K27" s="109"/>
    </row>
    <row r="28" spans="1:11">
      <c r="A28" s="90"/>
      <c r="B28" s="91"/>
      <c r="C28" s="92"/>
      <c r="D28" s="93"/>
      <c r="E28" s="92"/>
      <c r="F28" s="146"/>
      <c r="G28" s="94"/>
      <c r="H28" s="95"/>
      <c r="I28" s="105"/>
      <c r="J28" s="108"/>
      <c r="K28" s="109"/>
    </row>
    <row r="29" spans="1:11">
      <c r="A29" s="90"/>
      <c r="B29" s="91"/>
      <c r="C29" s="92"/>
      <c r="D29" s="93"/>
      <c r="E29" s="92"/>
      <c r="F29" s="146"/>
      <c r="G29" s="94"/>
      <c r="H29" s="95"/>
      <c r="I29" s="105"/>
      <c r="J29" s="108"/>
      <c r="K29" s="109"/>
    </row>
    <row r="30" spans="1:11">
      <c r="A30" s="90"/>
      <c r="B30" s="91"/>
      <c r="C30" s="92"/>
      <c r="D30" s="93"/>
      <c r="E30" s="92"/>
      <c r="F30" s="146"/>
      <c r="G30" s="94"/>
      <c r="H30" s="95"/>
      <c r="I30" s="105"/>
      <c r="J30" s="108"/>
      <c r="K30" s="109"/>
    </row>
    <row r="31" spans="1:11">
      <c r="A31" s="90"/>
      <c r="B31" s="91"/>
      <c r="C31" s="137"/>
      <c r="D31" s="93"/>
      <c r="E31" s="92"/>
      <c r="F31" s="146"/>
      <c r="G31" s="94"/>
      <c r="H31" s="95"/>
      <c r="I31" s="105"/>
      <c r="J31" s="108"/>
      <c r="K31" s="109"/>
    </row>
    <row r="32" spans="1:11">
      <c r="A32" s="90"/>
      <c r="B32" s="91"/>
      <c r="C32" s="92"/>
      <c r="D32" s="93"/>
      <c r="E32" s="92"/>
      <c r="F32" s="146"/>
      <c r="G32" s="94"/>
      <c r="H32" s="95"/>
      <c r="I32" s="105"/>
      <c r="J32" s="108"/>
      <c r="K32" s="109"/>
    </row>
    <row r="33" spans="1:11">
      <c r="A33" s="90"/>
      <c r="B33" s="91"/>
      <c r="C33" s="139"/>
      <c r="D33" s="93"/>
      <c r="E33" s="92"/>
      <c r="F33" s="146"/>
      <c r="G33" s="94"/>
      <c r="H33" s="95"/>
      <c r="I33" s="105"/>
      <c r="J33" s="108"/>
      <c r="K33" s="109"/>
    </row>
    <row r="34" spans="1:11">
      <c r="A34" s="90"/>
      <c r="B34" s="91"/>
      <c r="C34" s="139"/>
      <c r="D34" s="93"/>
      <c r="E34" s="92"/>
      <c r="F34" s="146"/>
      <c r="G34" s="94"/>
      <c r="H34" s="95"/>
      <c r="I34" s="105"/>
      <c r="J34" s="108"/>
      <c r="K34" s="109"/>
    </row>
    <row r="35" spans="1:11">
      <c r="A35" s="90"/>
      <c r="B35" s="91"/>
      <c r="C35" s="140"/>
      <c r="D35" s="93"/>
      <c r="E35" s="92"/>
      <c r="F35" s="146"/>
      <c r="G35" s="94"/>
      <c r="H35" s="95"/>
      <c r="I35" s="105"/>
      <c r="J35" s="108"/>
      <c r="K35" s="109"/>
    </row>
    <row r="36" spans="1:11">
      <c r="A36" s="90"/>
      <c r="B36" s="91"/>
      <c r="C36" s="92"/>
      <c r="D36" s="93"/>
      <c r="E36" s="92"/>
      <c r="F36" s="146"/>
      <c r="G36" s="94"/>
      <c r="H36" s="95"/>
      <c r="I36" s="105"/>
      <c r="J36" s="108"/>
      <c r="K36" s="109"/>
    </row>
    <row r="37" spans="1:11">
      <c r="A37" s="90">
        <v>2026</v>
      </c>
      <c r="B37" s="91"/>
      <c r="C37" s="92">
        <v>2026</v>
      </c>
      <c r="D37" s="93"/>
      <c r="E37" s="92"/>
      <c r="F37" s="146"/>
      <c r="G37" s="94"/>
      <c r="H37" s="95"/>
      <c r="I37" s="106"/>
      <c r="J37" s="108"/>
      <c r="K37" s="109"/>
    </row>
    <row r="38" spans="1:11" ht="19.5">
      <c r="A38" s="673" t="s">
        <v>39</v>
      </c>
      <c r="B38" s="674"/>
      <c r="C38" s="674"/>
      <c r="D38" s="674"/>
      <c r="E38" s="674"/>
      <c r="F38" s="147">
        <f>SUM(F2:F37)</f>
        <v>40165.61</v>
      </c>
      <c r="G38" s="143"/>
      <c r="H38" s="129">
        <f>SUM(H2:H37)</f>
        <v>3980.28</v>
      </c>
      <c r="I38" s="107">
        <f>SUM(I2:I37)</f>
        <v>0</v>
      </c>
    </row>
    <row r="41" spans="1:11">
      <c r="D41" s="138"/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41"/>
  <sheetViews>
    <sheetView topLeftCell="A10" workbookViewId="0"/>
  </sheetViews>
  <sheetFormatPr defaultRowHeight="15"/>
  <cols>
    <col min="3" max="3" width="64.140625" customWidth="1"/>
  </cols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511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31"/>
      <c r="B2" s="32">
        <v>43420</v>
      </c>
      <c r="C2" s="7" t="s">
        <v>161</v>
      </c>
      <c r="D2" s="8" t="s">
        <v>149</v>
      </c>
      <c r="E2" s="7" t="s">
        <v>22</v>
      </c>
      <c r="F2" s="144">
        <v>2865.69</v>
      </c>
      <c r="G2" s="55">
        <v>0.1</v>
      </c>
      <c r="H2" s="65">
        <v>250.88</v>
      </c>
      <c r="I2" s="103"/>
      <c r="J2" s="108"/>
      <c r="K2" s="109"/>
    </row>
    <row r="3" spans="1:11">
      <c r="A3" s="31"/>
      <c r="B3" s="32">
        <v>43431</v>
      </c>
      <c r="C3" s="7" t="s">
        <v>463</v>
      </c>
      <c r="D3" s="8" t="s">
        <v>448</v>
      </c>
      <c r="E3" s="7" t="s">
        <v>602</v>
      </c>
      <c r="F3" s="144">
        <v>1198.8</v>
      </c>
      <c r="G3" s="55" t="s">
        <v>454</v>
      </c>
      <c r="H3" s="87">
        <v>150</v>
      </c>
      <c r="I3" s="104"/>
      <c r="J3" s="108"/>
      <c r="K3" s="109"/>
    </row>
    <row r="4" spans="1:11">
      <c r="A4" s="22"/>
      <c r="B4" s="26">
        <v>43405</v>
      </c>
      <c r="C4" s="13" t="s">
        <v>616</v>
      </c>
      <c r="D4" s="14" t="s">
        <v>61</v>
      </c>
      <c r="E4" s="13" t="s">
        <v>90</v>
      </c>
      <c r="F4" s="145">
        <v>1771.85</v>
      </c>
      <c r="G4" s="56" t="s">
        <v>617</v>
      </c>
      <c r="H4" s="87">
        <v>116.55</v>
      </c>
      <c r="I4" s="104"/>
      <c r="J4" s="108"/>
      <c r="K4" s="109"/>
    </row>
    <row r="5" spans="1:11">
      <c r="A5" s="22"/>
      <c r="B5" s="26">
        <v>43407</v>
      </c>
      <c r="C5" s="134" t="s">
        <v>618</v>
      </c>
      <c r="D5" s="14" t="s">
        <v>14</v>
      </c>
      <c r="E5" s="13" t="s">
        <v>10</v>
      </c>
      <c r="F5" s="145">
        <v>1518.08</v>
      </c>
      <c r="G5" s="155">
        <v>0.2</v>
      </c>
      <c r="H5" s="87">
        <v>355.39</v>
      </c>
      <c r="I5" s="104"/>
      <c r="J5" s="406"/>
      <c r="K5" s="407"/>
    </row>
    <row r="6" spans="1:11">
      <c r="A6" s="22"/>
      <c r="B6" s="26">
        <v>43407</v>
      </c>
      <c r="C6" s="13" t="s">
        <v>619</v>
      </c>
      <c r="D6" s="14" t="s">
        <v>14</v>
      </c>
      <c r="E6" s="13" t="s">
        <v>10</v>
      </c>
      <c r="F6" s="145">
        <v>3135.79</v>
      </c>
      <c r="G6" s="56">
        <v>0.1</v>
      </c>
      <c r="H6" s="87">
        <v>274.5</v>
      </c>
      <c r="I6" s="104"/>
      <c r="J6" s="108"/>
      <c r="K6" s="109"/>
    </row>
    <row r="7" spans="1:11">
      <c r="A7" s="22"/>
      <c r="B7" s="26">
        <v>43409</v>
      </c>
      <c r="C7" s="13" t="s">
        <v>162</v>
      </c>
      <c r="D7" s="14" t="s">
        <v>25</v>
      </c>
      <c r="E7" s="13" t="s">
        <v>17</v>
      </c>
      <c r="F7" s="145">
        <v>1353.48</v>
      </c>
      <c r="G7" s="56">
        <v>0.12</v>
      </c>
      <c r="H7" s="87">
        <v>142.11699999999999</v>
      </c>
      <c r="I7" s="104"/>
      <c r="J7" s="108"/>
      <c r="K7" s="109"/>
    </row>
    <row r="8" spans="1:11">
      <c r="A8" s="22"/>
      <c r="B8" s="26">
        <v>43416</v>
      </c>
      <c r="C8" s="13" t="s">
        <v>355</v>
      </c>
      <c r="D8" s="14" t="s">
        <v>25</v>
      </c>
      <c r="E8" s="13" t="s">
        <v>10</v>
      </c>
      <c r="F8" s="145">
        <v>912.7</v>
      </c>
      <c r="G8" s="56">
        <v>0.18</v>
      </c>
      <c r="H8" s="87">
        <v>154.41999999999999</v>
      </c>
      <c r="I8" s="104"/>
      <c r="J8" s="108"/>
      <c r="K8" s="109"/>
    </row>
    <row r="9" spans="1:11">
      <c r="A9" s="22"/>
      <c r="B9" s="26">
        <v>43415</v>
      </c>
      <c r="C9" s="13" t="s">
        <v>164</v>
      </c>
      <c r="D9" s="14" t="s">
        <v>14</v>
      </c>
      <c r="E9" s="13" t="s">
        <v>10</v>
      </c>
      <c r="F9" s="145">
        <v>1307.6300000000001</v>
      </c>
      <c r="G9" s="56">
        <v>0.15</v>
      </c>
      <c r="H9" s="87">
        <v>171.7</v>
      </c>
      <c r="I9" s="104"/>
      <c r="J9" s="108"/>
      <c r="K9" s="109"/>
    </row>
    <row r="10" spans="1:11">
      <c r="A10" s="85"/>
      <c r="B10" s="26">
        <v>43409</v>
      </c>
      <c r="C10" s="13" t="s">
        <v>620</v>
      </c>
      <c r="D10" s="14" t="s">
        <v>14</v>
      </c>
      <c r="E10" s="13" t="s">
        <v>15</v>
      </c>
      <c r="F10" s="145">
        <v>2981.65</v>
      </c>
      <c r="G10" s="56">
        <v>0.1</v>
      </c>
      <c r="H10" s="87">
        <v>261.01</v>
      </c>
      <c r="I10" s="104">
        <v>130</v>
      </c>
      <c r="J10" s="108"/>
      <c r="K10" s="109"/>
    </row>
    <row r="11" spans="1:11">
      <c r="A11" s="85"/>
      <c r="B11" s="26">
        <v>43413</v>
      </c>
      <c r="C11" s="13" t="s">
        <v>409</v>
      </c>
      <c r="D11" s="14" t="s">
        <v>14</v>
      </c>
      <c r="E11" s="13" t="s">
        <v>10</v>
      </c>
      <c r="F11" s="145">
        <v>5909.66</v>
      </c>
      <c r="G11" s="56">
        <v>0.1</v>
      </c>
      <c r="H11" s="87">
        <v>517.35</v>
      </c>
      <c r="I11" s="104"/>
      <c r="J11" s="108"/>
      <c r="K11" s="109"/>
    </row>
    <row r="12" spans="1:11">
      <c r="A12" s="85"/>
      <c r="B12" s="26">
        <v>43413</v>
      </c>
      <c r="C12" s="13" t="s">
        <v>621</v>
      </c>
      <c r="D12" s="14" t="s">
        <v>61</v>
      </c>
      <c r="E12" s="13" t="s">
        <v>90</v>
      </c>
      <c r="F12" s="145">
        <v>3535.27</v>
      </c>
      <c r="G12" s="56">
        <v>0.1</v>
      </c>
      <c r="H12" s="87">
        <v>309.47000000000003</v>
      </c>
      <c r="I12" s="104"/>
      <c r="J12" s="108"/>
      <c r="K12" s="109"/>
    </row>
    <row r="13" spans="1:11">
      <c r="A13" s="85"/>
      <c r="B13" s="26">
        <v>43413</v>
      </c>
      <c r="C13" s="13" t="s">
        <v>352</v>
      </c>
      <c r="D13" s="14" t="s">
        <v>61</v>
      </c>
      <c r="E13" s="13" t="s">
        <v>17</v>
      </c>
      <c r="F13" s="145">
        <v>2156.3000000000002</v>
      </c>
      <c r="G13" s="56">
        <v>0.1</v>
      </c>
      <c r="H13" s="87">
        <v>188.76</v>
      </c>
      <c r="I13" s="104"/>
      <c r="J13" s="108"/>
      <c r="K13" s="109"/>
    </row>
    <row r="14" spans="1:11">
      <c r="A14" s="85"/>
      <c r="B14" s="26">
        <v>43415</v>
      </c>
      <c r="C14" s="13" t="s">
        <v>622</v>
      </c>
      <c r="D14" s="14" t="s">
        <v>14</v>
      </c>
      <c r="E14" s="13" t="s">
        <v>10</v>
      </c>
      <c r="F14" s="145">
        <v>1551.16</v>
      </c>
      <c r="G14" s="56">
        <v>0.1</v>
      </c>
      <c r="H14" s="87">
        <v>135.78</v>
      </c>
      <c r="I14" s="104"/>
      <c r="J14" s="108"/>
      <c r="K14" s="109"/>
    </row>
    <row r="15" spans="1:11">
      <c r="A15" s="85"/>
      <c r="B15" s="26">
        <v>43411</v>
      </c>
      <c r="C15" s="13" t="s">
        <v>623</v>
      </c>
      <c r="D15" s="14" t="s">
        <v>21</v>
      </c>
      <c r="E15" s="13" t="s">
        <v>22</v>
      </c>
      <c r="F15" s="145">
        <v>2852</v>
      </c>
      <c r="G15" s="56">
        <v>0.1</v>
      </c>
      <c r="H15" s="87">
        <v>249.66</v>
      </c>
      <c r="I15" s="104"/>
      <c r="J15" s="108"/>
      <c r="K15" s="109"/>
    </row>
    <row r="16" spans="1:11">
      <c r="A16" s="85"/>
      <c r="B16" s="26">
        <v>43423</v>
      </c>
      <c r="C16" s="13" t="s">
        <v>624</v>
      </c>
      <c r="D16" s="14" t="s">
        <v>14</v>
      </c>
      <c r="E16" s="13" t="s">
        <v>10</v>
      </c>
      <c r="F16" s="145">
        <v>1849.76</v>
      </c>
      <c r="G16" s="56">
        <v>0.15</v>
      </c>
      <c r="H16" s="87">
        <v>362.89</v>
      </c>
      <c r="I16" s="104">
        <v>181.44</v>
      </c>
      <c r="J16" s="108"/>
      <c r="K16" s="109"/>
    </row>
    <row r="17" spans="1:11">
      <c r="A17" s="85"/>
      <c r="B17" s="26">
        <v>43420</v>
      </c>
      <c r="C17" s="13" t="s">
        <v>168</v>
      </c>
      <c r="D17" s="14" t="s">
        <v>14</v>
      </c>
      <c r="E17" s="13" t="s">
        <v>10</v>
      </c>
      <c r="F17" s="145">
        <v>1729.99</v>
      </c>
      <c r="G17" s="56">
        <v>0.1</v>
      </c>
      <c r="H17" s="87">
        <v>154.80000000000001</v>
      </c>
      <c r="I17" s="104"/>
      <c r="J17" s="108"/>
      <c r="K17" s="109"/>
    </row>
    <row r="18" spans="1:11">
      <c r="A18" s="85"/>
      <c r="B18" s="26">
        <v>43423</v>
      </c>
      <c r="C18" s="13" t="s">
        <v>625</v>
      </c>
      <c r="D18" s="14" t="s">
        <v>14</v>
      </c>
      <c r="E18" s="13" t="s">
        <v>10</v>
      </c>
      <c r="F18" s="145">
        <v>1266.01</v>
      </c>
      <c r="G18" s="56">
        <v>0.1</v>
      </c>
      <c r="H18" s="87">
        <v>144.07</v>
      </c>
      <c r="I18" s="104"/>
      <c r="J18" s="108"/>
      <c r="K18" s="109"/>
    </row>
    <row r="19" spans="1:11">
      <c r="A19" s="22"/>
      <c r="B19" s="26">
        <v>43420</v>
      </c>
      <c r="C19" s="13" t="s">
        <v>468</v>
      </c>
      <c r="D19" s="14" t="s">
        <v>448</v>
      </c>
      <c r="E19" s="13" t="s">
        <v>469</v>
      </c>
      <c r="F19" s="145"/>
      <c r="G19" s="56" t="s">
        <v>454</v>
      </c>
      <c r="H19" s="87">
        <v>250</v>
      </c>
      <c r="I19" s="104"/>
      <c r="J19" s="108"/>
      <c r="K19" s="109"/>
    </row>
    <row r="20" spans="1:11">
      <c r="A20" s="22"/>
      <c r="B20" s="26">
        <v>43426</v>
      </c>
      <c r="C20" s="13" t="s">
        <v>429</v>
      </c>
      <c r="D20" s="14" t="s">
        <v>61</v>
      </c>
      <c r="E20" s="13" t="s">
        <v>19</v>
      </c>
      <c r="F20" s="145">
        <v>1480.86</v>
      </c>
      <c r="G20" s="56">
        <v>0.1</v>
      </c>
      <c r="H20" s="87">
        <v>129.63</v>
      </c>
      <c r="I20" s="104"/>
      <c r="J20" s="108"/>
      <c r="K20" s="109"/>
    </row>
    <row r="21" spans="1:11">
      <c r="A21" s="90"/>
      <c r="B21" s="91">
        <v>43426</v>
      </c>
      <c r="C21" s="92" t="s">
        <v>626</v>
      </c>
      <c r="D21" s="93" t="s">
        <v>25</v>
      </c>
      <c r="E21" s="92" t="s">
        <v>10</v>
      </c>
      <c r="F21" s="146">
        <v>1993.09</v>
      </c>
      <c r="G21" s="94">
        <v>0.1</v>
      </c>
      <c r="H21" s="95">
        <v>174.47</v>
      </c>
      <c r="I21" s="105"/>
      <c r="J21" s="108"/>
      <c r="K21" s="109"/>
    </row>
    <row r="22" spans="1:11">
      <c r="A22" s="90"/>
      <c r="B22" s="91">
        <v>43426</v>
      </c>
      <c r="C22" s="92" t="s">
        <v>583</v>
      </c>
      <c r="D22" s="93" t="s">
        <v>14</v>
      </c>
      <c r="E22" s="92" t="s">
        <v>10</v>
      </c>
      <c r="F22" s="146">
        <v>1533.16</v>
      </c>
      <c r="G22" s="94">
        <v>0.13</v>
      </c>
      <c r="H22" s="95">
        <v>187.35</v>
      </c>
      <c r="I22" s="105"/>
      <c r="J22" s="108"/>
      <c r="K22" s="109"/>
    </row>
    <row r="23" spans="1:11">
      <c r="A23" s="90"/>
      <c r="B23" s="91">
        <v>43427</v>
      </c>
      <c r="C23" s="92" t="s">
        <v>627</v>
      </c>
      <c r="D23" s="93" t="s">
        <v>448</v>
      </c>
      <c r="E23" s="92" t="s">
        <v>602</v>
      </c>
      <c r="F23" s="146">
        <v>2074.8000000000002</v>
      </c>
      <c r="G23" s="94" t="s">
        <v>454</v>
      </c>
      <c r="H23" s="95">
        <v>150</v>
      </c>
      <c r="I23" s="105"/>
      <c r="J23" s="108"/>
      <c r="K23" s="109"/>
    </row>
    <row r="24" spans="1:11">
      <c r="A24" s="90"/>
      <c r="B24" s="91">
        <v>43429</v>
      </c>
      <c r="C24" s="92" t="s">
        <v>176</v>
      </c>
      <c r="D24" s="93" t="s">
        <v>61</v>
      </c>
      <c r="E24" s="92" t="s">
        <v>362</v>
      </c>
      <c r="F24" s="146">
        <v>1227.25</v>
      </c>
      <c r="G24" s="156">
        <v>0.25</v>
      </c>
      <c r="H24" s="95">
        <v>268.58</v>
      </c>
      <c r="I24" s="105"/>
      <c r="J24" s="108"/>
      <c r="K24" s="109"/>
    </row>
    <row r="25" spans="1:11">
      <c r="A25" s="90"/>
      <c r="B25" s="91">
        <v>43431</v>
      </c>
      <c r="C25" s="92" t="s">
        <v>628</v>
      </c>
      <c r="D25" s="93" t="s">
        <v>61</v>
      </c>
      <c r="E25" s="92" t="s">
        <v>438</v>
      </c>
      <c r="F25" s="146">
        <v>1567.67</v>
      </c>
      <c r="G25" s="94">
        <v>0.1</v>
      </c>
      <c r="H25" s="95">
        <v>137.22999999999999</v>
      </c>
      <c r="I25" s="105"/>
      <c r="J25" s="108"/>
      <c r="K25" s="109"/>
    </row>
    <row r="26" spans="1:11">
      <c r="A26" s="90"/>
      <c r="B26" s="91">
        <v>43432</v>
      </c>
      <c r="C26" s="92" t="s">
        <v>358</v>
      </c>
      <c r="D26" s="93" t="s">
        <v>14</v>
      </c>
      <c r="E26" s="92" t="s">
        <v>10</v>
      </c>
      <c r="F26" s="146">
        <v>2632.55</v>
      </c>
      <c r="G26" s="94">
        <v>0.13</v>
      </c>
      <c r="H26" s="95">
        <v>299.58</v>
      </c>
      <c r="I26" s="105"/>
      <c r="J26" s="108"/>
      <c r="K26" s="109"/>
    </row>
    <row r="27" spans="1:11">
      <c r="A27" s="90"/>
      <c r="B27" s="91">
        <v>43432</v>
      </c>
      <c r="C27" s="92" t="s">
        <v>629</v>
      </c>
      <c r="D27" s="93" t="s">
        <v>61</v>
      </c>
      <c r="E27" s="92" t="s">
        <v>17</v>
      </c>
      <c r="F27" s="146">
        <v>1821.55</v>
      </c>
      <c r="G27" s="94">
        <v>0.1</v>
      </c>
      <c r="H27" s="95">
        <v>159.44999999999999</v>
      </c>
      <c r="I27" s="105"/>
      <c r="J27" s="108"/>
      <c r="K27" s="109"/>
    </row>
    <row r="28" spans="1:11">
      <c r="A28" s="90"/>
      <c r="B28" s="91">
        <v>43426</v>
      </c>
      <c r="C28" s="92" t="s">
        <v>175</v>
      </c>
      <c r="D28" s="93" t="s">
        <v>14</v>
      </c>
      <c r="E28" s="92" t="s">
        <v>10</v>
      </c>
      <c r="F28" s="146">
        <v>1542.83</v>
      </c>
      <c r="G28" s="94">
        <v>0.1</v>
      </c>
      <c r="H28" s="95">
        <v>135.05000000000001</v>
      </c>
      <c r="I28" s="105"/>
      <c r="J28" s="108"/>
      <c r="K28" s="109"/>
    </row>
    <row r="29" spans="1:11">
      <c r="A29" s="90"/>
      <c r="B29" s="91"/>
      <c r="C29" s="92"/>
      <c r="D29" s="93"/>
      <c r="E29" s="92"/>
      <c r="F29" s="146"/>
      <c r="G29" s="94"/>
      <c r="H29" s="95"/>
      <c r="I29" s="105"/>
      <c r="J29" s="108"/>
      <c r="K29" s="109"/>
    </row>
    <row r="30" spans="1:11">
      <c r="A30" s="90"/>
      <c r="B30" s="91"/>
      <c r="C30" s="92"/>
      <c r="D30" s="93"/>
      <c r="E30" s="92"/>
      <c r="F30" s="146"/>
      <c r="G30" s="94"/>
      <c r="H30" s="95"/>
      <c r="I30" s="105"/>
      <c r="J30" s="108"/>
      <c r="K30" s="109"/>
    </row>
    <row r="31" spans="1:11">
      <c r="A31" s="90"/>
      <c r="B31" s="91"/>
      <c r="C31" s="137"/>
      <c r="D31" s="93"/>
      <c r="E31" s="92"/>
      <c r="F31" s="146"/>
      <c r="G31" s="94"/>
      <c r="H31" s="95"/>
      <c r="I31" s="105"/>
      <c r="J31" s="108"/>
      <c r="K31" s="109"/>
    </row>
    <row r="32" spans="1:11">
      <c r="A32" s="90"/>
      <c r="B32" s="91"/>
      <c r="C32" s="92"/>
      <c r="D32" s="93"/>
      <c r="E32" s="92"/>
      <c r="F32" s="146"/>
      <c r="G32" s="94"/>
      <c r="H32" s="95"/>
      <c r="I32" s="105"/>
      <c r="J32" s="108"/>
      <c r="K32" s="109"/>
    </row>
    <row r="33" spans="1:11">
      <c r="A33" s="90"/>
      <c r="B33" s="91"/>
      <c r="C33" s="139"/>
      <c r="D33" s="93"/>
      <c r="E33" s="92"/>
      <c r="F33" s="146"/>
      <c r="G33" s="94"/>
      <c r="H33" s="95"/>
      <c r="I33" s="105"/>
      <c r="J33" s="108"/>
      <c r="K33" s="109"/>
    </row>
    <row r="34" spans="1:11">
      <c r="A34" s="90"/>
      <c r="B34" s="91"/>
      <c r="C34" s="139"/>
      <c r="D34" s="93"/>
      <c r="E34" s="92"/>
      <c r="F34" s="146"/>
      <c r="G34" s="94"/>
      <c r="H34" s="95"/>
      <c r="I34" s="105"/>
      <c r="J34" s="108"/>
      <c r="K34" s="109"/>
    </row>
    <row r="35" spans="1:11">
      <c r="A35" s="90"/>
      <c r="B35" s="91"/>
      <c r="C35" s="140"/>
      <c r="D35" s="93"/>
      <c r="E35" s="92"/>
      <c r="F35" s="146"/>
      <c r="G35" s="94"/>
      <c r="H35" s="95"/>
      <c r="I35" s="105"/>
      <c r="J35" s="108"/>
      <c r="K35" s="109"/>
    </row>
    <row r="36" spans="1:11">
      <c r="A36" s="90"/>
      <c r="B36" s="91"/>
      <c r="C36" s="92"/>
      <c r="D36" s="93"/>
      <c r="E36" s="92"/>
      <c r="F36" s="146"/>
      <c r="G36" s="94"/>
      <c r="H36" s="95"/>
      <c r="I36" s="105"/>
      <c r="J36" s="108"/>
      <c r="K36" s="109"/>
    </row>
    <row r="37" spans="1:11">
      <c r="A37" s="90"/>
      <c r="B37" s="91"/>
      <c r="C37" s="92"/>
      <c r="D37" s="93"/>
      <c r="E37" s="92"/>
      <c r="F37" s="146"/>
      <c r="G37" s="94"/>
      <c r="H37" s="95"/>
      <c r="I37" s="106"/>
      <c r="J37" s="108"/>
      <c r="K37" s="109"/>
    </row>
    <row r="38" spans="1:11" ht="19.5">
      <c r="A38" s="673" t="s">
        <v>39</v>
      </c>
      <c r="B38" s="674"/>
      <c r="C38" s="674"/>
      <c r="D38" s="674"/>
      <c r="E38" s="674"/>
      <c r="F38" s="147">
        <f>SUM(F2:F37)</f>
        <v>53769.580000000009</v>
      </c>
      <c r="G38" s="143"/>
      <c r="H38" s="129">
        <f>SUM(H2:H37)</f>
        <v>5830.6869999999999</v>
      </c>
      <c r="I38" s="107">
        <f>SUM(I2:I37)</f>
        <v>311.44</v>
      </c>
    </row>
    <row r="41" spans="1:11">
      <c r="D41" s="138"/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40"/>
  <sheetViews>
    <sheetView workbookViewId="0"/>
  </sheetViews>
  <sheetFormatPr defaultRowHeight="15"/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511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31"/>
      <c r="B2" s="32">
        <v>43440</v>
      </c>
      <c r="C2" s="32" t="s">
        <v>630</v>
      </c>
      <c r="D2" s="8" t="s">
        <v>448</v>
      </c>
      <c r="E2" s="7" t="s">
        <v>22</v>
      </c>
      <c r="F2" s="144">
        <v>2064</v>
      </c>
      <c r="G2" s="55" t="s">
        <v>454</v>
      </c>
      <c r="H2" s="65">
        <v>150</v>
      </c>
      <c r="I2" s="103"/>
      <c r="J2" s="108"/>
      <c r="K2" s="109"/>
    </row>
    <row r="3" spans="1:11">
      <c r="A3" s="31"/>
      <c r="B3" s="32">
        <v>43437</v>
      </c>
      <c r="C3" s="7" t="s">
        <v>472</v>
      </c>
      <c r="D3" s="8" t="s">
        <v>14</v>
      </c>
      <c r="E3" s="7" t="s">
        <v>10</v>
      </c>
      <c r="F3" s="144">
        <v>2513.87</v>
      </c>
      <c r="G3" s="55">
        <v>0.15</v>
      </c>
      <c r="H3" s="87">
        <v>330.09</v>
      </c>
      <c r="I3" s="104"/>
      <c r="J3" s="108"/>
      <c r="K3" s="109"/>
    </row>
    <row r="4" spans="1:11">
      <c r="A4" s="22"/>
      <c r="B4" s="26">
        <v>43435</v>
      </c>
      <c r="C4" s="13" t="s">
        <v>631</v>
      </c>
      <c r="D4" s="14" t="s">
        <v>14</v>
      </c>
      <c r="E4" s="13" t="s">
        <v>143</v>
      </c>
      <c r="F4" s="145">
        <v>1691.66</v>
      </c>
      <c r="G4" s="56">
        <v>0.1</v>
      </c>
      <c r="H4" s="87">
        <v>148.08000000000001</v>
      </c>
      <c r="I4" s="104"/>
      <c r="J4" s="108"/>
      <c r="K4" s="109"/>
    </row>
    <row r="5" spans="1:11">
      <c r="A5" s="22"/>
      <c r="B5" s="26">
        <v>43441</v>
      </c>
      <c r="C5" s="134" t="s">
        <v>476</v>
      </c>
      <c r="D5" s="14" t="s">
        <v>9</v>
      </c>
      <c r="E5" s="13" t="s">
        <v>279</v>
      </c>
      <c r="F5" s="145">
        <v>1015.55</v>
      </c>
      <c r="G5" s="155">
        <v>0.27</v>
      </c>
      <c r="H5" s="87">
        <v>194.61</v>
      </c>
      <c r="I5" s="104"/>
      <c r="J5" s="406"/>
      <c r="K5" s="407"/>
    </row>
    <row r="6" spans="1:11">
      <c r="A6" s="22"/>
      <c r="B6" s="26">
        <v>43440</v>
      </c>
      <c r="C6" s="13" t="s">
        <v>632</v>
      </c>
      <c r="D6" s="14" t="s">
        <v>448</v>
      </c>
      <c r="E6" s="13" t="s">
        <v>469</v>
      </c>
      <c r="F6" s="145">
        <v>1258.8</v>
      </c>
      <c r="G6" s="56" t="s">
        <v>454</v>
      </c>
      <c r="H6" s="87">
        <v>100</v>
      </c>
      <c r="I6" s="104"/>
      <c r="J6" s="108"/>
      <c r="K6" s="109"/>
    </row>
    <row r="7" spans="1:11">
      <c r="A7" s="22"/>
      <c r="B7" s="26">
        <v>43443</v>
      </c>
      <c r="C7" s="13" t="s">
        <v>633</v>
      </c>
      <c r="D7" s="14" t="s">
        <v>14</v>
      </c>
      <c r="E7" s="13" t="s">
        <v>10</v>
      </c>
      <c r="F7" s="145">
        <v>1551.63</v>
      </c>
      <c r="G7" s="56">
        <v>0.12</v>
      </c>
      <c r="H7" s="87">
        <v>162.99</v>
      </c>
      <c r="I7" s="104"/>
      <c r="J7" s="108"/>
      <c r="K7" s="109"/>
    </row>
    <row r="8" spans="1:11">
      <c r="A8" s="22"/>
      <c r="B8" s="26">
        <v>43446</v>
      </c>
      <c r="C8" s="13" t="s">
        <v>196</v>
      </c>
      <c r="D8" s="14" t="s">
        <v>61</v>
      </c>
      <c r="E8" s="13" t="s">
        <v>17</v>
      </c>
      <c r="F8" s="145">
        <v>3075.28</v>
      </c>
      <c r="G8" s="56">
        <v>0.1</v>
      </c>
      <c r="H8" s="87">
        <v>269.2</v>
      </c>
      <c r="I8" s="104"/>
      <c r="J8" s="108"/>
      <c r="K8" s="109"/>
    </row>
    <row r="9" spans="1:11">
      <c r="A9" s="22"/>
      <c r="B9" s="26">
        <v>43449</v>
      </c>
      <c r="C9" s="13" t="s">
        <v>87</v>
      </c>
      <c r="D9" s="14" t="s">
        <v>25</v>
      </c>
      <c r="E9" s="13" t="s">
        <v>10</v>
      </c>
      <c r="F9" s="145">
        <v>1992.83</v>
      </c>
      <c r="G9" s="56">
        <v>0.1</v>
      </c>
      <c r="H9" s="87">
        <v>174.45</v>
      </c>
      <c r="I9" s="104"/>
      <c r="J9" s="108"/>
      <c r="K9" s="109"/>
    </row>
    <row r="10" spans="1:11">
      <c r="A10" s="85"/>
      <c r="B10" s="26">
        <v>43448</v>
      </c>
      <c r="C10" s="13" t="s">
        <v>176</v>
      </c>
      <c r="D10" s="14" t="s">
        <v>61</v>
      </c>
      <c r="E10" s="13" t="s">
        <v>10</v>
      </c>
      <c r="F10" s="145">
        <v>1655.51</v>
      </c>
      <c r="G10" s="56">
        <v>0.2</v>
      </c>
      <c r="H10" s="87">
        <v>271.95999999999998</v>
      </c>
      <c r="I10" s="104"/>
      <c r="J10" s="108"/>
      <c r="K10" s="109"/>
    </row>
    <row r="11" spans="1:11">
      <c r="A11" s="85"/>
      <c r="B11" s="26">
        <v>43454</v>
      </c>
      <c r="C11" s="13" t="s">
        <v>204</v>
      </c>
      <c r="D11" s="14" t="s">
        <v>25</v>
      </c>
      <c r="E11" s="13" t="s">
        <v>10</v>
      </c>
      <c r="F11" s="145">
        <v>1355.68</v>
      </c>
      <c r="G11" s="56">
        <v>0.18</v>
      </c>
      <c r="H11" s="87">
        <v>201.74</v>
      </c>
      <c r="I11" s="104"/>
      <c r="J11" s="108"/>
      <c r="K11" s="109"/>
    </row>
    <row r="12" spans="1:11">
      <c r="A12" s="85"/>
      <c r="B12" s="26">
        <v>43449</v>
      </c>
      <c r="C12" s="13" t="s">
        <v>364</v>
      </c>
      <c r="D12" s="14" t="s">
        <v>14</v>
      </c>
      <c r="E12" s="13" t="s">
        <v>10</v>
      </c>
      <c r="F12" s="145">
        <v>1591.02</v>
      </c>
      <c r="G12" s="56">
        <v>0.1</v>
      </c>
      <c r="H12" s="87">
        <v>139.27000000000001</v>
      </c>
      <c r="I12" s="104"/>
      <c r="J12" s="108"/>
      <c r="K12" s="109"/>
    </row>
    <row r="13" spans="1:11">
      <c r="A13" s="85"/>
      <c r="B13" s="26">
        <v>43457</v>
      </c>
      <c r="C13" s="13" t="s">
        <v>634</v>
      </c>
      <c r="D13" s="14" t="s">
        <v>14</v>
      </c>
      <c r="E13" s="13" t="s">
        <v>10</v>
      </c>
      <c r="F13" s="145">
        <v>1471.48</v>
      </c>
      <c r="G13" s="56">
        <v>0.16</v>
      </c>
      <c r="H13" s="87">
        <v>206.1</v>
      </c>
      <c r="I13" s="104"/>
      <c r="J13" s="108"/>
      <c r="K13" s="109"/>
    </row>
    <row r="14" spans="1:11">
      <c r="A14" s="85"/>
      <c r="B14" s="26">
        <v>43453</v>
      </c>
      <c r="C14" s="13" t="s">
        <v>361</v>
      </c>
      <c r="D14" s="14" t="s">
        <v>14</v>
      </c>
      <c r="E14" s="13" t="s">
        <v>10</v>
      </c>
      <c r="F14" s="145">
        <v>1689.35</v>
      </c>
      <c r="G14" s="56">
        <v>0.1</v>
      </c>
      <c r="H14" s="87">
        <v>147.88</v>
      </c>
      <c r="I14" s="104"/>
      <c r="J14" s="108"/>
      <c r="K14" s="109"/>
    </row>
    <row r="15" spans="1:11">
      <c r="A15" s="85"/>
      <c r="B15" s="26">
        <v>43456</v>
      </c>
      <c r="C15" s="13" t="s">
        <v>635</v>
      </c>
      <c r="D15" s="14" t="s">
        <v>21</v>
      </c>
      <c r="E15" s="13" t="s">
        <v>75</v>
      </c>
      <c r="F15" s="145">
        <v>1616.44</v>
      </c>
      <c r="G15" s="56">
        <v>0.11</v>
      </c>
      <c r="H15" s="87">
        <v>155.63</v>
      </c>
      <c r="I15" s="104"/>
      <c r="J15" s="108"/>
      <c r="K15" s="109"/>
    </row>
    <row r="16" spans="1:11">
      <c r="A16" s="85"/>
      <c r="B16" s="26">
        <v>43456</v>
      </c>
      <c r="C16" s="13" t="s">
        <v>636</v>
      </c>
      <c r="D16" s="14" t="s">
        <v>61</v>
      </c>
      <c r="E16" s="13" t="s">
        <v>10</v>
      </c>
      <c r="F16" s="145">
        <v>1413.25</v>
      </c>
      <c r="G16" s="56">
        <v>0.25</v>
      </c>
      <c r="H16" s="87">
        <v>309.27999999999997</v>
      </c>
      <c r="I16" s="104"/>
      <c r="J16" s="108"/>
      <c r="K16" s="109"/>
    </row>
    <row r="17" spans="1:11">
      <c r="A17" s="85"/>
      <c r="B17" s="26">
        <v>43456</v>
      </c>
      <c r="C17" s="13" t="s">
        <v>367</v>
      </c>
      <c r="D17" s="14" t="s">
        <v>14</v>
      </c>
      <c r="E17" s="13" t="s">
        <v>10</v>
      </c>
      <c r="F17" s="145">
        <v>2389.4699999999998</v>
      </c>
      <c r="G17" s="56">
        <v>0.13</v>
      </c>
      <c r="H17" s="87">
        <v>271.92</v>
      </c>
      <c r="I17" s="104"/>
      <c r="J17" s="108"/>
      <c r="K17" s="109"/>
    </row>
    <row r="18" spans="1:11">
      <c r="A18" s="85"/>
      <c r="B18" s="26">
        <v>43457</v>
      </c>
      <c r="C18" s="13" t="s">
        <v>479</v>
      </c>
      <c r="D18" s="14" t="s">
        <v>21</v>
      </c>
      <c r="E18" s="13" t="s">
        <v>75</v>
      </c>
      <c r="F18" s="145">
        <v>1469.9</v>
      </c>
      <c r="G18" s="56">
        <v>0.1</v>
      </c>
      <c r="H18" s="87">
        <v>128.63999999999999</v>
      </c>
      <c r="I18" s="104"/>
      <c r="J18" s="108"/>
      <c r="K18" s="109"/>
    </row>
    <row r="19" spans="1:11">
      <c r="A19" s="22"/>
      <c r="B19" s="26">
        <v>43460</v>
      </c>
      <c r="C19" s="13" t="s">
        <v>637</v>
      </c>
      <c r="D19" s="14" t="s">
        <v>21</v>
      </c>
      <c r="E19" s="13" t="s">
        <v>75</v>
      </c>
      <c r="F19" s="145">
        <v>4243.05</v>
      </c>
      <c r="G19" s="56">
        <v>0.1</v>
      </c>
      <c r="H19" s="87">
        <v>371.43</v>
      </c>
      <c r="I19" s="104"/>
      <c r="J19" s="108"/>
      <c r="K19" s="109"/>
    </row>
    <row r="20" spans="1:11">
      <c r="A20" s="22"/>
      <c r="B20" s="26">
        <v>43453</v>
      </c>
      <c r="C20" s="13" t="s">
        <v>165</v>
      </c>
      <c r="D20" s="14" t="s">
        <v>14</v>
      </c>
      <c r="E20" s="13" t="s">
        <v>362</v>
      </c>
      <c r="F20" s="145">
        <v>4315.05</v>
      </c>
      <c r="G20" s="56">
        <v>0.1</v>
      </c>
      <c r="H20" s="87">
        <v>377.73</v>
      </c>
      <c r="I20" s="104"/>
      <c r="J20" s="108"/>
      <c r="K20" s="109"/>
    </row>
    <row r="21" spans="1:11">
      <c r="A21" s="90"/>
      <c r="B21" s="91">
        <v>43461</v>
      </c>
      <c r="C21" s="92" t="s">
        <v>638</v>
      </c>
      <c r="D21" s="93" t="s">
        <v>14</v>
      </c>
      <c r="E21" s="92" t="s">
        <v>10</v>
      </c>
      <c r="F21" s="146">
        <v>1838.13</v>
      </c>
      <c r="G21" s="94">
        <v>0.15</v>
      </c>
      <c r="H21" s="95">
        <v>241.36</v>
      </c>
      <c r="I21" s="105"/>
      <c r="J21" s="108"/>
      <c r="K21" s="109"/>
    </row>
    <row r="22" spans="1:11">
      <c r="A22" s="90"/>
      <c r="B22" s="91">
        <v>43461</v>
      </c>
      <c r="C22" s="92" t="s">
        <v>639</v>
      </c>
      <c r="D22" s="93" t="s">
        <v>14</v>
      </c>
      <c r="E22" s="92" t="s">
        <v>10</v>
      </c>
      <c r="F22" s="146">
        <v>1607.44</v>
      </c>
      <c r="G22" s="94">
        <v>0.1</v>
      </c>
      <c r="H22" s="95">
        <v>140.71</v>
      </c>
      <c r="I22" s="105"/>
      <c r="J22" s="108"/>
      <c r="K22" s="109"/>
    </row>
    <row r="23" spans="1:11">
      <c r="A23" s="90"/>
      <c r="B23" s="91">
        <v>43460</v>
      </c>
      <c r="C23" s="92" t="s">
        <v>640</v>
      </c>
      <c r="D23" s="93" t="s">
        <v>14</v>
      </c>
      <c r="E23" s="92" t="s">
        <v>22</v>
      </c>
      <c r="F23" s="146">
        <v>1373.99</v>
      </c>
      <c r="G23" s="94">
        <v>0.16</v>
      </c>
      <c r="H23" s="95">
        <v>192.44</v>
      </c>
      <c r="I23" s="105"/>
      <c r="J23" s="108"/>
      <c r="K23" s="109"/>
    </row>
    <row r="24" spans="1:11">
      <c r="A24" s="90"/>
      <c r="B24" s="91">
        <v>43464</v>
      </c>
      <c r="C24" s="92" t="s">
        <v>641</v>
      </c>
      <c r="D24" s="93" t="s">
        <v>61</v>
      </c>
      <c r="E24" s="92" t="s">
        <v>90</v>
      </c>
      <c r="F24" s="146">
        <v>1892.39</v>
      </c>
      <c r="G24" s="94">
        <v>0.1</v>
      </c>
      <c r="H24" s="95">
        <v>165.65</v>
      </c>
      <c r="I24" s="105"/>
      <c r="J24" s="108"/>
      <c r="K24" s="109"/>
    </row>
    <row r="25" spans="1:11">
      <c r="A25" s="90"/>
      <c r="B25" s="91">
        <v>43462</v>
      </c>
      <c r="C25" s="92" t="s">
        <v>642</v>
      </c>
      <c r="D25" s="93" t="s">
        <v>9</v>
      </c>
      <c r="E25" s="92" t="s">
        <v>75</v>
      </c>
      <c r="F25" s="146">
        <v>1911.63</v>
      </c>
      <c r="G25" s="94">
        <v>0.13</v>
      </c>
      <c r="H25" s="95">
        <v>187.25</v>
      </c>
      <c r="I25" s="105"/>
      <c r="J25" s="108"/>
      <c r="K25" s="109"/>
    </row>
    <row r="26" spans="1:11">
      <c r="A26" s="90"/>
      <c r="B26" s="91">
        <v>43463</v>
      </c>
      <c r="C26" s="92" t="s">
        <v>369</v>
      </c>
      <c r="D26" s="93" t="s">
        <v>14</v>
      </c>
      <c r="E26" s="92" t="s">
        <v>10</v>
      </c>
      <c r="F26" s="146">
        <v>1394.24</v>
      </c>
      <c r="G26" s="94">
        <v>0.14000000000000001</v>
      </c>
      <c r="H26" s="95">
        <v>170.87</v>
      </c>
      <c r="I26" s="105"/>
      <c r="J26" s="108"/>
      <c r="K26" s="109"/>
    </row>
    <row r="27" spans="1:11">
      <c r="A27" s="90"/>
      <c r="B27" s="91">
        <v>43462</v>
      </c>
      <c r="C27" s="92" t="s">
        <v>643</v>
      </c>
      <c r="D27" s="93" t="s">
        <v>14</v>
      </c>
      <c r="E27" s="92" t="s">
        <v>10</v>
      </c>
      <c r="F27" s="146">
        <v>2425.8200000000002</v>
      </c>
      <c r="G27" s="94">
        <v>0.12</v>
      </c>
      <c r="H27" s="95">
        <v>253.32</v>
      </c>
      <c r="I27" s="105"/>
      <c r="J27" s="108"/>
      <c r="K27" s="109"/>
    </row>
    <row r="28" spans="1:11">
      <c r="A28" s="90"/>
      <c r="B28" s="91">
        <v>43457</v>
      </c>
      <c r="C28" s="92" t="s">
        <v>368</v>
      </c>
      <c r="D28" s="93" t="s">
        <v>14</v>
      </c>
      <c r="E28" s="92" t="s">
        <v>10</v>
      </c>
      <c r="F28" s="146">
        <v>1539.55</v>
      </c>
      <c r="G28" s="94">
        <v>0.1</v>
      </c>
      <c r="H28" s="95">
        <v>134.77000000000001</v>
      </c>
      <c r="I28" s="105"/>
      <c r="J28" s="108"/>
      <c r="K28" s="109"/>
    </row>
    <row r="29" spans="1:11">
      <c r="A29" s="90"/>
      <c r="B29" s="91"/>
      <c r="C29" s="92"/>
      <c r="D29" s="93"/>
      <c r="E29" s="92"/>
      <c r="F29" s="146"/>
      <c r="G29" s="94"/>
      <c r="H29" s="95"/>
      <c r="I29" s="105"/>
      <c r="J29" s="108"/>
      <c r="K29" s="109"/>
    </row>
    <row r="30" spans="1:11">
      <c r="A30" s="90"/>
      <c r="B30" s="91"/>
      <c r="C30" s="137"/>
      <c r="D30" s="93"/>
      <c r="E30" s="92"/>
      <c r="F30" s="146"/>
      <c r="G30" s="94"/>
      <c r="H30" s="95"/>
      <c r="I30" s="105"/>
      <c r="J30" s="108"/>
      <c r="K30" s="109"/>
    </row>
    <row r="31" spans="1:11">
      <c r="A31" s="90"/>
      <c r="B31" s="91"/>
      <c r="C31" s="92"/>
      <c r="D31" s="93"/>
      <c r="E31" s="92"/>
      <c r="F31" s="146"/>
      <c r="G31" s="94"/>
      <c r="H31" s="95"/>
      <c r="I31" s="105"/>
      <c r="J31" s="108"/>
      <c r="K31" s="109"/>
    </row>
    <row r="32" spans="1:11">
      <c r="A32" s="90"/>
      <c r="B32" s="91"/>
      <c r="C32" s="139"/>
      <c r="D32" s="93"/>
      <c r="E32" s="92"/>
      <c r="F32" s="146"/>
      <c r="G32" s="94"/>
      <c r="H32" s="95"/>
      <c r="I32" s="105"/>
      <c r="J32" s="108"/>
      <c r="K32" s="109"/>
    </row>
    <row r="33" spans="1:11">
      <c r="A33" s="90"/>
      <c r="B33" s="91"/>
      <c r="C33" s="139"/>
      <c r="D33" s="93"/>
      <c r="E33" s="92"/>
      <c r="F33" s="146"/>
      <c r="G33" s="94"/>
      <c r="H33" s="95"/>
      <c r="I33" s="105"/>
      <c r="J33" s="108"/>
      <c r="K33" s="109"/>
    </row>
    <row r="34" spans="1:11">
      <c r="A34" s="90"/>
      <c r="B34" s="91"/>
      <c r="C34" s="140"/>
      <c r="D34" s="93"/>
      <c r="E34" s="92"/>
      <c r="F34" s="146"/>
      <c r="G34" s="94"/>
      <c r="H34" s="95"/>
      <c r="I34" s="105"/>
      <c r="J34" s="108"/>
      <c r="K34" s="109"/>
    </row>
    <row r="35" spans="1:11">
      <c r="A35" s="90"/>
      <c r="B35" s="91"/>
      <c r="C35" s="92"/>
      <c r="D35" s="93"/>
      <c r="E35" s="92"/>
      <c r="F35" s="146"/>
      <c r="G35" s="94"/>
      <c r="H35" s="95"/>
      <c r="I35" s="105"/>
      <c r="J35" s="108"/>
      <c r="K35" s="109"/>
    </row>
    <row r="36" spans="1:11">
      <c r="A36" s="90"/>
      <c r="B36" s="91"/>
      <c r="C36" s="92"/>
      <c r="D36" s="93"/>
      <c r="E36" s="92"/>
      <c r="F36" s="146"/>
      <c r="G36" s="94"/>
      <c r="H36" s="95"/>
      <c r="I36" s="106"/>
      <c r="J36" s="108"/>
      <c r="K36" s="109"/>
    </row>
    <row r="37" spans="1:11" ht="19.5">
      <c r="A37" s="673" t="s">
        <v>39</v>
      </c>
      <c r="B37" s="674"/>
      <c r="C37" s="674"/>
      <c r="D37" s="674"/>
      <c r="E37" s="674"/>
      <c r="F37" s="147">
        <f>SUM(F2:F36)</f>
        <v>52357.009999999995</v>
      </c>
      <c r="G37" s="143"/>
      <c r="H37" s="129">
        <f>SUM(H2:H36)</f>
        <v>5597.369999999999</v>
      </c>
      <c r="I37" s="107">
        <f>SUM(I2:I36)</f>
        <v>0</v>
      </c>
    </row>
    <row r="40" spans="1:11">
      <c r="D40" s="138"/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40"/>
  <sheetViews>
    <sheetView workbookViewId="0"/>
  </sheetViews>
  <sheetFormatPr defaultRowHeight="15"/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31">
        <v>43087</v>
      </c>
      <c r="B2" s="32">
        <v>43470</v>
      </c>
      <c r="C2" s="32" t="s">
        <v>645</v>
      </c>
      <c r="D2" s="8" t="s">
        <v>25</v>
      </c>
      <c r="E2" s="7" t="s">
        <v>10</v>
      </c>
      <c r="F2" s="144">
        <v>1725.75</v>
      </c>
      <c r="G2" s="55">
        <v>0.1</v>
      </c>
      <c r="H2" s="65">
        <v>162.22</v>
      </c>
      <c r="I2" s="157"/>
      <c r="J2" s="108"/>
      <c r="K2" s="109"/>
    </row>
    <row r="3" spans="1:11">
      <c r="A3" s="31">
        <v>43091</v>
      </c>
      <c r="B3" s="32">
        <v>43468</v>
      </c>
      <c r="C3" s="7" t="s">
        <v>214</v>
      </c>
      <c r="D3" s="8" t="s">
        <v>25</v>
      </c>
      <c r="E3" s="7" t="s">
        <v>10</v>
      </c>
      <c r="F3" s="144">
        <v>1617.73</v>
      </c>
      <c r="G3" s="55">
        <v>0.13</v>
      </c>
      <c r="H3" s="87">
        <v>204.28</v>
      </c>
      <c r="I3" s="158"/>
      <c r="J3" s="108"/>
      <c r="K3" s="109"/>
    </row>
    <row r="4" spans="1:11">
      <c r="A4" s="22">
        <v>43103</v>
      </c>
      <c r="B4" s="26">
        <v>43473</v>
      </c>
      <c r="C4" s="13" t="s">
        <v>493</v>
      </c>
      <c r="D4" s="14" t="s">
        <v>14</v>
      </c>
      <c r="E4" s="13" t="s">
        <v>10</v>
      </c>
      <c r="F4" s="145">
        <v>1077.71</v>
      </c>
      <c r="G4" s="56">
        <v>0.22</v>
      </c>
      <c r="H4" s="87">
        <v>239.27</v>
      </c>
      <c r="I4" s="158"/>
      <c r="J4" s="108"/>
      <c r="K4" s="109"/>
    </row>
    <row r="5" spans="1:11">
      <c r="A5" s="22">
        <v>43104</v>
      </c>
      <c r="B5" s="26">
        <v>43470</v>
      </c>
      <c r="C5" s="134" t="s">
        <v>217</v>
      </c>
      <c r="D5" s="14" t="s">
        <v>14</v>
      </c>
      <c r="E5" s="13" t="s">
        <v>17</v>
      </c>
      <c r="F5" s="145">
        <v>1742.9</v>
      </c>
      <c r="G5" s="155">
        <v>0.22</v>
      </c>
      <c r="H5" s="87">
        <v>360.43</v>
      </c>
      <c r="I5" s="158">
        <v>180.21</v>
      </c>
      <c r="J5" s="406"/>
      <c r="K5" s="407"/>
    </row>
    <row r="6" spans="1:11">
      <c r="A6" s="22">
        <v>43104</v>
      </c>
      <c r="B6" s="26">
        <v>43467</v>
      </c>
      <c r="C6" s="13" t="s">
        <v>361</v>
      </c>
      <c r="D6" s="14" t="s">
        <v>14</v>
      </c>
      <c r="E6" s="13" t="s">
        <v>10</v>
      </c>
      <c r="F6" s="145">
        <v>1470.94</v>
      </c>
      <c r="G6" s="56">
        <v>0.1</v>
      </c>
      <c r="H6" s="87">
        <v>128.76</v>
      </c>
      <c r="I6" s="158"/>
      <c r="J6" s="108"/>
      <c r="K6" s="109"/>
    </row>
    <row r="7" spans="1:11">
      <c r="A7" s="22">
        <v>43104</v>
      </c>
      <c r="B7" s="26">
        <v>43473</v>
      </c>
      <c r="C7" s="13" t="s">
        <v>220</v>
      </c>
      <c r="D7" s="14" t="s">
        <v>14</v>
      </c>
      <c r="E7" s="13" t="s">
        <v>22</v>
      </c>
      <c r="F7" s="145">
        <v>2597.1999999999998</v>
      </c>
      <c r="G7" s="56">
        <v>0.18</v>
      </c>
      <c r="H7" s="87">
        <v>439.44</v>
      </c>
      <c r="I7" s="158"/>
      <c r="J7" s="108"/>
      <c r="K7" s="109"/>
    </row>
    <row r="8" spans="1:11">
      <c r="A8" s="22">
        <v>43105</v>
      </c>
      <c r="B8" s="26">
        <v>43477</v>
      </c>
      <c r="C8" s="13" t="s">
        <v>646</v>
      </c>
      <c r="D8" s="14" t="s">
        <v>14</v>
      </c>
      <c r="E8" s="13" t="s">
        <v>10</v>
      </c>
      <c r="F8" s="145">
        <v>1903.57</v>
      </c>
      <c r="G8" s="56">
        <v>0.15</v>
      </c>
      <c r="H8" s="87">
        <v>268.39999999999998</v>
      </c>
      <c r="I8" s="158"/>
      <c r="J8" s="108"/>
      <c r="K8" s="109"/>
    </row>
    <row r="9" spans="1:11">
      <c r="A9" s="22">
        <v>43108</v>
      </c>
      <c r="B9" s="26">
        <v>43474</v>
      </c>
      <c r="C9" s="13" t="s">
        <v>489</v>
      </c>
      <c r="D9" s="14" t="s">
        <v>25</v>
      </c>
      <c r="E9" s="13" t="s">
        <v>10</v>
      </c>
      <c r="F9" s="145">
        <v>1215.99</v>
      </c>
      <c r="G9" s="56">
        <v>0.18</v>
      </c>
      <c r="H9" s="87">
        <v>205.74</v>
      </c>
      <c r="I9" s="158"/>
      <c r="J9" s="108"/>
      <c r="K9" s="109"/>
    </row>
    <row r="10" spans="1:11">
      <c r="A10" s="85">
        <v>43108</v>
      </c>
      <c r="B10" s="26">
        <v>43475</v>
      </c>
      <c r="C10" s="13" t="s">
        <v>221</v>
      </c>
      <c r="D10" s="14" t="s">
        <v>25</v>
      </c>
      <c r="E10" s="13" t="s">
        <v>10</v>
      </c>
      <c r="F10" s="145">
        <v>1601.67</v>
      </c>
      <c r="G10" s="56">
        <v>0.1</v>
      </c>
      <c r="H10" s="87">
        <v>150.55000000000001</v>
      </c>
      <c r="I10" s="158"/>
      <c r="J10" s="108"/>
      <c r="K10" s="109"/>
    </row>
    <row r="11" spans="1:11">
      <c r="A11" s="85">
        <v>43115</v>
      </c>
      <c r="B11" s="26">
        <v>43477</v>
      </c>
      <c r="C11" s="13" t="s">
        <v>223</v>
      </c>
      <c r="D11" s="14" t="s">
        <v>33</v>
      </c>
      <c r="E11" s="13" t="s">
        <v>10</v>
      </c>
      <c r="F11" s="145">
        <v>1740.79</v>
      </c>
      <c r="G11" s="56">
        <v>0.12</v>
      </c>
      <c r="H11" s="87">
        <v>196.37</v>
      </c>
      <c r="I11" s="158"/>
      <c r="J11" s="108"/>
      <c r="K11" s="109"/>
    </row>
    <row r="12" spans="1:11">
      <c r="A12" s="85">
        <v>43115</v>
      </c>
      <c r="B12" s="26">
        <v>43480</v>
      </c>
      <c r="C12" s="13" t="s">
        <v>647</v>
      </c>
      <c r="D12" s="14" t="s">
        <v>14</v>
      </c>
      <c r="E12" s="13" t="s">
        <v>362</v>
      </c>
      <c r="F12" s="145">
        <v>2997.96</v>
      </c>
      <c r="G12" s="56">
        <v>0.15</v>
      </c>
      <c r="H12" s="87">
        <v>393.66</v>
      </c>
      <c r="I12" s="158"/>
      <c r="J12" s="108"/>
      <c r="K12" s="109"/>
    </row>
    <row r="13" spans="1:11">
      <c r="A13" s="85">
        <v>43118</v>
      </c>
      <c r="B13" s="26">
        <v>43483</v>
      </c>
      <c r="C13" s="13" t="s">
        <v>496</v>
      </c>
      <c r="D13" s="14" t="s">
        <v>448</v>
      </c>
      <c r="E13" s="13" t="s">
        <v>469</v>
      </c>
      <c r="F13" s="145">
        <v>2278.8000000000002</v>
      </c>
      <c r="G13" s="56" t="s">
        <v>454</v>
      </c>
      <c r="H13" s="87">
        <v>200</v>
      </c>
      <c r="I13" s="158"/>
      <c r="J13" s="108"/>
      <c r="K13" s="109"/>
    </row>
    <row r="14" spans="1:11">
      <c r="A14" s="85">
        <v>43118</v>
      </c>
      <c r="B14" s="26">
        <v>43480</v>
      </c>
      <c r="C14" s="13" t="s">
        <v>648</v>
      </c>
      <c r="D14" s="14" t="s">
        <v>9</v>
      </c>
      <c r="E14" s="13" t="s">
        <v>22</v>
      </c>
      <c r="F14" s="145">
        <v>1814.62</v>
      </c>
      <c r="G14" s="56">
        <v>0.1</v>
      </c>
      <c r="H14" s="87">
        <v>280.57</v>
      </c>
      <c r="I14" s="158">
        <v>140.28</v>
      </c>
      <c r="J14" s="108"/>
      <c r="K14" s="109"/>
    </row>
    <row r="15" spans="1:11">
      <c r="A15" s="85">
        <v>43118</v>
      </c>
      <c r="B15" s="26">
        <v>43487</v>
      </c>
      <c r="C15" s="13" t="s">
        <v>374</v>
      </c>
      <c r="D15" s="14" t="s">
        <v>9</v>
      </c>
      <c r="E15" s="13" t="s">
        <v>10</v>
      </c>
      <c r="F15" s="145">
        <v>1301.79</v>
      </c>
      <c r="G15" s="56">
        <v>0.25</v>
      </c>
      <c r="H15" s="87">
        <v>284.89</v>
      </c>
      <c r="I15" s="158"/>
      <c r="J15" s="108"/>
      <c r="K15" s="109"/>
    </row>
    <row r="16" spans="1:11">
      <c r="A16" s="85">
        <v>43123</v>
      </c>
      <c r="B16" s="26">
        <v>43488</v>
      </c>
      <c r="C16" s="13" t="s">
        <v>649</v>
      </c>
      <c r="D16" s="14" t="s">
        <v>61</v>
      </c>
      <c r="E16" s="13" t="s">
        <v>90</v>
      </c>
      <c r="F16" s="145">
        <v>2196.1</v>
      </c>
      <c r="G16" s="56">
        <v>0.1</v>
      </c>
      <c r="H16" s="87">
        <v>206.43</v>
      </c>
      <c r="I16" s="158"/>
      <c r="J16" s="108"/>
      <c r="K16" s="109"/>
    </row>
    <row r="17" spans="1:11">
      <c r="A17" s="85">
        <v>43124</v>
      </c>
      <c r="B17" s="26">
        <v>43489</v>
      </c>
      <c r="C17" s="13" t="s">
        <v>650</v>
      </c>
      <c r="D17" s="14" t="s">
        <v>322</v>
      </c>
      <c r="E17" s="13" t="s">
        <v>75</v>
      </c>
      <c r="F17" s="145">
        <v>765.18</v>
      </c>
      <c r="G17" s="56">
        <v>0.18</v>
      </c>
      <c r="H17" s="87">
        <v>129.43</v>
      </c>
      <c r="I17" s="158"/>
      <c r="J17" s="108"/>
      <c r="K17" s="109"/>
    </row>
    <row r="18" spans="1:11">
      <c r="A18" s="22">
        <v>43125</v>
      </c>
      <c r="B18" s="26">
        <v>43490</v>
      </c>
      <c r="C18" s="13" t="s">
        <v>120</v>
      </c>
      <c r="D18" s="14" t="s">
        <v>322</v>
      </c>
      <c r="E18" s="13" t="s">
        <v>22</v>
      </c>
      <c r="F18" s="145">
        <v>4056.38</v>
      </c>
      <c r="G18" s="56">
        <v>0.1</v>
      </c>
      <c r="H18" s="87">
        <v>381.29</v>
      </c>
      <c r="I18" s="158"/>
      <c r="J18" s="108"/>
      <c r="K18" s="109"/>
    </row>
    <row r="19" spans="1:11">
      <c r="A19" s="22">
        <v>43126</v>
      </c>
      <c r="B19" s="26">
        <v>43491</v>
      </c>
      <c r="C19" s="13" t="s">
        <v>338</v>
      </c>
      <c r="D19" s="14" t="s">
        <v>70</v>
      </c>
      <c r="E19" s="13" t="s">
        <v>279</v>
      </c>
      <c r="F19" s="145">
        <v>2767.87</v>
      </c>
      <c r="G19" s="56">
        <v>0.1</v>
      </c>
      <c r="H19" s="87">
        <v>233.21</v>
      </c>
      <c r="I19" s="158"/>
      <c r="J19" s="108"/>
      <c r="K19" s="109"/>
    </row>
    <row r="20" spans="1:11">
      <c r="A20" s="90">
        <v>43131</v>
      </c>
      <c r="B20" s="91">
        <v>43496</v>
      </c>
      <c r="C20" s="92" t="s">
        <v>651</v>
      </c>
      <c r="D20" s="93" t="s">
        <v>448</v>
      </c>
      <c r="E20" s="92" t="s">
        <v>22</v>
      </c>
      <c r="F20" s="146">
        <v>1254.0999999999999</v>
      </c>
      <c r="G20" s="94">
        <v>0.1</v>
      </c>
      <c r="H20" s="95">
        <v>109.78</v>
      </c>
      <c r="I20" s="159"/>
      <c r="J20" s="108"/>
      <c r="K20" s="109"/>
    </row>
    <row r="21" spans="1:11">
      <c r="A21" s="90">
        <v>43131</v>
      </c>
      <c r="B21" s="91">
        <v>43496</v>
      </c>
      <c r="C21" s="92" t="s">
        <v>652</v>
      </c>
      <c r="D21" s="93" t="s">
        <v>14</v>
      </c>
      <c r="E21" s="92" t="s">
        <v>15</v>
      </c>
      <c r="F21" s="146">
        <v>3333.59</v>
      </c>
      <c r="G21" s="94">
        <v>0.1</v>
      </c>
      <c r="H21" s="95">
        <v>284.99</v>
      </c>
      <c r="I21" s="159"/>
      <c r="J21" s="108"/>
      <c r="K21" s="109"/>
    </row>
    <row r="22" spans="1:11">
      <c r="A22" s="90"/>
      <c r="B22" s="91"/>
      <c r="C22" s="92"/>
      <c r="D22" s="93"/>
      <c r="E22" s="92"/>
      <c r="F22" s="146"/>
      <c r="G22" s="94"/>
      <c r="H22" s="95"/>
      <c r="I22" s="159"/>
      <c r="J22" s="108"/>
      <c r="K22" s="109"/>
    </row>
    <row r="23" spans="1:11">
      <c r="A23" s="90"/>
      <c r="B23" s="91"/>
      <c r="C23" s="92"/>
      <c r="D23" s="93"/>
      <c r="E23" s="92"/>
      <c r="F23" s="146"/>
      <c r="G23" s="156"/>
      <c r="H23" s="95"/>
      <c r="I23" s="159"/>
      <c r="J23" s="108"/>
      <c r="K23" s="109"/>
    </row>
    <row r="24" spans="1:11">
      <c r="A24" s="90"/>
      <c r="B24" s="91"/>
      <c r="C24" s="92"/>
      <c r="D24" s="93"/>
      <c r="E24" s="92"/>
      <c r="F24" s="146"/>
      <c r="G24" s="94"/>
      <c r="H24" s="95"/>
      <c r="I24" s="159"/>
      <c r="J24" s="108"/>
      <c r="K24" s="109"/>
    </row>
    <row r="25" spans="1:11">
      <c r="A25" s="90"/>
      <c r="B25" s="91"/>
      <c r="C25" s="92"/>
      <c r="D25" s="93"/>
      <c r="E25" s="92"/>
      <c r="F25" s="146"/>
      <c r="G25" s="94"/>
      <c r="H25" s="95"/>
      <c r="I25" s="159"/>
      <c r="J25" s="108"/>
      <c r="K25" s="109"/>
    </row>
    <row r="26" spans="1:11">
      <c r="A26" s="90"/>
      <c r="B26" s="91"/>
      <c r="C26" s="92"/>
      <c r="D26" s="93"/>
      <c r="E26" s="92"/>
      <c r="F26" s="146"/>
      <c r="G26" s="94"/>
      <c r="H26" s="95"/>
      <c r="I26" s="159"/>
      <c r="J26" s="108"/>
      <c r="K26" s="109"/>
    </row>
    <row r="27" spans="1:11">
      <c r="A27" s="90"/>
      <c r="B27" s="91"/>
      <c r="C27" s="92"/>
      <c r="D27" s="93"/>
      <c r="E27" s="92"/>
      <c r="F27" s="146"/>
      <c r="G27" s="94"/>
      <c r="H27" s="95"/>
      <c r="I27" s="159"/>
      <c r="J27" s="108"/>
      <c r="K27" s="109"/>
    </row>
    <row r="28" spans="1:11">
      <c r="A28" s="90"/>
      <c r="B28" s="91"/>
      <c r="C28" s="92"/>
      <c r="D28" s="93"/>
      <c r="E28" s="92"/>
      <c r="F28" s="146"/>
      <c r="G28" s="94"/>
      <c r="H28" s="95"/>
      <c r="I28" s="159"/>
      <c r="J28" s="108"/>
      <c r="K28" s="109"/>
    </row>
    <row r="29" spans="1:11">
      <c r="A29" s="90"/>
      <c r="B29" s="91"/>
      <c r="C29" s="92"/>
      <c r="D29" s="93"/>
      <c r="E29" s="92"/>
      <c r="F29" s="146"/>
      <c r="G29" s="94"/>
      <c r="H29" s="95"/>
      <c r="I29" s="159"/>
      <c r="J29" s="108"/>
      <c r="K29" s="109"/>
    </row>
    <row r="30" spans="1:11">
      <c r="A30" s="90"/>
      <c r="B30" s="91"/>
      <c r="C30" s="137"/>
      <c r="D30" s="93"/>
      <c r="E30" s="92"/>
      <c r="F30" s="146"/>
      <c r="G30" s="94"/>
      <c r="H30" s="95"/>
      <c r="I30" s="159"/>
      <c r="J30" s="108"/>
      <c r="K30" s="109"/>
    </row>
    <row r="31" spans="1:11">
      <c r="A31" s="90"/>
      <c r="B31" s="91"/>
      <c r="C31" s="92"/>
      <c r="D31" s="93"/>
      <c r="E31" s="92"/>
      <c r="F31" s="146"/>
      <c r="G31" s="94"/>
      <c r="H31" s="95"/>
      <c r="I31" s="159"/>
      <c r="J31" s="108"/>
      <c r="K31" s="109"/>
    </row>
    <row r="32" spans="1:11">
      <c r="A32" s="90"/>
      <c r="B32" s="91"/>
      <c r="C32" s="139"/>
      <c r="D32" s="93"/>
      <c r="E32" s="92"/>
      <c r="F32" s="146"/>
      <c r="G32" s="94"/>
      <c r="H32" s="95"/>
      <c r="I32" s="159"/>
      <c r="J32" s="108"/>
      <c r="K32" s="109"/>
    </row>
    <row r="33" spans="1:11">
      <c r="A33" s="90"/>
      <c r="B33" s="91"/>
      <c r="C33" s="139"/>
      <c r="D33" s="93"/>
      <c r="E33" s="92"/>
      <c r="F33" s="146"/>
      <c r="G33" s="94"/>
      <c r="H33" s="95"/>
      <c r="I33" s="159"/>
      <c r="J33" s="108"/>
      <c r="K33" s="109"/>
    </row>
    <row r="34" spans="1:11">
      <c r="A34" s="90"/>
      <c r="B34" s="91"/>
      <c r="C34" s="140"/>
      <c r="D34" s="93"/>
      <c r="E34" s="92"/>
      <c r="F34" s="146"/>
      <c r="G34" s="94"/>
      <c r="H34" s="95"/>
      <c r="I34" s="159"/>
      <c r="J34" s="108"/>
      <c r="K34" s="109"/>
    </row>
    <row r="35" spans="1:11">
      <c r="A35" s="90"/>
      <c r="B35" s="91"/>
      <c r="C35" s="92"/>
      <c r="D35" s="93"/>
      <c r="E35" s="92"/>
      <c r="F35" s="146"/>
      <c r="G35" s="94"/>
      <c r="H35" s="95"/>
      <c r="I35" s="159"/>
      <c r="J35" s="108"/>
      <c r="K35" s="109"/>
    </row>
    <row r="36" spans="1:11">
      <c r="A36" s="90"/>
      <c r="B36" s="91"/>
      <c r="C36" s="92"/>
      <c r="D36" s="93"/>
      <c r="E36" s="92"/>
      <c r="F36" s="146"/>
      <c r="G36" s="94"/>
      <c r="H36" s="95"/>
      <c r="I36" s="160"/>
      <c r="J36" s="108"/>
      <c r="K36" s="109"/>
    </row>
    <row r="37" spans="1:11" ht="19.5">
      <c r="A37" s="673"/>
      <c r="B37" s="674"/>
      <c r="C37" s="674"/>
      <c r="D37" s="674"/>
      <c r="E37" s="674"/>
      <c r="F37" s="147">
        <f>SUM(F2:F36)</f>
        <v>39460.639999999999</v>
      </c>
      <c r="G37" s="143"/>
      <c r="H37" s="129">
        <f>SUM(H2:H36)</f>
        <v>4859.7099999999991</v>
      </c>
      <c r="I37" s="107">
        <f>SUM(I2:I36)</f>
        <v>320.49</v>
      </c>
    </row>
    <row r="40" spans="1:11">
      <c r="D40" s="138"/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40"/>
  <sheetViews>
    <sheetView workbookViewId="0"/>
  </sheetViews>
  <sheetFormatPr defaultRowHeight="15"/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31">
        <v>43117</v>
      </c>
      <c r="B2" s="32">
        <v>43497</v>
      </c>
      <c r="C2" s="32" t="s">
        <v>653</v>
      </c>
      <c r="D2" s="8" t="s">
        <v>9</v>
      </c>
      <c r="E2" s="7" t="s">
        <v>10</v>
      </c>
      <c r="F2" s="144">
        <v>1199.9000000000001</v>
      </c>
      <c r="G2" s="55">
        <v>0.15</v>
      </c>
      <c r="H2" s="65">
        <v>165.79</v>
      </c>
      <c r="I2" s="157"/>
      <c r="J2" s="108"/>
      <c r="K2" s="109"/>
    </row>
    <row r="3" spans="1:11">
      <c r="A3" s="31">
        <v>43129</v>
      </c>
      <c r="B3" s="32">
        <v>43499</v>
      </c>
      <c r="C3" s="7" t="s">
        <v>225</v>
      </c>
      <c r="D3" s="8" t="s">
        <v>61</v>
      </c>
      <c r="E3" s="7" t="s">
        <v>19</v>
      </c>
      <c r="F3" s="144">
        <v>2701.51</v>
      </c>
      <c r="G3" s="55">
        <v>0.1</v>
      </c>
      <c r="H3" s="87">
        <v>248.86</v>
      </c>
      <c r="I3" s="158"/>
      <c r="J3" s="108"/>
      <c r="K3" s="109"/>
    </row>
    <row r="4" spans="1:11">
      <c r="A4" s="22">
        <v>43131</v>
      </c>
      <c r="B4" s="26">
        <v>43497</v>
      </c>
      <c r="C4" s="13" t="s">
        <v>230</v>
      </c>
      <c r="D4" s="14" t="s">
        <v>21</v>
      </c>
      <c r="E4" s="13" t="s">
        <v>22</v>
      </c>
      <c r="F4" s="145">
        <v>2529.1999999999998</v>
      </c>
      <c r="G4" s="56">
        <v>0.1</v>
      </c>
      <c r="H4" s="87">
        <v>232.98</v>
      </c>
      <c r="I4" s="158"/>
      <c r="J4" s="108"/>
      <c r="K4" s="109"/>
    </row>
    <row r="5" spans="1:11">
      <c r="A5" s="22">
        <v>43131</v>
      </c>
      <c r="B5" s="26">
        <v>43497</v>
      </c>
      <c r="C5" s="134" t="s">
        <v>654</v>
      </c>
      <c r="D5" s="14" t="s">
        <v>21</v>
      </c>
      <c r="E5" s="13" t="s">
        <v>75</v>
      </c>
      <c r="F5" s="145">
        <v>4450.3599999999997</v>
      </c>
      <c r="G5" s="155">
        <v>0.14000000000000001</v>
      </c>
      <c r="H5" s="87">
        <v>573.94000000000005</v>
      </c>
      <c r="I5" s="158"/>
      <c r="J5" s="406"/>
      <c r="K5" s="407"/>
    </row>
    <row r="6" spans="1:11">
      <c r="A6" s="22">
        <v>43132</v>
      </c>
      <c r="B6" s="26">
        <v>43501</v>
      </c>
      <c r="C6" s="13" t="s">
        <v>231</v>
      </c>
      <c r="D6" s="14" t="s">
        <v>14</v>
      </c>
      <c r="E6" s="13" t="s">
        <v>10</v>
      </c>
      <c r="F6" s="145">
        <v>1587.64</v>
      </c>
      <c r="G6" s="56">
        <v>0.12</v>
      </c>
      <c r="H6" s="87">
        <v>175.49</v>
      </c>
      <c r="I6" s="158"/>
      <c r="J6" s="108"/>
      <c r="K6" s="109"/>
    </row>
    <row r="7" spans="1:11">
      <c r="A7" s="22">
        <v>43133</v>
      </c>
      <c r="B7" s="26">
        <v>43498</v>
      </c>
      <c r="C7" s="13" t="s">
        <v>655</v>
      </c>
      <c r="D7" s="14" t="s">
        <v>14</v>
      </c>
      <c r="E7" s="13" t="s">
        <v>22</v>
      </c>
      <c r="F7" s="145">
        <v>2318.2199999999998</v>
      </c>
      <c r="G7" s="56">
        <v>0.15</v>
      </c>
      <c r="H7" s="87">
        <v>320.32</v>
      </c>
      <c r="I7" s="158"/>
      <c r="J7" s="108"/>
      <c r="K7" s="109"/>
    </row>
    <row r="8" spans="1:11">
      <c r="A8" s="22">
        <v>43133</v>
      </c>
      <c r="B8" s="26">
        <v>43498</v>
      </c>
      <c r="C8" s="13" t="s">
        <v>656</v>
      </c>
      <c r="D8" s="14" t="s">
        <v>61</v>
      </c>
      <c r="E8" s="13" t="s">
        <v>90</v>
      </c>
      <c r="F8" s="145">
        <v>2403.15</v>
      </c>
      <c r="G8" s="56">
        <v>0.1</v>
      </c>
      <c r="H8" s="87">
        <v>221.37</v>
      </c>
      <c r="I8" s="158"/>
      <c r="J8" s="108"/>
      <c r="K8" s="109"/>
    </row>
    <row r="9" spans="1:11">
      <c r="A9" s="22">
        <v>43136</v>
      </c>
      <c r="B9" s="26">
        <v>43498</v>
      </c>
      <c r="C9" s="13" t="s">
        <v>657</v>
      </c>
      <c r="D9" s="14" t="s">
        <v>14</v>
      </c>
      <c r="E9" s="13" t="s">
        <v>10</v>
      </c>
      <c r="F9" s="145">
        <v>3062.45</v>
      </c>
      <c r="G9" s="56">
        <v>0.1</v>
      </c>
      <c r="H9" s="87">
        <v>282.13</v>
      </c>
      <c r="I9" s="158"/>
      <c r="J9" s="108"/>
      <c r="K9" s="109"/>
    </row>
    <row r="10" spans="1:11">
      <c r="A10" s="85">
        <v>43136</v>
      </c>
      <c r="B10" s="26">
        <v>43499</v>
      </c>
      <c r="C10" s="13" t="s">
        <v>501</v>
      </c>
      <c r="D10" s="14" t="s">
        <v>14</v>
      </c>
      <c r="E10" s="13" t="s">
        <v>10</v>
      </c>
      <c r="F10" s="145">
        <v>3503.37</v>
      </c>
      <c r="G10" s="56">
        <v>0.1</v>
      </c>
      <c r="H10" s="87">
        <v>300.54000000000002</v>
      </c>
      <c r="I10" s="158"/>
      <c r="J10" s="108"/>
      <c r="K10" s="109"/>
    </row>
    <row r="11" spans="1:11">
      <c r="A11" s="85">
        <v>43137</v>
      </c>
      <c r="B11" s="26">
        <v>43502</v>
      </c>
      <c r="C11" s="13" t="s">
        <v>658</v>
      </c>
      <c r="D11" s="14" t="s">
        <v>21</v>
      </c>
      <c r="E11" s="13" t="s">
        <v>22</v>
      </c>
      <c r="F11" s="145">
        <v>2509.12</v>
      </c>
      <c r="G11" s="56">
        <v>0.12</v>
      </c>
      <c r="H11" s="87">
        <v>387.54</v>
      </c>
      <c r="I11" s="158"/>
      <c r="J11" s="108"/>
      <c r="K11" s="109"/>
    </row>
    <row r="12" spans="1:11">
      <c r="A12" s="85">
        <v>43139</v>
      </c>
      <c r="B12" s="26">
        <v>43506</v>
      </c>
      <c r="C12" s="13" t="s">
        <v>507</v>
      </c>
      <c r="D12" s="14" t="s">
        <v>417</v>
      </c>
      <c r="E12" s="13" t="s">
        <v>10</v>
      </c>
      <c r="F12" s="145">
        <v>1240.3399999999999</v>
      </c>
      <c r="G12" s="56">
        <v>0.1</v>
      </c>
      <c r="H12" s="87">
        <v>114.25</v>
      </c>
      <c r="I12" s="158"/>
      <c r="J12" s="108"/>
      <c r="K12" s="109"/>
    </row>
    <row r="13" spans="1:11">
      <c r="A13" s="85">
        <v>43140</v>
      </c>
      <c r="B13" s="26">
        <v>43506</v>
      </c>
      <c r="C13" s="13" t="s">
        <v>659</v>
      </c>
      <c r="D13" s="14" t="s">
        <v>25</v>
      </c>
      <c r="E13" s="13" t="s">
        <v>438</v>
      </c>
      <c r="F13" s="145">
        <v>1494.01</v>
      </c>
      <c r="G13" s="56">
        <v>0.18</v>
      </c>
      <c r="H13" s="87">
        <v>247.4</v>
      </c>
      <c r="I13" s="158"/>
      <c r="J13" s="108"/>
      <c r="K13" s="109"/>
    </row>
    <row r="14" spans="1:11">
      <c r="A14" s="85">
        <v>43145</v>
      </c>
      <c r="B14" s="26">
        <v>43510</v>
      </c>
      <c r="C14" s="13" t="s">
        <v>660</v>
      </c>
      <c r="D14" s="14" t="s">
        <v>61</v>
      </c>
      <c r="E14" s="13" t="s">
        <v>17</v>
      </c>
      <c r="F14" s="145">
        <v>957.71</v>
      </c>
      <c r="G14" s="56">
        <v>0.1</v>
      </c>
      <c r="H14" s="87">
        <v>88.05</v>
      </c>
      <c r="I14" s="158"/>
      <c r="J14" s="108"/>
      <c r="K14" s="109"/>
    </row>
    <row r="15" spans="1:11">
      <c r="A15" s="85">
        <v>43140</v>
      </c>
      <c r="B15" s="26">
        <v>43509</v>
      </c>
      <c r="C15" s="13" t="s">
        <v>235</v>
      </c>
      <c r="D15" s="14" t="s">
        <v>14</v>
      </c>
      <c r="E15" s="13" t="s">
        <v>10</v>
      </c>
      <c r="F15" s="145">
        <v>1925.54</v>
      </c>
      <c r="G15" s="56">
        <v>0.1</v>
      </c>
      <c r="H15" s="87">
        <v>177.14</v>
      </c>
      <c r="I15" s="158"/>
      <c r="J15" s="108"/>
      <c r="K15" s="109"/>
    </row>
    <row r="16" spans="1:11">
      <c r="A16" s="85">
        <v>43147</v>
      </c>
      <c r="B16" s="26">
        <v>43512</v>
      </c>
      <c r="C16" s="13" t="s">
        <v>661</v>
      </c>
      <c r="D16" s="14" t="s">
        <v>61</v>
      </c>
      <c r="E16" s="13" t="s">
        <v>22</v>
      </c>
      <c r="F16" s="145">
        <v>937.75</v>
      </c>
      <c r="G16" s="56">
        <v>0.13</v>
      </c>
      <c r="H16" s="87">
        <v>112.15</v>
      </c>
      <c r="I16" s="158"/>
      <c r="J16" s="108"/>
      <c r="K16" s="109"/>
    </row>
    <row r="17" spans="1:11">
      <c r="A17" s="85">
        <v>43147</v>
      </c>
      <c r="B17" s="26">
        <v>43515</v>
      </c>
      <c r="C17" s="13" t="s">
        <v>241</v>
      </c>
      <c r="D17" s="14" t="s">
        <v>14</v>
      </c>
      <c r="E17" s="13" t="s">
        <v>10</v>
      </c>
      <c r="F17" s="145">
        <v>1758.5</v>
      </c>
      <c r="G17" s="56">
        <v>0.1</v>
      </c>
      <c r="H17" s="87">
        <v>161.78</v>
      </c>
      <c r="I17" s="158"/>
      <c r="J17" s="108"/>
      <c r="K17" s="109"/>
    </row>
    <row r="18" spans="1:11">
      <c r="A18" s="22">
        <v>43150</v>
      </c>
      <c r="B18" s="26">
        <v>43515</v>
      </c>
      <c r="C18" s="13" t="s">
        <v>220</v>
      </c>
      <c r="D18" s="14" t="s">
        <v>14</v>
      </c>
      <c r="E18" s="13" t="s">
        <v>10</v>
      </c>
      <c r="F18" s="145">
        <v>1135.4000000000001</v>
      </c>
      <c r="G18" s="56">
        <v>0.1</v>
      </c>
      <c r="H18" s="87">
        <v>104.45</v>
      </c>
      <c r="I18" s="158"/>
      <c r="J18" s="108"/>
      <c r="K18" s="109"/>
    </row>
    <row r="19" spans="1:11">
      <c r="A19" s="22">
        <v>43150</v>
      </c>
      <c r="B19" s="26">
        <v>43515</v>
      </c>
      <c r="C19" s="13" t="s">
        <v>662</v>
      </c>
      <c r="D19" s="14" t="s">
        <v>25</v>
      </c>
      <c r="E19" s="13" t="s">
        <v>15</v>
      </c>
      <c r="F19" s="145">
        <v>774.91</v>
      </c>
      <c r="G19" s="56">
        <v>0.25</v>
      </c>
      <c r="H19" s="87">
        <v>178.22</v>
      </c>
      <c r="I19" s="158"/>
      <c r="J19" s="108"/>
      <c r="K19" s="109"/>
    </row>
    <row r="20" spans="1:11">
      <c r="A20" s="90">
        <v>43151</v>
      </c>
      <c r="B20" s="91">
        <v>43517</v>
      </c>
      <c r="C20" s="92" t="s">
        <v>509</v>
      </c>
      <c r="D20" s="93" t="s">
        <v>14</v>
      </c>
      <c r="E20" s="92" t="s">
        <v>22</v>
      </c>
      <c r="F20" s="146">
        <v>3802.14</v>
      </c>
      <c r="G20" s="94">
        <v>0.15</v>
      </c>
      <c r="H20" s="95">
        <v>524.69000000000005</v>
      </c>
      <c r="I20" s="159"/>
      <c r="J20" s="108"/>
      <c r="K20" s="109"/>
    </row>
    <row r="21" spans="1:11">
      <c r="A21" s="90">
        <v>43152</v>
      </c>
      <c r="B21" s="91">
        <v>43518</v>
      </c>
      <c r="C21" s="92" t="s">
        <v>243</v>
      </c>
      <c r="D21" s="93" t="s">
        <v>61</v>
      </c>
      <c r="E21" s="92" t="s">
        <v>19</v>
      </c>
      <c r="F21" s="146">
        <v>1767.84</v>
      </c>
      <c r="G21" s="94">
        <v>0.1</v>
      </c>
      <c r="H21" s="95">
        <v>162.63999999999999</v>
      </c>
      <c r="I21" s="159"/>
      <c r="J21" s="108"/>
      <c r="K21" s="109"/>
    </row>
    <row r="22" spans="1:11">
      <c r="A22" s="90">
        <v>43152</v>
      </c>
      <c r="B22" s="91">
        <v>43520</v>
      </c>
      <c r="C22" s="92" t="s">
        <v>244</v>
      </c>
      <c r="D22" s="93" t="s">
        <v>14</v>
      </c>
      <c r="E22" s="92" t="s">
        <v>19</v>
      </c>
      <c r="F22" s="146">
        <v>2394.52</v>
      </c>
      <c r="G22" s="94">
        <v>0.15</v>
      </c>
      <c r="H22" s="95">
        <v>330.44</v>
      </c>
      <c r="I22" s="159"/>
      <c r="J22" s="108"/>
      <c r="K22" s="109"/>
    </row>
    <row r="23" spans="1:11">
      <c r="A23" s="90">
        <v>43153</v>
      </c>
      <c r="B23" s="91">
        <v>43518</v>
      </c>
      <c r="C23" s="92" t="s">
        <v>663</v>
      </c>
      <c r="D23" s="93" t="s">
        <v>198</v>
      </c>
      <c r="E23" s="92" t="s">
        <v>442</v>
      </c>
      <c r="F23" s="146">
        <v>1246.3399999999999</v>
      </c>
      <c r="G23" s="156">
        <v>0.1</v>
      </c>
      <c r="H23" s="95">
        <v>114.66</v>
      </c>
      <c r="I23" s="159"/>
      <c r="J23" s="108"/>
      <c r="K23" s="109"/>
    </row>
    <row r="24" spans="1:11">
      <c r="A24" s="90">
        <v>43154</v>
      </c>
      <c r="B24" s="91">
        <v>43522</v>
      </c>
      <c r="C24" s="92" t="s">
        <v>508</v>
      </c>
      <c r="D24" s="93" t="s">
        <v>25</v>
      </c>
      <c r="E24" s="92" t="s">
        <v>10</v>
      </c>
      <c r="F24" s="146">
        <v>1964.06</v>
      </c>
      <c r="G24" s="94">
        <v>0.1</v>
      </c>
      <c r="H24" s="95">
        <v>180.68</v>
      </c>
      <c r="I24" s="159"/>
      <c r="J24" s="108"/>
      <c r="K24" s="109"/>
    </row>
    <row r="25" spans="1:11">
      <c r="A25" s="90">
        <v>43519</v>
      </c>
      <c r="B25" s="91">
        <v>43521</v>
      </c>
      <c r="C25" s="92" t="s">
        <v>664</v>
      </c>
      <c r="D25" s="93" t="s">
        <v>198</v>
      </c>
      <c r="E25" s="92" t="s">
        <v>143</v>
      </c>
      <c r="F25" s="146">
        <v>1689.29</v>
      </c>
      <c r="G25" s="94">
        <v>0.1</v>
      </c>
      <c r="H25" s="95">
        <v>155.41</v>
      </c>
      <c r="I25" s="159"/>
      <c r="J25" s="108"/>
      <c r="K25" s="109"/>
    </row>
    <row r="26" spans="1:11">
      <c r="A26" s="90">
        <v>43522</v>
      </c>
      <c r="B26" s="91">
        <v>43522</v>
      </c>
      <c r="C26" s="92" t="s">
        <v>384</v>
      </c>
      <c r="D26" s="93" t="s">
        <v>14</v>
      </c>
      <c r="E26" s="92" t="s">
        <v>10</v>
      </c>
      <c r="F26" s="146">
        <v>1833.71</v>
      </c>
      <c r="G26" s="94">
        <v>0.1</v>
      </c>
      <c r="H26" s="95">
        <v>168.7</v>
      </c>
      <c r="I26" s="159"/>
      <c r="J26" s="108"/>
      <c r="K26" s="109"/>
    </row>
    <row r="27" spans="1:11">
      <c r="A27" s="90">
        <v>43499</v>
      </c>
      <c r="B27" s="91">
        <v>43522</v>
      </c>
      <c r="C27" s="92" t="s">
        <v>665</v>
      </c>
      <c r="D27" s="93" t="s">
        <v>9</v>
      </c>
      <c r="E27" s="92" t="s">
        <v>10</v>
      </c>
      <c r="F27" s="146">
        <v>1567.56</v>
      </c>
      <c r="G27" s="94">
        <v>0.14000000000000001</v>
      </c>
      <c r="H27" s="95">
        <v>201.9</v>
      </c>
      <c r="I27" s="159"/>
      <c r="J27" s="108"/>
      <c r="K27" s="109"/>
    </row>
    <row r="28" spans="1:11">
      <c r="A28" s="90"/>
      <c r="B28" s="91"/>
      <c r="C28" s="92"/>
      <c r="D28" s="93"/>
      <c r="E28" s="92"/>
      <c r="F28" s="146"/>
      <c r="G28" s="94"/>
      <c r="H28" s="95"/>
      <c r="I28" s="159"/>
      <c r="J28" s="108"/>
      <c r="K28" s="109"/>
    </row>
    <row r="29" spans="1:11">
      <c r="A29" s="90"/>
      <c r="B29" s="91"/>
      <c r="C29" s="92"/>
      <c r="D29" s="93"/>
      <c r="E29" s="92"/>
      <c r="F29" s="146"/>
      <c r="G29" s="94"/>
      <c r="H29" s="95"/>
      <c r="I29" s="159"/>
      <c r="J29" s="108"/>
      <c r="K29" s="109"/>
    </row>
    <row r="30" spans="1:11">
      <c r="A30" s="90"/>
      <c r="B30" s="91"/>
      <c r="C30" s="137"/>
      <c r="D30" s="93"/>
      <c r="E30" s="92"/>
      <c r="F30" s="146"/>
      <c r="G30" s="94"/>
      <c r="H30" s="95"/>
      <c r="I30" s="159"/>
      <c r="J30" s="108"/>
      <c r="K30" s="109"/>
    </row>
    <row r="31" spans="1:11">
      <c r="A31" s="90"/>
      <c r="B31" s="91"/>
      <c r="C31" s="92"/>
      <c r="D31" s="93"/>
      <c r="E31" s="92"/>
      <c r="F31" s="146"/>
      <c r="G31" s="94"/>
      <c r="H31" s="95"/>
      <c r="I31" s="159"/>
      <c r="J31" s="108"/>
      <c r="K31" s="109"/>
    </row>
    <row r="32" spans="1:11">
      <c r="A32" s="90"/>
      <c r="B32" s="91"/>
      <c r="C32" s="139"/>
      <c r="D32" s="93"/>
      <c r="E32" s="92"/>
      <c r="F32" s="146"/>
      <c r="G32" s="94"/>
      <c r="H32" s="95"/>
      <c r="I32" s="159"/>
      <c r="J32" s="108"/>
      <c r="K32" s="109"/>
    </row>
    <row r="33" spans="1:11">
      <c r="A33" s="90"/>
      <c r="B33" s="91"/>
      <c r="C33" s="139"/>
      <c r="D33" s="93"/>
      <c r="E33" s="92"/>
      <c r="F33" s="146"/>
      <c r="G33" s="94"/>
      <c r="H33" s="95"/>
      <c r="I33" s="159"/>
      <c r="J33" s="108"/>
      <c r="K33" s="109"/>
    </row>
    <row r="34" spans="1:11">
      <c r="A34" s="90"/>
      <c r="B34" s="91"/>
      <c r="C34" s="140"/>
      <c r="D34" s="93"/>
      <c r="E34" s="92"/>
      <c r="F34" s="146"/>
      <c r="G34" s="94"/>
      <c r="H34" s="95"/>
      <c r="I34" s="159"/>
      <c r="J34" s="108"/>
      <c r="K34" s="109"/>
    </row>
    <row r="35" spans="1:11">
      <c r="A35" s="90"/>
      <c r="B35" s="91"/>
      <c r="C35" s="92"/>
      <c r="D35" s="93"/>
      <c r="E35" s="92"/>
      <c r="F35" s="146"/>
      <c r="G35" s="94"/>
      <c r="H35" s="95"/>
      <c r="I35" s="159"/>
      <c r="J35" s="108"/>
      <c r="K35" s="109"/>
    </row>
    <row r="36" spans="1:11">
      <c r="A36" s="90"/>
      <c r="B36" s="91"/>
      <c r="C36" s="92"/>
      <c r="D36" s="93"/>
      <c r="E36" s="92"/>
      <c r="F36" s="146"/>
      <c r="G36" s="94"/>
      <c r="H36" s="95"/>
      <c r="I36" s="160"/>
      <c r="J36" s="108"/>
      <c r="K36" s="109"/>
    </row>
    <row r="37" spans="1:11" ht="19.5">
      <c r="A37" s="673"/>
      <c r="B37" s="674"/>
      <c r="C37" s="674"/>
      <c r="D37" s="674"/>
      <c r="E37" s="674"/>
      <c r="F37" s="147">
        <f>SUM(F2:F36)</f>
        <v>52754.539999999986</v>
      </c>
      <c r="G37" s="143"/>
      <c r="H37" s="129">
        <f>SUM(H2:H36)</f>
        <v>5931.5199999999995</v>
      </c>
      <c r="I37" s="107">
        <f>SUM(I2:I36)</f>
        <v>0</v>
      </c>
    </row>
    <row r="40" spans="1:11">
      <c r="D40" s="138"/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52"/>
  <sheetViews>
    <sheetView workbookViewId="0"/>
  </sheetViews>
  <sheetFormatPr defaultRowHeight="15"/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31">
        <v>43519</v>
      </c>
      <c r="B2" s="32">
        <v>43525</v>
      </c>
      <c r="C2" s="32" t="s">
        <v>246</v>
      </c>
      <c r="D2" s="8" t="s">
        <v>25</v>
      </c>
      <c r="E2" s="7" t="s">
        <v>29</v>
      </c>
      <c r="F2" s="144">
        <v>1744.82</v>
      </c>
      <c r="G2" s="55">
        <v>0.22</v>
      </c>
      <c r="H2" s="65">
        <v>328.87</v>
      </c>
      <c r="I2" s="157"/>
      <c r="J2" s="108"/>
      <c r="K2" s="109"/>
    </row>
    <row r="3" spans="1:11">
      <c r="A3" s="31">
        <v>43522</v>
      </c>
      <c r="B3" s="32">
        <v>43530</v>
      </c>
      <c r="C3" s="7" t="s">
        <v>256</v>
      </c>
      <c r="D3" s="8" t="s">
        <v>149</v>
      </c>
      <c r="E3" s="7" t="s">
        <v>15</v>
      </c>
      <c r="F3" s="144">
        <v>1363.05</v>
      </c>
      <c r="G3" s="55">
        <v>0.12</v>
      </c>
      <c r="H3" s="87">
        <v>153.75</v>
      </c>
      <c r="I3" s="158"/>
      <c r="J3" s="108"/>
      <c r="K3" s="109"/>
    </row>
    <row r="4" spans="1:11">
      <c r="A4" s="22">
        <v>43522</v>
      </c>
      <c r="B4" s="26">
        <v>43526</v>
      </c>
      <c r="C4" s="13" t="s">
        <v>512</v>
      </c>
      <c r="D4" s="14" t="s">
        <v>25</v>
      </c>
      <c r="E4" s="13" t="s">
        <v>10</v>
      </c>
      <c r="F4" s="145">
        <v>2011</v>
      </c>
      <c r="G4" s="56">
        <v>0.13</v>
      </c>
      <c r="H4" s="87">
        <v>240.51</v>
      </c>
      <c r="I4" s="158"/>
      <c r="J4" s="108"/>
      <c r="K4" s="109"/>
    </row>
    <row r="5" spans="1:11">
      <c r="A5" s="22">
        <v>43525</v>
      </c>
      <c r="B5" s="26">
        <v>43528</v>
      </c>
      <c r="C5" s="134" t="s">
        <v>393</v>
      </c>
      <c r="D5" s="14" t="s">
        <v>9</v>
      </c>
      <c r="E5" s="13" t="s">
        <v>10</v>
      </c>
      <c r="F5" s="145">
        <v>1166.97</v>
      </c>
      <c r="G5" s="155">
        <v>0.12</v>
      </c>
      <c r="H5" s="87">
        <v>128.83000000000001</v>
      </c>
      <c r="I5" s="158"/>
      <c r="J5" s="406"/>
      <c r="K5" s="407"/>
    </row>
    <row r="6" spans="1:11">
      <c r="A6" s="22">
        <v>43525</v>
      </c>
      <c r="B6" s="26">
        <v>43527</v>
      </c>
      <c r="C6" s="13" t="s">
        <v>251</v>
      </c>
      <c r="D6" s="14" t="s">
        <v>25</v>
      </c>
      <c r="E6" s="13" t="s">
        <v>90</v>
      </c>
      <c r="F6" s="145">
        <v>1581.3</v>
      </c>
      <c r="G6" s="56">
        <v>0.1</v>
      </c>
      <c r="H6" s="87">
        <v>148.63999999999999</v>
      </c>
      <c r="I6" s="158"/>
      <c r="J6" s="108"/>
      <c r="K6" s="109"/>
    </row>
    <row r="7" spans="1:11">
      <c r="A7" s="22">
        <v>43526</v>
      </c>
      <c r="B7" s="26">
        <v>43526</v>
      </c>
      <c r="C7" s="13" t="s">
        <v>666</v>
      </c>
      <c r="D7" s="14" t="s">
        <v>61</v>
      </c>
      <c r="E7" s="161" t="s">
        <v>667</v>
      </c>
      <c r="F7" s="145">
        <v>4020.29</v>
      </c>
      <c r="G7" s="56">
        <v>0.1</v>
      </c>
      <c r="H7" s="87">
        <v>377.9</v>
      </c>
      <c r="I7" s="158"/>
      <c r="J7" s="108"/>
      <c r="K7" s="109"/>
    </row>
    <row r="8" spans="1:11">
      <c r="A8" s="22">
        <v>43526</v>
      </c>
      <c r="B8" s="26">
        <v>43531</v>
      </c>
      <c r="C8" s="13" t="s">
        <v>140</v>
      </c>
      <c r="D8" s="14" t="s">
        <v>14</v>
      </c>
      <c r="E8" s="13" t="s">
        <v>10</v>
      </c>
      <c r="F8" s="145">
        <v>1947.67</v>
      </c>
      <c r="G8" s="56">
        <v>0.1</v>
      </c>
      <c r="H8" s="87">
        <v>179.91</v>
      </c>
      <c r="I8" s="158"/>
      <c r="J8" s="108"/>
      <c r="K8" s="109"/>
    </row>
    <row r="9" spans="1:11">
      <c r="A9" s="22">
        <v>43529</v>
      </c>
      <c r="B9" s="26">
        <v>43530</v>
      </c>
      <c r="C9" s="13" t="s">
        <v>358</v>
      </c>
      <c r="D9" s="14" t="s">
        <v>14</v>
      </c>
      <c r="E9" s="13" t="s">
        <v>143</v>
      </c>
      <c r="F9" s="145">
        <v>2780.62</v>
      </c>
      <c r="G9" s="56">
        <v>0.14000000000000001</v>
      </c>
      <c r="H9" s="87">
        <v>358.14</v>
      </c>
      <c r="I9" s="158"/>
      <c r="J9" s="108"/>
      <c r="K9" s="109"/>
    </row>
    <row r="10" spans="1:11">
      <c r="A10" s="85">
        <v>43529</v>
      </c>
      <c r="B10" s="26">
        <v>43528</v>
      </c>
      <c r="C10" s="13" t="s">
        <v>387</v>
      </c>
      <c r="D10" s="14" t="s">
        <v>25</v>
      </c>
      <c r="E10" s="13" t="s">
        <v>10</v>
      </c>
      <c r="F10" s="145">
        <v>1571.21</v>
      </c>
      <c r="G10" s="56">
        <v>0.15</v>
      </c>
      <c r="H10" s="87">
        <v>216.82</v>
      </c>
      <c r="I10" s="158"/>
      <c r="J10" s="108"/>
      <c r="K10" s="109"/>
    </row>
    <row r="11" spans="1:11">
      <c r="A11" s="85">
        <v>43530</v>
      </c>
      <c r="B11" s="26">
        <v>43528</v>
      </c>
      <c r="C11" s="13" t="s">
        <v>668</v>
      </c>
      <c r="D11" s="14" t="s">
        <v>33</v>
      </c>
      <c r="E11" s="13" t="s">
        <v>10</v>
      </c>
      <c r="F11" s="145">
        <v>1414.96</v>
      </c>
      <c r="G11" s="56">
        <v>0.2</v>
      </c>
      <c r="H11" s="87">
        <v>266.01</v>
      </c>
      <c r="I11" s="158"/>
      <c r="J11" s="108"/>
      <c r="K11" s="109"/>
    </row>
    <row r="12" spans="1:11">
      <c r="A12" s="85">
        <v>43530</v>
      </c>
      <c r="B12" s="26">
        <v>43532</v>
      </c>
      <c r="C12" s="13" t="s">
        <v>669</v>
      </c>
      <c r="D12" s="14" t="s">
        <v>14</v>
      </c>
      <c r="E12" s="13" t="s">
        <v>29</v>
      </c>
      <c r="F12" s="145">
        <v>1326.93</v>
      </c>
      <c r="G12" s="56">
        <v>0.2</v>
      </c>
      <c r="H12" s="87">
        <v>244.15</v>
      </c>
      <c r="I12" s="158"/>
      <c r="J12" s="108"/>
      <c r="K12" s="109"/>
    </row>
    <row r="13" spans="1:11">
      <c r="A13" s="85">
        <v>43530</v>
      </c>
      <c r="B13" s="26">
        <v>43532</v>
      </c>
      <c r="C13" s="13" t="s">
        <v>670</v>
      </c>
      <c r="D13" s="14" t="s">
        <v>9</v>
      </c>
      <c r="E13" s="13" t="s">
        <v>75</v>
      </c>
      <c r="F13" s="145">
        <v>1047.49</v>
      </c>
      <c r="G13" s="56">
        <v>0.14000000000000001</v>
      </c>
      <c r="H13" s="87">
        <v>134.91</v>
      </c>
      <c r="I13" s="158"/>
      <c r="J13" s="108"/>
      <c r="K13" s="109"/>
    </row>
    <row r="14" spans="1:11">
      <c r="A14" s="85">
        <v>43531</v>
      </c>
      <c r="B14" s="26">
        <v>43530</v>
      </c>
      <c r="C14" s="13" t="s">
        <v>671</v>
      </c>
      <c r="D14" s="14" t="s">
        <v>14</v>
      </c>
      <c r="E14" s="13" t="s">
        <v>10</v>
      </c>
      <c r="F14" s="145">
        <v>1461.38</v>
      </c>
      <c r="G14" s="56">
        <v>0.17</v>
      </c>
      <c r="H14" s="87">
        <v>233.52</v>
      </c>
      <c r="I14" s="158"/>
      <c r="J14" s="108"/>
      <c r="K14" s="109"/>
    </row>
    <row r="15" spans="1:11">
      <c r="A15" s="85">
        <v>43532</v>
      </c>
      <c r="B15" s="26">
        <v>43534</v>
      </c>
      <c r="C15" s="13" t="s">
        <v>258</v>
      </c>
      <c r="D15" s="14" t="s">
        <v>9</v>
      </c>
      <c r="E15" s="13" t="s">
        <v>10</v>
      </c>
      <c r="F15" s="145">
        <v>1067.8399999999999</v>
      </c>
      <c r="G15" s="56">
        <v>0.1</v>
      </c>
      <c r="H15" s="87">
        <v>98.24</v>
      </c>
      <c r="I15" s="158"/>
      <c r="J15" s="108"/>
      <c r="K15" s="109"/>
    </row>
    <row r="16" spans="1:11">
      <c r="A16" s="85">
        <v>43533</v>
      </c>
      <c r="B16" s="26">
        <v>43168</v>
      </c>
      <c r="C16" s="13" t="s">
        <v>672</v>
      </c>
      <c r="D16" s="14" t="s">
        <v>376</v>
      </c>
      <c r="E16" s="13" t="s">
        <v>667</v>
      </c>
      <c r="F16" s="145">
        <v>1693.34</v>
      </c>
      <c r="G16" s="56">
        <v>0.11</v>
      </c>
      <c r="H16" s="87">
        <v>155.78</v>
      </c>
      <c r="I16" s="158"/>
      <c r="J16" s="108"/>
      <c r="K16" s="109"/>
    </row>
    <row r="17" spans="1:11">
      <c r="A17" s="85">
        <v>43533</v>
      </c>
      <c r="B17" s="26">
        <v>43533</v>
      </c>
      <c r="C17" s="13" t="s">
        <v>673</v>
      </c>
      <c r="D17" s="14" t="s">
        <v>21</v>
      </c>
      <c r="E17" s="13" t="s">
        <v>75</v>
      </c>
      <c r="F17" s="145">
        <v>5347.5</v>
      </c>
      <c r="G17" s="56">
        <v>0.1</v>
      </c>
      <c r="H17" s="87">
        <v>500.94</v>
      </c>
      <c r="I17" s="158"/>
      <c r="J17" s="108"/>
      <c r="K17" s="109"/>
    </row>
    <row r="18" spans="1:11">
      <c r="A18" s="22">
        <v>43533</v>
      </c>
      <c r="B18" s="26">
        <v>43530</v>
      </c>
      <c r="C18" s="13" t="s">
        <v>296</v>
      </c>
      <c r="D18" s="14" t="s">
        <v>381</v>
      </c>
      <c r="E18" s="13" t="s">
        <v>10</v>
      </c>
      <c r="F18" s="145">
        <v>1961.29</v>
      </c>
      <c r="G18" s="56">
        <v>0.14000000000000001</v>
      </c>
      <c r="H18" s="87">
        <v>252.61</v>
      </c>
      <c r="I18" s="158"/>
      <c r="J18" s="108"/>
      <c r="K18" s="109"/>
    </row>
    <row r="19" spans="1:11">
      <c r="A19" s="22">
        <v>43533</v>
      </c>
      <c r="B19" s="26">
        <v>43533</v>
      </c>
      <c r="C19" s="13" t="s">
        <v>674</v>
      </c>
      <c r="D19" s="14" t="s">
        <v>25</v>
      </c>
      <c r="E19" s="13" t="s">
        <v>15</v>
      </c>
      <c r="F19" s="145">
        <v>1135.72</v>
      </c>
      <c r="G19" s="56">
        <v>0.1</v>
      </c>
      <c r="H19" s="87">
        <v>104.48</v>
      </c>
      <c r="I19" s="158"/>
      <c r="J19" s="108"/>
      <c r="K19" s="109"/>
    </row>
    <row r="20" spans="1:11">
      <c r="A20" s="90">
        <v>43533</v>
      </c>
      <c r="B20" s="91">
        <v>43533</v>
      </c>
      <c r="C20" s="92" t="s">
        <v>394</v>
      </c>
      <c r="D20" s="93" t="s">
        <v>14</v>
      </c>
      <c r="E20" s="92" t="s">
        <v>22</v>
      </c>
      <c r="F20" s="146">
        <v>1514.3</v>
      </c>
      <c r="G20" s="94">
        <v>0.1</v>
      </c>
      <c r="H20" s="95">
        <v>139.31</v>
      </c>
      <c r="I20" s="159"/>
      <c r="J20" s="108"/>
      <c r="K20" s="109"/>
    </row>
    <row r="21" spans="1:11">
      <c r="A21" s="90">
        <v>43536</v>
      </c>
      <c r="B21" s="91">
        <v>43539</v>
      </c>
      <c r="C21" s="92" t="s">
        <v>247</v>
      </c>
      <c r="D21" s="93" t="s">
        <v>14</v>
      </c>
      <c r="E21" s="92" t="s">
        <v>10</v>
      </c>
      <c r="F21" s="146">
        <v>1758.95</v>
      </c>
      <c r="G21" s="94">
        <v>0.15</v>
      </c>
      <c r="H21" s="95">
        <v>242.73</v>
      </c>
      <c r="I21" s="159"/>
      <c r="J21" s="108"/>
      <c r="K21" s="109"/>
    </row>
    <row r="22" spans="1:11">
      <c r="A22" s="90">
        <v>43537</v>
      </c>
      <c r="B22" s="91">
        <v>43543</v>
      </c>
      <c r="C22" s="92" t="s">
        <v>675</v>
      </c>
      <c r="D22" s="93" t="s">
        <v>9</v>
      </c>
      <c r="E22" s="92" t="s">
        <v>667</v>
      </c>
      <c r="F22" s="146">
        <v>943.38</v>
      </c>
      <c r="G22" s="94">
        <v>0.1</v>
      </c>
      <c r="H22" s="95">
        <v>86.79</v>
      </c>
      <c r="I22" s="159"/>
      <c r="J22" s="108"/>
      <c r="K22" s="109"/>
    </row>
    <row r="23" spans="1:11">
      <c r="A23" s="90">
        <v>43538</v>
      </c>
      <c r="B23" s="91">
        <v>43539</v>
      </c>
      <c r="C23" s="92" t="s">
        <v>676</v>
      </c>
      <c r="D23" s="93" t="s">
        <v>14</v>
      </c>
      <c r="E23" s="92" t="s">
        <v>10</v>
      </c>
      <c r="F23" s="146">
        <v>1216.55</v>
      </c>
      <c r="G23" s="156">
        <v>0.15</v>
      </c>
      <c r="H23" s="95">
        <v>167.88</v>
      </c>
      <c r="I23" s="159"/>
      <c r="J23" s="108"/>
      <c r="K23" s="109"/>
    </row>
    <row r="24" spans="1:11">
      <c r="A24" s="90">
        <v>43539</v>
      </c>
      <c r="B24" s="91">
        <v>43543</v>
      </c>
      <c r="C24" s="92" t="s">
        <v>677</v>
      </c>
      <c r="D24" s="93" t="s">
        <v>14</v>
      </c>
      <c r="E24" s="92" t="s">
        <v>362</v>
      </c>
      <c r="F24" s="146">
        <v>1689.1</v>
      </c>
      <c r="G24" s="94">
        <v>0.1</v>
      </c>
      <c r="H24" s="95">
        <v>155.38999999999999</v>
      </c>
      <c r="I24" s="159"/>
      <c r="J24" s="108"/>
      <c r="K24" s="109"/>
    </row>
    <row r="25" spans="1:11">
      <c r="A25" s="90">
        <v>43539</v>
      </c>
      <c r="B25" s="91">
        <v>43539</v>
      </c>
      <c r="C25" s="92" t="s">
        <v>678</v>
      </c>
      <c r="D25" s="93" t="s">
        <v>14</v>
      </c>
      <c r="E25" s="92" t="s">
        <v>17</v>
      </c>
      <c r="F25" s="146">
        <v>1884.6</v>
      </c>
      <c r="G25" s="94">
        <v>0.16</v>
      </c>
      <c r="H25" s="95">
        <v>277.41000000000003</v>
      </c>
      <c r="I25" s="159">
        <v>138.69999999999999</v>
      </c>
      <c r="J25" s="108"/>
      <c r="K25" s="109"/>
    </row>
    <row r="26" spans="1:11">
      <c r="A26" s="90">
        <v>43540</v>
      </c>
      <c r="B26" s="91">
        <v>43541</v>
      </c>
      <c r="C26" s="92" t="s">
        <v>513</v>
      </c>
      <c r="D26" s="93" t="s">
        <v>14</v>
      </c>
      <c r="E26" s="92" t="s">
        <v>10</v>
      </c>
      <c r="F26" s="146">
        <v>2198.31</v>
      </c>
      <c r="G26" s="94">
        <v>0.21</v>
      </c>
      <c r="H26" s="95">
        <v>424.71</v>
      </c>
      <c r="I26" s="159"/>
      <c r="J26" s="108"/>
      <c r="K26" s="109"/>
    </row>
    <row r="27" spans="1:11">
      <c r="A27" s="90">
        <v>43540</v>
      </c>
      <c r="B27" s="91">
        <v>43540</v>
      </c>
      <c r="C27" s="92" t="s">
        <v>516</v>
      </c>
      <c r="D27" s="93" t="s">
        <v>21</v>
      </c>
      <c r="E27" s="92" t="s">
        <v>90</v>
      </c>
      <c r="F27" s="146">
        <v>2687.9</v>
      </c>
      <c r="G27" s="94">
        <v>0.1</v>
      </c>
      <c r="H27" s="95">
        <v>247.28</v>
      </c>
      <c r="I27" s="159"/>
      <c r="J27" s="108"/>
      <c r="K27" s="109"/>
    </row>
    <row r="28" spans="1:11">
      <c r="A28" s="90">
        <v>43544</v>
      </c>
      <c r="B28" s="91">
        <v>43547</v>
      </c>
      <c r="C28" s="92" t="s">
        <v>679</v>
      </c>
      <c r="D28" s="93" t="s">
        <v>25</v>
      </c>
      <c r="E28" s="92" t="s">
        <v>22</v>
      </c>
      <c r="F28" s="146">
        <v>1641.63</v>
      </c>
      <c r="G28" s="94">
        <v>0.2</v>
      </c>
      <c r="H28" s="95">
        <v>302.05</v>
      </c>
      <c r="I28" s="159"/>
      <c r="J28" s="108"/>
      <c r="K28" s="109"/>
    </row>
    <row r="29" spans="1:11">
      <c r="A29" s="90">
        <v>43179</v>
      </c>
      <c r="B29" s="91">
        <v>43546</v>
      </c>
      <c r="C29" s="92" t="s">
        <v>680</v>
      </c>
      <c r="D29" s="93" t="s">
        <v>70</v>
      </c>
      <c r="E29" s="92" t="s">
        <v>143</v>
      </c>
      <c r="F29" s="146">
        <v>2758.22</v>
      </c>
      <c r="G29" s="94">
        <v>0.11</v>
      </c>
      <c r="H29" s="95">
        <v>279.13</v>
      </c>
      <c r="I29" s="159"/>
      <c r="J29" s="108"/>
      <c r="K29" s="109"/>
    </row>
    <row r="30" spans="1:11">
      <c r="A30" s="90">
        <v>43179</v>
      </c>
      <c r="B30" s="91">
        <v>43545</v>
      </c>
      <c r="C30" s="137" t="s">
        <v>519</v>
      </c>
      <c r="D30" s="93" t="s">
        <v>14</v>
      </c>
      <c r="E30" s="92" t="s">
        <v>22</v>
      </c>
      <c r="F30" s="146">
        <v>1858.31</v>
      </c>
      <c r="G30" s="94">
        <v>0.1</v>
      </c>
      <c r="H30" s="95">
        <v>170.96</v>
      </c>
      <c r="I30" s="159"/>
      <c r="J30" s="108"/>
      <c r="K30" s="109"/>
    </row>
    <row r="31" spans="1:11">
      <c r="A31" s="90">
        <v>43180</v>
      </c>
      <c r="B31" s="91">
        <v>43546</v>
      </c>
      <c r="C31" s="92" t="s">
        <v>681</v>
      </c>
      <c r="D31" s="93" t="s">
        <v>9</v>
      </c>
      <c r="E31" s="92" t="s">
        <v>29</v>
      </c>
      <c r="F31" s="146">
        <v>2245.87</v>
      </c>
      <c r="G31" s="94">
        <v>0.15</v>
      </c>
      <c r="H31" s="95">
        <v>309.81</v>
      </c>
      <c r="I31" s="159"/>
      <c r="J31" s="108"/>
      <c r="K31" s="109"/>
    </row>
    <row r="32" spans="1:11">
      <c r="A32" s="90">
        <v>43180</v>
      </c>
      <c r="B32" s="91">
        <v>43545</v>
      </c>
      <c r="C32" s="139" t="s">
        <v>264</v>
      </c>
      <c r="D32" s="93" t="s">
        <v>61</v>
      </c>
      <c r="E32" s="92" t="s">
        <v>17</v>
      </c>
      <c r="F32" s="146">
        <v>1634.28</v>
      </c>
      <c r="G32" s="94">
        <v>0.1</v>
      </c>
      <c r="H32" s="95">
        <v>150.53</v>
      </c>
      <c r="I32" s="159"/>
      <c r="J32" s="108"/>
      <c r="K32" s="109"/>
    </row>
    <row r="33" spans="1:11">
      <c r="A33" s="90">
        <v>43180</v>
      </c>
      <c r="B33" s="91">
        <v>43545</v>
      </c>
      <c r="C33" s="139" t="s">
        <v>682</v>
      </c>
      <c r="D33" s="93" t="s">
        <v>9</v>
      </c>
      <c r="E33" s="92" t="s">
        <v>10</v>
      </c>
      <c r="F33" s="146">
        <v>1544.67</v>
      </c>
      <c r="G33" s="94">
        <v>0.15</v>
      </c>
      <c r="H33" s="95">
        <v>213.16</v>
      </c>
      <c r="I33" s="159"/>
      <c r="J33" s="108"/>
      <c r="K33" s="109"/>
    </row>
    <row r="34" spans="1:11">
      <c r="A34" s="90">
        <v>43181</v>
      </c>
      <c r="B34" s="91">
        <v>43549</v>
      </c>
      <c r="C34" s="140" t="s">
        <v>269</v>
      </c>
      <c r="D34" s="93" t="s">
        <v>14</v>
      </c>
      <c r="E34" s="92" t="s">
        <v>90</v>
      </c>
      <c r="F34" s="146">
        <v>2215.6999999999998</v>
      </c>
      <c r="G34" s="94">
        <v>0.1</v>
      </c>
      <c r="H34" s="95">
        <v>203.84</v>
      </c>
      <c r="I34" s="159"/>
      <c r="J34" s="108"/>
      <c r="K34" s="109"/>
    </row>
    <row r="35" spans="1:11">
      <c r="A35" s="90">
        <v>43181</v>
      </c>
      <c r="B35" s="91">
        <v>43546</v>
      </c>
      <c r="C35" s="92" t="s">
        <v>683</v>
      </c>
      <c r="D35" s="93" t="s">
        <v>61</v>
      </c>
      <c r="E35" s="92" t="s">
        <v>667</v>
      </c>
      <c r="F35" s="146">
        <v>1291.67</v>
      </c>
      <c r="G35" s="94">
        <v>0.1</v>
      </c>
      <c r="H35" s="95">
        <v>118.83</v>
      </c>
      <c r="I35" s="159"/>
      <c r="J35" s="108"/>
      <c r="K35" s="109"/>
    </row>
    <row r="36" spans="1:11">
      <c r="A36" s="90">
        <v>43182</v>
      </c>
      <c r="B36" s="91">
        <v>43549</v>
      </c>
      <c r="C36" s="92" t="s">
        <v>523</v>
      </c>
      <c r="D36" s="93" t="s">
        <v>21</v>
      </c>
      <c r="E36" s="92" t="s">
        <v>75</v>
      </c>
      <c r="F36" s="146">
        <v>1555.11</v>
      </c>
      <c r="G36" s="94">
        <v>0.1</v>
      </c>
      <c r="H36" s="95">
        <v>142.91999999999999</v>
      </c>
      <c r="I36" s="159"/>
      <c r="J36" s="678"/>
      <c r="K36" s="679"/>
    </row>
    <row r="37" spans="1:11">
      <c r="A37" s="26">
        <v>43186</v>
      </c>
      <c r="B37" s="26">
        <v>43553</v>
      </c>
      <c r="C37" s="13" t="s">
        <v>524</v>
      </c>
      <c r="D37" s="14" t="s">
        <v>14</v>
      </c>
      <c r="E37" s="13" t="s">
        <v>10</v>
      </c>
      <c r="F37" s="145">
        <v>1345.66</v>
      </c>
      <c r="G37" s="56">
        <v>0.1</v>
      </c>
      <c r="H37" s="81">
        <v>123.8</v>
      </c>
      <c r="I37" s="167"/>
      <c r="J37" s="162"/>
      <c r="K37" s="162"/>
    </row>
    <row r="38" spans="1:11">
      <c r="A38" s="26">
        <v>43188</v>
      </c>
      <c r="B38" s="26">
        <v>43553</v>
      </c>
      <c r="C38" s="13" t="s">
        <v>684</v>
      </c>
      <c r="D38" s="14" t="s">
        <v>9</v>
      </c>
      <c r="E38" s="13" t="s">
        <v>15</v>
      </c>
      <c r="F38" s="145">
        <v>1594.08</v>
      </c>
      <c r="G38" s="56">
        <v>0.1</v>
      </c>
      <c r="H38" s="81">
        <v>146.65</v>
      </c>
      <c r="I38" s="167"/>
      <c r="J38" s="162"/>
      <c r="K38" s="162"/>
    </row>
    <row r="39" spans="1:11">
      <c r="A39" s="26">
        <v>43188</v>
      </c>
      <c r="B39" s="26">
        <v>43551</v>
      </c>
      <c r="C39" s="13" t="s">
        <v>685</v>
      </c>
      <c r="D39" s="14" t="s">
        <v>14</v>
      </c>
      <c r="E39" s="13" t="s">
        <v>10</v>
      </c>
      <c r="F39" s="145">
        <v>1822.82</v>
      </c>
      <c r="G39" s="56">
        <v>0.1</v>
      </c>
      <c r="H39" s="81">
        <v>167.69</v>
      </c>
      <c r="I39" s="167"/>
      <c r="J39" s="162"/>
      <c r="K39" s="162"/>
    </row>
    <row r="40" spans="1:11">
      <c r="A40" s="26">
        <v>43192</v>
      </c>
      <c r="B40" s="26">
        <v>43554</v>
      </c>
      <c r="C40" s="13" t="s">
        <v>525</v>
      </c>
      <c r="D40" s="14" t="s">
        <v>9</v>
      </c>
      <c r="E40" s="13" t="s">
        <v>10</v>
      </c>
      <c r="F40" s="145">
        <v>1380.68</v>
      </c>
      <c r="G40" s="56">
        <v>0.17</v>
      </c>
      <c r="H40" s="81">
        <v>215.93</v>
      </c>
      <c r="I40" s="167"/>
      <c r="J40" s="162"/>
      <c r="K40" s="162"/>
    </row>
    <row r="41" spans="1:11">
      <c r="A41" s="26"/>
      <c r="B41" s="26"/>
      <c r="C41" s="13"/>
      <c r="D41" s="14"/>
      <c r="E41" s="13"/>
      <c r="F41" s="145"/>
      <c r="G41" s="56"/>
      <c r="H41" s="81"/>
      <c r="I41" s="167"/>
      <c r="J41" s="162"/>
      <c r="K41" s="162"/>
    </row>
    <row r="42" spans="1:11">
      <c r="A42" s="26"/>
      <c r="B42" s="26"/>
      <c r="C42" s="13"/>
      <c r="D42" s="14"/>
      <c r="E42" s="13"/>
      <c r="F42" s="145"/>
      <c r="G42" s="56"/>
      <c r="H42" s="81"/>
      <c r="I42" s="167"/>
      <c r="J42" s="162"/>
      <c r="K42" s="162"/>
    </row>
    <row r="43" spans="1:11">
      <c r="A43" s="26"/>
      <c r="B43" s="26"/>
      <c r="C43" s="13"/>
      <c r="D43" s="14"/>
      <c r="E43" s="13"/>
      <c r="F43" s="145"/>
      <c r="G43" s="56"/>
      <c r="H43" s="81"/>
      <c r="I43" s="167"/>
      <c r="J43" s="162"/>
      <c r="K43" s="162"/>
    </row>
    <row r="44" spans="1:11">
      <c r="A44" s="26"/>
      <c r="B44" s="26"/>
      <c r="C44" s="13"/>
      <c r="D44" s="14"/>
      <c r="E44" s="13"/>
      <c r="F44" s="145"/>
      <c r="G44" s="56"/>
      <c r="H44" s="81"/>
      <c r="I44" s="167"/>
      <c r="J44" s="162"/>
      <c r="K44" s="162"/>
    </row>
    <row r="45" spans="1:11">
      <c r="A45" s="26"/>
      <c r="B45" s="26"/>
      <c r="C45" s="13"/>
      <c r="D45" s="14"/>
      <c r="E45" s="13"/>
      <c r="F45" s="145"/>
      <c r="G45" s="56"/>
      <c r="H45" s="81"/>
      <c r="I45" s="167"/>
      <c r="J45" s="162"/>
      <c r="K45" s="162"/>
    </row>
    <row r="46" spans="1:11">
      <c r="A46" s="26"/>
      <c r="B46" s="26"/>
      <c r="C46" s="13"/>
      <c r="D46" s="14"/>
      <c r="E46" s="13"/>
      <c r="F46" s="145"/>
      <c r="G46" s="56"/>
      <c r="H46" s="81"/>
      <c r="I46" s="167"/>
      <c r="J46" s="162"/>
      <c r="K46" s="162"/>
    </row>
    <row r="47" spans="1:11">
      <c r="A47" s="26"/>
      <c r="B47" s="26"/>
      <c r="C47" s="13"/>
      <c r="D47" s="14"/>
      <c r="E47" s="13"/>
      <c r="F47" s="145"/>
      <c r="G47" s="56"/>
      <c r="H47" s="81"/>
      <c r="I47" s="167"/>
      <c r="J47" s="162"/>
      <c r="K47" s="162"/>
    </row>
    <row r="48" spans="1:11">
      <c r="A48" s="26"/>
      <c r="B48" s="26"/>
      <c r="C48" s="13"/>
      <c r="D48" s="14"/>
      <c r="E48" s="13"/>
      <c r="F48" s="145"/>
      <c r="G48" s="56"/>
      <c r="H48" s="81"/>
      <c r="I48" s="167"/>
      <c r="J48" s="162"/>
      <c r="K48" s="162"/>
    </row>
    <row r="49" spans="1:9" ht="19.5">
      <c r="A49" s="683"/>
      <c r="B49" s="684"/>
      <c r="C49" s="684"/>
      <c r="D49" s="684"/>
      <c r="E49" s="684"/>
      <c r="F49" s="163">
        <f>SUM(F2:F40)</f>
        <v>71425.17</v>
      </c>
      <c r="G49" s="164"/>
      <c r="H49" s="165">
        <f>SUM(H2:H40)</f>
        <v>8410.8100000000013</v>
      </c>
      <c r="I49" s="166">
        <f>SUM(I2:I36)</f>
        <v>138.69999999999999</v>
      </c>
    </row>
    <row r="52" spans="1:9">
      <c r="D52" s="138"/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38"/>
  <sheetViews>
    <sheetView workbookViewId="0"/>
  </sheetViews>
  <sheetFormatPr defaultRowHeight="15"/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31">
        <v>43165</v>
      </c>
      <c r="B2" s="32">
        <v>43556</v>
      </c>
      <c r="C2" s="32" t="s">
        <v>686</v>
      </c>
      <c r="D2" s="8" t="s">
        <v>61</v>
      </c>
      <c r="E2" s="7" t="s">
        <v>10</v>
      </c>
      <c r="F2" s="144">
        <v>913.2</v>
      </c>
      <c r="G2" s="55">
        <v>0.1</v>
      </c>
      <c r="H2" s="65">
        <v>84.02</v>
      </c>
      <c r="I2" s="157"/>
      <c r="J2" s="108"/>
      <c r="K2" s="109"/>
    </row>
    <row r="3" spans="1:11">
      <c r="A3" s="31">
        <v>43192</v>
      </c>
      <c r="B3" s="32">
        <v>43557</v>
      </c>
      <c r="C3" s="7" t="s">
        <v>528</v>
      </c>
      <c r="D3" s="8" t="s">
        <v>61</v>
      </c>
      <c r="E3" s="7" t="s">
        <v>10</v>
      </c>
      <c r="F3" s="144">
        <v>1108.27</v>
      </c>
      <c r="G3" s="55">
        <v>0.2</v>
      </c>
      <c r="H3" s="87">
        <v>203.92</v>
      </c>
      <c r="I3" s="158"/>
      <c r="J3" s="108"/>
      <c r="K3" s="109"/>
    </row>
    <row r="4" spans="1:11">
      <c r="A4" s="22">
        <v>43193</v>
      </c>
      <c r="B4" s="26">
        <v>43583</v>
      </c>
      <c r="C4" s="13" t="s">
        <v>687</v>
      </c>
      <c r="D4" s="14" t="s">
        <v>14</v>
      </c>
      <c r="E4" s="13" t="s">
        <v>10</v>
      </c>
      <c r="F4" s="145">
        <v>2204.5300000000002</v>
      </c>
      <c r="G4" s="56">
        <v>0.15</v>
      </c>
      <c r="H4" s="87">
        <v>304.25</v>
      </c>
      <c r="I4" s="158"/>
      <c r="J4" s="108"/>
      <c r="K4" s="109"/>
    </row>
    <row r="5" spans="1:11">
      <c r="A5" s="22">
        <v>43193</v>
      </c>
      <c r="B5" s="26">
        <v>43558</v>
      </c>
      <c r="C5" s="13" t="s">
        <v>688</v>
      </c>
      <c r="D5" s="14" t="s">
        <v>448</v>
      </c>
      <c r="E5" s="13" t="s">
        <v>279</v>
      </c>
      <c r="F5" s="145">
        <v>1099.72</v>
      </c>
      <c r="G5" s="56">
        <v>0.25</v>
      </c>
      <c r="H5" s="87">
        <v>252.93</v>
      </c>
      <c r="I5" s="158"/>
      <c r="J5" s="108"/>
      <c r="K5" s="109"/>
    </row>
    <row r="6" spans="1:11">
      <c r="A6" s="22">
        <v>43195</v>
      </c>
      <c r="B6" s="26">
        <v>43561</v>
      </c>
      <c r="C6" s="13" t="s">
        <v>689</v>
      </c>
      <c r="D6" s="14" t="s">
        <v>14</v>
      </c>
      <c r="E6" s="161" t="s">
        <v>438</v>
      </c>
      <c r="F6" s="145">
        <v>2174.36</v>
      </c>
      <c r="G6" s="56">
        <v>0.25</v>
      </c>
      <c r="H6" s="87">
        <v>500.1</v>
      </c>
      <c r="I6" s="158"/>
      <c r="J6" s="108"/>
      <c r="K6" s="109"/>
    </row>
    <row r="7" spans="1:11">
      <c r="A7" s="22">
        <v>43196</v>
      </c>
      <c r="B7" s="26">
        <v>43560</v>
      </c>
      <c r="C7" s="13" t="s">
        <v>690</v>
      </c>
      <c r="D7" s="14" t="s">
        <v>14</v>
      </c>
      <c r="E7" s="13" t="s">
        <v>10</v>
      </c>
      <c r="F7" s="145">
        <v>1543.83</v>
      </c>
      <c r="G7" s="56">
        <v>0.2</v>
      </c>
      <c r="H7" s="87">
        <v>284.06</v>
      </c>
      <c r="I7" s="158"/>
      <c r="J7" s="108"/>
      <c r="K7" s="109"/>
    </row>
    <row r="8" spans="1:11">
      <c r="A8" s="22">
        <v>43199</v>
      </c>
      <c r="B8" s="26">
        <v>43564</v>
      </c>
      <c r="C8" s="13" t="s">
        <v>691</v>
      </c>
      <c r="D8" s="14" t="s">
        <v>533</v>
      </c>
      <c r="E8" s="13" t="s">
        <v>469</v>
      </c>
      <c r="F8" s="145">
        <v>982.8</v>
      </c>
      <c r="G8" s="56" t="s">
        <v>454</v>
      </c>
      <c r="H8" s="87">
        <v>100</v>
      </c>
      <c r="I8" s="158"/>
      <c r="J8" s="108"/>
      <c r="K8" s="109"/>
    </row>
    <row r="9" spans="1:11">
      <c r="A9" s="85">
        <v>43200</v>
      </c>
      <c r="B9" s="26">
        <v>43564</v>
      </c>
      <c r="C9" s="13" t="s">
        <v>692</v>
      </c>
      <c r="D9" s="14" t="s">
        <v>14</v>
      </c>
      <c r="E9" s="13" t="s">
        <v>10</v>
      </c>
      <c r="F9" s="145">
        <v>2412.0700000000002</v>
      </c>
      <c r="G9" s="56">
        <v>0.1</v>
      </c>
      <c r="H9" s="87">
        <v>221.91</v>
      </c>
      <c r="I9" s="158"/>
      <c r="J9" s="108"/>
      <c r="K9" s="109"/>
    </row>
    <row r="10" spans="1:11">
      <c r="A10" s="85">
        <v>43200</v>
      </c>
      <c r="B10" s="26">
        <v>43565</v>
      </c>
      <c r="C10" s="13" t="s">
        <v>693</v>
      </c>
      <c r="D10" s="14" t="s">
        <v>9</v>
      </c>
      <c r="E10" s="13" t="s">
        <v>279</v>
      </c>
      <c r="F10" s="145">
        <v>1986.16</v>
      </c>
      <c r="G10" s="56">
        <v>0.13</v>
      </c>
      <c r="H10" s="87">
        <v>237.54</v>
      </c>
      <c r="I10" s="158"/>
      <c r="J10" s="108"/>
      <c r="K10" s="109"/>
    </row>
    <row r="11" spans="1:11">
      <c r="A11" s="85">
        <v>43200</v>
      </c>
      <c r="B11" s="26">
        <v>43574</v>
      </c>
      <c r="C11" s="13" t="s">
        <v>694</v>
      </c>
      <c r="D11" s="14" t="s">
        <v>448</v>
      </c>
      <c r="E11" s="13" t="s">
        <v>469</v>
      </c>
      <c r="F11" s="145">
        <v>1846.8</v>
      </c>
      <c r="G11" s="56" t="s">
        <v>454</v>
      </c>
      <c r="H11" s="87">
        <v>100</v>
      </c>
      <c r="I11" s="158"/>
      <c r="J11" s="108"/>
      <c r="K11" s="109"/>
    </row>
    <row r="12" spans="1:11">
      <c r="A12" s="85">
        <v>43201</v>
      </c>
      <c r="B12" s="26">
        <v>43569</v>
      </c>
      <c r="C12" s="13" t="s">
        <v>531</v>
      </c>
      <c r="D12" s="14" t="s">
        <v>21</v>
      </c>
      <c r="E12" s="13" t="s">
        <v>75</v>
      </c>
      <c r="F12" s="145">
        <v>3371.2</v>
      </c>
      <c r="G12" s="56">
        <v>0.1</v>
      </c>
      <c r="H12" s="87">
        <v>312.14999999999998</v>
      </c>
      <c r="I12" s="158"/>
      <c r="J12" s="108"/>
      <c r="K12" s="109"/>
    </row>
    <row r="13" spans="1:11">
      <c r="A13" s="85">
        <v>43201</v>
      </c>
      <c r="B13" s="26">
        <v>43565</v>
      </c>
      <c r="C13" s="13" t="s">
        <v>695</v>
      </c>
      <c r="D13" s="14" t="s">
        <v>61</v>
      </c>
      <c r="E13" s="13" t="s">
        <v>10</v>
      </c>
      <c r="F13" s="145">
        <v>1871.82</v>
      </c>
      <c r="G13" s="56">
        <v>0.1</v>
      </c>
      <c r="H13" s="87">
        <v>172.2</v>
      </c>
      <c r="I13" s="158"/>
      <c r="J13" s="108"/>
      <c r="K13" s="109"/>
    </row>
    <row r="14" spans="1:11">
      <c r="A14" s="85">
        <v>43201</v>
      </c>
      <c r="B14" s="26">
        <v>43566</v>
      </c>
      <c r="C14" s="13" t="s">
        <v>547</v>
      </c>
      <c r="D14" s="14" t="s">
        <v>61</v>
      </c>
      <c r="E14" s="13" t="s">
        <v>29</v>
      </c>
      <c r="F14" s="145">
        <v>3081.6</v>
      </c>
      <c r="G14" s="56">
        <v>0.1</v>
      </c>
      <c r="H14" s="87">
        <v>283.5</v>
      </c>
      <c r="I14" s="158"/>
      <c r="J14" s="108"/>
      <c r="K14" s="109"/>
    </row>
    <row r="15" spans="1:11">
      <c r="A15" s="85">
        <v>43202</v>
      </c>
      <c r="B15" s="26">
        <v>43567</v>
      </c>
      <c r="C15" s="13" t="s">
        <v>696</v>
      </c>
      <c r="D15" s="14" t="s">
        <v>21</v>
      </c>
      <c r="E15" s="13" t="s">
        <v>75</v>
      </c>
      <c r="F15" s="145">
        <v>1903.07</v>
      </c>
      <c r="G15" s="56">
        <v>0.15</v>
      </c>
      <c r="H15" s="87">
        <v>262.62</v>
      </c>
      <c r="I15" s="158"/>
      <c r="J15" s="108"/>
      <c r="K15" s="109"/>
    </row>
    <row r="16" spans="1:11">
      <c r="A16" s="85">
        <v>43203</v>
      </c>
      <c r="B16" s="26">
        <v>43585</v>
      </c>
      <c r="C16" s="13" t="s">
        <v>697</v>
      </c>
      <c r="D16" s="14" t="s">
        <v>21</v>
      </c>
      <c r="E16" s="13" t="s">
        <v>22</v>
      </c>
      <c r="F16" s="145">
        <v>1780.64</v>
      </c>
      <c r="G16" s="56">
        <v>0.18</v>
      </c>
      <c r="H16" s="87">
        <v>294.87</v>
      </c>
      <c r="I16" s="158"/>
      <c r="J16" s="108"/>
      <c r="K16" s="109"/>
    </row>
    <row r="17" spans="1:11">
      <c r="A17" s="22">
        <v>43207</v>
      </c>
      <c r="B17" s="26">
        <v>43569</v>
      </c>
      <c r="C17" s="13" t="s">
        <v>698</v>
      </c>
      <c r="D17" s="14" t="s">
        <v>21</v>
      </c>
      <c r="E17" s="13" t="s">
        <v>22</v>
      </c>
      <c r="F17" s="145">
        <v>1192.07</v>
      </c>
      <c r="G17" s="56">
        <v>0.15</v>
      </c>
      <c r="H17" s="87">
        <v>164.5</v>
      </c>
      <c r="I17" s="158"/>
      <c r="J17" s="108"/>
      <c r="K17" s="109"/>
    </row>
    <row r="18" spans="1:11">
      <c r="A18" s="22">
        <v>43209</v>
      </c>
      <c r="B18" s="26">
        <v>43577</v>
      </c>
      <c r="C18" s="13" t="s">
        <v>284</v>
      </c>
      <c r="D18" s="14" t="s">
        <v>14</v>
      </c>
      <c r="E18" s="13" t="s">
        <v>22</v>
      </c>
      <c r="F18" s="145">
        <v>1332.2</v>
      </c>
      <c r="G18" s="56">
        <v>0.2</v>
      </c>
      <c r="H18" s="87">
        <v>245.12</v>
      </c>
      <c r="I18" s="158"/>
      <c r="J18" s="108"/>
      <c r="K18" s="109"/>
    </row>
    <row r="19" spans="1:11">
      <c r="A19" s="90">
        <v>43209</v>
      </c>
      <c r="B19" s="91">
        <v>43577</v>
      </c>
      <c r="C19" s="92" t="s">
        <v>285</v>
      </c>
      <c r="D19" s="93" t="s">
        <v>14</v>
      </c>
      <c r="E19" s="92" t="s">
        <v>10</v>
      </c>
      <c r="F19" s="146">
        <v>1625.87</v>
      </c>
      <c r="G19" s="94">
        <v>0.1</v>
      </c>
      <c r="H19" s="95">
        <v>149.58000000000001</v>
      </c>
      <c r="I19" s="159"/>
      <c r="J19" s="108"/>
      <c r="K19" s="109"/>
    </row>
    <row r="20" spans="1:11">
      <c r="A20" s="90">
        <v>43210</v>
      </c>
      <c r="B20" s="91">
        <v>43575</v>
      </c>
      <c r="C20" s="92" t="s">
        <v>699</v>
      </c>
      <c r="D20" s="93" t="s">
        <v>14</v>
      </c>
      <c r="E20" s="92" t="s">
        <v>29</v>
      </c>
      <c r="F20" s="146">
        <v>2784.92</v>
      </c>
      <c r="G20" s="94">
        <v>0.1</v>
      </c>
      <c r="H20" s="95">
        <v>256.20999999999998</v>
      </c>
      <c r="I20" s="159"/>
      <c r="J20" s="108"/>
      <c r="K20" s="109"/>
    </row>
    <row r="21" spans="1:11">
      <c r="A21" s="90">
        <v>43213</v>
      </c>
      <c r="B21" s="91">
        <v>43574</v>
      </c>
      <c r="C21" s="92" t="s">
        <v>700</v>
      </c>
      <c r="D21" s="93" t="s">
        <v>21</v>
      </c>
      <c r="E21" s="92" t="s">
        <v>362</v>
      </c>
      <c r="F21" s="146">
        <v>1190.5899999999999</v>
      </c>
      <c r="G21" s="94">
        <v>0.25</v>
      </c>
      <c r="H21" s="95">
        <v>273.83</v>
      </c>
      <c r="I21" s="159"/>
      <c r="J21" s="108"/>
      <c r="K21" s="109"/>
    </row>
    <row r="22" spans="1:11">
      <c r="A22" s="90">
        <v>43214</v>
      </c>
      <c r="B22" s="91">
        <v>43579</v>
      </c>
      <c r="C22" s="92" t="s">
        <v>701</v>
      </c>
      <c r="D22" s="93" t="s">
        <v>25</v>
      </c>
      <c r="E22" s="92" t="s">
        <v>22</v>
      </c>
      <c r="F22" s="146">
        <v>1324.91</v>
      </c>
      <c r="G22" s="156">
        <v>0.13</v>
      </c>
      <c r="H22" s="95">
        <v>147.69</v>
      </c>
      <c r="I22" s="159"/>
      <c r="J22" s="108"/>
      <c r="K22" s="109"/>
    </row>
    <row r="23" spans="1:11">
      <c r="A23" s="90">
        <v>43581</v>
      </c>
      <c r="B23" s="91">
        <v>43574</v>
      </c>
      <c r="C23" s="92" t="s">
        <v>409</v>
      </c>
      <c r="D23" s="93" t="s">
        <v>21</v>
      </c>
      <c r="E23" s="92" t="s">
        <v>22</v>
      </c>
      <c r="F23" s="146">
        <v>5019.21</v>
      </c>
      <c r="G23" s="94">
        <v>0.1</v>
      </c>
      <c r="H23" s="95">
        <v>461.76</v>
      </c>
      <c r="I23" s="159"/>
      <c r="J23" s="108"/>
      <c r="K23" s="109"/>
    </row>
    <row r="24" spans="1:11">
      <c r="A24" s="90">
        <v>43216</v>
      </c>
      <c r="B24" s="91">
        <v>43585</v>
      </c>
      <c r="C24" s="92" t="s">
        <v>539</v>
      </c>
      <c r="D24" s="93" t="s">
        <v>14</v>
      </c>
      <c r="E24" s="92" t="s">
        <v>22</v>
      </c>
      <c r="F24" s="146">
        <v>1167.8900000000001</v>
      </c>
      <c r="G24" s="94">
        <v>0.15</v>
      </c>
      <c r="H24" s="95">
        <v>161.16</v>
      </c>
      <c r="I24" s="159"/>
      <c r="J24" s="108"/>
      <c r="K24" s="109"/>
    </row>
    <row r="25" spans="1:11">
      <c r="A25" s="90">
        <v>43217</v>
      </c>
      <c r="B25" s="91">
        <v>43583</v>
      </c>
      <c r="C25" s="92" t="s">
        <v>538</v>
      </c>
      <c r="D25" s="93" t="s">
        <v>14</v>
      </c>
      <c r="E25" s="92" t="s">
        <v>29</v>
      </c>
      <c r="F25" s="146">
        <v>3650.1</v>
      </c>
      <c r="G25" s="94">
        <v>0.2</v>
      </c>
      <c r="H25" s="95">
        <v>671.61</v>
      </c>
      <c r="I25" s="159">
        <v>335.8</v>
      </c>
      <c r="J25" s="108"/>
      <c r="K25" s="109"/>
    </row>
    <row r="26" spans="1:11">
      <c r="A26" s="90">
        <v>43220</v>
      </c>
      <c r="B26" s="91">
        <v>43585</v>
      </c>
      <c r="C26" s="92" t="s">
        <v>702</v>
      </c>
      <c r="D26" s="93" t="s">
        <v>14</v>
      </c>
      <c r="E26" s="92" t="s">
        <v>10</v>
      </c>
      <c r="F26" s="146">
        <v>1576.91</v>
      </c>
      <c r="G26" s="94">
        <v>0.11</v>
      </c>
      <c r="H26" s="95">
        <v>159.58000000000001</v>
      </c>
      <c r="I26" s="159">
        <v>79.790000000000006</v>
      </c>
      <c r="J26" s="108"/>
      <c r="K26" s="109"/>
    </row>
    <row r="27" spans="1:11">
      <c r="A27" s="90">
        <v>43222</v>
      </c>
      <c r="B27" s="91">
        <v>43582</v>
      </c>
      <c r="C27" s="92" t="s">
        <v>703</v>
      </c>
      <c r="D27" s="93" t="s">
        <v>9</v>
      </c>
      <c r="E27" s="92" t="s">
        <v>10</v>
      </c>
      <c r="F27" s="146">
        <v>1592.41</v>
      </c>
      <c r="G27" s="94">
        <v>0.14000000000000001</v>
      </c>
      <c r="H27" s="95">
        <v>205.1</v>
      </c>
      <c r="I27" s="159">
        <v>102.55</v>
      </c>
      <c r="J27" s="108"/>
      <c r="K27" s="109"/>
    </row>
    <row r="28" spans="1:11">
      <c r="A28" s="90"/>
      <c r="B28" s="91"/>
      <c r="C28" s="137"/>
      <c r="D28" s="93"/>
      <c r="E28" s="92"/>
      <c r="F28" s="146"/>
      <c r="G28" s="94"/>
      <c r="H28" s="95"/>
      <c r="I28" s="159"/>
      <c r="J28" s="108"/>
      <c r="K28" s="109"/>
    </row>
    <row r="29" spans="1:11">
      <c r="A29" s="90"/>
      <c r="B29" s="91"/>
      <c r="C29" s="92"/>
      <c r="D29" s="93"/>
      <c r="E29" s="92"/>
      <c r="F29" s="146"/>
      <c r="G29" s="94"/>
      <c r="H29" s="95"/>
      <c r="I29" s="159"/>
      <c r="J29" s="108"/>
      <c r="K29" s="109"/>
    </row>
    <row r="30" spans="1:11">
      <c r="A30" s="90"/>
      <c r="B30" s="91"/>
      <c r="C30" s="139"/>
      <c r="D30" s="93"/>
      <c r="E30" s="92"/>
      <c r="F30" s="146"/>
      <c r="G30" s="94"/>
      <c r="H30" s="95"/>
      <c r="I30" s="159"/>
      <c r="J30" s="108"/>
      <c r="K30" s="109"/>
    </row>
    <row r="31" spans="1:11">
      <c r="A31" s="90"/>
      <c r="B31" s="91"/>
      <c r="C31" s="139"/>
      <c r="D31" s="93"/>
      <c r="E31" s="92"/>
      <c r="F31" s="146"/>
      <c r="G31" s="94"/>
      <c r="H31" s="95"/>
      <c r="I31" s="159"/>
      <c r="J31" s="108"/>
      <c r="K31" s="109"/>
    </row>
    <row r="32" spans="1:11">
      <c r="A32" s="90"/>
      <c r="B32" s="91"/>
      <c r="C32" s="140"/>
      <c r="D32" s="93"/>
      <c r="E32" s="92"/>
      <c r="F32" s="146"/>
      <c r="G32" s="94"/>
      <c r="H32" s="95"/>
      <c r="I32" s="159"/>
      <c r="J32" s="108"/>
      <c r="K32" s="109"/>
    </row>
    <row r="33" spans="1:11">
      <c r="A33" s="90"/>
      <c r="B33" s="91"/>
      <c r="C33" s="92"/>
      <c r="D33" s="93"/>
      <c r="E33" s="92"/>
      <c r="F33" s="146"/>
      <c r="G33" s="94"/>
      <c r="H33" s="95"/>
      <c r="I33" s="159"/>
      <c r="J33" s="108"/>
      <c r="K33" s="109"/>
    </row>
    <row r="34" spans="1:11">
      <c r="A34" s="90"/>
      <c r="B34" s="91"/>
      <c r="C34" s="92"/>
      <c r="D34" s="93"/>
      <c r="E34" s="92"/>
      <c r="F34" s="146"/>
      <c r="G34" s="94"/>
      <c r="H34" s="95"/>
      <c r="I34" s="160"/>
      <c r="J34" s="108"/>
      <c r="K34" s="109"/>
    </row>
    <row r="35" spans="1:11" ht="19.5">
      <c r="A35" s="673"/>
      <c r="B35" s="674"/>
      <c r="C35" s="674"/>
      <c r="D35" s="674"/>
      <c r="E35" s="674"/>
      <c r="F35" s="147">
        <f>SUM(F2:F34)</f>
        <v>50737.15</v>
      </c>
      <c r="G35" s="143"/>
      <c r="H35" s="129">
        <f>SUM(H2:H34)</f>
        <v>6510.21</v>
      </c>
      <c r="I35" s="107">
        <f>SUM(I2:I34)</f>
        <v>518.14</v>
      </c>
    </row>
    <row r="38" spans="1:11">
      <c r="D38" s="138"/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33"/>
  <sheetViews>
    <sheetView workbookViewId="0">
      <selection activeCell="C28" activeCellId="6" sqref="C3 C6 C8 C12 C20 C25 C28"/>
    </sheetView>
  </sheetViews>
  <sheetFormatPr defaultRowHeight="15"/>
  <cols>
    <col min="1" max="1" width="16.42578125" bestFit="1" customWidth="1"/>
    <col min="2" max="2" width="11.5703125" bestFit="1" customWidth="1"/>
    <col min="3" max="3" width="42.140625" bestFit="1" customWidth="1"/>
    <col min="6" max="6" width="19.28515625" bestFit="1" customWidth="1"/>
    <col min="8" max="8" width="22.5703125" bestFit="1" customWidth="1"/>
  </cols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31">
        <v>43222</v>
      </c>
      <c r="B2" s="32">
        <v>43501</v>
      </c>
      <c r="C2" s="7" t="s">
        <v>705</v>
      </c>
      <c r="D2" s="8" t="s">
        <v>21</v>
      </c>
      <c r="E2" s="7" t="s">
        <v>22</v>
      </c>
      <c r="F2" s="144">
        <v>1176.6600000000001</v>
      </c>
      <c r="G2" s="55">
        <v>0.15</v>
      </c>
      <c r="H2" s="65">
        <v>162.37</v>
      </c>
      <c r="I2" s="157"/>
      <c r="J2" s="108"/>
      <c r="K2" s="109"/>
    </row>
    <row r="3" spans="1:11">
      <c r="A3" s="31">
        <v>43215</v>
      </c>
      <c r="B3" s="32">
        <v>43587</v>
      </c>
      <c r="C3" s="1907" t="s">
        <v>704</v>
      </c>
      <c r="D3" s="8" t="s">
        <v>14</v>
      </c>
      <c r="E3" s="7" t="s">
        <v>362</v>
      </c>
      <c r="F3" s="144">
        <v>2792.4</v>
      </c>
      <c r="G3" s="55">
        <v>0.13</v>
      </c>
      <c r="H3" s="87">
        <v>333.97</v>
      </c>
      <c r="I3" s="158"/>
      <c r="J3" s="108"/>
      <c r="K3" s="109"/>
    </row>
    <row r="4" spans="1:11">
      <c r="A4" s="22">
        <v>43222</v>
      </c>
      <c r="B4" s="26">
        <v>43587</v>
      </c>
      <c r="C4" s="13" t="s">
        <v>706</v>
      </c>
      <c r="D4" s="14" t="s">
        <v>9</v>
      </c>
      <c r="E4" s="13" t="s">
        <v>10</v>
      </c>
      <c r="F4" s="145">
        <v>1293.08</v>
      </c>
      <c r="G4" s="56">
        <v>0.17</v>
      </c>
      <c r="H4" s="87">
        <v>202.23</v>
      </c>
      <c r="I4" s="158"/>
      <c r="J4" s="108"/>
      <c r="K4" s="109"/>
    </row>
    <row r="5" spans="1:11">
      <c r="A5" s="22">
        <v>43223</v>
      </c>
      <c r="B5" s="26">
        <v>43588</v>
      </c>
      <c r="C5" s="13" t="s">
        <v>540</v>
      </c>
      <c r="D5" s="14" t="s">
        <v>9</v>
      </c>
      <c r="E5" s="13" t="s">
        <v>22</v>
      </c>
      <c r="F5" s="145">
        <v>1462.48</v>
      </c>
      <c r="G5" s="56">
        <v>0.13</v>
      </c>
      <c r="H5" s="87">
        <v>174.91</v>
      </c>
      <c r="I5" s="158"/>
      <c r="J5" s="108"/>
      <c r="K5" s="109"/>
    </row>
    <row r="6" spans="1:11">
      <c r="A6" s="22">
        <v>43223</v>
      </c>
      <c r="B6" s="26">
        <v>43589</v>
      </c>
      <c r="C6" s="1908" t="s">
        <v>707</v>
      </c>
      <c r="D6" s="14" t="s">
        <v>14</v>
      </c>
      <c r="E6" s="13" t="s">
        <v>29</v>
      </c>
      <c r="F6" s="145">
        <v>1684.97</v>
      </c>
      <c r="G6" s="56">
        <v>0.16500000000000001</v>
      </c>
      <c r="H6" s="87">
        <v>255.77</v>
      </c>
      <c r="I6" s="158"/>
      <c r="J6" s="108"/>
      <c r="K6" s="109"/>
    </row>
    <row r="7" spans="1:11">
      <c r="A7" s="22">
        <v>43223</v>
      </c>
      <c r="B7" s="26">
        <v>43590</v>
      </c>
      <c r="C7" s="13" t="s">
        <v>290</v>
      </c>
      <c r="D7" s="14" t="s">
        <v>9</v>
      </c>
      <c r="E7" s="161" t="s">
        <v>19</v>
      </c>
      <c r="F7" s="145">
        <v>1063.98</v>
      </c>
      <c r="G7" s="56">
        <v>0.17</v>
      </c>
      <c r="H7" s="87">
        <v>166.4</v>
      </c>
      <c r="I7" s="158"/>
      <c r="J7" s="108"/>
      <c r="K7" s="109"/>
    </row>
    <row r="8" spans="1:11">
      <c r="A8" s="85">
        <v>43228</v>
      </c>
      <c r="B8" s="26">
        <v>43593</v>
      </c>
      <c r="C8" s="1908" t="s">
        <v>647</v>
      </c>
      <c r="D8" s="14" t="s">
        <v>14</v>
      </c>
      <c r="E8" s="13" t="s">
        <v>15</v>
      </c>
      <c r="F8" s="145">
        <v>4134.91</v>
      </c>
      <c r="G8" s="56">
        <v>0.1</v>
      </c>
      <c r="H8" s="87">
        <v>380.41</v>
      </c>
      <c r="I8" s="158"/>
      <c r="J8" s="108"/>
      <c r="K8" s="109"/>
    </row>
    <row r="9" spans="1:11">
      <c r="A9" s="22">
        <v>43227</v>
      </c>
      <c r="B9" s="26">
        <v>43594</v>
      </c>
      <c r="C9" s="13" t="s">
        <v>20</v>
      </c>
      <c r="D9" s="14" t="s">
        <v>14</v>
      </c>
      <c r="E9" s="13" t="s">
        <v>10</v>
      </c>
      <c r="F9" s="145">
        <v>1064.45</v>
      </c>
      <c r="G9" s="56">
        <v>0.14000000000000001</v>
      </c>
      <c r="H9" s="87">
        <v>137.1</v>
      </c>
      <c r="I9" s="158"/>
      <c r="J9" s="108"/>
      <c r="K9" s="109"/>
    </row>
    <row r="10" spans="1:11">
      <c r="A10" s="85">
        <v>43229</v>
      </c>
      <c r="B10" s="26">
        <v>43594</v>
      </c>
      <c r="C10" s="13" t="s">
        <v>710</v>
      </c>
      <c r="D10" s="14" t="s">
        <v>21</v>
      </c>
      <c r="E10" s="13" t="s">
        <v>22</v>
      </c>
      <c r="F10" s="145">
        <v>1305.1300000000001</v>
      </c>
      <c r="G10" s="56">
        <v>0.1</v>
      </c>
      <c r="H10" s="87">
        <v>120.07</v>
      </c>
      <c r="I10" s="158"/>
      <c r="J10" s="108"/>
      <c r="K10" s="109"/>
    </row>
    <row r="11" spans="1:11">
      <c r="A11" s="85">
        <v>43228</v>
      </c>
      <c r="B11" s="26">
        <v>43595</v>
      </c>
      <c r="C11" s="13" t="s">
        <v>708</v>
      </c>
      <c r="D11" s="14" t="s">
        <v>21</v>
      </c>
      <c r="E11" s="13" t="s">
        <v>22</v>
      </c>
      <c r="F11" s="145">
        <v>1402.76</v>
      </c>
      <c r="G11" s="56">
        <v>0.12</v>
      </c>
      <c r="H11" s="87">
        <v>154.86000000000001</v>
      </c>
      <c r="I11" s="158"/>
      <c r="J11" s="108"/>
      <c r="K11" s="109"/>
    </row>
    <row r="12" spans="1:11">
      <c r="A12" s="85">
        <v>43230</v>
      </c>
      <c r="B12" s="26">
        <v>43595</v>
      </c>
      <c r="C12" s="1908" t="s">
        <v>709</v>
      </c>
      <c r="D12" s="14" t="s">
        <v>61</v>
      </c>
      <c r="E12" s="13" t="s">
        <v>143</v>
      </c>
      <c r="F12" s="145">
        <v>3176.42</v>
      </c>
      <c r="G12" s="56">
        <v>0.1</v>
      </c>
      <c r="H12" s="87">
        <v>292.23</v>
      </c>
      <c r="I12" s="158"/>
      <c r="J12" s="108"/>
      <c r="K12" s="109"/>
    </row>
    <row r="13" spans="1:11">
      <c r="A13" s="22" t="s">
        <v>560</v>
      </c>
      <c r="B13" s="26">
        <v>43597</v>
      </c>
      <c r="C13" s="13" t="s">
        <v>719</v>
      </c>
      <c r="D13" s="14" t="s">
        <v>448</v>
      </c>
      <c r="E13" s="13" t="s">
        <v>469</v>
      </c>
      <c r="F13" s="145"/>
      <c r="G13" s="56" t="s">
        <v>720</v>
      </c>
      <c r="H13" s="87">
        <v>100</v>
      </c>
      <c r="I13" s="158"/>
      <c r="J13" s="108"/>
      <c r="K13" s="109"/>
    </row>
    <row r="14" spans="1:11">
      <c r="A14" s="85">
        <v>43231</v>
      </c>
      <c r="B14" s="26">
        <v>43599</v>
      </c>
      <c r="C14" s="13" t="s">
        <v>293</v>
      </c>
      <c r="D14" s="14" t="s">
        <v>25</v>
      </c>
      <c r="E14" s="13" t="s">
        <v>22</v>
      </c>
      <c r="F14" s="145">
        <v>1590.35</v>
      </c>
      <c r="G14" s="56">
        <v>0.17</v>
      </c>
      <c r="H14" s="87">
        <v>248.73</v>
      </c>
      <c r="I14" s="158"/>
      <c r="J14" s="108"/>
      <c r="K14" s="109"/>
    </row>
    <row r="15" spans="1:11">
      <c r="A15" s="85">
        <v>43234</v>
      </c>
      <c r="B15" s="26">
        <v>43599</v>
      </c>
      <c r="C15" s="13" t="s">
        <v>711</v>
      </c>
      <c r="D15" s="14" t="s">
        <v>21</v>
      </c>
      <c r="E15" s="13" t="s">
        <v>75</v>
      </c>
      <c r="F15" s="145">
        <v>2980.06</v>
      </c>
      <c r="G15" s="56">
        <v>0.1</v>
      </c>
      <c r="H15" s="87">
        <v>274.16000000000003</v>
      </c>
      <c r="I15" s="158"/>
      <c r="J15" s="108"/>
      <c r="K15" s="109"/>
    </row>
    <row r="16" spans="1:11">
      <c r="A16" s="85">
        <v>43233</v>
      </c>
      <c r="B16" s="26">
        <v>43600</v>
      </c>
      <c r="C16" s="13" t="s">
        <v>27</v>
      </c>
      <c r="D16" s="14" t="s">
        <v>14</v>
      </c>
      <c r="E16" s="13" t="s">
        <v>10</v>
      </c>
      <c r="F16" s="145">
        <v>1359.41</v>
      </c>
      <c r="G16" s="56">
        <v>0.1</v>
      </c>
      <c r="H16" s="87">
        <v>125.06</v>
      </c>
      <c r="I16" s="158"/>
      <c r="J16" s="108"/>
      <c r="K16" s="109"/>
    </row>
    <row r="17" spans="1:11">
      <c r="A17" s="22">
        <v>43238</v>
      </c>
      <c r="B17" s="26">
        <v>43600</v>
      </c>
      <c r="C17" s="13" t="s">
        <v>115</v>
      </c>
      <c r="D17" s="14" t="s">
        <v>9</v>
      </c>
      <c r="E17" s="13" t="s">
        <v>10</v>
      </c>
      <c r="F17" s="145">
        <v>1466.73</v>
      </c>
      <c r="G17" s="56">
        <v>0.12</v>
      </c>
      <c r="H17" s="87">
        <v>161.91999999999999</v>
      </c>
      <c r="I17" s="158"/>
      <c r="J17" s="108"/>
      <c r="K17" s="109"/>
    </row>
    <row r="18" spans="1:11">
      <c r="A18" s="90" t="s">
        <v>560</v>
      </c>
      <c r="B18" s="91">
        <v>43600</v>
      </c>
      <c r="C18" s="92" t="s">
        <v>547</v>
      </c>
      <c r="D18" s="93" t="s">
        <v>448</v>
      </c>
      <c r="E18" s="92" t="s">
        <v>469</v>
      </c>
      <c r="F18" s="146"/>
      <c r="G18" s="94"/>
      <c r="H18" s="95">
        <v>100</v>
      </c>
      <c r="I18" s="159"/>
      <c r="J18" s="108"/>
      <c r="K18" s="109"/>
    </row>
    <row r="19" spans="1:11">
      <c r="A19" s="1906">
        <v>43236</v>
      </c>
      <c r="B19" s="91">
        <v>43601</v>
      </c>
      <c r="C19" s="92" t="s">
        <v>712</v>
      </c>
      <c r="D19" s="93" t="s">
        <v>14</v>
      </c>
      <c r="E19" s="92" t="s">
        <v>10</v>
      </c>
      <c r="F19" s="146">
        <v>1802.99</v>
      </c>
      <c r="G19" s="94">
        <v>0.1</v>
      </c>
      <c r="H19" s="95">
        <v>165.78</v>
      </c>
      <c r="I19" s="159"/>
      <c r="J19" s="108"/>
      <c r="K19" s="109"/>
    </row>
    <row r="20" spans="1:11">
      <c r="A20" s="90">
        <v>43238</v>
      </c>
      <c r="B20" s="91">
        <v>43603</v>
      </c>
      <c r="C20" s="1909" t="s">
        <v>714</v>
      </c>
      <c r="D20" s="93" t="s">
        <v>9</v>
      </c>
      <c r="E20" s="92" t="s">
        <v>10</v>
      </c>
      <c r="F20" s="146">
        <v>1613.39</v>
      </c>
      <c r="G20" s="94">
        <v>0.13</v>
      </c>
      <c r="H20" s="95">
        <v>192.93</v>
      </c>
      <c r="I20" s="159"/>
      <c r="J20" s="108"/>
      <c r="K20" s="109"/>
    </row>
    <row r="21" spans="1:11">
      <c r="A21" s="90">
        <v>43236</v>
      </c>
      <c r="B21" s="91">
        <v>43606</v>
      </c>
      <c r="C21" s="92" t="s">
        <v>295</v>
      </c>
      <c r="D21" s="93" t="s">
        <v>713</v>
      </c>
      <c r="E21" s="92" t="s">
        <v>75</v>
      </c>
      <c r="F21" s="146">
        <v>1439.65</v>
      </c>
      <c r="G21" s="94">
        <v>0.2</v>
      </c>
      <c r="H21" s="95">
        <v>264.89</v>
      </c>
      <c r="I21" s="159"/>
      <c r="J21" s="108"/>
      <c r="K21" s="109"/>
    </row>
    <row r="22" spans="1:11">
      <c r="A22" s="90">
        <v>43241</v>
      </c>
      <c r="B22" s="91">
        <v>43606</v>
      </c>
      <c r="C22" s="92" t="s">
        <v>550</v>
      </c>
      <c r="D22" s="93" t="s">
        <v>14</v>
      </c>
      <c r="E22" s="92" t="s">
        <v>10</v>
      </c>
      <c r="F22" s="146">
        <v>1337.94</v>
      </c>
      <c r="G22" s="94">
        <v>0.15</v>
      </c>
      <c r="H22" s="95">
        <v>184.63</v>
      </c>
      <c r="I22" s="159"/>
      <c r="J22" s="108"/>
      <c r="K22" s="109"/>
    </row>
    <row r="23" spans="1:11">
      <c r="A23" s="90">
        <v>43241</v>
      </c>
      <c r="B23" s="91">
        <v>43608</v>
      </c>
      <c r="C23" s="92" t="s">
        <v>36</v>
      </c>
      <c r="D23" s="93" t="s">
        <v>61</v>
      </c>
      <c r="E23" s="92" t="s">
        <v>10</v>
      </c>
      <c r="F23" s="146">
        <v>1130.01</v>
      </c>
      <c r="G23" s="94">
        <v>0.24</v>
      </c>
      <c r="H23" s="95">
        <v>249.5</v>
      </c>
      <c r="I23" s="159"/>
      <c r="J23" s="108"/>
      <c r="K23" s="109"/>
    </row>
    <row r="24" spans="1:11">
      <c r="A24" s="90">
        <v>43241</v>
      </c>
      <c r="B24" s="91">
        <v>43609</v>
      </c>
      <c r="C24" s="92" t="s">
        <v>715</v>
      </c>
      <c r="D24" s="93" t="s">
        <v>9</v>
      </c>
      <c r="E24" s="92" t="s">
        <v>10</v>
      </c>
      <c r="F24" s="146">
        <v>1273.97</v>
      </c>
      <c r="G24" s="156">
        <v>0.13</v>
      </c>
      <c r="H24" s="95">
        <v>152.36000000000001</v>
      </c>
      <c r="I24" s="159"/>
      <c r="J24" s="108"/>
      <c r="K24" s="109"/>
    </row>
    <row r="25" spans="1:11">
      <c r="A25" s="90">
        <v>43245</v>
      </c>
      <c r="B25" s="91">
        <v>43614</v>
      </c>
      <c r="C25" s="1910" t="s">
        <v>553</v>
      </c>
      <c r="D25" s="93" t="s">
        <v>112</v>
      </c>
      <c r="E25" s="92" t="s">
        <v>22</v>
      </c>
      <c r="F25" s="146">
        <v>2083.1999999999998</v>
      </c>
      <c r="G25" s="94">
        <v>0.1</v>
      </c>
      <c r="H25" s="95">
        <v>191.65</v>
      </c>
      <c r="I25" s="159"/>
      <c r="J25" s="108"/>
      <c r="K25" s="109"/>
    </row>
    <row r="26" spans="1:11">
      <c r="A26" s="90">
        <v>43248</v>
      </c>
      <c r="B26" s="91">
        <v>43614</v>
      </c>
      <c r="C26" s="92" t="s">
        <v>716</v>
      </c>
      <c r="D26" s="93" t="s">
        <v>14</v>
      </c>
      <c r="E26" s="92" t="s">
        <v>10</v>
      </c>
      <c r="F26" s="146">
        <v>1226.25</v>
      </c>
      <c r="G26" s="94">
        <v>0.15</v>
      </c>
      <c r="H26" s="95">
        <v>169.22</v>
      </c>
      <c r="I26" s="159"/>
      <c r="J26" s="108"/>
      <c r="K26" s="109"/>
    </row>
    <row r="27" spans="1:11">
      <c r="A27" s="90">
        <v>43248</v>
      </c>
      <c r="B27" s="91">
        <v>43614</v>
      </c>
      <c r="C27" s="140" t="s">
        <v>717</v>
      </c>
      <c r="D27" s="93" t="s">
        <v>61</v>
      </c>
      <c r="E27" s="92" t="s">
        <v>19</v>
      </c>
      <c r="F27" s="146">
        <v>1914.93</v>
      </c>
      <c r="G27" s="94">
        <v>0.17</v>
      </c>
      <c r="H27" s="95">
        <v>325.52999999999997</v>
      </c>
      <c r="I27" s="159"/>
      <c r="J27" s="108"/>
      <c r="K27" s="109"/>
    </row>
    <row r="28" spans="1:11">
      <c r="A28" s="90">
        <v>43249</v>
      </c>
      <c r="B28" s="91">
        <v>43614</v>
      </c>
      <c r="C28" s="1909" t="s">
        <v>718</v>
      </c>
      <c r="D28" s="93" t="s">
        <v>9</v>
      </c>
      <c r="E28" s="92" t="s">
        <v>143</v>
      </c>
      <c r="F28" s="146">
        <v>1815.21</v>
      </c>
      <c r="G28" s="94">
        <v>0.19</v>
      </c>
      <c r="H28" s="95">
        <v>316.77</v>
      </c>
      <c r="I28" s="159"/>
      <c r="J28" s="108"/>
      <c r="K28" s="109"/>
    </row>
    <row r="29" spans="1:11">
      <c r="A29" s="90">
        <v>43252</v>
      </c>
      <c r="B29" s="91">
        <v>43615</v>
      </c>
      <c r="C29" s="92" t="s">
        <v>554</v>
      </c>
      <c r="D29" s="93" t="s">
        <v>14</v>
      </c>
      <c r="E29" s="92" t="s">
        <v>10</v>
      </c>
      <c r="F29" s="146">
        <v>2997.53</v>
      </c>
      <c r="G29" s="94">
        <v>0.1</v>
      </c>
      <c r="H29" s="95">
        <v>275.77</v>
      </c>
      <c r="I29" s="160"/>
      <c r="J29" s="108"/>
      <c r="K29" s="109"/>
    </row>
    <row r="30" spans="1:11" ht="19.5">
      <c r="A30" s="673"/>
      <c r="B30" s="674"/>
      <c r="C30" s="674"/>
      <c r="D30" s="674"/>
      <c r="E30" s="674"/>
      <c r="F30" s="147">
        <f>SUM(F2:F29)</f>
        <v>46588.86</v>
      </c>
      <c r="G30" s="143"/>
      <c r="H30" s="129">
        <f>SUM(H2:H29)</f>
        <v>5879.2199999999993</v>
      </c>
      <c r="I30" s="107">
        <f>SUM(I2:I29)</f>
        <v>0</v>
      </c>
    </row>
    <row r="33" spans="4:4">
      <c r="D33" s="138"/>
    </row>
  </sheetData>
  <autoFilter ref="A1:K1" xr:uid="{00000000-0001-0000-3000-000000000000}">
    <sortState xmlns:xlrd2="http://schemas.microsoft.com/office/spreadsheetml/2017/richdata2" ref="A2:K30">
      <sortCondition ref="B1"/>
    </sortState>
  </autoFilter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K33"/>
  <sheetViews>
    <sheetView workbookViewId="0"/>
  </sheetViews>
  <sheetFormatPr defaultRowHeight="15"/>
  <cols>
    <col min="3" max="3" width="49.28515625" bestFit="1" customWidth="1"/>
  </cols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31">
        <v>43263</v>
      </c>
      <c r="B2" s="32">
        <v>43628</v>
      </c>
      <c r="C2" s="305" t="s">
        <v>721</v>
      </c>
      <c r="D2" s="8" t="s">
        <v>9</v>
      </c>
      <c r="E2" s="7" t="s">
        <v>75</v>
      </c>
      <c r="F2" s="144">
        <v>3294.58</v>
      </c>
      <c r="G2" s="55">
        <v>0.2</v>
      </c>
      <c r="H2" s="65">
        <v>606.20000000000005</v>
      </c>
      <c r="I2" s="157"/>
      <c r="J2" s="108"/>
      <c r="K2" s="109"/>
    </row>
    <row r="3" spans="1:11">
      <c r="A3" s="31">
        <v>43256</v>
      </c>
      <c r="B3" s="32">
        <v>43621</v>
      </c>
      <c r="C3" s="7" t="s">
        <v>722</v>
      </c>
      <c r="D3" s="8" t="s">
        <v>9</v>
      </c>
      <c r="E3" s="7" t="s">
        <v>75</v>
      </c>
      <c r="F3" s="144">
        <v>893.54</v>
      </c>
      <c r="G3" s="55">
        <v>0.14000000000000001</v>
      </c>
      <c r="H3" s="87">
        <v>115.08</v>
      </c>
      <c r="I3" s="158">
        <v>57.54</v>
      </c>
      <c r="J3" s="108"/>
      <c r="K3" s="109"/>
    </row>
    <row r="4" spans="1:11">
      <c r="A4" s="22">
        <v>43256</v>
      </c>
      <c r="B4" s="26">
        <v>43625</v>
      </c>
      <c r="C4" s="13" t="s">
        <v>410</v>
      </c>
      <c r="D4" s="14" t="s">
        <v>14</v>
      </c>
      <c r="E4" s="13" t="s">
        <v>723</v>
      </c>
      <c r="F4" s="145">
        <v>990.91</v>
      </c>
      <c r="G4" s="56">
        <v>0.17</v>
      </c>
      <c r="H4" s="87">
        <v>154.97</v>
      </c>
      <c r="I4" s="158"/>
      <c r="J4" s="108"/>
      <c r="K4" s="109"/>
    </row>
    <row r="5" spans="1:11">
      <c r="A5" s="22">
        <v>43256</v>
      </c>
      <c r="B5" s="26">
        <v>43624</v>
      </c>
      <c r="C5" s="13" t="s">
        <v>91</v>
      </c>
      <c r="D5" s="14" t="s">
        <v>33</v>
      </c>
      <c r="E5" s="13" t="s">
        <v>279</v>
      </c>
      <c r="F5" s="145">
        <v>799.94</v>
      </c>
      <c r="G5" s="56">
        <v>0.27</v>
      </c>
      <c r="H5" s="87">
        <v>198.7</v>
      </c>
      <c r="I5" s="158"/>
      <c r="J5" s="108"/>
      <c r="K5" s="109"/>
    </row>
    <row r="6" spans="1:11">
      <c r="A6" s="22">
        <v>43258</v>
      </c>
      <c r="B6" s="26">
        <v>43623</v>
      </c>
      <c r="C6" s="306" t="s">
        <v>724</v>
      </c>
      <c r="D6" s="14" t="s">
        <v>61</v>
      </c>
      <c r="E6" s="161" t="s">
        <v>19</v>
      </c>
      <c r="F6" s="145">
        <v>2174.1799999999998</v>
      </c>
      <c r="G6" s="56" t="s">
        <v>725</v>
      </c>
      <c r="H6" s="87">
        <v>250.03</v>
      </c>
      <c r="I6" s="158"/>
      <c r="J6" s="108"/>
      <c r="K6" s="109"/>
    </row>
    <row r="7" spans="1:11">
      <c r="A7" s="90">
        <v>43257</v>
      </c>
      <c r="B7" s="91">
        <v>43622</v>
      </c>
      <c r="C7" s="92" t="s">
        <v>726</v>
      </c>
      <c r="D7" s="93" t="s">
        <v>61</v>
      </c>
      <c r="E7" s="92" t="s">
        <v>438</v>
      </c>
      <c r="F7" s="146">
        <v>1086.6199999999999</v>
      </c>
      <c r="G7" s="94">
        <v>0.2</v>
      </c>
      <c r="H7" s="95">
        <v>199.93</v>
      </c>
      <c r="I7" s="159"/>
      <c r="J7" s="108"/>
      <c r="K7" s="109"/>
    </row>
    <row r="8" spans="1:11">
      <c r="A8" s="22">
        <v>43259</v>
      </c>
      <c r="B8" s="26">
        <v>43620</v>
      </c>
      <c r="C8" s="13" t="s">
        <v>727</v>
      </c>
      <c r="D8" s="14" t="s">
        <v>14</v>
      </c>
      <c r="E8" s="13" t="s">
        <v>10</v>
      </c>
      <c r="F8" s="145">
        <v>1399.53</v>
      </c>
      <c r="G8" s="56">
        <v>0.13</v>
      </c>
      <c r="H8" s="87">
        <v>167.38</v>
      </c>
      <c r="I8" s="158"/>
      <c r="J8" s="108"/>
      <c r="K8" s="109"/>
    </row>
    <row r="9" spans="1:11">
      <c r="A9" s="85">
        <v>43262</v>
      </c>
      <c r="B9" s="26">
        <v>43627</v>
      </c>
      <c r="C9" s="13" t="s">
        <v>728</v>
      </c>
      <c r="D9" s="14" t="s">
        <v>112</v>
      </c>
      <c r="E9" s="13" t="s">
        <v>279</v>
      </c>
      <c r="F9" s="145">
        <v>1714.83</v>
      </c>
      <c r="G9" s="56">
        <v>0.13</v>
      </c>
      <c r="H9" s="87">
        <v>205.09</v>
      </c>
      <c r="I9" s="158"/>
      <c r="J9" s="108"/>
      <c r="K9" s="109"/>
    </row>
    <row r="10" spans="1:11">
      <c r="A10" s="85">
        <v>43263</v>
      </c>
      <c r="B10" s="26">
        <v>43628</v>
      </c>
      <c r="C10" s="306" t="s">
        <v>561</v>
      </c>
      <c r="D10" s="14" t="s">
        <v>14</v>
      </c>
      <c r="E10" s="13" t="s">
        <v>143</v>
      </c>
      <c r="F10" s="145">
        <v>2245.06</v>
      </c>
      <c r="G10" s="56">
        <v>0.2</v>
      </c>
      <c r="H10" s="87">
        <v>413.09</v>
      </c>
      <c r="I10" s="158"/>
      <c r="J10" s="108"/>
      <c r="K10" s="109"/>
    </row>
    <row r="11" spans="1:11">
      <c r="A11" s="85">
        <v>43264</v>
      </c>
      <c r="B11" s="26">
        <v>43630</v>
      </c>
      <c r="C11" s="13" t="s">
        <v>48</v>
      </c>
      <c r="D11" s="14" t="s">
        <v>25</v>
      </c>
      <c r="E11" s="13" t="s">
        <v>22</v>
      </c>
      <c r="F11" s="145">
        <v>1668.56</v>
      </c>
      <c r="G11" s="56">
        <v>0.21</v>
      </c>
      <c r="H11" s="87">
        <v>322.36</v>
      </c>
      <c r="I11" s="158"/>
      <c r="J11" s="108"/>
      <c r="K11" s="109"/>
    </row>
    <row r="12" spans="1:11">
      <c r="A12" s="85">
        <v>43264</v>
      </c>
      <c r="B12" s="26">
        <v>43632</v>
      </c>
      <c r="C12" s="13" t="s">
        <v>729</v>
      </c>
      <c r="D12" s="14" t="s">
        <v>149</v>
      </c>
      <c r="E12" s="13" t="s">
        <v>22</v>
      </c>
      <c r="F12" s="145">
        <v>937.85</v>
      </c>
      <c r="G12" s="56">
        <v>0.11</v>
      </c>
      <c r="H12" s="87">
        <v>94.91</v>
      </c>
      <c r="I12" s="158"/>
      <c r="J12" s="108"/>
      <c r="K12" s="109"/>
    </row>
    <row r="13" spans="1:11">
      <c r="A13" s="85">
        <v>43266</v>
      </c>
      <c r="B13" s="26">
        <v>43631</v>
      </c>
      <c r="C13" s="306" t="s">
        <v>730</v>
      </c>
      <c r="D13" s="14" t="s">
        <v>9</v>
      </c>
      <c r="E13" s="13" t="s">
        <v>10</v>
      </c>
      <c r="F13" s="145">
        <v>1683.08</v>
      </c>
      <c r="G13" s="56">
        <v>0.1</v>
      </c>
      <c r="H13" s="87">
        <v>154.84</v>
      </c>
      <c r="I13" s="158"/>
      <c r="J13" s="108"/>
      <c r="K13" s="109"/>
    </row>
    <row r="14" spans="1:11">
      <c r="A14" s="85">
        <v>43266</v>
      </c>
      <c r="B14" s="26">
        <v>43631</v>
      </c>
      <c r="C14" s="13" t="s">
        <v>731</v>
      </c>
      <c r="D14" s="14" t="s">
        <v>14</v>
      </c>
      <c r="E14" s="13" t="s">
        <v>22</v>
      </c>
      <c r="F14" s="145">
        <v>1653.32</v>
      </c>
      <c r="G14" s="56">
        <v>0.2</v>
      </c>
      <c r="H14" s="87">
        <v>304.20999999999998</v>
      </c>
      <c r="I14" s="158"/>
      <c r="J14" s="108"/>
      <c r="K14" s="109"/>
    </row>
    <row r="15" spans="1:11">
      <c r="A15" s="85">
        <v>43270</v>
      </c>
      <c r="B15" s="26">
        <v>43636</v>
      </c>
      <c r="C15" s="13" t="s">
        <v>63</v>
      </c>
      <c r="D15" s="14" t="s">
        <v>25</v>
      </c>
      <c r="E15" s="13" t="s">
        <v>10</v>
      </c>
      <c r="F15" s="145">
        <v>839.01</v>
      </c>
      <c r="G15" s="56">
        <v>0.18</v>
      </c>
      <c r="H15" s="87">
        <v>138.94</v>
      </c>
      <c r="I15" s="158"/>
      <c r="J15" s="108"/>
      <c r="K15" s="109"/>
    </row>
    <row r="16" spans="1:11">
      <c r="A16" s="85">
        <v>43181</v>
      </c>
      <c r="B16" s="26">
        <v>43639</v>
      </c>
      <c r="C16" s="13" t="s">
        <v>732</v>
      </c>
      <c r="D16" s="14" t="s">
        <v>448</v>
      </c>
      <c r="E16" s="13" t="s">
        <v>19</v>
      </c>
      <c r="F16" s="145">
        <v>2190.5100000000002</v>
      </c>
      <c r="G16" s="56">
        <v>0.1</v>
      </c>
      <c r="H16" s="87">
        <v>201.52</v>
      </c>
      <c r="I16" s="158"/>
      <c r="J16" s="108"/>
      <c r="K16" s="109"/>
    </row>
    <row r="17" spans="1:11">
      <c r="A17" s="22">
        <v>43273</v>
      </c>
      <c r="B17" s="26">
        <v>43638</v>
      </c>
      <c r="C17" s="13" t="s">
        <v>733</v>
      </c>
      <c r="D17" s="14" t="s">
        <v>61</v>
      </c>
      <c r="E17" s="13" t="s">
        <v>75</v>
      </c>
      <c r="F17" s="145">
        <v>883.38</v>
      </c>
      <c r="G17" s="56">
        <v>0.22</v>
      </c>
      <c r="H17" s="87">
        <v>178.79</v>
      </c>
      <c r="I17" s="158"/>
      <c r="J17" s="108"/>
      <c r="K17" s="109"/>
    </row>
    <row r="18" spans="1:11">
      <c r="A18" s="22">
        <v>43278</v>
      </c>
      <c r="B18" s="26">
        <v>43643</v>
      </c>
      <c r="C18" s="13" t="s">
        <v>318</v>
      </c>
      <c r="D18" s="14" t="s">
        <v>713</v>
      </c>
      <c r="E18" s="13" t="s">
        <v>75</v>
      </c>
      <c r="F18" s="145">
        <v>2077.1</v>
      </c>
      <c r="G18" s="56">
        <v>0.1</v>
      </c>
      <c r="H18" s="87">
        <v>191.09</v>
      </c>
      <c r="I18" s="158"/>
      <c r="J18" s="108"/>
      <c r="K18" s="109"/>
    </row>
    <row r="19" spans="1:11">
      <c r="A19" s="90">
        <v>43279</v>
      </c>
      <c r="B19" s="91">
        <v>43645</v>
      </c>
      <c r="C19" s="92" t="s">
        <v>329</v>
      </c>
      <c r="D19" s="93" t="s">
        <v>25</v>
      </c>
      <c r="E19" s="92" t="s">
        <v>723</v>
      </c>
      <c r="F19" s="146">
        <v>1408.38</v>
      </c>
      <c r="G19" s="94">
        <v>0.25</v>
      </c>
      <c r="H19" s="95">
        <v>323.92</v>
      </c>
      <c r="I19" s="159"/>
      <c r="J19" s="108"/>
      <c r="K19" s="109"/>
    </row>
    <row r="20" spans="1:11">
      <c r="A20" s="90">
        <v>43280</v>
      </c>
      <c r="B20" s="91">
        <v>43645</v>
      </c>
      <c r="C20" s="92" t="s">
        <v>52</v>
      </c>
      <c r="D20" s="93" t="s">
        <v>14</v>
      </c>
      <c r="E20" s="92" t="s">
        <v>723</v>
      </c>
      <c r="F20" s="146">
        <v>1704.17</v>
      </c>
      <c r="G20" s="94">
        <v>0.2</v>
      </c>
      <c r="H20" s="95">
        <v>313.56</v>
      </c>
      <c r="I20" s="159"/>
      <c r="J20" s="108"/>
      <c r="K20" s="109"/>
    </row>
    <row r="21" spans="1:11">
      <c r="A21" s="90">
        <v>43280</v>
      </c>
      <c r="B21" s="91">
        <v>43645</v>
      </c>
      <c r="C21" s="92" t="s">
        <v>52</v>
      </c>
      <c r="D21" s="93" t="s">
        <v>14</v>
      </c>
      <c r="E21" s="92" t="s">
        <v>22</v>
      </c>
      <c r="F21" s="146">
        <v>2258.5</v>
      </c>
      <c r="G21" s="94">
        <v>0.16</v>
      </c>
      <c r="H21" s="95">
        <v>332.45</v>
      </c>
      <c r="I21" s="159"/>
      <c r="J21" s="108"/>
      <c r="K21" s="109"/>
    </row>
    <row r="22" spans="1:11">
      <c r="A22" s="90"/>
      <c r="B22" s="91"/>
      <c r="C22" s="92"/>
      <c r="D22" s="93"/>
      <c r="E22" s="92"/>
      <c r="F22" s="146"/>
      <c r="G22" s="94"/>
      <c r="H22" s="95"/>
      <c r="I22" s="159"/>
      <c r="J22" s="108"/>
      <c r="K22" s="109"/>
    </row>
    <row r="23" spans="1:11">
      <c r="A23" s="90"/>
      <c r="B23" s="91"/>
      <c r="C23" s="92"/>
      <c r="D23" s="93"/>
      <c r="E23" s="92"/>
      <c r="F23" s="146"/>
      <c r="G23" s="94"/>
      <c r="H23" s="95"/>
      <c r="I23" s="159"/>
      <c r="J23" s="108"/>
      <c r="K23" s="109"/>
    </row>
    <row r="24" spans="1:11">
      <c r="A24" s="90"/>
      <c r="B24" s="91"/>
      <c r="C24" s="137"/>
      <c r="D24" s="93"/>
      <c r="E24" s="92"/>
      <c r="F24" s="146"/>
      <c r="G24" s="94"/>
      <c r="H24" s="95"/>
      <c r="I24" s="159"/>
      <c r="J24" s="108"/>
      <c r="K24" s="109"/>
    </row>
    <row r="25" spans="1:11">
      <c r="A25" s="90"/>
      <c r="B25" s="91"/>
      <c r="C25" s="92"/>
      <c r="D25" s="93"/>
      <c r="E25" s="92"/>
      <c r="F25" s="146"/>
      <c r="G25" s="94"/>
      <c r="H25" s="95"/>
      <c r="I25" s="159"/>
      <c r="J25" s="108"/>
      <c r="K25" s="109"/>
    </row>
    <row r="26" spans="1:11">
      <c r="A26" s="90"/>
      <c r="B26" s="91"/>
      <c r="C26" s="139"/>
      <c r="D26" s="93"/>
      <c r="E26" s="92"/>
      <c r="F26" s="146"/>
      <c r="G26" s="94"/>
      <c r="H26" s="95"/>
      <c r="I26" s="159"/>
      <c r="J26" s="108"/>
      <c r="K26" s="109"/>
    </row>
    <row r="27" spans="1:11">
      <c r="A27" s="90"/>
      <c r="B27" s="91"/>
      <c r="C27" s="140"/>
      <c r="D27" s="93"/>
      <c r="E27" s="92"/>
      <c r="F27" s="146"/>
      <c r="G27" s="94"/>
      <c r="H27" s="95"/>
      <c r="I27" s="159"/>
      <c r="J27" s="108"/>
      <c r="K27" s="109"/>
    </row>
    <row r="28" spans="1:11">
      <c r="A28" s="90"/>
      <c r="B28" s="91"/>
      <c r="C28" s="92"/>
      <c r="D28" s="93"/>
      <c r="E28" s="92"/>
      <c r="F28" s="146"/>
      <c r="G28" s="94"/>
      <c r="H28" s="95"/>
      <c r="I28" s="159"/>
      <c r="J28" s="108"/>
      <c r="K28" s="109"/>
    </row>
    <row r="29" spans="1:11">
      <c r="A29" s="90"/>
      <c r="B29" s="91"/>
      <c r="C29" s="92"/>
      <c r="D29" s="93"/>
      <c r="E29" s="92"/>
      <c r="F29" s="146"/>
      <c r="G29" s="94"/>
      <c r="H29" s="95"/>
      <c r="I29" s="160"/>
      <c r="J29" s="108"/>
      <c r="K29" s="109"/>
    </row>
    <row r="30" spans="1:11" ht="19.5">
      <c r="A30" s="673"/>
      <c r="B30" s="674"/>
      <c r="C30" s="674"/>
      <c r="D30" s="674"/>
      <c r="E30" s="674"/>
      <c r="F30" s="147">
        <f>SUM(F2:F29)</f>
        <v>31903.049999999996</v>
      </c>
      <c r="G30" s="143"/>
      <c r="H30" s="129">
        <f>SUM(H2:H29)</f>
        <v>4867.0600000000004</v>
      </c>
      <c r="I30" s="107">
        <f>SUM(I2:I29)</f>
        <v>57.54</v>
      </c>
    </row>
    <row r="33" spans="4:4">
      <c r="D33" s="138"/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K39"/>
  <sheetViews>
    <sheetView workbookViewId="0"/>
  </sheetViews>
  <sheetFormatPr defaultRowHeight="15"/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31">
        <v>43276</v>
      </c>
      <c r="B2" s="32">
        <v>43651</v>
      </c>
      <c r="C2" s="32" t="s">
        <v>734</v>
      </c>
      <c r="D2" s="8" t="s">
        <v>14</v>
      </c>
      <c r="E2" s="7" t="s">
        <v>22</v>
      </c>
      <c r="F2" s="144">
        <v>2574.54</v>
      </c>
      <c r="G2" s="55">
        <v>0.14000000000000001</v>
      </c>
      <c r="H2" s="65">
        <v>331.6</v>
      </c>
      <c r="I2" s="157"/>
      <c r="J2" s="108"/>
      <c r="K2" s="109"/>
    </row>
    <row r="3" spans="1:11">
      <c r="A3" s="31">
        <v>43277</v>
      </c>
      <c r="B3" s="32">
        <v>43648</v>
      </c>
      <c r="C3" s="7" t="s">
        <v>735</v>
      </c>
      <c r="D3" s="8" t="s">
        <v>25</v>
      </c>
      <c r="E3" s="7" t="s">
        <v>22</v>
      </c>
      <c r="F3" s="144">
        <v>1134.93</v>
      </c>
      <c r="G3" s="55">
        <v>0.25</v>
      </c>
      <c r="H3" s="87">
        <v>261.02999999999997</v>
      </c>
      <c r="I3" s="158"/>
      <c r="J3" s="108"/>
      <c r="K3" s="109"/>
    </row>
    <row r="4" spans="1:11">
      <c r="A4" s="22">
        <v>43283</v>
      </c>
      <c r="B4" s="26">
        <v>43648</v>
      </c>
      <c r="C4" s="13" t="s">
        <v>72</v>
      </c>
      <c r="D4" s="14" t="s">
        <v>14</v>
      </c>
      <c r="E4" s="13" t="s">
        <v>10</v>
      </c>
      <c r="F4" s="145">
        <v>1611.71</v>
      </c>
      <c r="G4" s="56">
        <v>0.2</v>
      </c>
      <c r="H4" s="87">
        <v>296.55</v>
      </c>
      <c r="I4" s="158"/>
      <c r="J4" s="108"/>
      <c r="K4" s="109"/>
    </row>
    <row r="5" spans="1:11">
      <c r="A5" s="22">
        <v>43284</v>
      </c>
      <c r="B5" s="26">
        <v>43653</v>
      </c>
      <c r="C5" s="13" t="s">
        <v>47</v>
      </c>
      <c r="D5" s="14" t="s">
        <v>61</v>
      </c>
      <c r="E5" s="13" t="s">
        <v>10</v>
      </c>
      <c r="F5" s="145">
        <v>1559.7</v>
      </c>
      <c r="G5" s="56">
        <v>0.13</v>
      </c>
      <c r="H5" s="87">
        <v>186.54</v>
      </c>
      <c r="I5" s="158"/>
      <c r="J5" s="108"/>
      <c r="K5" s="109"/>
    </row>
    <row r="6" spans="1:11">
      <c r="A6" s="22">
        <v>43285</v>
      </c>
      <c r="B6" s="26">
        <v>43653</v>
      </c>
      <c r="C6" s="13" t="s">
        <v>77</v>
      </c>
      <c r="D6" s="14" t="s">
        <v>61</v>
      </c>
      <c r="E6" s="161" t="s">
        <v>10</v>
      </c>
      <c r="F6" s="145">
        <v>986.18</v>
      </c>
      <c r="G6" s="56">
        <v>0.1</v>
      </c>
      <c r="H6" s="87">
        <v>90.72</v>
      </c>
      <c r="I6" s="158"/>
      <c r="J6" s="108"/>
      <c r="K6" s="109"/>
    </row>
    <row r="7" spans="1:11">
      <c r="A7" s="90">
        <v>43286</v>
      </c>
      <c r="B7" s="91">
        <v>43649</v>
      </c>
      <c r="C7" s="92" t="s">
        <v>308</v>
      </c>
      <c r="D7" s="93" t="s">
        <v>21</v>
      </c>
      <c r="E7" s="92" t="s">
        <v>362</v>
      </c>
      <c r="F7" s="146">
        <v>907.98</v>
      </c>
      <c r="G7" s="94">
        <v>0.21</v>
      </c>
      <c r="H7" s="95">
        <v>175.42</v>
      </c>
      <c r="I7" s="159"/>
      <c r="J7" s="108"/>
      <c r="K7" s="109"/>
    </row>
    <row r="8" spans="1:11">
      <c r="A8" s="22">
        <v>43290</v>
      </c>
      <c r="B8" s="26">
        <v>43625</v>
      </c>
      <c r="C8" s="13" t="s">
        <v>79</v>
      </c>
      <c r="D8" s="14" t="s">
        <v>254</v>
      </c>
      <c r="E8" s="13" t="s">
        <v>17</v>
      </c>
      <c r="F8" s="145">
        <v>1187.8</v>
      </c>
      <c r="G8" s="56">
        <v>0.19</v>
      </c>
      <c r="H8" s="87">
        <v>207.62</v>
      </c>
      <c r="I8" s="158"/>
      <c r="J8" s="108"/>
      <c r="K8" s="109"/>
    </row>
    <row r="9" spans="1:11">
      <c r="A9" s="85">
        <v>43291</v>
      </c>
      <c r="B9" s="26">
        <v>43652</v>
      </c>
      <c r="C9" s="13" t="s">
        <v>736</v>
      </c>
      <c r="D9" s="14" t="s">
        <v>448</v>
      </c>
      <c r="E9" s="13" t="s">
        <v>22</v>
      </c>
      <c r="F9" s="145">
        <v>2217.6999999999998</v>
      </c>
      <c r="G9" s="56">
        <v>0.1</v>
      </c>
      <c r="H9" s="87">
        <v>204.02</v>
      </c>
      <c r="I9" s="158"/>
      <c r="J9" s="108"/>
      <c r="K9" s="109"/>
    </row>
    <row r="10" spans="1:11">
      <c r="A10" s="85">
        <v>43291</v>
      </c>
      <c r="B10" s="26">
        <v>43654</v>
      </c>
      <c r="C10" s="13" t="s">
        <v>421</v>
      </c>
      <c r="D10" s="14" t="s">
        <v>14</v>
      </c>
      <c r="E10" s="13" t="s">
        <v>10</v>
      </c>
      <c r="F10" s="145">
        <v>1046.6300000000001</v>
      </c>
      <c r="G10" s="56">
        <v>0.14000000000000001</v>
      </c>
      <c r="H10" s="87">
        <v>134.80000000000001</v>
      </c>
      <c r="I10" s="158"/>
      <c r="J10" s="108"/>
      <c r="K10" s="109"/>
    </row>
    <row r="11" spans="1:11">
      <c r="A11" s="85">
        <v>43291</v>
      </c>
      <c r="B11" s="26">
        <v>43656</v>
      </c>
      <c r="C11" s="13" t="s">
        <v>737</v>
      </c>
      <c r="D11" s="14" t="s">
        <v>9</v>
      </c>
      <c r="E11" s="13" t="s">
        <v>362</v>
      </c>
      <c r="F11" s="145">
        <v>938.44</v>
      </c>
      <c r="G11" s="56">
        <v>0.25</v>
      </c>
      <c r="H11" s="87">
        <v>215.84</v>
      </c>
      <c r="I11" s="158"/>
      <c r="J11" s="108"/>
      <c r="K11" s="109"/>
    </row>
    <row r="12" spans="1:11">
      <c r="A12" s="85">
        <v>43293</v>
      </c>
      <c r="B12" s="26">
        <v>43657</v>
      </c>
      <c r="C12" s="13" t="s">
        <v>738</v>
      </c>
      <c r="D12" s="14" t="s">
        <v>14</v>
      </c>
      <c r="E12" s="13" t="s">
        <v>22</v>
      </c>
      <c r="F12" s="145">
        <v>1180.49</v>
      </c>
      <c r="G12" s="56">
        <v>0.14000000000000001</v>
      </c>
      <c r="H12" s="87">
        <v>152.04</v>
      </c>
      <c r="I12" s="158"/>
      <c r="J12" s="108"/>
      <c r="K12" s="109"/>
    </row>
    <row r="13" spans="1:11">
      <c r="A13" s="85">
        <v>43293</v>
      </c>
      <c r="B13" s="26">
        <v>43658</v>
      </c>
      <c r="C13" s="13" t="s">
        <v>739</v>
      </c>
      <c r="D13" s="14" t="s">
        <v>70</v>
      </c>
      <c r="E13" s="13" t="s">
        <v>22</v>
      </c>
      <c r="F13" s="145">
        <v>1038.3399999999999</v>
      </c>
      <c r="G13" s="56">
        <v>0.24</v>
      </c>
      <c r="H13" s="87">
        <v>229.26</v>
      </c>
      <c r="I13" s="158"/>
      <c r="J13" s="108"/>
      <c r="K13" s="109"/>
    </row>
    <row r="14" spans="1:11">
      <c r="A14" s="85">
        <v>43293</v>
      </c>
      <c r="B14" s="26">
        <v>43661</v>
      </c>
      <c r="C14" s="13" t="s">
        <v>314</v>
      </c>
      <c r="D14" s="14" t="s">
        <v>14</v>
      </c>
      <c r="E14" s="13" t="s">
        <v>17</v>
      </c>
      <c r="F14" s="145">
        <v>1112.8</v>
      </c>
      <c r="G14" s="56">
        <v>0.16</v>
      </c>
      <c r="H14" s="87">
        <v>163.80000000000001</v>
      </c>
      <c r="I14" s="158"/>
      <c r="J14" s="108"/>
      <c r="K14" s="109"/>
    </row>
    <row r="15" spans="1:11">
      <c r="A15" s="202">
        <v>43293</v>
      </c>
      <c r="B15" s="179">
        <v>43658</v>
      </c>
      <c r="C15" s="180" t="s">
        <v>740</v>
      </c>
      <c r="D15" s="181" t="s">
        <v>448</v>
      </c>
      <c r="E15" s="180" t="s">
        <v>469</v>
      </c>
      <c r="F15" s="182" t="s">
        <v>741</v>
      </c>
      <c r="G15" s="183" t="s">
        <v>454</v>
      </c>
      <c r="H15" s="184">
        <v>150</v>
      </c>
      <c r="I15" s="185"/>
      <c r="J15" s="205"/>
      <c r="K15" s="206"/>
    </row>
    <row r="16" spans="1:11">
      <c r="A16" s="22">
        <v>43294</v>
      </c>
      <c r="B16" s="26">
        <v>43661</v>
      </c>
      <c r="C16" s="13" t="s">
        <v>520</v>
      </c>
      <c r="D16" s="14" t="s">
        <v>14</v>
      </c>
      <c r="E16" s="13" t="s">
        <v>15</v>
      </c>
      <c r="F16" s="145">
        <v>3346.83</v>
      </c>
      <c r="G16" s="56">
        <v>0.13</v>
      </c>
      <c r="H16" s="87">
        <v>400.28</v>
      </c>
      <c r="I16" s="158"/>
      <c r="J16" s="108"/>
      <c r="K16" s="109"/>
    </row>
    <row r="17" spans="1:11">
      <c r="A17" s="22">
        <v>43294</v>
      </c>
      <c r="B17" s="26">
        <v>43661</v>
      </c>
      <c r="C17" s="13" t="s">
        <v>425</v>
      </c>
      <c r="D17" s="14" t="s">
        <v>14</v>
      </c>
      <c r="E17" s="13" t="s">
        <v>75</v>
      </c>
      <c r="F17" s="145">
        <v>2696.5</v>
      </c>
      <c r="G17" s="56">
        <v>0.1</v>
      </c>
      <c r="H17" s="87">
        <v>248.07</v>
      </c>
      <c r="I17" s="158"/>
      <c r="J17" s="108"/>
      <c r="K17" s="109"/>
    </row>
    <row r="18" spans="1:11">
      <c r="A18" s="90">
        <v>43294</v>
      </c>
      <c r="B18" s="91">
        <v>43659</v>
      </c>
      <c r="C18" s="92" t="s">
        <v>742</v>
      </c>
      <c r="D18" s="93" t="s">
        <v>14</v>
      </c>
      <c r="E18" s="92" t="s">
        <v>15</v>
      </c>
      <c r="F18" s="146">
        <v>1948.7</v>
      </c>
      <c r="G18" s="94">
        <v>0.1</v>
      </c>
      <c r="H18" s="95">
        <v>179.28</v>
      </c>
      <c r="I18" s="159"/>
      <c r="J18" s="108"/>
      <c r="K18" s="109"/>
    </row>
    <row r="19" spans="1:11">
      <c r="A19" s="90">
        <v>43297</v>
      </c>
      <c r="B19" s="91">
        <v>43659</v>
      </c>
      <c r="C19" s="92" t="s">
        <v>743</v>
      </c>
      <c r="D19" s="93" t="s">
        <v>25</v>
      </c>
      <c r="E19" s="92" t="s">
        <v>22</v>
      </c>
      <c r="F19" s="146">
        <v>1261.72</v>
      </c>
      <c r="G19" s="94">
        <v>0.1</v>
      </c>
      <c r="H19" s="95">
        <v>116.07</v>
      </c>
      <c r="I19" s="159"/>
      <c r="J19" s="108"/>
      <c r="K19" s="109"/>
    </row>
    <row r="20" spans="1:11">
      <c r="A20" s="90">
        <v>43298</v>
      </c>
      <c r="B20" s="91">
        <v>43663</v>
      </c>
      <c r="C20" s="92" t="s">
        <v>744</v>
      </c>
      <c r="D20" s="93" t="s">
        <v>61</v>
      </c>
      <c r="E20" s="92" t="s">
        <v>75</v>
      </c>
      <c r="F20" s="146">
        <v>2081.7600000000002</v>
      </c>
      <c r="G20" s="156">
        <v>0.1</v>
      </c>
      <c r="H20" s="95">
        <v>191.52</v>
      </c>
      <c r="I20" s="159"/>
      <c r="J20" s="108"/>
      <c r="K20" s="109"/>
    </row>
    <row r="21" spans="1:11">
      <c r="A21" s="90">
        <v>43298</v>
      </c>
      <c r="B21" s="91">
        <v>43663</v>
      </c>
      <c r="C21" s="92" t="s">
        <v>745</v>
      </c>
      <c r="D21" s="93" t="s">
        <v>448</v>
      </c>
      <c r="E21" s="92" t="s">
        <v>19</v>
      </c>
      <c r="F21" s="146">
        <v>2907.06</v>
      </c>
      <c r="G21" s="94">
        <v>0.1</v>
      </c>
      <c r="H21" s="95">
        <v>267.44</v>
      </c>
      <c r="I21" s="159"/>
      <c r="J21" s="108"/>
      <c r="K21" s="109"/>
    </row>
    <row r="22" spans="1:11">
      <c r="A22" s="90">
        <v>43301</v>
      </c>
      <c r="B22" s="91">
        <v>43666</v>
      </c>
      <c r="C22" s="92" t="s">
        <v>306</v>
      </c>
      <c r="D22" s="93" t="s">
        <v>61</v>
      </c>
      <c r="E22" s="92" t="s">
        <v>29</v>
      </c>
      <c r="F22" s="146">
        <v>1846.89</v>
      </c>
      <c r="G22" s="94">
        <v>0.1</v>
      </c>
      <c r="H22" s="95">
        <v>169.91</v>
      </c>
      <c r="I22" s="159"/>
      <c r="J22" s="108"/>
      <c r="K22" s="109"/>
    </row>
    <row r="23" spans="1:11">
      <c r="A23" s="90">
        <v>43303</v>
      </c>
      <c r="B23" s="91">
        <v>43668</v>
      </c>
      <c r="C23" s="92" t="s">
        <v>87</v>
      </c>
      <c r="D23" s="93" t="s">
        <v>33</v>
      </c>
      <c r="E23" s="92" t="s">
        <v>22</v>
      </c>
      <c r="F23" s="146">
        <v>1037.3900000000001</v>
      </c>
      <c r="G23" s="94">
        <v>0.23</v>
      </c>
      <c r="H23" s="95">
        <v>238.59</v>
      </c>
      <c r="I23" s="159"/>
      <c r="J23" s="108"/>
      <c r="K23" s="109"/>
    </row>
    <row r="24" spans="1:11">
      <c r="A24" s="90">
        <v>43304</v>
      </c>
      <c r="B24" s="91">
        <v>43665</v>
      </c>
      <c r="C24" s="92" t="s">
        <v>427</v>
      </c>
      <c r="D24" s="93" t="s">
        <v>9</v>
      </c>
      <c r="E24" s="92" t="s">
        <v>10</v>
      </c>
      <c r="F24" s="146">
        <v>1396.62</v>
      </c>
      <c r="G24" s="94">
        <v>0.1</v>
      </c>
      <c r="H24" s="95">
        <v>128.47999999999999</v>
      </c>
      <c r="I24" s="159"/>
      <c r="J24" s="108"/>
      <c r="K24" s="109"/>
    </row>
    <row r="25" spans="1:11">
      <c r="A25" s="90">
        <v>43305</v>
      </c>
      <c r="B25" s="91">
        <v>43663</v>
      </c>
      <c r="C25" s="92" t="s">
        <v>320</v>
      </c>
      <c r="D25" s="93" t="s">
        <v>9</v>
      </c>
      <c r="E25" s="92" t="s">
        <v>10</v>
      </c>
      <c r="F25" s="146">
        <v>766.5</v>
      </c>
      <c r="G25" s="94">
        <v>0.21</v>
      </c>
      <c r="H25" s="95">
        <v>148.08000000000001</v>
      </c>
      <c r="I25" s="159"/>
      <c r="J25" s="108"/>
      <c r="K25" s="109"/>
    </row>
    <row r="26" spans="1:11">
      <c r="A26" s="90">
        <v>43305</v>
      </c>
      <c r="B26" s="91">
        <v>43668</v>
      </c>
      <c r="C26" s="137" t="s">
        <v>572</v>
      </c>
      <c r="D26" s="93" t="s">
        <v>14</v>
      </c>
      <c r="E26" s="92" t="s">
        <v>22</v>
      </c>
      <c r="F26" s="146">
        <v>2108.5300000000002</v>
      </c>
      <c r="G26" s="94">
        <v>0.14000000000000001</v>
      </c>
      <c r="H26" s="95">
        <v>271.44</v>
      </c>
      <c r="I26" s="159"/>
      <c r="J26" s="108"/>
      <c r="K26" s="109"/>
    </row>
    <row r="27" spans="1:11">
      <c r="A27" s="90">
        <v>43306</v>
      </c>
      <c r="B27" s="91">
        <v>43673</v>
      </c>
      <c r="C27" s="92" t="s">
        <v>746</v>
      </c>
      <c r="D27" s="93" t="s">
        <v>61</v>
      </c>
      <c r="E27" s="92" t="s">
        <v>10</v>
      </c>
      <c r="F27" s="146">
        <v>1478.29</v>
      </c>
      <c r="G27" s="94">
        <v>0.1</v>
      </c>
      <c r="H27" s="95">
        <v>136</v>
      </c>
      <c r="I27" s="159"/>
      <c r="J27" s="108"/>
      <c r="K27" s="109"/>
    </row>
    <row r="28" spans="1:11">
      <c r="A28" s="90">
        <v>43307</v>
      </c>
      <c r="B28" s="91">
        <v>43674</v>
      </c>
      <c r="C28" s="139" t="s">
        <v>747</v>
      </c>
      <c r="D28" s="93" t="s">
        <v>14</v>
      </c>
      <c r="E28" s="92" t="s">
        <v>15</v>
      </c>
      <c r="F28" s="146">
        <v>1953.66</v>
      </c>
      <c r="G28" s="94">
        <v>0.15</v>
      </c>
      <c r="H28" s="95">
        <v>269.60000000000002</v>
      </c>
      <c r="I28" s="159"/>
      <c r="J28" s="108"/>
      <c r="K28" s="109"/>
    </row>
    <row r="29" spans="1:11">
      <c r="A29" s="90">
        <v>43307</v>
      </c>
      <c r="B29" s="91">
        <v>43672</v>
      </c>
      <c r="C29" s="140" t="s">
        <v>324</v>
      </c>
      <c r="D29" s="93" t="s">
        <v>61</v>
      </c>
      <c r="E29" s="92" t="s">
        <v>362</v>
      </c>
      <c r="F29" s="146">
        <v>1249.45</v>
      </c>
      <c r="G29" s="94">
        <v>0.21</v>
      </c>
      <c r="H29" s="95">
        <v>241.39</v>
      </c>
      <c r="I29" s="159"/>
      <c r="J29" s="108"/>
      <c r="K29" s="109"/>
    </row>
    <row r="30" spans="1:11">
      <c r="A30" s="90">
        <v>43307</v>
      </c>
      <c r="B30" s="91">
        <v>43673</v>
      </c>
      <c r="C30" s="92" t="s">
        <v>748</v>
      </c>
      <c r="D30" s="93" t="s">
        <v>9</v>
      </c>
      <c r="E30" s="92" t="s">
        <v>22</v>
      </c>
      <c r="F30" s="146">
        <v>1888.04</v>
      </c>
      <c r="G30" s="94">
        <v>0.25</v>
      </c>
      <c r="H30" s="95">
        <v>434.24</v>
      </c>
      <c r="I30" s="159"/>
      <c r="J30" s="108"/>
      <c r="K30" s="109"/>
    </row>
    <row r="31" spans="1:11">
      <c r="A31" s="90">
        <v>43308</v>
      </c>
      <c r="B31" s="91">
        <v>43674</v>
      </c>
      <c r="C31" s="92" t="s">
        <v>91</v>
      </c>
      <c r="D31" s="93" t="s">
        <v>9</v>
      </c>
      <c r="E31" s="92" t="s">
        <v>10</v>
      </c>
      <c r="F31" s="146">
        <v>1972.19</v>
      </c>
      <c r="G31" s="94">
        <v>0.1</v>
      </c>
      <c r="H31" s="95">
        <v>181.44</v>
      </c>
      <c r="I31" s="159"/>
      <c r="J31" s="108"/>
      <c r="K31" s="109"/>
    </row>
    <row r="32" spans="1:11">
      <c r="A32" s="90"/>
      <c r="B32" s="91"/>
      <c r="C32" s="92"/>
      <c r="D32" s="93"/>
      <c r="E32" s="92"/>
      <c r="F32" s="146"/>
      <c r="G32" s="94"/>
      <c r="H32" s="95"/>
      <c r="I32" s="159"/>
      <c r="J32" s="108"/>
      <c r="K32" s="109"/>
    </row>
    <row r="33" spans="1:11">
      <c r="A33" s="90"/>
      <c r="B33" s="91"/>
      <c r="C33" s="92"/>
      <c r="D33" s="93"/>
      <c r="E33" s="92"/>
      <c r="F33" s="146"/>
      <c r="G33" s="94"/>
      <c r="H33" s="95"/>
      <c r="I33" s="159"/>
      <c r="J33" s="108"/>
      <c r="K33" s="109"/>
    </row>
    <row r="34" spans="1:11">
      <c r="A34" s="90"/>
      <c r="B34" s="91"/>
      <c r="C34" s="92"/>
      <c r="D34" s="93"/>
      <c r="E34" s="92"/>
      <c r="F34" s="146"/>
      <c r="G34" s="94"/>
      <c r="H34" s="95"/>
      <c r="I34" s="159"/>
      <c r="J34" s="108"/>
      <c r="K34" s="109"/>
    </row>
    <row r="35" spans="1:11">
      <c r="A35" s="90"/>
      <c r="B35" s="91"/>
      <c r="C35" s="92"/>
      <c r="D35" s="93"/>
      <c r="E35" s="92"/>
      <c r="F35" s="146"/>
      <c r="G35" s="94"/>
      <c r="H35" s="95"/>
      <c r="I35" s="160"/>
      <c r="J35" s="108"/>
      <c r="K35" s="109"/>
    </row>
    <row r="36" spans="1:11" ht="19.5">
      <c r="A36" s="673"/>
      <c r="B36" s="674"/>
      <c r="C36" s="674"/>
      <c r="D36" s="674"/>
      <c r="E36" s="674"/>
      <c r="F36" s="147">
        <f>SUM(F2:F35)</f>
        <v>47437.37000000001</v>
      </c>
      <c r="G36" s="143"/>
      <c r="H36" s="129">
        <f>SUM(H2:H35)</f>
        <v>6421.0699999999988</v>
      </c>
      <c r="I36" s="107">
        <f>SUM(I2:I35)</f>
        <v>0</v>
      </c>
    </row>
    <row r="39" spans="1:11">
      <c r="D39" s="138"/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K38"/>
  <sheetViews>
    <sheetView workbookViewId="0"/>
  </sheetViews>
  <sheetFormatPr defaultRowHeight="15"/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31">
        <v>43312</v>
      </c>
      <c r="B2" s="32">
        <v>43678</v>
      </c>
      <c r="C2" s="335" t="s">
        <v>582</v>
      </c>
      <c r="D2" s="8" t="s">
        <v>9</v>
      </c>
      <c r="E2" s="7" t="s">
        <v>10</v>
      </c>
      <c r="F2" s="144">
        <v>1645.3</v>
      </c>
      <c r="G2" s="55">
        <v>0.12</v>
      </c>
      <c r="H2" s="65">
        <v>181.64</v>
      </c>
      <c r="I2" s="157"/>
      <c r="J2" s="108"/>
      <c r="K2" s="109"/>
    </row>
    <row r="3" spans="1:11">
      <c r="A3" s="31">
        <v>43313</v>
      </c>
      <c r="B3" s="32">
        <v>43678</v>
      </c>
      <c r="C3" s="336" t="s">
        <v>517</v>
      </c>
      <c r="D3" s="8" t="s">
        <v>25</v>
      </c>
      <c r="E3" s="7" t="s">
        <v>19</v>
      </c>
      <c r="F3" s="144">
        <v>1437.16</v>
      </c>
      <c r="G3" s="55">
        <v>0.16</v>
      </c>
      <c r="H3" s="87">
        <v>211.54</v>
      </c>
      <c r="I3" s="158"/>
      <c r="J3" s="108"/>
      <c r="K3" s="109"/>
    </row>
    <row r="4" spans="1:11">
      <c r="A4" s="22">
        <v>43332</v>
      </c>
      <c r="B4" s="26">
        <v>43679</v>
      </c>
      <c r="C4" s="172" t="s">
        <v>749</v>
      </c>
      <c r="D4" s="14" t="s">
        <v>14</v>
      </c>
      <c r="E4" s="13" t="s">
        <v>19</v>
      </c>
      <c r="F4" s="145">
        <v>1342.91</v>
      </c>
      <c r="G4" s="56">
        <v>0.18</v>
      </c>
      <c r="H4" s="87">
        <v>222.38</v>
      </c>
      <c r="I4" s="158">
        <v>111.19</v>
      </c>
      <c r="J4" s="108"/>
      <c r="K4" s="109"/>
    </row>
    <row r="5" spans="1:11">
      <c r="A5" s="22">
        <v>43315</v>
      </c>
      <c r="B5" s="26">
        <v>43682</v>
      </c>
      <c r="C5" s="172" t="s">
        <v>750</v>
      </c>
      <c r="D5" s="14" t="s">
        <v>9</v>
      </c>
      <c r="E5" s="13" t="s">
        <v>10</v>
      </c>
      <c r="F5" s="145">
        <v>1654.83</v>
      </c>
      <c r="G5" s="56">
        <v>0.1</v>
      </c>
      <c r="H5" s="87">
        <v>152.24</v>
      </c>
      <c r="I5" s="158"/>
      <c r="J5" s="108"/>
      <c r="K5" s="109"/>
    </row>
    <row r="6" spans="1:11">
      <c r="A6" s="203">
        <v>43315</v>
      </c>
      <c r="B6" s="197">
        <v>43680</v>
      </c>
      <c r="C6" s="198" t="s">
        <v>751</v>
      </c>
      <c r="D6" s="199" t="s">
        <v>61</v>
      </c>
      <c r="E6" s="204" t="s">
        <v>29</v>
      </c>
      <c r="F6" s="200">
        <v>2095.86</v>
      </c>
      <c r="G6" s="201">
        <v>0.16</v>
      </c>
      <c r="H6" s="194">
        <v>308.51</v>
      </c>
      <c r="I6" s="195"/>
      <c r="J6" s="361"/>
      <c r="K6" s="362"/>
    </row>
    <row r="7" spans="1:11">
      <c r="A7" s="90">
        <v>43319</v>
      </c>
      <c r="B7" s="91">
        <v>43684</v>
      </c>
      <c r="C7" s="168" t="s">
        <v>752</v>
      </c>
      <c r="D7" s="93" t="s">
        <v>9</v>
      </c>
      <c r="E7" s="92" t="s">
        <v>10</v>
      </c>
      <c r="F7" s="146">
        <v>1574.7</v>
      </c>
      <c r="G7" s="94">
        <v>0.16</v>
      </c>
      <c r="H7" s="95">
        <v>231.79</v>
      </c>
      <c r="I7" s="159"/>
      <c r="J7" s="108"/>
      <c r="K7" s="109"/>
    </row>
    <row r="8" spans="1:11">
      <c r="A8" s="22">
        <v>43319</v>
      </c>
      <c r="B8" s="26">
        <v>43684</v>
      </c>
      <c r="C8" s="172" t="s">
        <v>753</v>
      </c>
      <c r="D8" s="14" t="s">
        <v>70</v>
      </c>
      <c r="E8" s="13" t="s">
        <v>279</v>
      </c>
      <c r="F8" s="145">
        <v>821.27</v>
      </c>
      <c r="G8" s="56">
        <v>0.17</v>
      </c>
      <c r="H8" s="87">
        <v>128.44</v>
      </c>
      <c r="I8" s="158"/>
      <c r="J8" s="108"/>
      <c r="K8" s="109"/>
    </row>
    <row r="9" spans="1:11">
      <c r="A9" s="196">
        <v>43321</v>
      </c>
      <c r="B9" s="197">
        <v>43686</v>
      </c>
      <c r="C9" s="198" t="s">
        <v>754</v>
      </c>
      <c r="D9" s="199" t="s">
        <v>14</v>
      </c>
      <c r="E9" s="198" t="s">
        <v>10</v>
      </c>
      <c r="F9" s="200">
        <v>1369.42</v>
      </c>
      <c r="G9" s="201">
        <v>0.14000000000000001</v>
      </c>
      <c r="H9" s="194">
        <v>176.38</v>
      </c>
      <c r="I9" s="195"/>
      <c r="J9" s="361"/>
      <c r="K9" s="362"/>
    </row>
    <row r="10" spans="1:11">
      <c r="A10" s="85">
        <v>43321</v>
      </c>
      <c r="B10" s="26">
        <v>43689</v>
      </c>
      <c r="C10" s="172" t="s">
        <v>204</v>
      </c>
      <c r="D10" s="14" t="s">
        <v>14</v>
      </c>
      <c r="E10" s="13" t="s">
        <v>10</v>
      </c>
      <c r="F10" s="145">
        <v>946.92</v>
      </c>
      <c r="G10" s="56">
        <v>0.2</v>
      </c>
      <c r="H10" s="87">
        <v>174.23</v>
      </c>
      <c r="I10" s="158"/>
      <c r="J10" s="108"/>
      <c r="K10" s="109"/>
    </row>
    <row r="11" spans="1:11">
      <c r="A11" s="85">
        <v>43321</v>
      </c>
      <c r="B11" s="26">
        <v>43687</v>
      </c>
      <c r="C11" s="172" t="s">
        <v>755</v>
      </c>
      <c r="D11" s="14" t="s">
        <v>61</v>
      </c>
      <c r="E11" s="13" t="s">
        <v>75</v>
      </c>
      <c r="F11" s="145">
        <v>1601.43</v>
      </c>
      <c r="G11" s="56">
        <v>0.13</v>
      </c>
      <c r="H11" s="87">
        <v>191.53</v>
      </c>
      <c r="I11" s="158"/>
      <c r="J11" s="108"/>
      <c r="K11" s="109"/>
    </row>
    <row r="12" spans="1:11">
      <c r="A12" s="85">
        <v>43322</v>
      </c>
      <c r="B12" s="26">
        <v>43687</v>
      </c>
      <c r="C12" s="172" t="s">
        <v>585</v>
      </c>
      <c r="D12" s="14" t="s">
        <v>61</v>
      </c>
      <c r="E12" s="13" t="s">
        <v>75</v>
      </c>
      <c r="F12" s="145">
        <v>1971.85</v>
      </c>
      <c r="G12" s="56">
        <v>0.17</v>
      </c>
      <c r="H12" s="87">
        <v>308.39</v>
      </c>
      <c r="I12" s="158">
        <v>152.69</v>
      </c>
      <c r="J12" s="108"/>
      <c r="K12" s="109"/>
    </row>
    <row r="13" spans="1:11">
      <c r="A13" s="85">
        <v>43325</v>
      </c>
      <c r="B13" s="26">
        <v>43690</v>
      </c>
      <c r="C13" s="172" t="s">
        <v>756</v>
      </c>
      <c r="D13" s="14" t="s">
        <v>9</v>
      </c>
      <c r="E13" s="13" t="s">
        <v>10</v>
      </c>
      <c r="F13" s="145">
        <v>1422.98</v>
      </c>
      <c r="G13" s="56">
        <v>0.1</v>
      </c>
      <c r="H13" s="87">
        <v>130.91</v>
      </c>
      <c r="I13" s="158">
        <v>65.45</v>
      </c>
      <c r="J13" s="108"/>
      <c r="K13" s="109"/>
    </row>
    <row r="14" spans="1:11">
      <c r="A14" s="196">
        <v>43325</v>
      </c>
      <c r="B14" s="197">
        <v>43690</v>
      </c>
      <c r="C14" s="198" t="s">
        <v>757</v>
      </c>
      <c r="D14" s="199" t="s">
        <v>61</v>
      </c>
      <c r="E14" s="198" t="s">
        <v>19</v>
      </c>
      <c r="F14" s="200">
        <v>919.19</v>
      </c>
      <c r="G14" s="201">
        <v>0.1</v>
      </c>
      <c r="H14" s="194">
        <v>84.56</v>
      </c>
      <c r="I14" s="195"/>
      <c r="J14" s="361"/>
      <c r="K14" s="362"/>
    </row>
    <row r="15" spans="1:11">
      <c r="A15" s="85">
        <v>43327</v>
      </c>
      <c r="B15" s="26">
        <v>43692</v>
      </c>
      <c r="C15" s="172" t="s">
        <v>758</v>
      </c>
      <c r="D15" s="14" t="s">
        <v>9</v>
      </c>
      <c r="E15" s="13" t="s">
        <v>19</v>
      </c>
      <c r="F15" s="145">
        <v>2675.65</v>
      </c>
      <c r="G15" s="56">
        <v>0.12</v>
      </c>
      <c r="H15" s="87">
        <v>295.39</v>
      </c>
      <c r="I15" s="158"/>
      <c r="J15" s="108"/>
      <c r="K15" s="109"/>
    </row>
    <row r="16" spans="1:11">
      <c r="A16" s="85">
        <v>43327</v>
      </c>
      <c r="B16" s="26">
        <v>43692</v>
      </c>
      <c r="C16" s="172" t="s">
        <v>759</v>
      </c>
      <c r="D16" s="14" t="s">
        <v>14</v>
      </c>
      <c r="E16" s="13" t="s">
        <v>22</v>
      </c>
      <c r="F16" s="145">
        <v>1194.04</v>
      </c>
      <c r="G16" s="56">
        <v>0.1</v>
      </c>
      <c r="H16" s="87">
        <v>109.85</v>
      </c>
      <c r="I16" s="158"/>
      <c r="J16" s="108"/>
      <c r="K16" s="109"/>
    </row>
    <row r="17" spans="1:11">
      <c r="A17" s="22">
        <v>43327</v>
      </c>
      <c r="B17" s="26">
        <v>43692</v>
      </c>
      <c r="C17" s="172" t="s">
        <v>98</v>
      </c>
      <c r="D17" s="14" t="s">
        <v>61</v>
      </c>
      <c r="E17" s="13" t="s">
        <v>29</v>
      </c>
      <c r="F17" s="145">
        <v>2592.92</v>
      </c>
      <c r="G17" s="56">
        <v>0.18</v>
      </c>
      <c r="H17" s="87">
        <v>429.38</v>
      </c>
      <c r="I17" s="158"/>
      <c r="J17" s="108"/>
      <c r="K17" s="109"/>
    </row>
    <row r="18" spans="1:11">
      <c r="A18" s="22">
        <v>43327</v>
      </c>
      <c r="B18" s="26">
        <v>43692</v>
      </c>
      <c r="C18" s="172" t="s">
        <v>586</v>
      </c>
      <c r="D18" s="14" t="s">
        <v>61</v>
      </c>
      <c r="E18" s="13" t="s">
        <v>19</v>
      </c>
      <c r="F18" s="145">
        <v>1432.22</v>
      </c>
      <c r="G18" s="56">
        <v>0.14000000000000001</v>
      </c>
      <c r="H18" s="87">
        <v>184.46</v>
      </c>
      <c r="I18" s="158"/>
      <c r="J18" s="108"/>
      <c r="K18" s="109"/>
    </row>
    <row r="19" spans="1:11">
      <c r="A19" s="90">
        <v>43328</v>
      </c>
      <c r="B19" s="91">
        <v>43693</v>
      </c>
      <c r="C19" s="168" t="s">
        <v>760</v>
      </c>
      <c r="D19" s="93" t="s">
        <v>61</v>
      </c>
      <c r="E19" s="92" t="s">
        <v>29</v>
      </c>
      <c r="F19" s="146">
        <v>2594.2800000000002</v>
      </c>
      <c r="G19" s="94">
        <v>0.14000000000000001</v>
      </c>
      <c r="H19" s="95">
        <v>334.14</v>
      </c>
      <c r="I19" s="159"/>
      <c r="J19" s="108"/>
      <c r="K19" s="109"/>
    </row>
    <row r="20" spans="1:11">
      <c r="A20" s="90">
        <v>43328</v>
      </c>
      <c r="B20" s="91">
        <v>43686</v>
      </c>
      <c r="C20" s="168" t="s">
        <v>584</v>
      </c>
      <c r="D20" s="93" t="s">
        <v>14</v>
      </c>
      <c r="E20" s="92" t="s">
        <v>10</v>
      </c>
      <c r="F20" s="146">
        <v>967.75</v>
      </c>
      <c r="G20" s="94">
        <v>0.1</v>
      </c>
      <c r="H20" s="95">
        <v>89.03</v>
      </c>
      <c r="I20" s="159"/>
      <c r="J20" s="108"/>
      <c r="K20" s="109"/>
    </row>
    <row r="21" spans="1:11">
      <c r="A21" s="90">
        <v>43328</v>
      </c>
      <c r="B21" s="91">
        <v>43693</v>
      </c>
      <c r="C21" s="168" t="s">
        <v>108</v>
      </c>
      <c r="D21" s="93" t="s">
        <v>14</v>
      </c>
      <c r="E21" s="92" t="s">
        <v>22</v>
      </c>
      <c r="F21" s="146">
        <v>2111.21</v>
      </c>
      <c r="G21" s="156">
        <v>0.1</v>
      </c>
      <c r="H21" s="95">
        <v>194.23</v>
      </c>
      <c r="I21" s="159"/>
      <c r="J21" s="108"/>
      <c r="K21" s="109"/>
    </row>
    <row r="22" spans="1:11">
      <c r="A22" s="90">
        <v>43329</v>
      </c>
      <c r="B22" s="91">
        <v>43694</v>
      </c>
      <c r="C22" s="168" t="s">
        <v>431</v>
      </c>
      <c r="D22" s="93" t="s">
        <v>61</v>
      </c>
      <c r="E22" s="92" t="s">
        <v>19</v>
      </c>
      <c r="F22" s="146">
        <v>2211</v>
      </c>
      <c r="G22" s="94">
        <v>0.16</v>
      </c>
      <c r="H22" s="95">
        <v>203.41</v>
      </c>
      <c r="I22" s="159"/>
      <c r="J22" s="108"/>
      <c r="K22" s="109"/>
    </row>
    <row r="23" spans="1:11">
      <c r="A23" s="90">
        <v>43332</v>
      </c>
      <c r="B23" s="91">
        <v>43697</v>
      </c>
      <c r="C23" s="168" t="s">
        <v>104</v>
      </c>
      <c r="D23" s="93" t="s">
        <v>14</v>
      </c>
      <c r="E23" s="92" t="s">
        <v>10</v>
      </c>
      <c r="F23" s="146">
        <v>999.28</v>
      </c>
      <c r="G23" s="94">
        <v>0.25</v>
      </c>
      <c r="H23" s="95">
        <v>229.83</v>
      </c>
      <c r="I23" s="159"/>
      <c r="J23" s="108"/>
      <c r="K23" s="109"/>
    </row>
    <row r="24" spans="1:11">
      <c r="A24" s="90">
        <v>43332</v>
      </c>
      <c r="B24" s="91">
        <v>43697</v>
      </c>
      <c r="C24" s="168" t="s">
        <v>761</v>
      </c>
      <c r="D24" s="93" t="s">
        <v>14</v>
      </c>
      <c r="E24" s="92" t="s">
        <v>22</v>
      </c>
      <c r="F24" s="146">
        <v>1172.72</v>
      </c>
      <c r="G24" s="94">
        <v>0.1</v>
      </c>
      <c r="H24" s="95">
        <v>107.89</v>
      </c>
      <c r="I24" s="159"/>
      <c r="J24" s="108"/>
      <c r="K24" s="109"/>
    </row>
    <row r="25" spans="1:11">
      <c r="A25" s="90">
        <v>43332</v>
      </c>
      <c r="B25" s="91">
        <v>43701</v>
      </c>
      <c r="C25" s="168" t="s">
        <v>593</v>
      </c>
      <c r="D25" s="93" t="s">
        <v>9</v>
      </c>
      <c r="E25" s="92" t="s">
        <v>10</v>
      </c>
      <c r="F25" s="146">
        <v>1742.28</v>
      </c>
      <c r="G25" s="94">
        <v>0.1</v>
      </c>
      <c r="H25" s="95">
        <v>160.28</v>
      </c>
      <c r="I25" s="159"/>
      <c r="J25" s="108"/>
      <c r="K25" s="109"/>
    </row>
    <row r="26" spans="1:11">
      <c r="A26" s="90">
        <v>43334</v>
      </c>
      <c r="B26" s="91">
        <v>43699</v>
      </c>
      <c r="C26" s="168" t="s">
        <v>762</v>
      </c>
      <c r="D26" s="93" t="s">
        <v>61</v>
      </c>
      <c r="E26" s="92" t="s">
        <v>19</v>
      </c>
      <c r="F26" s="146">
        <v>1035.52</v>
      </c>
      <c r="G26" s="94">
        <v>0.1</v>
      </c>
      <c r="H26" s="95">
        <v>95.26</v>
      </c>
      <c r="I26" s="159">
        <v>47.63</v>
      </c>
      <c r="J26" s="108"/>
      <c r="K26" s="109"/>
    </row>
    <row r="27" spans="1:11">
      <c r="A27" s="90">
        <v>43335</v>
      </c>
      <c r="B27" s="91">
        <v>43700</v>
      </c>
      <c r="C27" s="353" t="s">
        <v>763</v>
      </c>
      <c r="D27" s="93" t="s">
        <v>14</v>
      </c>
      <c r="E27" s="92" t="s">
        <v>10</v>
      </c>
      <c r="F27" s="146">
        <v>4099.96</v>
      </c>
      <c r="G27" s="94">
        <v>0.1</v>
      </c>
      <c r="H27" s="95">
        <v>377.19</v>
      </c>
      <c r="I27" s="159"/>
      <c r="J27" s="108"/>
      <c r="K27" s="109"/>
    </row>
    <row r="28" spans="1:11">
      <c r="A28" s="90">
        <v>43336</v>
      </c>
      <c r="B28" s="91">
        <v>43336</v>
      </c>
      <c r="C28" s="168" t="s">
        <v>334</v>
      </c>
      <c r="D28" s="93" t="s">
        <v>14</v>
      </c>
      <c r="E28" s="92" t="s">
        <v>10</v>
      </c>
      <c r="F28" s="146">
        <v>1888.92</v>
      </c>
      <c r="G28" s="94">
        <v>0.15</v>
      </c>
      <c r="H28" s="95">
        <v>260.67</v>
      </c>
      <c r="I28" s="159"/>
      <c r="J28" s="108"/>
      <c r="K28" s="109"/>
    </row>
    <row r="29" spans="1:11">
      <c r="A29" s="90">
        <v>43339</v>
      </c>
      <c r="B29" s="91">
        <v>43705</v>
      </c>
      <c r="C29" s="342" t="s">
        <v>337</v>
      </c>
      <c r="D29" s="93" t="s">
        <v>14</v>
      </c>
      <c r="E29" s="92" t="s">
        <v>10</v>
      </c>
      <c r="F29" s="146">
        <v>1166.1500000000001</v>
      </c>
      <c r="G29" s="94">
        <v>0.17</v>
      </c>
      <c r="H29" s="95">
        <v>182.38</v>
      </c>
      <c r="I29" s="159"/>
      <c r="J29" s="108"/>
      <c r="K29" s="109"/>
    </row>
    <row r="30" spans="1:11">
      <c r="A30" s="90">
        <v>43340</v>
      </c>
      <c r="B30" s="91">
        <v>43703</v>
      </c>
      <c r="C30" s="358" t="s">
        <v>764</v>
      </c>
      <c r="D30" s="93" t="s">
        <v>14</v>
      </c>
      <c r="E30" s="92" t="s">
        <v>10</v>
      </c>
      <c r="F30" s="146">
        <v>982.61</v>
      </c>
      <c r="G30" s="94">
        <v>0.15</v>
      </c>
      <c r="H30" s="95">
        <v>135.6</v>
      </c>
      <c r="I30" s="159"/>
      <c r="J30" s="108"/>
      <c r="K30" s="109"/>
    </row>
    <row r="31" spans="1:11">
      <c r="A31" s="90">
        <v>43341</v>
      </c>
      <c r="B31" s="91">
        <v>43706</v>
      </c>
      <c r="C31" s="168" t="s">
        <v>765</v>
      </c>
      <c r="D31" s="93" t="s">
        <v>14</v>
      </c>
      <c r="E31" s="92" t="s">
        <v>15</v>
      </c>
      <c r="F31" s="146">
        <v>3109.48</v>
      </c>
      <c r="G31" s="94">
        <v>0.1</v>
      </c>
      <c r="H31" s="95">
        <v>286.07</v>
      </c>
      <c r="I31" s="159"/>
      <c r="J31" s="108"/>
      <c r="K31" s="109"/>
    </row>
    <row r="32" spans="1:11">
      <c r="A32" s="90">
        <v>43342</v>
      </c>
      <c r="B32" s="91">
        <v>43707</v>
      </c>
      <c r="C32" s="168" t="s">
        <v>369</v>
      </c>
      <c r="D32" s="93" t="s">
        <v>21</v>
      </c>
      <c r="E32" s="92" t="s">
        <v>57</v>
      </c>
      <c r="F32" s="146">
        <v>1447.67</v>
      </c>
      <c r="G32" s="94">
        <v>0.2</v>
      </c>
      <c r="H32" s="95">
        <v>266.37</v>
      </c>
      <c r="I32" s="159"/>
      <c r="J32" s="108"/>
      <c r="K32" s="109"/>
    </row>
    <row r="33" spans="1:11">
      <c r="A33" s="90"/>
      <c r="B33" s="91"/>
      <c r="C33" s="92"/>
      <c r="D33" s="93"/>
      <c r="E33" s="92"/>
      <c r="F33" s="146"/>
      <c r="G33" s="94"/>
      <c r="H33" s="95"/>
      <c r="I33" s="159"/>
      <c r="J33" s="108"/>
      <c r="K33" s="109"/>
    </row>
    <row r="34" spans="1:11">
      <c r="A34" s="90"/>
      <c r="B34" s="91"/>
      <c r="C34" s="92"/>
      <c r="D34" s="93"/>
      <c r="E34" s="92"/>
      <c r="F34" s="146"/>
      <c r="G34" s="94"/>
      <c r="H34" s="95"/>
      <c r="I34" s="160"/>
      <c r="J34" s="108"/>
      <c r="K34" s="109"/>
    </row>
    <row r="35" spans="1:11" ht="19.5">
      <c r="A35" s="673"/>
      <c r="B35" s="674"/>
      <c r="C35" s="674"/>
      <c r="D35" s="674"/>
      <c r="E35" s="674"/>
      <c r="F35" s="147">
        <f>SUM(F2:F34)</f>
        <v>52227.479999999996</v>
      </c>
      <c r="G35" s="143"/>
      <c r="H35" s="129">
        <f>SUM(H2:H34)</f>
        <v>6443.9699999999993</v>
      </c>
      <c r="I35" s="107">
        <f>SUM(I2:I34)</f>
        <v>376.96</v>
      </c>
    </row>
    <row r="38" spans="1:11">
      <c r="D38" s="138"/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K35"/>
  <sheetViews>
    <sheetView workbookViewId="0"/>
  </sheetViews>
  <sheetFormatPr defaultRowHeight="15"/>
  <sheetData>
    <row r="1" spans="1:11">
      <c r="A1" s="30" t="s">
        <v>1</v>
      </c>
      <c r="B1" s="3" t="s">
        <v>2</v>
      </c>
      <c r="C1" s="11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90">
        <v>43341</v>
      </c>
      <c r="B2" s="91">
        <v>43347</v>
      </c>
      <c r="C2" s="355" t="s">
        <v>336</v>
      </c>
      <c r="D2" s="93" t="s">
        <v>14</v>
      </c>
      <c r="E2" s="92" t="s">
        <v>22</v>
      </c>
      <c r="F2" s="146">
        <v>2569.33</v>
      </c>
      <c r="G2" s="94">
        <v>0.1</v>
      </c>
      <c r="H2" s="95">
        <v>236.37</v>
      </c>
      <c r="I2" s="159"/>
      <c r="J2" s="108"/>
      <c r="K2" s="109"/>
    </row>
    <row r="3" spans="1:11">
      <c r="A3" s="90">
        <v>43343</v>
      </c>
      <c r="B3" s="91">
        <v>43351</v>
      </c>
      <c r="C3" s="355" t="s">
        <v>437</v>
      </c>
      <c r="D3" s="93" t="s">
        <v>61</v>
      </c>
      <c r="E3" s="92" t="s">
        <v>19</v>
      </c>
      <c r="F3" s="146">
        <v>807.52</v>
      </c>
      <c r="G3" s="94">
        <v>0.1</v>
      </c>
      <c r="H3" s="95">
        <v>74.290000000000006</v>
      </c>
      <c r="I3" s="159"/>
      <c r="J3" s="108"/>
      <c r="K3" s="109"/>
    </row>
    <row r="4" spans="1:11">
      <c r="A4" s="31">
        <v>43346</v>
      </c>
      <c r="B4" s="32">
        <v>43711</v>
      </c>
      <c r="C4" s="356" t="s">
        <v>119</v>
      </c>
      <c r="D4" s="8" t="s">
        <v>21</v>
      </c>
      <c r="E4" s="7" t="s">
        <v>57</v>
      </c>
      <c r="F4" s="144">
        <v>1906.29</v>
      </c>
      <c r="G4" s="55">
        <v>0.1</v>
      </c>
      <c r="H4" s="65">
        <v>175.37</v>
      </c>
      <c r="I4" s="157"/>
      <c r="J4" s="108"/>
      <c r="K4" s="109"/>
    </row>
    <row r="5" spans="1:11">
      <c r="A5" s="365">
        <v>43347</v>
      </c>
      <c r="B5" s="366">
        <v>43720</v>
      </c>
      <c r="C5" s="198" t="s">
        <v>595</v>
      </c>
      <c r="D5" s="367" t="s">
        <v>25</v>
      </c>
      <c r="E5" s="368" t="s">
        <v>362</v>
      </c>
      <c r="F5" s="369">
        <v>1581.32</v>
      </c>
      <c r="G5" s="370">
        <v>0.2</v>
      </c>
      <c r="H5" s="194">
        <v>290.95999999999998</v>
      </c>
      <c r="I5" s="195"/>
      <c r="J5" s="234"/>
      <c r="K5" s="235"/>
    </row>
    <row r="6" spans="1:11">
      <c r="A6" s="171">
        <v>43349</v>
      </c>
      <c r="B6" s="177" t="s">
        <v>766</v>
      </c>
      <c r="C6" s="172" t="s">
        <v>767</v>
      </c>
      <c r="D6" s="173" t="s">
        <v>766</v>
      </c>
      <c r="E6" s="172" t="s">
        <v>469</v>
      </c>
      <c r="F6" s="174" t="s">
        <v>766</v>
      </c>
      <c r="G6" s="175"/>
      <c r="H6" s="170">
        <v>150</v>
      </c>
      <c r="I6" s="176"/>
      <c r="J6" s="685"/>
      <c r="K6" s="686"/>
    </row>
    <row r="7" spans="1:11">
      <c r="A7" s="216">
        <v>43349</v>
      </c>
      <c r="B7" s="221">
        <v>43714</v>
      </c>
      <c r="C7" s="355" t="s">
        <v>680</v>
      </c>
      <c r="D7" s="218" t="s">
        <v>14</v>
      </c>
      <c r="E7" s="217" t="s">
        <v>10</v>
      </c>
      <c r="F7" s="219">
        <v>3076.37</v>
      </c>
      <c r="G7" s="220">
        <v>0.1</v>
      </c>
      <c r="H7" s="214">
        <v>283.02</v>
      </c>
      <c r="I7" s="215"/>
      <c r="J7" s="223"/>
      <c r="K7" s="224"/>
    </row>
    <row r="8" spans="1:11">
      <c r="A8" s="203">
        <v>43354</v>
      </c>
      <c r="B8" s="197">
        <v>43720</v>
      </c>
      <c r="C8" s="198" t="s">
        <v>596</v>
      </c>
      <c r="D8" s="199" t="s">
        <v>61</v>
      </c>
      <c r="E8" s="198" t="s">
        <v>438</v>
      </c>
      <c r="F8" s="200">
        <v>1553.44</v>
      </c>
      <c r="G8" s="201">
        <v>0.16</v>
      </c>
      <c r="H8" s="194">
        <v>228.66</v>
      </c>
      <c r="I8" s="195"/>
      <c r="J8" s="361"/>
      <c r="K8" s="362"/>
    </row>
    <row r="9" spans="1:11">
      <c r="A9" s="90">
        <v>43354</v>
      </c>
      <c r="B9" s="91">
        <v>43724</v>
      </c>
      <c r="C9" s="172" t="s">
        <v>768</v>
      </c>
      <c r="D9" s="93" t="s">
        <v>14</v>
      </c>
      <c r="E9" s="92" t="s">
        <v>15</v>
      </c>
      <c r="F9" s="146">
        <v>2283.33</v>
      </c>
      <c r="G9" s="94">
        <v>0.1</v>
      </c>
      <c r="H9" s="95">
        <v>210.06</v>
      </c>
      <c r="I9" s="159"/>
      <c r="J9" s="108"/>
      <c r="K9" s="109"/>
    </row>
    <row r="10" spans="1:11">
      <c r="A10" s="90">
        <v>43355</v>
      </c>
      <c r="B10" s="91">
        <v>43720</v>
      </c>
      <c r="C10" s="355" t="s">
        <v>126</v>
      </c>
      <c r="D10" s="93" t="s">
        <v>61</v>
      </c>
      <c r="E10" s="92" t="s">
        <v>29</v>
      </c>
      <c r="F10" s="146">
        <v>1257.6300000000001</v>
      </c>
      <c r="G10" s="94">
        <v>0.1</v>
      </c>
      <c r="H10" s="95">
        <v>115.7</v>
      </c>
      <c r="I10" s="159"/>
      <c r="J10" s="108"/>
      <c r="K10" s="109"/>
    </row>
    <row r="11" spans="1:11">
      <c r="A11" s="90">
        <v>43355</v>
      </c>
      <c r="B11" s="91">
        <v>43720</v>
      </c>
      <c r="C11" s="355" t="s">
        <v>769</v>
      </c>
      <c r="D11" s="93" t="s">
        <v>70</v>
      </c>
      <c r="E11" s="92" t="s">
        <v>279</v>
      </c>
      <c r="F11" s="146">
        <v>1257.52</v>
      </c>
      <c r="G11" s="156">
        <v>0.1</v>
      </c>
      <c r="H11" s="95">
        <v>115.69</v>
      </c>
      <c r="I11" s="159"/>
      <c r="J11" s="108"/>
      <c r="K11" s="109"/>
    </row>
    <row r="12" spans="1:11">
      <c r="A12" s="90">
        <v>43357</v>
      </c>
      <c r="B12" s="91">
        <v>43725</v>
      </c>
      <c r="C12" s="172" t="s">
        <v>770</v>
      </c>
      <c r="D12" s="93" t="s">
        <v>25</v>
      </c>
      <c r="E12" s="92" t="s">
        <v>10</v>
      </c>
      <c r="F12" s="146">
        <v>1407.65</v>
      </c>
      <c r="G12" s="94">
        <v>0.15</v>
      </c>
      <c r="H12" s="95">
        <v>194.25</v>
      </c>
      <c r="I12" s="159"/>
      <c r="J12" s="108"/>
      <c r="K12" s="109"/>
    </row>
    <row r="13" spans="1:11">
      <c r="A13" s="90">
        <v>43357</v>
      </c>
      <c r="B13" s="91">
        <v>43722</v>
      </c>
      <c r="C13" s="355" t="s">
        <v>771</v>
      </c>
      <c r="D13" s="93" t="s">
        <v>25</v>
      </c>
      <c r="E13" s="92" t="s">
        <v>279</v>
      </c>
      <c r="F13" s="146">
        <v>1959.95</v>
      </c>
      <c r="G13" s="94">
        <v>0.15</v>
      </c>
      <c r="H13" s="95">
        <v>270.47000000000003</v>
      </c>
      <c r="I13" s="159"/>
      <c r="J13" s="108"/>
      <c r="K13" s="109"/>
    </row>
    <row r="14" spans="1:11">
      <c r="A14" s="90">
        <v>43357</v>
      </c>
      <c r="B14" s="91">
        <v>43722</v>
      </c>
      <c r="C14" s="355" t="s">
        <v>772</v>
      </c>
      <c r="D14" s="93" t="s">
        <v>21</v>
      </c>
      <c r="E14" s="92" t="s">
        <v>57</v>
      </c>
      <c r="F14" s="146">
        <v>2016.54</v>
      </c>
      <c r="G14" s="94">
        <v>0.1</v>
      </c>
      <c r="H14" s="95">
        <v>185.52</v>
      </c>
      <c r="I14" s="159"/>
      <c r="J14" s="108"/>
      <c r="K14" s="109"/>
    </row>
    <row r="15" spans="1:11">
      <c r="A15" s="207">
        <v>43358</v>
      </c>
      <c r="B15" s="208">
        <v>43723</v>
      </c>
      <c r="C15" s="355" t="s">
        <v>597</v>
      </c>
      <c r="D15" s="209" t="s">
        <v>14</v>
      </c>
      <c r="E15" s="169" t="s">
        <v>10</v>
      </c>
      <c r="F15" s="210">
        <v>1005.82</v>
      </c>
      <c r="G15" s="211">
        <v>0.19</v>
      </c>
      <c r="H15" s="212">
        <v>175.81</v>
      </c>
      <c r="I15" s="213"/>
      <c r="J15" s="223"/>
      <c r="K15" s="224"/>
    </row>
    <row r="16" spans="1:11">
      <c r="A16" s="90">
        <v>43358</v>
      </c>
      <c r="B16" s="91">
        <v>43723</v>
      </c>
      <c r="C16" s="354" t="s">
        <v>599</v>
      </c>
      <c r="D16" s="93" t="s">
        <v>61</v>
      </c>
      <c r="E16" s="92" t="s">
        <v>17</v>
      </c>
      <c r="F16" s="146">
        <v>1125.24</v>
      </c>
      <c r="G16" s="94">
        <v>0.13</v>
      </c>
      <c r="H16" s="95">
        <v>134.57</v>
      </c>
      <c r="I16" s="159"/>
      <c r="J16" s="108"/>
      <c r="K16" s="109"/>
    </row>
    <row r="17" spans="1:11">
      <c r="A17" s="90">
        <v>43361</v>
      </c>
      <c r="B17" s="91">
        <v>43726</v>
      </c>
      <c r="C17" s="353" t="s">
        <v>773</v>
      </c>
      <c r="D17" s="93" t="s">
        <v>14</v>
      </c>
      <c r="E17" s="92" t="s">
        <v>10</v>
      </c>
      <c r="F17" s="146">
        <v>1385.29</v>
      </c>
      <c r="G17" s="94">
        <v>0.18</v>
      </c>
      <c r="H17" s="95">
        <v>229.4</v>
      </c>
      <c r="I17" s="159"/>
      <c r="J17" s="108"/>
      <c r="K17" s="109"/>
    </row>
    <row r="18" spans="1:11">
      <c r="A18" s="226">
        <v>43361</v>
      </c>
      <c r="B18" s="227">
        <v>43722</v>
      </c>
      <c r="C18" s="229" t="s">
        <v>774</v>
      </c>
      <c r="D18" s="228" t="s">
        <v>14</v>
      </c>
      <c r="E18" s="229" t="s">
        <v>10</v>
      </c>
      <c r="F18" s="230">
        <v>1586.26</v>
      </c>
      <c r="G18" s="231">
        <v>0.16</v>
      </c>
      <c r="H18" s="232">
        <v>233.49</v>
      </c>
      <c r="I18" s="233"/>
      <c r="J18" s="361"/>
      <c r="K18" s="362"/>
    </row>
    <row r="19" spans="1:11">
      <c r="A19" s="90">
        <v>43362</v>
      </c>
      <c r="B19" s="91">
        <v>43723</v>
      </c>
      <c r="C19" s="357" t="s">
        <v>775</v>
      </c>
      <c r="D19" s="93" t="s">
        <v>61</v>
      </c>
      <c r="E19" s="92" t="s">
        <v>10</v>
      </c>
      <c r="F19" s="146">
        <v>1061.96</v>
      </c>
      <c r="G19" s="94">
        <v>0.1</v>
      </c>
      <c r="H19" s="95">
        <v>97.7</v>
      </c>
      <c r="I19" s="159"/>
      <c r="J19" s="108"/>
      <c r="K19" s="109"/>
    </row>
    <row r="20" spans="1:11">
      <c r="A20" s="226">
        <v>43376</v>
      </c>
      <c r="B20" s="227">
        <v>43736</v>
      </c>
      <c r="C20" s="229" t="s">
        <v>776</v>
      </c>
      <c r="D20" s="228" t="s">
        <v>417</v>
      </c>
      <c r="E20" s="229" t="s">
        <v>29</v>
      </c>
      <c r="F20" s="230">
        <v>1907.91</v>
      </c>
      <c r="G20" s="231">
        <v>0.15</v>
      </c>
      <c r="H20" s="232">
        <v>263.29000000000002</v>
      </c>
      <c r="I20" s="233"/>
      <c r="J20" s="361"/>
      <c r="K20" s="362"/>
    </row>
    <row r="21" spans="1:11">
      <c r="A21" s="90">
        <v>43364</v>
      </c>
      <c r="B21" s="91">
        <v>43723</v>
      </c>
      <c r="C21" s="168" t="s">
        <v>603</v>
      </c>
      <c r="D21" s="93" t="s">
        <v>14</v>
      </c>
      <c r="E21" s="92" t="s">
        <v>10</v>
      </c>
      <c r="F21" s="146">
        <v>2158.8000000000002</v>
      </c>
      <c r="G21" s="94">
        <v>0.1</v>
      </c>
      <c r="H21" s="95">
        <v>198.6</v>
      </c>
      <c r="I21" s="159"/>
      <c r="J21" s="108"/>
      <c r="K21" s="109"/>
    </row>
    <row r="22" spans="1:11">
      <c r="A22" s="90">
        <v>43364</v>
      </c>
      <c r="B22" s="91">
        <v>43729</v>
      </c>
      <c r="C22" s="168" t="s">
        <v>129</v>
      </c>
      <c r="D22" s="93" t="s">
        <v>14</v>
      </c>
      <c r="E22" s="92" t="s">
        <v>10</v>
      </c>
      <c r="F22" s="146">
        <v>1422.92</v>
      </c>
      <c r="G22" s="94">
        <v>0.1</v>
      </c>
      <c r="H22" s="95">
        <v>130.91999999999999</v>
      </c>
      <c r="I22" s="159"/>
      <c r="J22" s="108"/>
      <c r="K22" s="109"/>
    </row>
    <row r="23" spans="1:11">
      <c r="A23" s="90">
        <v>43364</v>
      </c>
      <c r="B23" s="91">
        <v>43735</v>
      </c>
      <c r="C23" s="353" t="s">
        <v>480</v>
      </c>
      <c r="D23" s="93" t="s">
        <v>70</v>
      </c>
      <c r="E23" s="92" t="s">
        <v>19</v>
      </c>
      <c r="F23" s="146">
        <v>1668.8</v>
      </c>
      <c r="G23" s="94">
        <v>0.13</v>
      </c>
      <c r="H23" s="95">
        <v>199.58</v>
      </c>
      <c r="I23" s="159"/>
      <c r="J23" s="108"/>
      <c r="K23" s="109"/>
    </row>
    <row r="24" spans="1:11">
      <c r="A24" s="90">
        <v>43372</v>
      </c>
      <c r="B24" s="91">
        <v>43737</v>
      </c>
      <c r="C24" s="168" t="s">
        <v>134</v>
      </c>
      <c r="D24" s="93" t="s">
        <v>14</v>
      </c>
      <c r="E24" s="92" t="s">
        <v>19</v>
      </c>
      <c r="F24" s="146">
        <v>1214.51</v>
      </c>
      <c r="G24" s="94">
        <v>0.14000000000000001</v>
      </c>
      <c r="H24" s="95">
        <v>156.41999999999999</v>
      </c>
      <c r="I24" s="159"/>
      <c r="J24" s="108"/>
      <c r="K24" s="109"/>
    </row>
    <row r="25" spans="1:11">
      <c r="A25" s="90">
        <v>43372</v>
      </c>
      <c r="B25" s="91">
        <v>43737</v>
      </c>
      <c r="C25" s="139" t="s">
        <v>133</v>
      </c>
      <c r="D25" s="93" t="s">
        <v>21</v>
      </c>
      <c r="E25" s="92" t="s">
        <v>22</v>
      </c>
      <c r="F25" s="146">
        <v>1654.08</v>
      </c>
      <c r="G25" s="94">
        <v>0.1</v>
      </c>
      <c r="H25" s="95">
        <v>152.16999999999999</v>
      </c>
      <c r="I25" s="159"/>
      <c r="J25" s="108"/>
      <c r="K25" s="109"/>
    </row>
    <row r="26" spans="1:11">
      <c r="A26" s="226">
        <v>43370</v>
      </c>
      <c r="B26" s="227">
        <v>43735</v>
      </c>
      <c r="C26" s="364" t="s">
        <v>777</v>
      </c>
      <c r="D26" s="228" t="s">
        <v>14</v>
      </c>
      <c r="E26" s="229" t="s">
        <v>15</v>
      </c>
      <c r="F26" s="230">
        <v>2706.3</v>
      </c>
      <c r="G26" s="231">
        <v>0.1</v>
      </c>
      <c r="H26" s="232">
        <v>248.97</v>
      </c>
      <c r="I26" s="233"/>
      <c r="J26" s="234"/>
      <c r="K26" s="235"/>
    </row>
    <row r="27" spans="1:11">
      <c r="A27" s="90">
        <v>43371</v>
      </c>
      <c r="B27" s="91">
        <v>43737</v>
      </c>
      <c r="C27" s="101" t="s">
        <v>778</v>
      </c>
      <c r="D27" s="93" t="s">
        <v>14</v>
      </c>
      <c r="E27" s="92" t="s">
        <v>10</v>
      </c>
      <c r="F27" s="146">
        <v>1617.91</v>
      </c>
      <c r="G27" s="94">
        <v>0.2</v>
      </c>
      <c r="H27" s="95">
        <v>297.69</v>
      </c>
      <c r="I27" s="159"/>
      <c r="J27" s="108"/>
      <c r="K27" s="109"/>
    </row>
    <row r="28" spans="1:11">
      <c r="A28" s="90">
        <v>43374</v>
      </c>
      <c r="B28" s="91">
        <v>43736</v>
      </c>
      <c r="C28" s="168" t="s">
        <v>601</v>
      </c>
      <c r="D28" s="93" t="s">
        <v>14</v>
      </c>
      <c r="E28" s="92" t="s">
        <v>10</v>
      </c>
      <c r="F28" s="146">
        <v>1910.8</v>
      </c>
      <c r="G28" s="94">
        <v>0.1</v>
      </c>
      <c r="H28" s="95">
        <v>175.79</v>
      </c>
      <c r="I28" s="159"/>
      <c r="J28" s="108"/>
      <c r="K28" s="109"/>
    </row>
    <row r="29" spans="1:11">
      <c r="A29" s="90">
        <v>43374</v>
      </c>
      <c r="B29" s="91">
        <v>43737</v>
      </c>
      <c r="C29" s="168" t="s">
        <v>779</v>
      </c>
      <c r="D29" s="93" t="s">
        <v>14</v>
      </c>
      <c r="E29" s="92" t="s">
        <v>10</v>
      </c>
      <c r="F29" s="146">
        <v>2374.25</v>
      </c>
      <c r="G29" s="94">
        <v>0.11</v>
      </c>
      <c r="H29" s="95">
        <v>240.27</v>
      </c>
      <c r="I29" s="159"/>
      <c r="J29" s="108"/>
      <c r="K29" s="109"/>
    </row>
    <row r="30" spans="1:11">
      <c r="A30" s="90">
        <v>43378</v>
      </c>
      <c r="B30" s="91">
        <v>43371</v>
      </c>
      <c r="C30" s="92" t="s">
        <v>780</v>
      </c>
      <c r="D30" s="93" t="s">
        <v>14</v>
      </c>
      <c r="E30" s="92" t="s">
        <v>22</v>
      </c>
      <c r="F30" s="146">
        <v>1306.4000000000001</v>
      </c>
      <c r="G30" s="94">
        <v>0.15</v>
      </c>
      <c r="H30" s="95">
        <v>180.28</v>
      </c>
      <c r="I30" s="159"/>
      <c r="J30" s="108"/>
      <c r="K30" s="109"/>
    </row>
    <row r="31" spans="1:11">
      <c r="A31" s="90"/>
      <c r="B31" s="91"/>
      <c r="C31" s="92"/>
      <c r="D31" s="93"/>
      <c r="E31" s="92"/>
      <c r="F31" s="146"/>
      <c r="G31" s="94"/>
      <c r="H31" s="95"/>
      <c r="I31" s="159"/>
      <c r="J31" s="108"/>
      <c r="K31" s="109"/>
    </row>
    <row r="32" spans="1:11">
      <c r="A32" s="90"/>
      <c r="B32" s="91"/>
      <c r="C32" s="92" t="s">
        <v>781</v>
      </c>
      <c r="D32" s="93"/>
      <c r="E32" s="92"/>
      <c r="F32" s="146"/>
      <c r="G32" s="94"/>
      <c r="H32" s="95"/>
      <c r="I32" s="159"/>
      <c r="J32" s="108"/>
      <c r="K32" s="109"/>
    </row>
    <row r="33" spans="1:11">
      <c r="A33" s="90"/>
      <c r="B33" s="91"/>
      <c r="C33" s="92"/>
      <c r="D33" s="93"/>
      <c r="E33" s="92"/>
      <c r="F33" s="146"/>
      <c r="G33" s="94"/>
      <c r="H33" s="95"/>
      <c r="I33" s="159"/>
      <c r="J33" s="108"/>
      <c r="K33" s="109"/>
    </row>
    <row r="34" spans="1:11">
      <c r="A34" s="90"/>
      <c r="B34" s="91"/>
      <c r="C34" s="92"/>
      <c r="D34" s="93"/>
      <c r="E34" s="92"/>
      <c r="F34" s="146"/>
      <c r="G34" s="94"/>
      <c r="H34" s="95"/>
      <c r="I34" s="160"/>
      <c r="J34" s="108"/>
      <c r="K34" s="109"/>
    </row>
    <row r="35" spans="1:11" ht="19.5">
      <c r="A35" s="673"/>
      <c r="B35" s="674"/>
      <c r="C35" s="674"/>
      <c r="D35" s="674"/>
      <c r="E35" s="674"/>
      <c r="F35" s="147">
        <f>SUM(F4:F34)</f>
        <v>44407.290000000008</v>
      </c>
      <c r="G35" s="143"/>
      <c r="H35" s="129">
        <f>SUM(H4:H34)</f>
        <v>5334.65</v>
      </c>
      <c r="I35" s="107">
        <f>SUM(I4:I34)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K32"/>
  <sheetViews>
    <sheetView workbookViewId="0"/>
  </sheetViews>
  <sheetFormatPr defaultRowHeight="15"/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216">
        <v>43368</v>
      </c>
      <c r="B2" s="225">
        <v>43739</v>
      </c>
      <c r="C2" s="172" t="s">
        <v>345</v>
      </c>
      <c r="D2" s="218" t="s">
        <v>21</v>
      </c>
      <c r="E2" s="217" t="s">
        <v>75</v>
      </c>
      <c r="F2" s="219">
        <v>4420.38</v>
      </c>
      <c r="G2" s="220">
        <v>0.1</v>
      </c>
      <c r="H2" s="214">
        <v>406.67</v>
      </c>
      <c r="I2" s="215"/>
      <c r="J2" s="223"/>
      <c r="K2" s="224"/>
    </row>
    <row r="3" spans="1:11">
      <c r="A3" s="216">
        <v>43375</v>
      </c>
      <c r="B3" s="221">
        <v>43740</v>
      </c>
      <c r="C3" s="172" t="s">
        <v>782</v>
      </c>
      <c r="D3" s="218" t="s">
        <v>14</v>
      </c>
      <c r="E3" s="217" t="s">
        <v>22</v>
      </c>
      <c r="F3" s="219">
        <v>1275.7</v>
      </c>
      <c r="G3" s="220">
        <v>0.22</v>
      </c>
      <c r="H3" s="214">
        <v>388.5</v>
      </c>
      <c r="I3" s="215">
        <v>194.25</v>
      </c>
      <c r="J3" s="223"/>
      <c r="K3" s="224"/>
    </row>
    <row r="4" spans="1:11">
      <c r="A4" s="207">
        <v>43378</v>
      </c>
      <c r="B4" s="208">
        <v>43743</v>
      </c>
      <c r="C4" s="168" t="s">
        <v>783</v>
      </c>
      <c r="D4" s="209" t="s">
        <v>70</v>
      </c>
      <c r="E4" s="169" t="s">
        <v>279</v>
      </c>
      <c r="F4" s="210">
        <v>1990.92</v>
      </c>
      <c r="G4" s="211">
        <v>0.13</v>
      </c>
      <c r="H4" s="212">
        <v>238.11</v>
      </c>
      <c r="I4" s="213"/>
      <c r="J4" s="223"/>
      <c r="K4" s="224"/>
    </row>
    <row r="5" spans="1:11">
      <c r="A5" s="207">
        <v>43378</v>
      </c>
      <c r="B5" s="208">
        <v>43743</v>
      </c>
      <c r="C5" s="168" t="s">
        <v>784</v>
      </c>
      <c r="D5" s="209" t="s">
        <v>61</v>
      </c>
      <c r="E5" s="169" t="s">
        <v>143</v>
      </c>
      <c r="F5" s="210">
        <v>7990.86</v>
      </c>
      <c r="G5" s="211">
        <v>0.1</v>
      </c>
      <c r="H5" s="212">
        <v>735.15</v>
      </c>
      <c r="I5" s="213"/>
      <c r="J5" s="223"/>
      <c r="K5" s="224"/>
    </row>
    <row r="6" spans="1:11">
      <c r="A6" s="207">
        <v>43381</v>
      </c>
      <c r="B6" s="208">
        <v>43746</v>
      </c>
      <c r="C6" s="168" t="s">
        <v>785</v>
      </c>
      <c r="D6" s="209" t="s">
        <v>112</v>
      </c>
      <c r="E6" s="169" t="s">
        <v>458</v>
      </c>
      <c r="F6" s="210">
        <v>5086.8</v>
      </c>
      <c r="G6" s="222">
        <v>0.1</v>
      </c>
      <c r="H6" s="212">
        <v>467.98</v>
      </c>
      <c r="I6" s="213"/>
      <c r="J6" s="223"/>
      <c r="K6" s="224"/>
    </row>
    <row r="7" spans="1:11">
      <c r="A7" s="90">
        <v>43381</v>
      </c>
      <c r="B7" s="91">
        <v>43746</v>
      </c>
      <c r="C7" s="168" t="s">
        <v>786</v>
      </c>
      <c r="D7" s="93" t="s">
        <v>448</v>
      </c>
      <c r="E7" s="92" t="s">
        <v>279</v>
      </c>
      <c r="F7" s="146">
        <v>776.26</v>
      </c>
      <c r="G7" s="94">
        <v>0.17</v>
      </c>
      <c r="H7" s="95">
        <v>121.4</v>
      </c>
      <c r="I7" s="159"/>
      <c r="J7" s="108"/>
      <c r="K7" s="109"/>
    </row>
    <row r="8" spans="1:11">
      <c r="A8" s="90">
        <v>43382</v>
      </c>
      <c r="B8" s="91">
        <v>43747</v>
      </c>
      <c r="C8" s="168" t="s">
        <v>140</v>
      </c>
      <c r="D8" s="93" t="s">
        <v>9</v>
      </c>
      <c r="E8" s="92" t="s">
        <v>19</v>
      </c>
      <c r="F8" s="146">
        <v>1674.47</v>
      </c>
      <c r="G8" s="94">
        <v>0.12</v>
      </c>
      <c r="H8" s="95">
        <v>184.86</v>
      </c>
      <c r="I8" s="159"/>
      <c r="J8" s="108"/>
      <c r="K8" s="109"/>
    </row>
    <row r="9" spans="1:11">
      <c r="A9" s="207">
        <v>43384</v>
      </c>
      <c r="B9" s="208">
        <v>43743</v>
      </c>
      <c r="C9" s="168" t="s">
        <v>138</v>
      </c>
      <c r="D9" s="209" t="s">
        <v>14</v>
      </c>
      <c r="E9" s="169" t="s">
        <v>10</v>
      </c>
      <c r="F9" s="210">
        <v>1252.33</v>
      </c>
      <c r="G9" s="211">
        <v>0.1</v>
      </c>
      <c r="H9" s="212">
        <v>115.21</v>
      </c>
      <c r="I9" s="213"/>
      <c r="J9" s="223"/>
      <c r="K9" s="224"/>
    </row>
    <row r="10" spans="1:11">
      <c r="A10" s="207">
        <v>43384</v>
      </c>
      <c r="B10" s="208">
        <v>43749</v>
      </c>
      <c r="C10" s="168" t="s">
        <v>787</v>
      </c>
      <c r="D10" s="209" t="s">
        <v>14</v>
      </c>
      <c r="E10" s="169" t="s">
        <v>19</v>
      </c>
      <c r="F10" s="210">
        <v>1547.41</v>
      </c>
      <c r="G10" s="211">
        <v>0.18</v>
      </c>
      <c r="H10" s="212">
        <v>256.25</v>
      </c>
      <c r="I10" s="213"/>
      <c r="J10" s="223"/>
      <c r="K10" s="224"/>
    </row>
    <row r="11" spans="1:11">
      <c r="A11" s="90">
        <v>43388</v>
      </c>
      <c r="B11" s="91">
        <v>43751</v>
      </c>
      <c r="C11" s="168" t="s">
        <v>788</v>
      </c>
      <c r="D11" s="93" t="s">
        <v>9</v>
      </c>
      <c r="E11" s="92" t="s">
        <v>362</v>
      </c>
      <c r="F11" s="146">
        <v>1752.24</v>
      </c>
      <c r="G11" s="94">
        <v>0.14000000000000001</v>
      </c>
      <c r="H11" s="95">
        <v>225.68</v>
      </c>
      <c r="I11" s="159"/>
      <c r="J11" s="108"/>
      <c r="K11" s="109"/>
    </row>
    <row r="12" spans="1:11">
      <c r="A12" s="90">
        <v>43388</v>
      </c>
      <c r="B12" s="91">
        <v>43752</v>
      </c>
      <c r="C12" s="353" t="s">
        <v>789</v>
      </c>
      <c r="D12" s="93" t="s">
        <v>14</v>
      </c>
      <c r="E12" s="92" t="s">
        <v>22</v>
      </c>
      <c r="F12" s="146">
        <v>1860.79</v>
      </c>
      <c r="G12" s="94">
        <v>0.1</v>
      </c>
      <c r="H12" s="95">
        <v>171.19</v>
      </c>
      <c r="I12" s="159"/>
      <c r="J12" s="108"/>
      <c r="K12" s="109"/>
    </row>
    <row r="13" spans="1:11">
      <c r="A13" s="297">
        <v>43389</v>
      </c>
      <c r="B13" s="298">
        <v>43754</v>
      </c>
      <c r="C13" s="101" t="s">
        <v>790</v>
      </c>
      <c r="D13" s="299" t="s">
        <v>14</v>
      </c>
      <c r="E13" s="101" t="s">
        <v>90</v>
      </c>
      <c r="F13" s="300">
        <v>1546.51</v>
      </c>
      <c r="G13" s="301">
        <v>0.1</v>
      </c>
      <c r="H13" s="302">
        <v>142.27000000000001</v>
      </c>
      <c r="I13" s="303"/>
      <c r="J13" s="295"/>
      <c r="K13" s="296"/>
    </row>
    <row r="14" spans="1:11">
      <c r="A14" s="90">
        <v>43390</v>
      </c>
      <c r="B14" s="91">
        <v>43750</v>
      </c>
      <c r="C14" s="387" t="s">
        <v>140</v>
      </c>
      <c r="D14" s="93" t="s">
        <v>14</v>
      </c>
      <c r="E14" s="92" t="s">
        <v>10</v>
      </c>
      <c r="F14" s="146">
        <v>1113.7</v>
      </c>
      <c r="G14" s="94">
        <v>0.18</v>
      </c>
      <c r="H14" s="95">
        <v>184.42</v>
      </c>
      <c r="I14" s="159"/>
      <c r="J14" s="108"/>
      <c r="K14" s="109"/>
    </row>
    <row r="15" spans="1:11">
      <c r="A15" s="90">
        <v>43390</v>
      </c>
      <c r="B15" s="91">
        <v>43755</v>
      </c>
      <c r="C15" s="358" t="s">
        <v>791</v>
      </c>
      <c r="D15" s="93" t="s">
        <v>25</v>
      </c>
      <c r="E15" s="92" t="s">
        <v>279</v>
      </c>
      <c r="F15" s="146">
        <v>2724.56</v>
      </c>
      <c r="G15" s="94">
        <v>0.1</v>
      </c>
      <c r="H15" s="95">
        <v>250.65</v>
      </c>
      <c r="I15" s="159"/>
      <c r="J15" s="108"/>
      <c r="K15" s="109"/>
    </row>
    <row r="16" spans="1:11">
      <c r="A16" s="90">
        <v>43392</v>
      </c>
      <c r="B16" s="91">
        <v>43757</v>
      </c>
      <c r="C16" s="92" t="s">
        <v>792</v>
      </c>
      <c r="D16" s="93" t="s">
        <v>25</v>
      </c>
      <c r="E16" s="92" t="s">
        <v>22</v>
      </c>
      <c r="F16" s="146">
        <v>1012.12</v>
      </c>
      <c r="G16" s="94">
        <v>0.15</v>
      </c>
      <c r="H16" s="95">
        <v>139.66999999999999</v>
      </c>
      <c r="I16" s="159"/>
      <c r="J16" s="108"/>
      <c r="K16" s="109"/>
    </row>
    <row r="17" spans="1:11">
      <c r="A17" s="90">
        <v>43392</v>
      </c>
      <c r="B17" s="91">
        <v>43751</v>
      </c>
      <c r="C17" s="168" t="s">
        <v>81</v>
      </c>
      <c r="D17" s="93" t="s">
        <v>14</v>
      </c>
      <c r="E17" s="92" t="s">
        <v>22</v>
      </c>
      <c r="F17" s="146">
        <v>2840.99</v>
      </c>
      <c r="G17" s="94">
        <v>0.1</v>
      </c>
      <c r="H17" s="95">
        <v>261.37</v>
      </c>
      <c r="I17" s="159"/>
      <c r="J17" s="108"/>
      <c r="K17" s="109"/>
    </row>
    <row r="18" spans="1:11">
      <c r="A18" s="297">
        <v>43392</v>
      </c>
      <c r="B18" s="298">
        <v>43757</v>
      </c>
      <c r="C18" s="101" t="s">
        <v>62</v>
      </c>
      <c r="D18" s="299" t="s">
        <v>70</v>
      </c>
      <c r="E18" s="101" t="s">
        <v>279</v>
      </c>
      <c r="F18" s="300">
        <v>427.64</v>
      </c>
      <c r="G18" s="301">
        <v>0.1</v>
      </c>
      <c r="H18" s="302">
        <v>39.340000000000003</v>
      </c>
      <c r="I18" s="303"/>
      <c r="J18" s="295"/>
      <c r="K18" s="296"/>
    </row>
    <row r="19" spans="1:11">
      <c r="A19" s="90">
        <v>43396</v>
      </c>
      <c r="B19" s="91">
        <v>43755</v>
      </c>
      <c r="C19" s="353" t="s">
        <v>613</v>
      </c>
      <c r="D19" s="93" t="s">
        <v>14</v>
      </c>
      <c r="E19" s="92" t="s">
        <v>10</v>
      </c>
      <c r="F19" s="146">
        <v>1293.8800000000001</v>
      </c>
      <c r="G19" s="94">
        <v>0.1</v>
      </c>
      <c r="H19" s="95">
        <v>119.032</v>
      </c>
      <c r="I19" s="159"/>
      <c r="J19" s="108"/>
      <c r="K19" s="109"/>
    </row>
    <row r="20" spans="1:11">
      <c r="A20" s="90">
        <v>43399</v>
      </c>
      <c r="B20" s="91">
        <v>43766</v>
      </c>
      <c r="C20" s="168" t="s">
        <v>793</v>
      </c>
      <c r="D20" s="93" t="s">
        <v>14</v>
      </c>
      <c r="E20" s="92" t="s">
        <v>22</v>
      </c>
      <c r="F20" s="146">
        <v>1241.3599999999999</v>
      </c>
      <c r="G20" s="94">
        <v>0.2</v>
      </c>
      <c r="H20" s="95">
        <v>228.41</v>
      </c>
      <c r="I20" s="159"/>
      <c r="J20" s="108"/>
      <c r="K20" s="109"/>
    </row>
    <row r="21" spans="1:11">
      <c r="A21" s="186">
        <v>43399</v>
      </c>
      <c r="B21" s="187">
        <v>43769</v>
      </c>
      <c r="C21" s="387" t="s">
        <v>794</v>
      </c>
      <c r="D21" s="189" t="s">
        <v>14</v>
      </c>
      <c r="E21" s="188" t="s">
        <v>10</v>
      </c>
      <c r="F21" s="190">
        <v>1670.64</v>
      </c>
      <c r="G21" s="191">
        <v>0.1</v>
      </c>
      <c r="H21" s="192">
        <v>153.69</v>
      </c>
      <c r="I21" s="193"/>
      <c r="J21" s="236"/>
      <c r="K21" s="237"/>
    </row>
    <row r="22" spans="1:11">
      <c r="A22" s="90">
        <v>43394</v>
      </c>
      <c r="B22" s="91">
        <v>43764</v>
      </c>
      <c r="C22" s="358" t="s">
        <v>457</v>
      </c>
      <c r="D22" s="93" t="s">
        <v>21</v>
      </c>
      <c r="E22" s="92" t="s">
        <v>22</v>
      </c>
      <c r="F22" s="146">
        <v>2851.32</v>
      </c>
      <c r="G22" s="94">
        <v>0.1</v>
      </c>
      <c r="H22" s="95">
        <v>262.32</v>
      </c>
      <c r="I22" s="159"/>
      <c r="J22" s="108"/>
      <c r="K22" s="109"/>
    </row>
    <row r="23" spans="1:11">
      <c r="A23" s="297">
        <v>43392</v>
      </c>
      <c r="B23" s="298">
        <v>43757</v>
      </c>
      <c r="C23" s="101" t="s">
        <v>795</v>
      </c>
      <c r="D23" s="299" t="s">
        <v>448</v>
      </c>
      <c r="E23" s="101" t="s">
        <v>469</v>
      </c>
      <c r="F23" s="300">
        <v>0</v>
      </c>
      <c r="G23" s="301" t="s">
        <v>796</v>
      </c>
      <c r="H23" s="302">
        <v>150</v>
      </c>
      <c r="I23" s="303">
        <v>75</v>
      </c>
      <c r="J23" s="295" t="s">
        <v>797</v>
      </c>
      <c r="K23" s="296"/>
    </row>
    <row r="24" spans="1:11">
      <c r="A24" s="90">
        <v>43402</v>
      </c>
      <c r="B24" s="91">
        <v>43764</v>
      </c>
      <c r="C24" s="168" t="s">
        <v>150</v>
      </c>
      <c r="D24" s="93" t="s">
        <v>9</v>
      </c>
      <c r="E24" s="92" t="s">
        <v>10</v>
      </c>
      <c r="F24" s="146">
        <v>1291.6600000000001</v>
      </c>
      <c r="G24" s="94">
        <v>0.15</v>
      </c>
      <c r="H24" s="95">
        <v>178.24</v>
      </c>
      <c r="I24" s="159"/>
      <c r="J24" s="108"/>
      <c r="K24" s="109"/>
    </row>
    <row r="25" spans="1:11">
      <c r="A25" s="186">
        <v>43768</v>
      </c>
      <c r="B25" s="187">
        <v>43768</v>
      </c>
      <c r="C25" s="168" t="s">
        <v>798</v>
      </c>
      <c r="D25" s="189" t="s">
        <v>14</v>
      </c>
      <c r="E25" s="188" t="s">
        <v>10</v>
      </c>
      <c r="F25" s="190">
        <v>1705.84</v>
      </c>
      <c r="G25" s="191">
        <v>0.15</v>
      </c>
      <c r="H25" s="192">
        <v>235.41</v>
      </c>
      <c r="I25" s="193" t="s">
        <v>799</v>
      </c>
      <c r="J25" s="236"/>
      <c r="K25" s="237"/>
    </row>
    <row r="26" spans="1:11">
      <c r="A26" s="90"/>
      <c r="B26" s="91"/>
      <c r="C26" s="92"/>
      <c r="D26" s="93"/>
      <c r="E26" s="92"/>
      <c r="F26" s="146"/>
      <c r="G26" s="94"/>
      <c r="H26" s="95"/>
      <c r="I26" s="159"/>
      <c r="J26" s="108"/>
      <c r="K26" s="109"/>
    </row>
    <row r="27" spans="1:11">
      <c r="A27" s="90">
        <v>43405</v>
      </c>
      <c r="B27" s="91">
        <v>43768</v>
      </c>
      <c r="C27" s="168" t="s">
        <v>800</v>
      </c>
      <c r="D27" s="93" t="s">
        <v>14</v>
      </c>
      <c r="E27" s="92" t="s">
        <v>10</v>
      </c>
      <c r="F27" s="146">
        <v>2015.4</v>
      </c>
      <c r="G27" s="94">
        <v>0.15</v>
      </c>
      <c r="H27" s="95">
        <v>278.12</v>
      </c>
      <c r="I27" s="159"/>
      <c r="J27" s="108"/>
      <c r="K27" s="109"/>
    </row>
    <row r="28" spans="1:11">
      <c r="A28" s="90">
        <v>43409</v>
      </c>
      <c r="B28" s="91">
        <v>43769</v>
      </c>
      <c r="C28" s="168" t="s">
        <v>191</v>
      </c>
      <c r="D28" s="93" t="s">
        <v>14</v>
      </c>
      <c r="E28" s="92" t="s">
        <v>10</v>
      </c>
      <c r="F28" s="146">
        <v>2180.84</v>
      </c>
      <c r="G28" s="94">
        <v>0.15</v>
      </c>
      <c r="H28" s="95">
        <v>323.16000000000003</v>
      </c>
      <c r="I28" s="159"/>
      <c r="J28" s="108"/>
      <c r="K28" s="109"/>
    </row>
    <row r="29" spans="1:11">
      <c r="A29" s="90"/>
      <c r="B29" s="91"/>
      <c r="C29" s="92"/>
      <c r="D29" s="93"/>
      <c r="E29" s="92"/>
      <c r="F29" s="146"/>
      <c r="G29" s="94"/>
      <c r="H29" s="95"/>
      <c r="I29" s="159"/>
      <c r="J29" s="108"/>
      <c r="K29" s="109"/>
    </row>
    <row r="30" spans="1:11">
      <c r="A30" s="90"/>
      <c r="B30" s="91"/>
      <c r="C30" s="92"/>
      <c r="D30" s="93"/>
      <c r="E30" s="92"/>
      <c r="F30" s="146"/>
      <c r="G30" s="94"/>
      <c r="H30" s="95"/>
      <c r="I30" s="159"/>
      <c r="J30" s="108"/>
      <c r="K30" s="109"/>
    </row>
    <row r="31" spans="1:11">
      <c r="A31" s="90"/>
      <c r="B31" s="91"/>
      <c r="C31" s="92" t="s">
        <v>801</v>
      </c>
      <c r="D31" s="93" t="s">
        <v>802</v>
      </c>
      <c r="E31" s="92" t="s">
        <v>803</v>
      </c>
      <c r="F31" s="146"/>
      <c r="G31" s="94"/>
      <c r="H31" s="95"/>
      <c r="I31" s="159"/>
      <c r="J31" s="108"/>
      <c r="K31" s="109"/>
    </row>
    <row r="32" spans="1:11" ht="19.5">
      <c r="A32" s="673"/>
      <c r="B32" s="674"/>
      <c r="C32" s="674"/>
      <c r="D32" s="674"/>
      <c r="E32" s="674"/>
      <c r="F32" s="147">
        <f>SUM(F2:F31)</f>
        <v>53544.619999999995</v>
      </c>
      <c r="G32" s="143"/>
      <c r="H32" s="129">
        <f>SUM(H2:H31)</f>
        <v>6257.1019999999999</v>
      </c>
      <c r="I32" s="107">
        <f>SUM(I2:I31)</f>
        <v>269.25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K40"/>
  <sheetViews>
    <sheetView topLeftCell="A16" workbookViewId="0"/>
  </sheetViews>
  <sheetFormatPr defaultRowHeight="15"/>
  <cols>
    <col min="3" max="3" width="56.140625" customWidth="1"/>
  </cols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216">
        <v>43101</v>
      </c>
      <c r="B2" s="225">
        <v>43770</v>
      </c>
      <c r="C2" s="172" t="s">
        <v>619</v>
      </c>
      <c r="D2" s="218" t="s">
        <v>21</v>
      </c>
      <c r="E2" s="217" t="s">
        <v>90</v>
      </c>
      <c r="F2" s="219">
        <v>2456.6</v>
      </c>
      <c r="G2" s="220">
        <v>0.1</v>
      </c>
      <c r="H2" s="214">
        <v>226</v>
      </c>
      <c r="I2" s="215"/>
      <c r="J2" s="223"/>
      <c r="K2" s="224"/>
    </row>
    <row r="3" spans="1:11">
      <c r="A3" s="216">
        <v>43101</v>
      </c>
      <c r="B3" s="221">
        <v>43770</v>
      </c>
      <c r="C3" s="172" t="s">
        <v>804</v>
      </c>
      <c r="D3" s="218" t="s">
        <v>14</v>
      </c>
      <c r="E3" s="217" t="s">
        <v>19</v>
      </c>
      <c r="F3" s="219">
        <v>1671.44</v>
      </c>
      <c r="G3" s="220">
        <v>0.15</v>
      </c>
      <c r="H3" s="214">
        <v>230.65</v>
      </c>
      <c r="I3" s="215"/>
      <c r="J3" s="223"/>
      <c r="K3" s="224"/>
    </row>
    <row r="4" spans="1:11">
      <c r="A4" s="207">
        <v>43101</v>
      </c>
      <c r="B4" s="208">
        <v>43774</v>
      </c>
      <c r="C4" s="168" t="s">
        <v>805</v>
      </c>
      <c r="D4" s="209" t="s">
        <v>198</v>
      </c>
      <c r="E4" s="169" t="s">
        <v>22</v>
      </c>
      <c r="F4" s="210">
        <v>1344.76</v>
      </c>
      <c r="G4" s="211">
        <v>0.1</v>
      </c>
      <c r="H4" s="212">
        <v>123.71</v>
      </c>
      <c r="I4" s="213"/>
      <c r="J4" s="223"/>
      <c r="K4" s="224"/>
    </row>
    <row r="5" spans="1:11">
      <c r="A5" s="207">
        <v>43101</v>
      </c>
      <c r="B5" s="208">
        <v>43466</v>
      </c>
      <c r="C5" s="168" t="s">
        <v>162</v>
      </c>
      <c r="D5" s="209" t="s">
        <v>25</v>
      </c>
      <c r="E5" s="169" t="s">
        <v>17</v>
      </c>
      <c r="F5" s="210">
        <v>1299.7</v>
      </c>
      <c r="G5" s="211">
        <v>0.1</v>
      </c>
      <c r="H5" s="212">
        <v>119.57</v>
      </c>
      <c r="I5" s="213"/>
      <c r="J5" s="223"/>
      <c r="K5" s="224"/>
    </row>
    <row r="6" spans="1:11">
      <c r="A6" s="207">
        <v>43130</v>
      </c>
      <c r="B6" s="208">
        <v>43775</v>
      </c>
      <c r="C6" s="168" t="s">
        <v>621</v>
      </c>
      <c r="D6" s="209" t="s">
        <v>61</v>
      </c>
      <c r="E6" s="169" t="s">
        <v>90</v>
      </c>
      <c r="F6" s="210">
        <v>2963.02</v>
      </c>
      <c r="G6" s="222">
        <v>0.1</v>
      </c>
      <c r="H6" s="212">
        <v>272.58999999999997</v>
      </c>
      <c r="I6" s="213"/>
      <c r="J6" s="223"/>
      <c r="K6" s="224"/>
    </row>
    <row r="7" spans="1:11">
      <c r="A7" s="90">
        <v>43106</v>
      </c>
      <c r="B7" s="91">
        <v>43775</v>
      </c>
      <c r="C7" s="168" t="s">
        <v>806</v>
      </c>
      <c r="D7" s="93" t="s">
        <v>14</v>
      </c>
      <c r="E7" s="92" t="s">
        <v>10</v>
      </c>
      <c r="F7" s="146">
        <v>1377.06</v>
      </c>
      <c r="G7" s="94">
        <v>0.15</v>
      </c>
      <c r="H7" s="95">
        <v>190.03</v>
      </c>
      <c r="I7" s="159"/>
      <c r="J7" s="108"/>
      <c r="K7" s="109"/>
    </row>
    <row r="8" spans="1:11">
      <c r="A8" s="238">
        <v>43106</v>
      </c>
      <c r="B8" s="239">
        <v>43775</v>
      </c>
      <c r="C8" s="412" t="s">
        <v>807</v>
      </c>
      <c r="D8" s="241" t="s">
        <v>25</v>
      </c>
      <c r="E8" s="240" t="s">
        <v>19</v>
      </c>
      <c r="F8" s="242">
        <v>2480.06</v>
      </c>
      <c r="G8" s="243">
        <v>0.1</v>
      </c>
      <c r="H8" s="244">
        <v>228.16</v>
      </c>
      <c r="I8" s="245"/>
      <c r="J8" s="263"/>
      <c r="K8" s="264"/>
    </row>
    <row r="9" spans="1:11">
      <c r="A9" s="207">
        <v>43107</v>
      </c>
      <c r="B9" s="208">
        <v>43776</v>
      </c>
      <c r="C9" s="168" t="s">
        <v>808</v>
      </c>
      <c r="D9" s="209" t="s">
        <v>21</v>
      </c>
      <c r="E9" s="169" t="s">
        <v>10</v>
      </c>
      <c r="F9" s="210">
        <v>1217.03</v>
      </c>
      <c r="G9" s="211">
        <v>0.15</v>
      </c>
      <c r="H9" s="212">
        <v>167.95</v>
      </c>
      <c r="I9" s="213"/>
      <c r="J9" s="223"/>
      <c r="K9" s="224"/>
    </row>
    <row r="10" spans="1:11">
      <c r="A10" s="207">
        <v>43108</v>
      </c>
      <c r="B10" s="208">
        <v>43777</v>
      </c>
      <c r="C10" s="168" t="s">
        <v>616</v>
      </c>
      <c r="D10" s="209" t="s">
        <v>61</v>
      </c>
      <c r="E10" s="169" t="s">
        <v>10</v>
      </c>
      <c r="F10" s="210">
        <v>1726.91</v>
      </c>
      <c r="G10" s="211">
        <v>0.1</v>
      </c>
      <c r="H10" s="212">
        <v>158.88</v>
      </c>
      <c r="I10" s="213"/>
      <c r="J10" s="223"/>
      <c r="K10" s="224"/>
    </row>
    <row r="11" spans="1:11">
      <c r="A11" s="90">
        <v>43413</v>
      </c>
      <c r="B11" s="91">
        <v>43788</v>
      </c>
      <c r="C11" s="168" t="s">
        <v>809</v>
      </c>
      <c r="D11" s="93" t="s">
        <v>14</v>
      </c>
      <c r="E11" s="92" t="s">
        <v>10</v>
      </c>
      <c r="F11" s="146">
        <v>1535.09</v>
      </c>
      <c r="G11" s="94">
        <v>0.1</v>
      </c>
      <c r="H11" s="95">
        <v>141.22</v>
      </c>
      <c r="I11" s="159">
        <v>70.61</v>
      </c>
      <c r="J11" s="108"/>
      <c r="K11" s="109"/>
    </row>
    <row r="12" spans="1:11">
      <c r="A12" s="297">
        <v>43413</v>
      </c>
      <c r="B12" s="298">
        <v>43778</v>
      </c>
      <c r="C12" s="397" t="s">
        <v>810</v>
      </c>
      <c r="D12" s="299" t="s">
        <v>61</v>
      </c>
      <c r="E12" s="101" t="s">
        <v>17</v>
      </c>
      <c r="F12" s="300">
        <v>2390.1999999999998</v>
      </c>
      <c r="G12" s="301">
        <v>0.1</v>
      </c>
      <c r="H12" s="302">
        <v>219.89</v>
      </c>
      <c r="I12" s="303"/>
      <c r="J12" s="295"/>
      <c r="K12" s="296"/>
    </row>
    <row r="13" spans="1:11">
      <c r="A13" s="297">
        <v>43413</v>
      </c>
      <c r="B13" s="298">
        <v>43778</v>
      </c>
      <c r="C13" s="101" t="s">
        <v>811</v>
      </c>
      <c r="D13" s="299" t="s">
        <v>14</v>
      </c>
      <c r="E13" s="101" t="s">
        <v>10</v>
      </c>
      <c r="F13" s="300">
        <v>1657.36</v>
      </c>
      <c r="G13" s="301">
        <v>0.1</v>
      </c>
      <c r="H13" s="302">
        <v>152.47</v>
      </c>
      <c r="I13" s="303"/>
      <c r="J13" s="295"/>
      <c r="K13" s="296"/>
    </row>
    <row r="14" spans="1:11">
      <c r="A14" s="90">
        <v>43416</v>
      </c>
      <c r="B14" s="91">
        <v>43779</v>
      </c>
      <c r="C14" s="387" t="s">
        <v>812</v>
      </c>
      <c r="D14" s="93" t="s">
        <v>14</v>
      </c>
      <c r="E14" s="92" t="s">
        <v>10</v>
      </c>
      <c r="F14" s="146">
        <v>1686.17</v>
      </c>
      <c r="G14" s="94">
        <v>0.1</v>
      </c>
      <c r="H14" s="95">
        <v>155.12</v>
      </c>
      <c r="I14" s="159">
        <v>77.56</v>
      </c>
      <c r="J14" s="108"/>
      <c r="K14" s="109"/>
    </row>
    <row r="15" spans="1:11">
      <c r="A15" s="90">
        <v>43416</v>
      </c>
      <c r="B15" s="91">
        <v>43785</v>
      </c>
      <c r="C15" s="358" t="s">
        <v>161</v>
      </c>
      <c r="D15" s="93" t="s">
        <v>25</v>
      </c>
      <c r="E15" s="92" t="s">
        <v>90</v>
      </c>
      <c r="F15" s="146">
        <v>2115.46</v>
      </c>
      <c r="G15" s="94">
        <v>0.2</v>
      </c>
      <c r="H15" s="95">
        <v>389.24</v>
      </c>
      <c r="I15" s="159"/>
      <c r="J15" s="108"/>
      <c r="K15" s="109"/>
    </row>
    <row r="16" spans="1:11">
      <c r="A16" s="90">
        <v>43416</v>
      </c>
      <c r="B16" s="91">
        <v>43781</v>
      </c>
      <c r="C16" s="168" t="s">
        <v>355</v>
      </c>
      <c r="D16" s="93" t="s">
        <v>25</v>
      </c>
      <c r="E16" s="92" t="s">
        <v>10</v>
      </c>
      <c r="F16" s="146">
        <v>909.17</v>
      </c>
      <c r="G16" s="94">
        <v>0.17</v>
      </c>
      <c r="H16" s="95">
        <v>150.55000000000001</v>
      </c>
      <c r="I16" s="159"/>
      <c r="J16" s="108"/>
      <c r="K16" s="109"/>
    </row>
    <row r="17" spans="1:11">
      <c r="A17" s="90">
        <v>43416</v>
      </c>
      <c r="B17" s="91">
        <v>43778</v>
      </c>
      <c r="C17" s="168" t="s">
        <v>409</v>
      </c>
      <c r="D17" s="93" t="s">
        <v>14</v>
      </c>
      <c r="E17" s="92" t="s">
        <v>10</v>
      </c>
      <c r="F17" s="146">
        <v>5040.1099999999997</v>
      </c>
      <c r="G17" s="94">
        <v>0.1</v>
      </c>
      <c r="H17" s="95">
        <v>463.69</v>
      </c>
      <c r="I17" s="159"/>
      <c r="J17" s="108"/>
      <c r="K17" s="109"/>
    </row>
    <row r="18" spans="1:11">
      <c r="A18" s="90">
        <v>43417</v>
      </c>
      <c r="B18" s="91">
        <v>43780</v>
      </c>
      <c r="C18" s="168" t="s">
        <v>622</v>
      </c>
      <c r="D18" s="93" t="s">
        <v>14</v>
      </c>
      <c r="E18" s="92" t="s">
        <v>10</v>
      </c>
      <c r="F18" s="146">
        <v>1207.74</v>
      </c>
      <c r="G18" s="94">
        <v>0.1</v>
      </c>
      <c r="H18" s="95">
        <v>111.11</v>
      </c>
      <c r="I18" s="159"/>
      <c r="J18" s="108"/>
      <c r="K18" s="109"/>
    </row>
    <row r="19" spans="1:11">
      <c r="A19" s="90">
        <v>43417</v>
      </c>
      <c r="B19" s="91">
        <v>43780</v>
      </c>
      <c r="C19" s="353" t="s">
        <v>813</v>
      </c>
      <c r="D19" s="93" t="s">
        <v>14</v>
      </c>
      <c r="E19" s="92" t="s">
        <v>10</v>
      </c>
      <c r="F19" s="146">
        <v>1062.72</v>
      </c>
      <c r="G19" s="94">
        <v>0.2</v>
      </c>
      <c r="H19" s="95">
        <v>195.54</v>
      </c>
      <c r="I19" s="159"/>
      <c r="J19" s="108"/>
      <c r="K19" s="109"/>
    </row>
    <row r="20" spans="1:11">
      <c r="A20" s="207">
        <v>43418</v>
      </c>
      <c r="B20" s="208">
        <v>43783</v>
      </c>
      <c r="C20" s="387" t="s">
        <v>165</v>
      </c>
      <c r="D20" s="209" t="s">
        <v>21</v>
      </c>
      <c r="E20" s="169" t="s">
        <v>22</v>
      </c>
      <c r="F20" s="210">
        <v>2479.4899999999998</v>
      </c>
      <c r="G20" s="211">
        <v>0.1</v>
      </c>
      <c r="H20" s="212">
        <v>228.11</v>
      </c>
      <c r="I20" s="213"/>
      <c r="J20" s="223"/>
      <c r="K20" s="224"/>
    </row>
    <row r="21" spans="1:11">
      <c r="A21" s="90">
        <v>43420</v>
      </c>
      <c r="B21" s="91">
        <v>43791</v>
      </c>
      <c r="C21" s="358" t="s">
        <v>85</v>
      </c>
      <c r="D21" s="93" t="s">
        <v>61</v>
      </c>
      <c r="E21" s="92" t="s">
        <v>19</v>
      </c>
      <c r="F21" s="146">
        <v>1118.47</v>
      </c>
      <c r="G21" s="94">
        <v>0.1</v>
      </c>
      <c r="H21" s="95">
        <v>102.89</v>
      </c>
      <c r="I21" s="159"/>
      <c r="J21" s="108"/>
      <c r="K21" s="109"/>
    </row>
    <row r="22" spans="1:11">
      <c r="A22" s="90">
        <v>43425</v>
      </c>
      <c r="B22" s="91">
        <v>43785</v>
      </c>
      <c r="C22" s="168" t="s">
        <v>168</v>
      </c>
      <c r="D22" s="93" t="s">
        <v>14</v>
      </c>
      <c r="E22" s="92" t="s">
        <v>10</v>
      </c>
      <c r="F22" s="146">
        <v>1648.49</v>
      </c>
      <c r="G22" s="94">
        <v>0.15</v>
      </c>
      <c r="H22" s="95">
        <v>227.49</v>
      </c>
      <c r="I22" s="159"/>
      <c r="J22" s="108"/>
      <c r="K22" s="109"/>
    </row>
    <row r="23" spans="1:11">
      <c r="A23" s="297">
        <v>43425</v>
      </c>
      <c r="B23" s="298">
        <v>43788</v>
      </c>
      <c r="C23" s="101" t="s">
        <v>814</v>
      </c>
      <c r="D23" s="299" t="s">
        <v>9</v>
      </c>
      <c r="E23" s="101" t="s">
        <v>19</v>
      </c>
      <c r="F23" s="300">
        <v>2011.44</v>
      </c>
      <c r="G23" s="301">
        <v>0.17</v>
      </c>
      <c r="H23" s="302">
        <v>314.58</v>
      </c>
      <c r="I23" s="303"/>
      <c r="J23" s="295"/>
      <c r="K23" s="296"/>
    </row>
    <row r="24" spans="1:11">
      <c r="A24" s="297">
        <v>43425</v>
      </c>
      <c r="B24" s="298">
        <v>43791</v>
      </c>
      <c r="C24" s="101" t="s">
        <v>583</v>
      </c>
      <c r="D24" s="299" t="s">
        <v>9</v>
      </c>
      <c r="E24" s="101" t="s">
        <v>10</v>
      </c>
      <c r="F24" s="300">
        <v>1212.82</v>
      </c>
      <c r="G24" s="301">
        <v>0.13</v>
      </c>
      <c r="H24" s="302">
        <v>145.05000000000001</v>
      </c>
      <c r="I24" s="303"/>
      <c r="J24" s="295"/>
      <c r="K24" s="296"/>
    </row>
    <row r="25" spans="1:11">
      <c r="A25" s="90">
        <v>43427</v>
      </c>
      <c r="B25" s="91">
        <v>43797</v>
      </c>
      <c r="C25" s="168" t="s">
        <v>628</v>
      </c>
      <c r="D25" s="93" t="s">
        <v>14</v>
      </c>
      <c r="E25" s="92" t="s">
        <v>10</v>
      </c>
      <c r="F25" s="146">
        <v>2331.5</v>
      </c>
      <c r="G25" s="94">
        <v>0.1</v>
      </c>
      <c r="H25" s="95">
        <v>214.19</v>
      </c>
      <c r="I25" s="159"/>
      <c r="J25" s="108"/>
      <c r="K25" s="109"/>
    </row>
    <row r="26" spans="1:11">
      <c r="A26" s="246">
        <v>43430</v>
      </c>
      <c r="B26" s="247">
        <v>43795</v>
      </c>
      <c r="C26" s="413" t="s">
        <v>815</v>
      </c>
      <c r="D26" s="249" t="s">
        <v>14</v>
      </c>
      <c r="E26" s="248" t="s">
        <v>29</v>
      </c>
      <c r="F26" s="250">
        <v>1011.17</v>
      </c>
      <c r="G26" s="251">
        <v>0.1</v>
      </c>
      <c r="H26" s="252">
        <v>93.02</v>
      </c>
      <c r="I26" s="253"/>
      <c r="J26" s="273"/>
      <c r="K26" s="274"/>
    </row>
    <row r="27" spans="1:11">
      <c r="A27" s="90">
        <v>43431</v>
      </c>
      <c r="B27" s="91">
        <v>43791</v>
      </c>
      <c r="C27" s="168" t="s">
        <v>175</v>
      </c>
      <c r="D27" s="93" t="s">
        <v>9</v>
      </c>
      <c r="E27" s="92" t="s">
        <v>10</v>
      </c>
      <c r="F27" s="146">
        <v>1495.63</v>
      </c>
      <c r="G27" s="94">
        <v>0.1</v>
      </c>
      <c r="H27" s="95">
        <v>137.59</v>
      </c>
      <c r="I27" s="159"/>
      <c r="J27" s="108"/>
      <c r="K27" s="109"/>
    </row>
    <row r="28" spans="1:11">
      <c r="A28" s="90">
        <v>43431</v>
      </c>
      <c r="B28" s="91">
        <v>43687</v>
      </c>
      <c r="C28" s="92" t="s">
        <v>312</v>
      </c>
      <c r="D28" s="93" t="s">
        <v>149</v>
      </c>
      <c r="E28" s="92" t="s">
        <v>816</v>
      </c>
      <c r="F28" s="146">
        <v>492.91</v>
      </c>
      <c r="G28" s="94">
        <v>0.17</v>
      </c>
      <c r="H28" s="95">
        <v>77.09</v>
      </c>
      <c r="I28" s="159">
        <v>38.54</v>
      </c>
      <c r="J28" s="108"/>
      <c r="K28" s="109"/>
    </row>
    <row r="29" spans="1:11">
      <c r="A29" s="297">
        <v>43432</v>
      </c>
      <c r="B29" s="298">
        <v>43797</v>
      </c>
      <c r="C29" s="101" t="s">
        <v>629</v>
      </c>
      <c r="D29" s="299" t="s">
        <v>14</v>
      </c>
      <c r="E29" s="101" t="s">
        <v>10</v>
      </c>
      <c r="F29" s="300">
        <v>2284.6</v>
      </c>
      <c r="G29" s="301">
        <v>0.15</v>
      </c>
      <c r="H29" s="302">
        <v>315.27</v>
      </c>
      <c r="I29" s="303"/>
      <c r="J29" s="295"/>
      <c r="K29" s="296"/>
    </row>
    <row r="30" spans="1:11">
      <c r="A30" s="90">
        <v>43434</v>
      </c>
      <c r="B30" s="91">
        <v>43799</v>
      </c>
      <c r="C30" s="168" t="s">
        <v>176</v>
      </c>
      <c r="D30" s="93" t="s">
        <v>33</v>
      </c>
      <c r="E30" s="92" t="s">
        <v>362</v>
      </c>
      <c r="F30" s="146">
        <v>1104.24</v>
      </c>
      <c r="G30" s="94">
        <v>0.17</v>
      </c>
      <c r="H30" s="95">
        <v>172.7</v>
      </c>
      <c r="I30" s="159"/>
      <c r="J30" s="108"/>
      <c r="K30" s="109"/>
    </row>
    <row r="31" spans="1:11">
      <c r="A31" s="90">
        <v>43434</v>
      </c>
      <c r="B31" s="91">
        <v>43799</v>
      </c>
      <c r="C31" s="168" t="s">
        <v>817</v>
      </c>
      <c r="D31" s="93" t="s">
        <v>21</v>
      </c>
      <c r="E31" s="92" t="s">
        <v>22</v>
      </c>
      <c r="F31" s="146">
        <v>2222.4699999999998</v>
      </c>
      <c r="G31" s="94">
        <v>0.15</v>
      </c>
      <c r="H31" s="95">
        <v>306.7</v>
      </c>
      <c r="I31" s="159"/>
      <c r="J31" s="108"/>
      <c r="K31" s="109"/>
    </row>
    <row r="32" spans="1:11">
      <c r="A32" s="90">
        <v>43437</v>
      </c>
      <c r="B32" s="91">
        <v>43791</v>
      </c>
      <c r="C32" s="168" t="s">
        <v>626</v>
      </c>
      <c r="D32" s="93" t="s">
        <v>9</v>
      </c>
      <c r="E32" s="92" t="s">
        <v>22</v>
      </c>
      <c r="F32" s="146">
        <v>1280.8499999999999</v>
      </c>
      <c r="G32" s="94">
        <v>0.15</v>
      </c>
      <c r="H32" s="95">
        <v>176.75</v>
      </c>
      <c r="I32" s="159"/>
      <c r="J32" s="108"/>
      <c r="K32" s="109"/>
    </row>
    <row r="33" spans="1:11">
      <c r="A33" s="90">
        <v>43438</v>
      </c>
      <c r="B33" s="91">
        <v>43799</v>
      </c>
      <c r="C33" s="168" t="s">
        <v>818</v>
      </c>
      <c r="D33" s="93" t="s">
        <v>25</v>
      </c>
      <c r="E33" s="92" t="s">
        <v>10</v>
      </c>
      <c r="F33" s="146">
        <v>1664.34</v>
      </c>
      <c r="G33" s="94">
        <v>0.15</v>
      </c>
      <c r="H33" s="95">
        <v>229.67</v>
      </c>
      <c r="I33" s="159"/>
      <c r="J33" s="108"/>
      <c r="K33" s="109"/>
    </row>
    <row r="34" spans="1:11">
      <c r="A34" s="90"/>
      <c r="B34" s="91"/>
      <c r="C34" s="92"/>
      <c r="D34" s="93"/>
      <c r="E34" s="92"/>
      <c r="F34" s="146"/>
      <c r="G34" s="94"/>
      <c r="H34" s="95"/>
      <c r="I34" s="159"/>
      <c r="J34" s="108"/>
      <c r="K34" s="109"/>
    </row>
    <row r="35" spans="1:11">
      <c r="A35" s="90"/>
      <c r="B35" s="91"/>
      <c r="C35" s="92"/>
      <c r="D35" s="93"/>
      <c r="E35" s="92"/>
      <c r="F35" s="146"/>
      <c r="G35" s="94"/>
      <c r="H35" s="95"/>
      <c r="I35" s="159"/>
      <c r="J35" s="108"/>
      <c r="K35" s="109"/>
    </row>
    <row r="36" spans="1:11">
      <c r="A36" s="90"/>
      <c r="B36" s="91"/>
      <c r="C36" s="92"/>
      <c r="D36" s="93"/>
      <c r="E36" s="92"/>
      <c r="F36" s="146"/>
      <c r="G36" s="94"/>
      <c r="H36" s="95"/>
      <c r="I36" s="159"/>
      <c r="J36" s="108"/>
      <c r="K36" s="109"/>
    </row>
    <row r="37" spans="1:11">
      <c r="A37" s="90"/>
      <c r="B37" s="91"/>
      <c r="C37" s="92"/>
      <c r="D37" s="93"/>
      <c r="E37" s="92"/>
      <c r="F37" s="146"/>
      <c r="G37" s="94"/>
      <c r="H37" s="95"/>
      <c r="I37" s="159"/>
      <c r="J37" s="108"/>
      <c r="K37" s="109"/>
    </row>
    <row r="38" spans="1:11">
      <c r="A38" s="90"/>
      <c r="B38" s="91"/>
      <c r="C38" s="92"/>
      <c r="D38" s="93"/>
      <c r="E38" s="92"/>
      <c r="F38" s="146"/>
      <c r="G38" s="94"/>
      <c r="H38" s="95"/>
      <c r="I38" s="159"/>
      <c r="J38" s="108"/>
      <c r="K38" s="109"/>
    </row>
    <row r="39" spans="1:11">
      <c r="A39" s="90"/>
      <c r="B39" s="91"/>
      <c r="C39" s="92" t="s">
        <v>819</v>
      </c>
      <c r="D39" s="93"/>
      <c r="E39" s="92"/>
      <c r="F39" s="146"/>
      <c r="G39" s="94"/>
      <c r="H39" s="95"/>
      <c r="I39" s="159"/>
      <c r="J39" s="108"/>
      <c r="K39" s="109"/>
    </row>
    <row r="40" spans="1:11" ht="19.5">
      <c r="A40" s="673"/>
      <c r="B40" s="674"/>
      <c r="C40" s="674"/>
      <c r="D40" s="674"/>
      <c r="E40" s="674"/>
      <c r="F40" s="147">
        <f>SUM(F2:F39)</f>
        <v>56499.01999999999</v>
      </c>
      <c r="G40" s="143"/>
      <c r="H40" s="129">
        <f>SUM(H2:H39)</f>
        <v>6437.4699999999993</v>
      </c>
      <c r="I40" s="107">
        <f>SUM(I2:I39)</f>
        <v>186.71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K41"/>
  <sheetViews>
    <sheetView topLeftCell="A16" workbookViewId="0"/>
  </sheetViews>
  <sheetFormatPr defaultRowHeight="15"/>
  <cols>
    <col min="3" max="3" width="61" bestFit="1" customWidth="1"/>
  </cols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216">
        <v>43431</v>
      </c>
      <c r="B2" s="225">
        <v>43435</v>
      </c>
      <c r="C2" s="172" t="s">
        <v>820</v>
      </c>
      <c r="D2" s="218" t="s">
        <v>25</v>
      </c>
      <c r="E2" s="217" t="s">
        <v>10</v>
      </c>
      <c r="F2" s="219">
        <v>866.13</v>
      </c>
      <c r="G2" s="220">
        <v>0.15</v>
      </c>
      <c r="H2" s="214">
        <v>119.52</v>
      </c>
      <c r="I2" s="215"/>
      <c r="J2" s="223"/>
      <c r="K2" s="224"/>
    </row>
    <row r="3" spans="1:11">
      <c r="A3" s="216">
        <v>43434</v>
      </c>
      <c r="B3" s="221">
        <v>43435</v>
      </c>
      <c r="C3" s="172" t="s">
        <v>631</v>
      </c>
      <c r="D3" s="218" t="s">
        <v>14</v>
      </c>
      <c r="E3" s="217" t="s">
        <v>15</v>
      </c>
      <c r="F3" s="219">
        <v>1470.15</v>
      </c>
      <c r="G3" s="220">
        <v>0.1</v>
      </c>
      <c r="H3" s="214">
        <v>135.25</v>
      </c>
      <c r="I3" s="215"/>
      <c r="J3" s="223"/>
      <c r="K3" s="224"/>
    </row>
    <row r="4" spans="1:11">
      <c r="A4" s="207">
        <v>43440</v>
      </c>
      <c r="B4" s="208">
        <v>43805</v>
      </c>
      <c r="C4" s="168" t="s">
        <v>196</v>
      </c>
      <c r="D4" s="209" t="s">
        <v>14</v>
      </c>
      <c r="E4" s="169" t="s">
        <v>22</v>
      </c>
      <c r="F4" s="210">
        <v>2229.92</v>
      </c>
      <c r="G4" s="211">
        <v>0.2</v>
      </c>
      <c r="H4" s="212">
        <v>410.3</v>
      </c>
      <c r="I4" s="213"/>
      <c r="J4" s="223"/>
      <c r="K4" s="224"/>
    </row>
    <row r="5" spans="1:11">
      <c r="A5" s="207">
        <v>43440</v>
      </c>
      <c r="B5" s="208">
        <v>43805</v>
      </c>
      <c r="C5" s="168" t="s">
        <v>389</v>
      </c>
      <c r="D5" s="209" t="s">
        <v>25</v>
      </c>
      <c r="E5" s="169" t="s">
        <v>10</v>
      </c>
      <c r="F5" s="210">
        <v>1501.94</v>
      </c>
      <c r="G5" s="222">
        <v>0.1</v>
      </c>
      <c r="H5" s="212">
        <v>138.16999999999999</v>
      </c>
      <c r="I5" s="213"/>
      <c r="J5" s="223"/>
      <c r="K5" s="224"/>
    </row>
    <row r="6" spans="1:11">
      <c r="A6" s="90">
        <v>43441</v>
      </c>
      <c r="B6" s="91">
        <v>43808</v>
      </c>
      <c r="C6" s="168" t="s">
        <v>360</v>
      </c>
      <c r="D6" s="93" t="s">
        <v>70</v>
      </c>
      <c r="E6" s="92" t="s">
        <v>10</v>
      </c>
      <c r="F6" s="146">
        <v>1307.5</v>
      </c>
      <c r="G6" s="94">
        <v>0.2</v>
      </c>
      <c r="H6" s="95">
        <v>240.58</v>
      </c>
      <c r="I6" s="159"/>
      <c r="J6" s="108"/>
      <c r="K6" s="109"/>
    </row>
    <row r="7" spans="1:11">
      <c r="A7" s="90">
        <v>43444</v>
      </c>
      <c r="B7" s="91">
        <v>43802</v>
      </c>
      <c r="C7" s="168" t="s">
        <v>472</v>
      </c>
      <c r="D7" s="93" t="s">
        <v>14</v>
      </c>
      <c r="E7" s="92" t="s">
        <v>10</v>
      </c>
      <c r="F7" s="146">
        <v>2207</v>
      </c>
      <c r="G7" s="94">
        <v>0.15</v>
      </c>
      <c r="H7" s="95">
        <v>304.56</v>
      </c>
      <c r="I7" s="159"/>
      <c r="J7" s="108"/>
      <c r="K7" s="109"/>
    </row>
    <row r="8" spans="1:11">
      <c r="A8" s="255">
        <v>43445</v>
      </c>
      <c r="B8" s="256">
        <v>43814</v>
      </c>
      <c r="C8" s="412" t="s">
        <v>821</v>
      </c>
      <c r="D8" s="258" t="s">
        <v>61</v>
      </c>
      <c r="E8" s="257" t="s">
        <v>19</v>
      </c>
      <c r="F8" s="259">
        <v>1658.56</v>
      </c>
      <c r="G8" s="260">
        <v>0.1</v>
      </c>
      <c r="H8" s="261">
        <v>152.59</v>
      </c>
      <c r="I8" s="262"/>
      <c r="J8" s="307"/>
      <c r="K8" s="308"/>
    </row>
    <row r="9" spans="1:11">
      <c r="A9" s="207">
        <v>43446</v>
      </c>
      <c r="B9" s="208">
        <v>43809</v>
      </c>
      <c r="C9" s="414" t="s">
        <v>822</v>
      </c>
      <c r="D9" s="209" t="s">
        <v>21</v>
      </c>
      <c r="E9" s="169" t="s">
        <v>22</v>
      </c>
      <c r="F9" s="210">
        <v>2376.34</v>
      </c>
      <c r="G9" s="211">
        <v>0.1</v>
      </c>
      <c r="H9" s="212">
        <v>218.62</v>
      </c>
      <c r="I9" s="213"/>
      <c r="J9" s="223"/>
      <c r="K9" s="224"/>
    </row>
    <row r="10" spans="1:11">
      <c r="A10" s="90">
        <v>43446</v>
      </c>
      <c r="B10" s="91">
        <v>43818</v>
      </c>
      <c r="C10" s="92" t="s">
        <v>823</v>
      </c>
      <c r="D10" s="93" t="s">
        <v>448</v>
      </c>
      <c r="E10" s="92" t="s">
        <v>469</v>
      </c>
      <c r="F10" s="146" t="s">
        <v>560</v>
      </c>
      <c r="G10" s="94" t="s">
        <v>454</v>
      </c>
      <c r="H10" s="95">
        <v>150</v>
      </c>
      <c r="I10" s="159"/>
      <c r="J10" s="108"/>
      <c r="K10" s="109"/>
    </row>
    <row r="11" spans="1:11">
      <c r="A11" s="90">
        <v>43448</v>
      </c>
      <c r="B11" s="91">
        <v>43814</v>
      </c>
      <c r="C11" s="353" t="s">
        <v>87</v>
      </c>
      <c r="D11" s="93" t="s">
        <v>25</v>
      </c>
      <c r="E11" s="92" t="s">
        <v>10</v>
      </c>
      <c r="F11" s="146">
        <v>1464.9</v>
      </c>
      <c r="G11" s="94">
        <v>0.14000000000000001</v>
      </c>
      <c r="H11" s="95">
        <v>188.67</v>
      </c>
      <c r="I11" s="159"/>
      <c r="J11" s="108"/>
      <c r="K11" s="109"/>
    </row>
    <row r="12" spans="1:11">
      <c r="A12" s="90">
        <v>43451</v>
      </c>
      <c r="B12" s="91">
        <v>43816</v>
      </c>
      <c r="C12" s="168" t="s">
        <v>589</v>
      </c>
      <c r="D12" s="93" t="s">
        <v>9</v>
      </c>
      <c r="E12" s="92" t="s">
        <v>19</v>
      </c>
      <c r="F12" s="146">
        <v>1654.89</v>
      </c>
      <c r="G12" s="94">
        <v>0.15</v>
      </c>
      <c r="H12" s="95">
        <v>228.37</v>
      </c>
      <c r="I12" s="159"/>
      <c r="J12" s="108"/>
      <c r="K12" s="109"/>
    </row>
    <row r="13" spans="1:11">
      <c r="A13" s="90">
        <v>43451</v>
      </c>
      <c r="B13" s="91">
        <v>43814</v>
      </c>
      <c r="C13" s="387" t="s">
        <v>589</v>
      </c>
      <c r="D13" s="93" t="s">
        <v>198</v>
      </c>
      <c r="E13" s="92" t="s">
        <v>10</v>
      </c>
      <c r="F13" s="146">
        <v>2234.5700000000002</v>
      </c>
      <c r="G13" s="94">
        <v>0.1</v>
      </c>
      <c r="H13" s="95">
        <v>205.58</v>
      </c>
      <c r="I13" s="159"/>
      <c r="J13" s="108"/>
      <c r="K13" s="109"/>
    </row>
    <row r="14" spans="1:11">
      <c r="A14" s="90">
        <v>43452</v>
      </c>
      <c r="B14" s="91">
        <v>43817</v>
      </c>
      <c r="C14" s="140" t="s">
        <v>824</v>
      </c>
      <c r="D14" s="93" t="s">
        <v>14</v>
      </c>
      <c r="E14" s="92" t="s">
        <v>22</v>
      </c>
      <c r="F14" s="146">
        <v>794.4</v>
      </c>
      <c r="G14" s="94">
        <v>0.19</v>
      </c>
      <c r="H14" s="95">
        <v>138.86000000000001</v>
      </c>
      <c r="I14" s="159"/>
      <c r="J14" s="108"/>
      <c r="K14" s="109"/>
    </row>
    <row r="15" spans="1:11">
      <c r="A15" s="90">
        <v>43445</v>
      </c>
      <c r="B15" s="91">
        <v>43810</v>
      </c>
      <c r="C15" s="92" t="s">
        <v>825</v>
      </c>
      <c r="D15" s="93" t="s">
        <v>14</v>
      </c>
      <c r="E15" s="92" t="s">
        <v>22</v>
      </c>
      <c r="F15" s="146">
        <v>557.11</v>
      </c>
      <c r="G15" s="94">
        <v>0.19</v>
      </c>
      <c r="H15" s="95">
        <v>97.38</v>
      </c>
      <c r="I15" s="159"/>
      <c r="J15" s="108"/>
      <c r="K15" s="109"/>
    </row>
    <row r="16" spans="1:11">
      <c r="A16" s="90">
        <v>43452</v>
      </c>
      <c r="B16" s="91">
        <v>43817</v>
      </c>
      <c r="C16" s="168" t="s">
        <v>826</v>
      </c>
      <c r="D16" s="93" t="s">
        <v>14</v>
      </c>
      <c r="E16" s="92" t="s">
        <v>22</v>
      </c>
      <c r="F16" s="146">
        <v>2265.6799999999998</v>
      </c>
      <c r="G16" s="94">
        <v>0.1</v>
      </c>
      <c r="H16" s="95">
        <v>208.44</v>
      </c>
      <c r="I16" s="159"/>
      <c r="J16" s="108"/>
      <c r="K16" s="109"/>
    </row>
    <row r="17" spans="1:11">
      <c r="A17" s="90">
        <v>43452</v>
      </c>
      <c r="B17" s="91">
        <v>43814</v>
      </c>
      <c r="C17" s="168" t="s">
        <v>364</v>
      </c>
      <c r="D17" s="93" t="s">
        <v>14</v>
      </c>
      <c r="E17" s="92" t="s">
        <v>10</v>
      </c>
      <c r="F17" s="146">
        <v>1468.54</v>
      </c>
      <c r="G17" s="94">
        <v>0.15</v>
      </c>
      <c r="H17" s="95">
        <v>202.65</v>
      </c>
      <c r="I17" s="159"/>
      <c r="J17" s="108"/>
      <c r="K17" s="109"/>
    </row>
    <row r="18" spans="1:11">
      <c r="A18" s="90">
        <v>43452</v>
      </c>
      <c r="B18" s="91">
        <v>43822</v>
      </c>
      <c r="C18" s="353" t="s">
        <v>368</v>
      </c>
      <c r="D18" s="93" t="s">
        <v>14</v>
      </c>
      <c r="E18" s="92" t="s">
        <v>10</v>
      </c>
      <c r="F18" s="146">
        <v>1369.61</v>
      </c>
      <c r="G18" s="94">
        <v>0.12</v>
      </c>
      <c r="H18" s="95">
        <v>151.19999999999999</v>
      </c>
      <c r="I18" s="159"/>
      <c r="J18" s="108"/>
      <c r="K18" s="109"/>
    </row>
    <row r="19" spans="1:11">
      <c r="A19" s="207">
        <v>43454</v>
      </c>
      <c r="B19" s="208">
        <v>43456</v>
      </c>
      <c r="C19" s="387" t="s">
        <v>482</v>
      </c>
      <c r="D19" s="209" t="s">
        <v>209</v>
      </c>
      <c r="E19" s="169" t="s">
        <v>10</v>
      </c>
      <c r="F19" s="210">
        <v>1000.5</v>
      </c>
      <c r="G19" s="211">
        <v>0.15</v>
      </c>
      <c r="H19" s="212">
        <v>138.09</v>
      </c>
      <c r="I19" s="213"/>
      <c r="J19" s="223"/>
      <c r="K19" s="224"/>
    </row>
    <row r="20" spans="1:11">
      <c r="A20" s="90">
        <v>43454</v>
      </c>
      <c r="B20" s="91">
        <v>43818</v>
      </c>
      <c r="C20" s="358" t="s">
        <v>176</v>
      </c>
      <c r="D20" s="93" t="s">
        <v>61</v>
      </c>
      <c r="E20" s="92" t="s">
        <v>10</v>
      </c>
      <c r="F20" s="146">
        <v>1388.76</v>
      </c>
      <c r="G20" s="94">
        <v>0.15</v>
      </c>
      <c r="H20" s="95">
        <v>191.64</v>
      </c>
      <c r="I20" s="159"/>
      <c r="J20" s="108"/>
      <c r="K20" s="109"/>
    </row>
    <row r="21" spans="1:11">
      <c r="A21" s="90">
        <v>43455</v>
      </c>
      <c r="B21" s="91">
        <v>43820</v>
      </c>
      <c r="C21" s="168" t="s">
        <v>827</v>
      </c>
      <c r="D21" s="93" t="s">
        <v>9</v>
      </c>
      <c r="E21" s="92" t="s">
        <v>10</v>
      </c>
      <c r="F21" s="146">
        <v>1684.87</v>
      </c>
      <c r="G21" s="94">
        <v>0.1</v>
      </c>
      <c r="H21" s="95">
        <v>155</v>
      </c>
      <c r="I21" s="159"/>
      <c r="J21" s="108"/>
      <c r="K21" s="109"/>
    </row>
    <row r="22" spans="1:11">
      <c r="A22" s="90">
        <v>43455</v>
      </c>
      <c r="B22" s="91">
        <v>43823</v>
      </c>
      <c r="C22" s="168" t="s">
        <v>828</v>
      </c>
      <c r="D22" s="93" t="s">
        <v>61</v>
      </c>
      <c r="E22" s="92" t="s">
        <v>500</v>
      </c>
      <c r="F22" s="146">
        <v>1666.15</v>
      </c>
      <c r="G22" s="94">
        <v>0.1</v>
      </c>
      <c r="H22" s="95">
        <v>153.28</v>
      </c>
      <c r="I22" s="159"/>
      <c r="J22" s="108"/>
      <c r="K22" s="109"/>
    </row>
    <row r="23" spans="1:11">
      <c r="A23" s="90">
        <v>43455</v>
      </c>
      <c r="B23" s="91">
        <v>43822</v>
      </c>
      <c r="C23" s="168" t="s">
        <v>479</v>
      </c>
      <c r="D23" s="93" t="s">
        <v>14</v>
      </c>
      <c r="E23" s="92" t="s">
        <v>22</v>
      </c>
      <c r="F23" s="146">
        <v>2586.85</v>
      </c>
      <c r="G23" s="94">
        <v>0.1</v>
      </c>
      <c r="H23" s="95">
        <v>237.99</v>
      </c>
      <c r="I23" s="159"/>
      <c r="J23" s="108"/>
      <c r="K23" s="109"/>
    </row>
    <row r="24" spans="1:11">
      <c r="A24" s="207">
        <v>43460</v>
      </c>
      <c r="B24" s="208">
        <v>43822</v>
      </c>
      <c r="C24" s="168" t="s">
        <v>829</v>
      </c>
      <c r="D24" s="209" t="s">
        <v>14</v>
      </c>
      <c r="E24" s="169" t="s">
        <v>10</v>
      </c>
      <c r="F24" s="210">
        <v>1282.51</v>
      </c>
      <c r="G24" s="211">
        <v>0.16</v>
      </c>
      <c r="H24" s="212">
        <v>194.94</v>
      </c>
      <c r="I24" s="213"/>
      <c r="J24" s="223"/>
      <c r="K24" s="224"/>
    </row>
    <row r="25" spans="1:11">
      <c r="A25" s="90">
        <v>43460</v>
      </c>
      <c r="B25" s="91">
        <v>43825</v>
      </c>
      <c r="C25" s="101" t="s">
        <v>830</v>
      </c>
      <c r="D25" s="93" t="s">
        <v>61</v>
      </c>
      <c r="E25" s="92" t="s">
        <v>19</v>
      </c>
      <c r="F25" s="146">
        <v>3468.95</v>
      </c>
      <c r="G25" s="94">
        <v>0.1</v>
      </c>
      <c r="H25" s="95">
        <v>319.14</v>
      </c>
      <c r="I25" s="159"/>
      <c r="J25" s="108"/>
      <c r="K25" s="109"/>
    </row>
    <row r="26" spans="1:11">
      <c r="A26" s="265">
        <v>43460</v>
      </c>
      <c r="B26" s="266">
        <v>43826</v>
      </c>
      <c r="C26" s="417" t="s">
        <v>831</v>
      </c>
      <c r="D26" s="268" t="s">
        <v>832</v>
      </c>
      <c r="E26" s="267" t="s">
        <v>279</v>
      </c>
      <c r="F26" s="269">
        <v>2343.19</v>
      </c>
      <c r="G26" s="270">
        <v>0.1</v>
      </c>
      <c r="H26" s="271">
        <v>215.57</v>
      </c>
      <c r="I26" s="272"/>
      <c r="J26" s="406"/>
      <c r="K26" s="407"/>
    </row>
    <row r="27" spans="1:11">
      <c r="A27" s="238">
        <v>43452</v>
      </c>
      <c r="B27" s="239">
        <v>43817</v>
      </c>
      <c r="C27" s="240" t="s">
        <v>547</v>
      </c>
      <c r="D27" s="241" t="s">
        <v>61</v>
      </c>
      <c r="E27" s="240" t="s">
        <v>45</v>
      </c>
      <c r="F27" s="242">
        <v>4265.18</v>
      </c>
      <c r="G27" s="243">
        <v>0.1</v>
      </c>
      <c r="H27" s="244">
        <v>392.39</v>
      </c>
      <c r="I27" s="245"/>
      <c r="J27" s="263"/>
      <c r="K27" s="264"/>
    </row>
    <row r="28" spans="1:11">
      <c r="A28" s="90">
        <v>43461</v>
      </c>
      <c r="B28" s="91">
        <v>43813</v>
      </c>
      <c r="C28" s="92" t="s">
        <v>361</v>
      </c>
      <c r="D28" s="93" t="s">
        <v>14</v>
      </c>
      <c r="E28" s="92" t="s">
        <v>10</v>
      </c>
      <c r="F28" s="146">
        <v>1274.0999999999999</v>
      </c>
      <c r="G28" s="94">
        <v>0.1</v>
      </c>
      <c r="H28" s="95">
        <v>117.21</v>
      </c>
      <c r="I28" s="159"/>
      <c r="J28" s="108"/>
      <c r="K28" s="109"/>
    </row>
    <row r="29" spans="1:11">
      <c r="A29" s="90">
        <v>43462</v>
      </c>
      <c r="B29" s="91">
        <v>43827</v>
      </c>
      <c r="C29" s="168" t="s">
        <v>643</v>
      </c>
      <c r="D29" s="93" t="s">
        <v>422</v>
      </c>
      <c r="E29" s="92" t="s">
        <v>10</v>
      </c>
      <c r="F29" s="146">
        <v>2142.7600000000002</v>
      </c>
      <c r="G29" s="94">
        <v>0.1</v>
      </c>
      <c r="H29" s="95">
        <v>197.13</v>
      </c>
      <c r="I29" s="159"/>
      <c r="J29" s="108"/>
      <c r="K29" s="109"/>
    </row>
    <row r="30" spans="1:11">
      <c r="A30" s="90">
        <v>43462</v>
      </c>
      <c r="B30" s="91">
        <v>43460</v>
      </c>
      <c r="C30" s="101" t="s">
        <v>640</v>
      </c>
      <c r="D30" s="93" t="s">
        <v>9</v>
      </c>
      <c r="E30" s="92" t="s">
        <v>22</v>
      </c>
      <c r="F30" s="146">
        <v>1339.49</v>
      </c>
      <c r="G30" s="94">
        <v>0.1</v>
      </c>
      <c r="H30" s="95">
        <v>123.23</v>
      </c>
      <c r="I30" s="159"/>
      <c r="J30" s="108"/>
      <c r="K30" s="109"/>
    </row>
    <row r="31" spans="1:11">
      <c r="A31" s="90">
        <v>43462</v>
      </c>
      <c r="B31" s="91">
        <v>43827</v>
      </c>
      <c r="C31" s="168" t="s">
        <v>833</v>
      </c>
      <c r="D31" s="93" t="s">
        <v>61</v>
      </c>
      <c r="E31" s="92" t="s">
        <v>500</v>
      </c>
      <c r="F31" s="146">
        <v>2800.8</v>
      </c>
      <c r="G31" s="94">
        <v>0.1</v>
      </c>
      <c r="H31" s="95">
        <v>257.67</v>
      </c>
      <c r="I31" s="159"/>
      <c r="J31" s="108"/>
      <c r="K31" s="109"/>
    </row>
    <row r="32" spans="1:11">
      <c r="A32" s="90">
        <v>43467</v>
      </c>
      <c r="B32" s="91">
        <v>43827</v>
      </c>
      <c r="C32" s="168" t="s">
        <v>485</v>
      </c>
      <c r="D32" s="93" t="s">
        <v>21</v>
      </c>
      <c r="E32" s="92" t="s">
        <v>22</v>
      </c>
      <c r="F32" s="146">
        <v>2149.0100000000002</v>
      </c>
      <c r="G32" s="94">
        <v>0</v>
      </c>
      <c r="H32" s="95">
        <v>0</v>
      </c>
      <c r="I32" s="159"/>
      <c r="J32" s="108"/>
      <c r="K32" s="109"/>
    </row>
    <row r="33" spans="1:11">
      <c r="A33" s="90">
        <v>43469</v>
      </c>
      <c r="B33" s="91">
        <v>43826</v>
      </c>
      <c r="C33" s="168" t="s">
        <v>639</v>
      </c>
      <c r="D33" s="93" t="s">
        <v>14</v>
      </c>
      <c r="E33" s="92" t="s">
        <v>10</v>
      </c>
      <c r="F33" s="146">
        <v>1335.33</v>
      </c>
      <c r="G33" s="94">
        <v>0.15</v>
      </c>
      <c r="H33" s="95">
        <v>184.27</v>
      </c>
      <c r="I33" s="159"/>
      <c r="J33" s="108"/>
      <c r="K33" s="109"/>
    </row>
    <row r="34" spans="1:11">
      <c r="A34" s="238">
        <v>43462</v>
      </c>
      <c r="B34" s="239">
        <v>43827</v>
      </c>
      <c r="C34" s="412" t="s">
        <v>834</v>
      </c>
      <c r="D34" s="241" t="s">
        <v>14</v>
      </c>
      <c r="E34" s="240" t="s">
        <v>10</v>
      </c>
      <c r="F34" s="242">
        <v>1674.51</v>
      </c>
      <c r="G34" s="243">
        <v>0.18</v>
      </c>
      <c r="H34" s="244">
        <v>277.29000000000002</v>
      </c>
      <c r="I34" s="245"/>
      <c r="J34" s="263"/>
      <c r="K34" s="264"/>
    </row>
    <row r="35" spans="1:11">
      <c r="A35" s="90">
        <v>43454</v>
      </c>
      <c r="B35" s="91">
        <v>43454</v>
      </c>
      <c r="C35" s="168" t="s">
        <v>835</v>
      </c>
      <c r="D35" s="93" t="s">
        <v>14</v>
      </c>
      <c r="E35" s="92" t="s">
        <v>10</v>
      </c>
      <c r="F35" s="146">
        <v>946.92</v>
      </c>
      <c r="G35" s="94">
        <v>0.25</v>
      </c>
      <c r="H35" s="95">
        <v>224.69</v>
      </c>
      <c r="I35" s="159"/>
      <c r="J35" s="108"/>
      <c r="K35" s="109"/>
    </row>
    <row r="36" spans="1:11">
      <c r="A36" s="90"/>
      <c r="B36" s="91"/>
      <c r="C36" s="92"/>
      <c r="D36" s="93"/>
      <c r="E36" s="92"/>
      <c r="F36" s="146"/>
      <c r="G36" s="94"/>
      <c r="H36" s="95"/>
      <c r="I36" s="159"/>
      <c r="J36" s="108"/>
      <c r="K36" s="109"/>
    </row>
    <row r="37" spans="1:11">
      <c r="A37" s="90"/>
      <c r="B37" s="91"/>
      <c r="C37" s="92"/>
      <c r="D37" s="93"/>
      <c r="E37" s="92"/>
      <c r="F37" s="146"/>
      <c r="G37" s="94"/>
      <c r="H37" s="95"/>
      <c r="I37" s="159"/>
      <c r="J37" s="108"/>
      <c r="K37" s="109"/>
    </row>
    <row r="38" spans="1:11">
      <c r="A38" s="90"/>
      <c r="B38" s="91"/>
      <c r="C38" s="92"/>
      <c r="D38" s="93"/>
      <c r="E38" s="92"/>
      <c r="F38" s="146"/>
      <c r="G38" s="94"/>
      <c r="H38" s="95"/>
      <c r="I38" s="159"/>
      <c r="J38" s="108"/>
      <c r="K38" s="109"/>
    </row>
    <row r="39" spans="1:11">
      <c r="A39" s="90"/>
      <c r="B39" s="91"/>
      <c r="C39" s="92"/>
      <c r="D39" s="93"/>
      <c r="E39" s="92"/>
      <c r="F39" s="146"/>
      <c r="G39" s="94"/>
      <c r="H39" s="95"/>
      <c r="I39" s="159"/>
      <c r="J39" s="108"/>
      <c r="K39" s="109"/>
    </row>
    <row r="40" spans="1:11">
      <c r="A40" s="90"/>
      <c r="B40" s="91"/>
      <c r="C40" s="92" t="s">
        <v>836</v>
      </c>
      <c r="D40" s="93"/>
      <c r="E40" s="92"/>
      <c r="F40" s="146"/>
      <c r="G40" s="94"/>
      <c r="H40" s="95"/>
      <c r="I40" s="159"/>
      <c r="J40" s="108"/>
      <c r="K40" s="109"/>
    </row>
    <row r="41" spans="1:11" ht="19.5">
      <c r="A41" s="673"/>
      <c r="B41" s="674"/>
      <c r="C41" s="674"/>
      <c r="D41" s="674"/>
      <c r="E41" s="674"/>
      <c r="F41" s="147">
        <f>SUM(F2:F40)</f>
        <v>58777.12000000001</v>
      </c>
      <c r="G41" s="143"/>
      <c r="H41" s="129">
        <f>SUM(H2:H40)</f>
        <v>6670.2699999999995</v>
      </c>
      <c r="I41" s="107">
        <f>SUM(I2:I40)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K41"/>
  <sheetViews>
    <sheetView workbookViewId="0"/>
  </sheetViews>
  <sheetFormatPr defaultRowHeight="15"/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216">
        <v>43448</v>
      </c>
      <c r="B2" s="225">
        <v>43833</v>
      </c>
      <c r="C2" s="172" t="s">
        <v>837</v>
      </c>
      <c r="D2" s="218" t="s">
        <v>25</v>
      </c>
      <c r="E2" s="217" t="s">
        <v>10</v>
      </c>
      <c r="F2" s="219">
        <v>1423.62</v>
      </c>
      <c r="G2" s="220">
        <v>0.2</v>
      </c>
      <c r="H2" s="214">
        <v>261.94</v>
      </c>
      <c r="I2" s="215"/>
      <c r="J2" s="223"/>
      <c r="K2" s="224"/>
    </row>
    <row r="3" spans="1:11">
      <c r="A3" s="216">
        <v>43462</v>
      </c>
      <c r="B3" s="221">
        <v>43835</v>
      </c>
      <c r="C3" s="172" t="s">
        <v>220</v>
      </c>
      <c r="D3" s="218" t="s">
        <v>14</v>
      </c>
      <c r="E3" s="217" t="s">
        <v>22</v>
      </c>
      <c r="F3" s="219">
        <v>2357.67</v>
      </c>
      <c r="G3" s="220">
        <v>0.2</v>
      </c>
      <c r="H3" s="214">
        <v>433.81</v>
      </c>
      <c r="I3" s="215"/>
      <c r="J3" s="223"/>
      <c r="K3" s="224"/>
    </row>
    <row r="4" spans="1:11">
      <c r="A4" s="207">
        <v>43462</v>
      </c>
      <c r="B4" s="208">
        <v>43838</v>
      </c>
      <c r="C4" s="168" t="s">
        <v>493</v>
      </c>
      <c r="D4" s="209" t="s">
        <v>14</v>
      </c>
      <c r="E4" s="169" t="s">
        <v>10</v>
      </c>
      <c r="F4" s="210">
        <v>967.98</v>
      </c>
      <c r="G4" s="211">
        <v>0.25</v>
      </c>
      <c r="H4" s="212">
        <v>222.63</v>
      </c>
      <c r="I4" s="213"/>
      <c r="J4" s="223"/>
      <c r="K4" s="224"/>
    </row>
    <row r="5" spans="1:11">
      <c r="A5" s="207">
        <v>43462</v>
      </c>
      <c r="B5" s="208">
        <v>43835</v>
      </c>
      <c r="C5" s="168" t="s">
        <v>645</v>
      </c>
      <c r="D5" s="209" t="s">
        <v>209</v>
      </c>
      <c r="E5" s="169" t="s">
        <v>10</v>
      </c>
      <c r="F5" s="210">
        <v>1606.47</v>
      </c>
      <c r="G5" s="211">
        <v>0.2</v>
      </c>
      <c r="H5" s="212">
        <v>280.81</v>
      </c>
      <c r="I5" s="213"/>
      <c r="J5" s="223"/>
      <c r="K5" s="224"/>
    </row>
    <row r="6" spans="1:11">
      <c r="A6" s="207">
        <v>43467</v>
      </c>
      <c r="B6" s="208">
        <v>43835</v>
      </c>
      <c r="C6" s="168" t="s">
        <v>217</v>
      </c>
      <c r="D6" s="209" t="s">
        <v>14</v>
      </c>
      <c r="E6" s="169" t="s">
        <v>10</v>
      </c>
      <c r="F6" s="210">
        <v>1542.35</v>
      </c>
      <c r="G6" s="222">
        <v>0.25</v>
      </c>
      <c r="H6" s="212">
        <v>354.74</v>
      </c>
      <c r="I6" s="213">
        <v>177.37</v>
      </c>
      <c r="J6" s="223"/>
      <c r="K6" s="224"/>
    </row>
    <row r="7" spans="1:11">
      <c r="A7" s="90">
        <v>43468</v>
      </c>
      <c r="B7" s="91">
        <v>43841</v>
      </c>
      <c r="C7" s="168" t="s">
        <v>838</v>
      </c>
      <c r="D7" s="93" t="s">
        <v>254</v>
      </c>
      <c r="E7" s="92" t="s">
        <v>22</v>
      </c>
      <c r="F7" s="146">
        <v>2122.04</v>
      </c>
      <c r="G7" s="94">
        <v>0.2</v>
      </c>
      <c r="H7" s="95">
        <v>390.45</v>
      </c>
      <c r="I7" s="159"/>
      <c r="J7" s="108"/>
      <c r="K7" s="109"/>
    </row>
    <row r="8" spans="1:11">
      <c r="A8" s="90">
        <v>43469</v>
      </c>
      <c r="B8" s="91">
        <v>43834</v>
      </c>
      <c r="C8" s="168" t="s">
        <v>642</v>
      </c>
      <c r="D8" s="93" t="s">
        <v>61</v>
      </c>
      <c r="E8" s="92" t="s">
        <v>75</v>
      </c>
      <c r="F8" s="146">
        <v>1572.69</v>
      </c>
      <c r="G8" s="94">
        <v>0.11</v>
      </c>
      <c r="H8" s="95">
        <v>159.15</v>
      </c>
      <c r="I8" s="159"/>
      <c r="J8" s="108"/>
      <c r="K8" s="109"/>
    </row>
    <row r="9" spans="1:11">
      <c r="A9" s="255">
        <v>43469</v>
      </c>
      <c r="B9" s="256">
        <v>43834</v>
      </c>
      <c r="C9" s="257" t="s">
        <v>839</v>
      </c>
      <c r="D9" s="258" t="s">
        <v>448</v>
      </c>
      <c r="E9" s="257" t="s">
        <v>279</v>
      </c>
      <c r="F9" s="259">
        <v>4797.57</v>
      </c>
      <c r="G9" s="260">
        <v>0.17</v>
      </c>
      <c r="H9" s="261">
        <v>750.33</v>
      </c>
      <c r="I9" s="262"/>
      <c r="J9" s="307"/>
      <c r="K9" s="308"/>
    </row>
    <row r="10" spans="1:11">
      <c r="A10" s="207">
        <v>43469</v>
      </c>
      <c r="B10" s="208">
        <v>43834</v>
      </c>
      <c r="C10" s="168" t="s">
        <v>840</v>
      </c>
      <c r="D10" s="209" t="s">
        <v>14</v>
      </c>
      <c r="E10" s="169" t="s">
        <v>22</v>
      </c>
      <c r="F10" s="210">
        <v>2397.84</v>
      </c>
      <c r="G10" s="211">
        <v>0.1</v>
      </c>
      <c r="H10" s="212">
        <v>220.6</v>
      </c>
      <c r="I10" s="213"/>
      <c r="J10" s="223"/>
      <c r="K10" s="224"/>
    </row>
    <row r="11" spans="1:11">
      <c r="A11" s="90">
        <v>43472</v>
      </c>
      <c r="B11" s="91">
        <v>43837</v>
      </c>
      <c r="C11" s="168" t="s">
        <v>369</v>
      </c>
      <c r="D11" s="93" t="s">
        <v>61</v>
      </c>
      <c r="E11" s="92" t="s">
        <v>19</v>
      </c>
      <c r="F11" s="146">
        <v>1746.24</v>
      </c>
      <c r="G11" s="94">
        <v>0.16</v>
      </c>
      <c r="H11" s="95">
        <v>257.04000000000002</v>
      </c>
      <c r="I11" s="159"/>
      <c r="J11" s="108"/>
      <c r="K11" s="109"/>
    </row>
    <row r="12" spans="1:11">
      <c r="A12" s="90">
        <v>43474</v>
      </c>
      <c r="B12" s="91">
        <v>43837</v>
      </c>
      <c r="C12" s="353" t="s">
        <v>489</v>
      </c>
      <c r="D12" s="93" t="s">
        <v>25</v>
      </c>
      <c r="E12" s="92" t="s">
        <v>10</v>
      </c>
      <c r="F12" s="146">
        <v>1127.9000000000001</v>
      </c>
      <c r="G12" s="94">
        <v>0.25</v>
      </c>
      <c r="H12" s="95">
        <v>259.41000000000003</v>
      </c>
      <c r="I12" s="159">
        <v>129.5</v>
      </c>
      <c r="J12" s="108"/>
      <c r="K12" s="109"/>
    </row>
    <row r="13" spans="1:11">
      <c r="A13" s="90">
        <v>43473</v>
      </c>
      <c r="B13" s="91">
        <v>43840</v>
      </c>
      <c r="C13" s="168" t="s">
        <v>221</v>
      </c>
      <c r="D13" s="93" t="s">
        <v>25</v>
      </c>
      <c r="E13" s="92" t="s">
        <v>10</v>
      </c>
      <c r="F13" s="146">
        <v>1564.08</v>
      </c>
      <c r="G13" s="94">
        <v>0.17</v>
      </c>
      <c r="H13" s="95">
        <v>244.62</v>
      </c>
      <c r="I13" s="159"/>
      <c r="J13" s="108"/>
      <c r="K13" s="109"/>
    </row>
    <row r="14" spans="1:11">
      <c r="A14" s="90">
        <v>43475</v>
      </c>
      <c r="B14" s="91">
        <v>43852</v>
      </c>
      <c r="C14" s="139" t="s">
        <v>374</v>
      </c>
      <c r="D14" s="93" t="s">
        <v>14</v>
      </c>
      <c r="E14" s="92" t="s">
        <v>10</v>
      </c>
      <c r="F14" s="146">
        <v>1226.1199999999999</v>
      </c>
      <c r="G14" s="94">
        <v>0.25</v>
      </c>
      <c r="H14" s="95">
        <v>282</v>
      </c>
      <c r="I14" s="159"/>
      <c r="J14" s="108"/>
      <c r="K14" s="109"/>
    </row>
    <row r="15" spans="1:11">
      <c r="A15" s="90">
        <v>43475</v>
      </c>
      <c r="B15" s="91">
        <v>43836</v>
      </c>
      <c r="C15" s="358" t="s">
        <v>841</v>
      </c>
      <c r="D15" s="93" t="s">
        <v>14</v>
      </c>
      <c r="E15" s="92" t="s">
        <v>10</v>
      </c>
      <c r="F15" s="146">
        <v>1793.82</v>
      </c>
      <c r="G15" s="94">
        <v>0.1</v>
      </c>
      <c r="H15" s="95">
        <v>165.03</v>
      </c>
      <c r="I15" s="159"/>
      <c r="J15" s="108"/>
      <c r="K15" s="109"/>
    </row>
    <row r="16" spans="1:11">
      <c r="A16" s="90">
        <v>43476</v>
      </c>
      <c r="B16" s="91">
        <v>43842</v>
      </c>
      <c r="C16" s="168" t="s">
        <v>842</v>
      </c>
      <c r="D16" s="93" t="s">
        <v>14</v>
      </c>
      <c r="E16" s="92" t="s">
        <v>10</v>
      </c>
      <c r="F16" s="146">
        <v>1855.4</v>
      </c>
      <c r="G16" s="94">
        <v>0.15</v>
      </c>
      <c r="H16" s="95">
        <v>256.04000000000002</v>
      </c>
      <c r="I16" s="159"/>
      <c r="J16" s="108"/>
      <c r="K16" s="109"/>
    </row>
    <row r="17" spans="1:11">
      <c r="A17" s="90">
        <v>43476</v>
      </c>
      <c r="B17" s="91">
        <v>43845</v>
      </c>
      <c r="C17" s="168" t="s">
        <v>843</v>
      </c>
      <c r="D17" s="93" t="s">
        <v>14</v>
      </c>
      <c r="E17" s="92" t="s">
        <v>362</v>
      </c>
      <c r="F17" s="146">
        <v>4640.55</v>
      </c>
      <c r="G17" s="94">
        <v>0.15</v>
      </c>
      <c r="H17" s="95">
        <v>640.39</v>
      </c>
      <c r="I17" s="159"/>
      <c r="J17" s="108"/>
      <c r="K17" s="109"/>
    </row>
    <row r="18" spans="1:11">
      <c r="A18" s="246">
        <v>43476</v>
      </c>
      <c r="B18" s="247">
        <v>43845</v>
      </c>
      <c r="C18" s="413" t="s">
        <v>844</v>
      </c>
      <c r="D18" s="249" t="s">
        <v>14</v>
      </c>
      <c r="E18" s="248" t="s">
        <v>22</v>
      </c>
      <c r="F18" s="250">
        <v>1711.84</v>
      </c>
      <c r="G18" s="251">
        <v>0.15</v>
      </c>
      <c r="H18" s="252">
        <v>236.22</v>
      </c>
      <c r="I18" s="253"/>
      <c r="J18" s="273"/>
      <c r="K18" s="274"/>
    </row>
    <row r="19" spans="1:11">
      <c r="A19" s="90">
        <v>43480</v>
      </c>
      <c r="B19" s="91">
        <v>43845</v>
      </c>
      <c r="C19" s="353" t="s">
        <v>756</v>
      </c>
      <c r="D19" s="93" t="s">
        <v>21</v>
      </c>
      <c r="E19" s="92" t="s">
        <v>22</v>
      </c>
      <c r="F19" s="146">
        <v>1641.61</v>
      </c>
      <c r="G19" s="94">
        <v>0.15</v>
      </c>
      <c r="H19" s="95">
        <v>226.54</v>
      </c>
      <c r="I19" s="159">
        <v>113.27</v>
      </c>
      <c r="J19" s="108"/>
      <c r="K19" s="109"/>
    </row>
    <row r="20" spans="1:11">
      <c r="A20" s="207">
        <v>43481</v>
      </c>
      <c r="B20" s="208">
        <v>43845</v>
      </c>
      <c r="C20" s="387" t="s">
        <v>845</v>
      </c>
      <c r="D20" s="209" t="s">
        <v>9</v>
      </c>
      <c r="E20" s="169" t="s">
        <v>15</v>
      </c>
      <c r="F20" s="210">
        <v>2211.17</v>
      </c>
      <c r="G20" s="211">
        <v>0.2</v>
      </c>
      <c r="H20" s="212">
        <v>406.85</v>
      </c>
      <c r="I20" s="213"/>
      <c r="J20" s="223"/>
      <c r="K20" s="224"/>
    </row>
    <row r="21" spans="1:11">
      <c r="A21" s="90">
        <v>43481</v>
      </c>
      <c r="B21" s="91">
        <v>43856</v>
      </c>
      <c r="C21" s="140" t="s">
        <v>846</v>
      </c>
      <c r="D21" s="93" t="s">
        <v>9</v>
      </c>
      <c r="E21" s="92" t="s">
        <v>15</v>
      </c>
      <c r="F21" s="146">
        <v>2259.92</v>
      </c>
      <c r="G21" s="94">
        <v>0.18</v>
      </c>
      <c r="H21" s="95">
        <v>374.24</v>
      </c>
      <c r="I21" s="159"/>
      <c r="J21" s="108"/>
      <c r="K21" s="109"/>
    </row>
    <row r="22" spans="1:11">
      <c r="A22" s="90">
        <v>43482</v>
      </c>
      <c r="B22" s="91">
        <v>43847</v>
      </c>
      <c r="C22" s="168" t="s">
        <v>223</v>
      </c>
      <c r="D22" s="93" t="s">
        <v>33</v>
      </c>
      <c r="E22" s="92" t="s">
        <v>10</v>
      </c>
      <c r="F22" s="146">
        <v>1726.51</v>
      </c>
      <c r="G22" s="94">
        <v>0.12</v>
      </c>
      <c r="H22" s="95">
        <v>190.6</v>
      </c>
      <c r="I22" s="159"/>
      <c r="J22" s="108"/>
      <c r="K22" s="109"/>
    </row>
    <row r="23" spans="1:11">
      <c r="A23" s="90">
        <v>43487</v>
      </c>
      <c r="B23" s="91">
        <v>44188</v>
      </c>
      <c r="C23" s="168" t="s">
        <v>498</v>
      </c>
      <c r="D23" s="93" t="s">
        <v>61</v>
      </c>
      <c r="E23" s="92" t="s">
        <v>90</v>
      </c>
      <c r="F23" s="146">
        <v>2196.1</v>
      </c>
      <c r="G23" s="94">
        <v>0.1</v>
      </c>
      <c r="H23" s="95">
        <v>202.04</v>
      </c>
      <c r="I23" s="159"/>
      <c r="J23" s="108"/>
      <c r="K23" s="109"/>
    </row>
    <row r="24" spans="1:11">
      <c r="A24" s="207">
        <v>43488</v>
      </c>
      <c r="B24" s="208">
        <v>44188</v>
      </c>
      <c r="C24" s="168" t="s">
        <v>847</v>
      </c>
      <c r="D24" s="209" t="s">
        <v>848</v>
      </c>
      <c r="E24" s="169" t="s">
        <v>279</v>
      </c>
      <c r="F24" s="210">
        <v>1295.01</v>
      </c>
      <c r="G24" s="211">
        <v>0.1</v>
      </c>
      <c r="H24" s="212">
        <v>119.14</v>
      </c>
      <c r="I24" s="213"/>
      <c r="J24" s="223"/>
      <c r="K24" s="224"/>
    </row>
    <row r="25" spans="1:11">
      <c r="A25" s="90">
        <v>43488</v>
      </c>
      <c r="B25" s="91">
        <v>43853</v>
      </c>
      <c r="C25" s="168" t="s">
        <v>77</v>
      </c>
      <c r="D25" s="93" t="s">
        <v>14</v>
      </c>
      <c r="E25" s="92" t="s">
        <v>15</v>
      </c>
      <c r="F25" s="146">
        <v>1292.4000000000001</v>
      </c>
      <c r="G25" s="94">
        <v>0.1</v>
      </c>
      <c r="H25" s="95">
        <v>118.9</v>
      </c>
      <c r="I25" s="159"/>
      <c r="J25" s="108"/>
      <c r="K25" s="109"/>
    </row>
    <row r="26" spans="1:11">
      <c r="A26" s="265">
        <v>43489</v>
      </c>
      <c r="B26" s="266">
        <v>43854</v>
      </c>
      <c r="C26" s="417" t="s">
        <v>650</v>
      </c>
      <c r="D26" s="268" t="s">
        <v>21</v>
      </c>
      <c r="E26" s="267" t="s">
        <v>75</v>
      </c>
      <c r="F26" s="269">
        <v>728.59</v>
      </c>
      <c r="G26" s="270">
        <v>0.22</v>
      </c>
      <c r="H26" s="271">
        <v>147.46</v>
      </c>
      <c r="I26" s="272"/>
      <c r="J26" s="406"/>
      <c r="K26" s="407"/>
    </row>
    <row r="27" spans="1:11">
      <c r="A27" s="90">
        <v>43489</v>
      </c>
      <c r="B27" s="91">
        <v>43854</v>
      </c>
      <c r="C27" s="168" t="s">
        <v>120</v>
      </c>
      <c r="D27" s="93" t="s">
        <v>61</v>
      </c>
      <c r="E27" s="92" t="s">
        <v>90</v>
      </c>
      <c r="F27" s="146">
        <v>3430.23</v>
      </c>
      <c r="G27" s="94">
        <v>0.1</v>
      </c>
      <c r="H27" s="95">
        <v>315.58</v>
      </c>
      <c r="I27" s="159"/>
      <c r="J27" s="108"/>
      <c r="K27" s="109"/>
    </row>
    <row r="28" spans="1:11">
      <c r="A28" s="90">
        <v>43490</v>
      </c>
      <c r="B28" s="91">
        <v>43855</v>
      </c>
      <c r="C28" s="101" t="s">
        <v>849</v>
      </c>
      <c r="D28" s="93" t="s">
        <v>14</v>
      </c>
      <c r="E28" s="92" t="s">
        <v>10</v>
      </c>
      <c r="F28" s="146">
        <v>853.68</v>
      </c>
      <c r="G28" s="94">
        <v>0.1</v>
      </c>
      <c r="H28" s="95">
        <v>78.53</v>
      </c>
      <c r="I28" s="159"/>
      <c r="J28" s="108"/>
      <c r="K28" s="109"/>
    </row>
    <row r="29" spans="1:11">
      <c r="A29" s="90">
        <v>43494</v>
      </c>
      <c r="B29" s="91">
        <v>43860</v>
      </c>
      <c r="C29" s="168" t="s">
        <v>652</v>
      </c>
      <c r="D29" s="93" t="s">
        <v>14</v>
      </c>
      <c r="E29" s="92" t="s">
        <v>90</v>
      </c>
      <c r="F29" s="146">
        <v>2540.7199999999998</v>
      </c>
      <c r="G29" s="94">
        <v>0.1</v>
      </c>
      <c r="H29" s="95">
        <v>233.74</v>
      </c>
      <c r="I29" s="159"/>
      <c r="J29" s="108"/>
      <c r="K29" s="109"/>
    </row>
    <row r="30" spans="1:11">
      <c r="A30" s="90">
        <v>43495</v>
      </c>
      <c r="B30" s="91">
        <v>43860</v>
      </c>
      <c r="C30" s="168" t="s">
        <v>850</v>
      </c>
      <c r="D30" s="93" t="s">
        <v>61</v>
      </c>
      <c r="E30" s="92" t="s">
        <v>10</v>
      </c>
      <c r="F30" s="146">
        <v>1354.91</v>
      </c>
      <c r="G30" s="94">
        <v>0.1</v>
      </c>
      <c r="H30" s="95">
        <v>124.65</v>
      </c>
      <c r="I30" s="159"/>
      <c r="J30" s="108"/>
      <c r="K30" s="109"/>
    </row>
    <row r="31" spans="1:11">
      <c r="A31" s="90">
        <v>43501</v>
      </c>
      <c r="B31" s="91">
        <v>43861</v>
      </c>
      <c r="C31" s="168" t="s">
        <v>651</v>
      </c>
      <c r="D31" s="93" t="s">
        <v>9</v>
      </c>
      <c r="E31" s="92" t="s">
        <v>22</v>
      </c>
      <c r="F31" s="146">
        <v>1157.56</v>
      </c>
      <c r="G31" s="94">
        <v>0.1</v>
      </c>
      <c r="H31" s="95">
        <v>106.49</v>
      </c>
      <c r="I31" s="159"/>
      <c r="J31" s="108"/>
      <c r="K31" s="109"/>
    </row>
    <row r="32" spans="1:11">
      <c r="A32" s="90"/>
      <c r="B32" s="91"/>
      <c r="C32" s="92"/>
      <c r="D32" s="93"/>
      <c r="E32" s="92"/>
      <c r="F32" s="146"/>
      <c r="G32" s="94"/>
      <c r="H32" s="95"/>
      <c r="I32" s="159"/>
      <c r="J32" s="108"/>
      <c r="K32" s="109"/>
    </row>
    <row r="33" spans="1:11">
      <c r="A33" s="90"/>
      <c r="B33" s="91"/>
      <c r="C33" s="92"/>
      <c r="D33" s="93"/>
      <c r="E33" s="92"/>
      <c r="F33" s="146"/>
      <c r="G33" s="94"/>
      <c r="H33" s="95"/>
      <c r="I33" s="159"/>
      <c r="J33" s="108"/>
      <c r="K33" s="109"/>
    </row>
    <row r="34" spans="1:11">
      <c r="A34" s="90"/>
      <c r="B34" s="91"/>
      <c r="C34" s="92"/>
      <c r="D34" s="93"/>
      <c r="E34" s="92"/>
      <c r="F34" s="146"/>
      <c r="G34" s="94"/>
      <c r="H34" s="95"/>
      <c r="I34" s="159"/>
      <c r="J34" s="108"/>
      <c r="K34" s="109"/>
    </row>
    <row r="35" spans="1:11">
      <c r="A35" s="90"/>
      <c r="B35" s="91"/>
      <c r="C35" s="92"/>
      <c r="D35" s="93"/>
      <c r="E35" s="92"/>
      <c r="F35" s="146"/>
      <c r="G35" s="94"/>
      <c r="H35" s="95"/>
      <c r="I35" s="159"/>
      <c r="J35" s="108"/>
      <c r="K35" s="109"/>
    </row>
    <row r="36" spans="1:11">
      <c r="A36" s="90"/>
      <c r="B36" s="91"/>
      <c r="C36" s="92"/>
      <c r="D36" s="93"/>
      <c r="E36" s="92"/>
      <c r="F36" s="146"/>
      <c r="G36" s="94"/>
      <c r="H36" s="95"/>
      <c r="I36" s="159"/>
      <c r="J36" s="108"/>
      <c r="K36" s="109"/>
    </row>
    <row r="37" spans="1:11">
      <c r="A37" s="90"/>
      <c r="B37" s="91"/>
      <c r="C37" s="92"/>
      <c r="D37" s="93"/>
      <c r="E37" s="92"/>
      <c r="F37" s="146"/>
      <c r="G37" s="94"/>
      <c r="H37" s="95"/>
      <c r="I37" s="159"/>
      <c r="J37" s="108"/>
      <c r="K37" s="109"/>
    </row>
    <row r="38" spans="1:11">
      <c r="A38" s="90"/>
      <c r="B38" s="91"/>
      <c r="C38" s="92"/>
      <c r="D38" s="93"/>
      <c r="E38" s="92"/>
      <c r="F38" s="146"/>
      <c r="G38" s="94"/>
      <c r="H38" s="95"/>
      <c r="I38" s="159"/>
      <c r="J38" s="108"/>
      <c r="K38" s="109"/>
    </row>
    <row r="39" spans="1:11">
      <c r="A39" s="90"/>
      <c r="B39" s="91"/>
      <c r="C39" s="92"/>
      <c r="D39" s="93"/>
      <c r="E39" s="92"/>
      <c r="F39" s="146"/>
      <c r="G39" s="94"/>
      <c r="H39" s="95"/>
      <c r="I39" s="159"/>
      <c r="J39" s="108"/>
      <c r="K39" s="109"/>
    </row>
    <row r="40" spans="1:11">
      <c r="A40" s="90"/>
      <c r="B40" s="91"/>
      <c r="C40" s="92" t="s">
        <v>851</v>
      </c>
      <c r="D40" s="93"/>
      <c r="E40" s="92"/>
      <c r="F40" s="146"/>
      <c r="G40" s="94"/>
      <c r="H40" s="95"/>
      <c r="I40" s="159"/>
      <c r="J40" s="108"/>
      <c r="K40" s="109"/>
    </row>
    <row r="41" spans="1:11" ht="19.5">
      <c r="A41" s="673"/>
      <c r="B41" s="674"/>
      <c r="C41" s="674"/>
      <c r="D41" s="674"/>
      <c r="E41" s="674"/>
      <c r="F41" s="147">
        <f>SUM(F2:F40)</f>
        <v>57142.590000000004</v>
      </c>
      <c r="G41" s="143"/>
      <c r="H41" s="129">
        <f>SUM(H2:H40)</f>
        <v>8059.9699999999993</v>
      </c>
      <c r="I41" s="107">
        <f>SUM(I2:I40)</f>
        <v>420.14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K42"/>
  <sheetViews>
    <sheetView topLeftCell="A22" workbookViewId="0"/>
  </sheetViews>
  <sheetFormatPr defaultRowHeight="15"/>
  <cols>
    <col min="1" max="1" width="16.42578125" bestFit="1" customWidth="1"/>
    <col min="2" max="2" width="11.5703125" bestFit="1" customWidth="1"/>
    <col min="3" max="3" width="64.85546875" bestFit="1" customWidth="1"/>
    <col min="4" max="4" width="18.28515625" bestFit="1" customWidth="1"/>
    <col min="5" max="5" width="14.140625" bestFit="1" customWidth="1"/>
    <col min="6" max="6" width="19.28515625" bestFit="1" customWidth="1"/>
    <col min="7" max="7" width="13.42578125" bestFit="1" customWidth="1"/>
    <col min="8" max="8" width="22.5703125" bestFit="1" customWidth="1"/>
  </cols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238">
        <v>43517</v>
      </c>
      <c r="B2" s="239">
        <v>43867</v>
      </c>
      <c r="C2" s="412" t="s">
        <v>852</v>
      </c>
      <c r="D2" s="241" t="s">
        <v>14</v>
      </c>
      <c r="E2" s="240" t="s">
        <v>10</v>
      </c>
      <c r="F2" s="242">
        <v>1238.57</v>
      </c>
      <c r="G2" s="243">
        <v>0.1</v>
      </c>
      <c r="H2" s="244">
        <v>113.94</v>
      </c>
      <c r="I2" s="245"/>
      <c r="J2" s="263"/>
      <c r="K2" s="264"/>
    </row>
    <row r="3" spans="1:11">
      <c r="A3" s="216">
        <v>43494</v>
      </c>
      <c r="B3" s="221">
        <v>43867</v>
      </c>
      <c r="C3" s="172" t="s">
        <v>853</v>
      </c>
      <c r="D3" s="218" t="s">
        <v>14</v>
      </c>
      <c r="E3" s="217" t="s">
        <v>10</v>
      </c>
      <c r="F3" s="219">
        <v>930.94</v>
      </c>
      <c r="G3" s="220">
        <v>0.15</v>
      </c>
      <c r="H3" s="214">
        <v>128.46</v>
      </c>
      <c r="I3" s="215"/>
      <c r="J3" s="223"/>
      <c r="K3" s="224"/>
    </row>
    <row r="4" spans="1:11">
      <c r="A4" s="207">
        <v>43495</v>
      </c>
      <c r="B4" s="208">
        <v>43862</v>
      </c>
      <c r="C4" s="168" t="s">
        <v>230</v>
      </c>
      <c r="D4" s="209" t="s">
        <v>209</v>
      </c>
      <c r="E4" s="169" t="s">
        <v>22</v>
      </c>
      <c r="F4" s="210">
        <v>2017.12</v>
      </c>
      <c r="G4" s="211">
        <v>0.1</v>
      </c>
      <c r="H4" s="212">
        <v>185.57</v>
      </c>
      <c r="I4" s="213"/>
      <c r="J4" s="223"/>
      <c r="K4" s="224"/>
    </row>
    <row r="5" spans="1:11">
      <c r="A5" s="207">
        <v>43496</v>
      </c>
      <c r="B5" s="208">
        <v>43864</v>
      </c>
      <c r="C5" s="168" t="s">
        <v>225</v>
      </c>
      <c r="D5" s="209" t="s">
        <v>14</v>
      </c>
      <c r="E5" s="169" t="s">
        <v>22</v>
      </c>
      <c r="F5" s="210">
        <v>1606.25</v>
      </c>
      <c r="G5" s="211">
        <v>0.15</v>
      </c>
      <c r="H5" s="212">
        <v>221.66</v>
      </c>
      <c r="I5" s="213"/>
      <c r="J5" s="223"/>
      <c r="K5" s="224"/>
    </row>
    <row r="6" spans="1:11">
      <c r="A6" s="207">
        <v>43496</v>
      </c>
      <c r="B6" s="208">
        <v>43862</v>
      </c>
      <c r="C6" s="168" t="s">
        <v>653</v>
      </c>
      <c r="D6" s="209" t="s">
        <v>9</v>
      </c>
      <c r="E6" s="169" t="s">
        <v>10</v>
      </c>
      <c r="F6" s="210">
        <v>1116.8399999999999</v>
      </c>
      <c r="G6" s="211">
        <v>0.21</v>
      </c>
      <c r="H6" s="212">
        <v>215.77</v>
      </c>
      <c r="I6" s="213"/>
      <c r="J6" s="223"/>
      <c r="K6" s="224"/>
    </row>
    <row r="7" spans="1:11">
      <c r="A7" s="207">
        <v>43466</v>
      </c>
      <c r="B7" s="208">
        <v>43863</v>
      </c>
      <c r="C7" s="168" t="s">
        <v>657</v>
      </c>
      <c r="D7" s="209" t="s">
        <v>14</v>
      </c>
      <c r="E7" s="169" t="s">
        <v>10</v>
      </c>
      <c r="F7" s="210">
        <v>2798.11</v>
      </c>
      <c r="G7" s="211">
        <v>0.12</v>
      </c>
      <c r="H7" s="212">
        <v>308.91000000000003</v>
      </c>
      <c r="I7" s="213"/>
      <c r="J7" s="223"/>
      <c r="K7" s="224"/>
    </row>
    <row r="8" spans="1:11">
      <c r="A8" s="207">
        <v>43466</v>
      </c>
      <c r="B8" s="208">
        <v>43862</v>
      </c>
      <c r="C8" s="168" t="s">
        <v>654</v>
      </c>
      <c r="D8" s="209" t="s">
        <v>61</v>
      </c>
      <c r="E8" s="169" t="s">
        <v>19</v>
      </c>
      <c r="F8" s="210">
        <v>4159.9399999999996</v>
      </c>
      <c r="G8" s="211">
        <v>0.18</v>
      </c>
      <c r="H8" s="212">
        <v>688.88</v>
      </c>
      <c r="I8" s="213"/>
      <c r="J8" s="223"/>
      <c r="K8" s="224"/>
    </row>
    <row r="9" spans="1:11">
      <c r="A9" s="276">
        <v>43466</v>
      </c>
      <c r="B9" s="277">
        <v>43866</v>
      </c>
      <c r="C9" s="413" t="s">
        <v>211</v>
      </c>
      <c r="D9" s="279" t="s">
        <v>61</v>
      </c>
      <c r="E9" s="278" t="s">
        <v>438</v>
      </c>
      <c r="F9" s="280">
        <v>1612.59</v>
      </c>
      <c r="G9" s="281">
        <v>0.23</v>
      </c>
      <c r="H9" s="282">
        <v>341.22</v>
      </c>
      <c r="I9" s="283"/>
      <c r="J9" s="687"/>
      <c r="K9" s="688"/>
    </row>
    <row r="10" spans="1:11">
      <c r="A10" s="90">
        <v>43466</v>
      </c>
      <c r="B10" s="91">
        <v>43863</v>
      </c>
      <c r="C10" s="168" t="s">
        <v>656</v>
      </c>
      <c r="D10" s="93" t="s">
        <v>61</v>
      </c>
      <c r="E10" s="92" t="s">
        <v>90</v>
      </c>
      <c r="F10" s="146">
        <v>2270.94</v>
      </c>
      <c r="G10" s="94">
        <v>0.1</v>
      </c>
      <c r="H10" s="95">
        <v>208.92</v>
      </c>
      <c r="I10" s="159"/>
      <c r="J10" s="108"/>
      <c r="K10" s="109"/>
    </row>
    <row r="11" spans="1:11">
      <c r="A11" s="90">
        <v>43469</v>
      </c>
      <c r="B11" s="91">
        <v>43863</v>
      </c>
      <c r="C11" s="101" t="s">
        <v>854</v>
      </c>
      <c r="D11" s="93" t="s">
        <v>21</v>
      </c>
      <c r="E11" s="92" t="s">
        <v>22</v>
      </c>
      <c r="F11" s="146">
        <v>1976.4</v>
      </c>
      <c r="G11" s="94">
        <v>0.1</v>
      </c>
      <c r="H11" s="95">
        <v>181.82</v>
      </c>
      <c r="I11" s="159"/>
      <c r="J11" s="108"/>
      <c r="K11" s="109"/>
    </row>
    <row r="12" spans="1:11">
      <c r="A12" s="207">
        <v>43470</v>
      </c>
      <c r="B12" s="208">
        <v>43864</v>
      </c>
      <c r="C12" s="168" t="s">
        <v>501</v>
      </c>
      <c r="D12" s="209" t="s">
        <v>14</v>
      </c>
      <c r="E12" s="169" t="s">
        <v>10</v>
      </c>
      <c r="F12" s="210">
        <v>2998.63</v>
      </c>
      <c r="G12" s="211">
        <v>0.13</v>
      </c>
      <c r="H12" s="212">
        <v>358.63</v>
      </c>
      <c r="I12" s="213"/>
      <c r="J12" s="223"/>
      <c r="K12" s="224"/>
    </row>
    <row r="13" spans="1:11">
      <c r="A13" s="207">
        <v>43471</v>
      </c>
      <c r="B13" s="208">
        <v>43866</v>
      </c>
      <c r="C13" s="168" t="s">
        <v>855</v>
      </c>
      <c r="D13" s="209" t="s">
        <v>70</v>
      </c>
      <c r="E13" s="169" t="s">
        <v>10</v>
      </c>
      <c r="F13" s="210">
        <v>1372.69</v>
      </c>
      <c r="G13" s="211">
        <v>0.12</v>
      </c>
      <c r="H13" s="212">
        <v>151.54</v>
      </c>
      <c r="I13" s="213"/>
      <c r="J13" s="223"/>
      <c r="K13" s="224"/>
    </row>
    <row r="14" spans="1:11">
      <c r="A14" s="90">
        <v>43471</v>
      </c>
      <c r="B14" s="91">
        <v>43867</v>
      </c>
      <c r="C14" s="172" t="s">
        <v>856</v>
      </c>
      <c r="D14" s="93" t="s">
        <v>9</v>
      </c>
      <c r="E14" s="92" t="s">
        <v>90</v>
      </c>
      <c r="F14" s="146">
        <v>1396.74</v>
      </c>
      <c r="G14" s="94">
        <v>0.2</v>
      </c>
      <c r="H14" s="95">
        <v>257</v>
      </c>
      <c r="I14" s="159"/>
      <c r="J14" s="108"/>
      <c r="K14" s="109"/>
    </row>
    <row r="15" spans="1:11">
      <c r="A15" s="238">
        <v>43472</v>
      </c>
      <c r="B15" s="239">
        <v>43868</v>
      </c>
      <c r="C15" s="440" t="s">
        <v>857</v>
      </c>
      <c r="D15" s="241" t="s">
        <v>61</v>
      </c>
      <c r="E15" s="240" t="s">
        <v>90</v>
      </c>
      <c r="F15" s="242">
        <v>1857.46</v>
      </c>
      <c r="G15" s="243">
        <v>0.1</v>
      </c>
      <c r="H15" s="244">
        <v>170.88</v>
      </c>
      <c r="I15" s="245"/>
      <c r="J15" s="263"/>
      <c r="K15" s="264"/>
    </row>
    <row r="16" spans="1:11">
      <c r="A16" s="90">
        <v>43504</v>
      </c>
      <c r="B16" s="91">
        <v>43869</v>
      </c>
      <c r="C16" s="168" t="s">
        <v>858</v>
      </c>
      <c r="D16" s="93" t="s">
        <v>9</v>
      </c>
      <c r="E16" s="92" t="s">
        <v>279</v>
      </c>
      <c r="F16" s="146">
        <v>911.27</v>
      </c>
      <c r="G16" s="94">
        <v>0.1</v>
      </c>
      <c r="H16" s="95">
        <v>83.83</v>
      </c>
      <c r="I16" s="159"/>
      <c r="J16" s="108"/>
      <c r="K16" s="109"/>
    </row>
    <row r="17" spans="1:11">
      <c r="A17" s="90">
        <v>43507</v>
      </c>
      <c r="B17" s="91">
        <v>43872</v>
      </c>
      <c r="C17" s="387" t="s">
        <v>732</v>
      </c>
      <c r="D17" s="93" t="s">
        <v>9</v>
      </c>
      <c r="E17" s="92" t="s">
        <v>90</v>
      </c>
      <c r="F17" s="146">
        <v>2862.14</v>
      </c>
      <c r="G17" s="94">
        <v>0.1</v>
      </c>
      <c r="H17" s="95">
        <v>263.31</v>
      </c>
      <c r="I17" s="159"/>
      <c r="J17" s="108"/>
      <c r="K17" s="109"/>
    </row>
    <row r="18" spans="1:11">
      <c r="A18" s="90">
        <v>43508</v>
      </c>
      <c r="B18" s="91">
        <v>43873</v>
      </c>
      <c r="C18" s="358" t="s">
        <v>507</v>
      </c>
      <c r="D18" s="93" t="s">
        <v>9</v>
      </c>
      <c r="E18" s="92" t="s">
        <v>15</v>
      </c>
      <c r="F18" s="146">
        <v>1183.32</v>
      </c>
      <c r="G18" s="94">
        <v>0.2</v>
      </c>
      <c r="H18" s="95">
        <v>217.73</v>
      </c>
      <c r="I18" s="159"/>
      <c r="J18" s="108"/>
      <c r="K18" s="109"/>
    </row>
    <row r="19" spans="1:11">
      <c r="A19" s="90">
        <v>43509</v>
      </c>
      <c r="B19" s="91">
        <v>43874</v>
      </c>
      <c r="C19" s="101" t="s">
        <v>859</v>
      </c>
      <c r="D19" s="93" t="s">
        <v>9</v>
      </c>
      <c r="E19" s="92" t="s">
        <v>45</v>
      </c>
      <c r="F19" s="146">
        <v>3936.8519999999999</v>
      </c>
      <c r="G19" s="94">
        <v>0.1</v>
      </c>
      <c r="H19" s="95">
        <v>362.19</v>
      </c>
      <c r="I19" s="284" t="s">
        <v>312</v>
      </c>
      <c r="J19" s="108"/>
      <c r="K19" s="109"/>
    </row>
    <row r="20" spans="1:11">
      <c r="A20" s="238">
        <v>43478</v>
      </c>
      <c r="B20" s="239">
        <v>43478</v>
      </c>
      <c r="C20" s="240" t="s">
        <v>860</v>
      </c>
      <c r="D20" s="241" t="s">
        <v>713</v>
      </c>
      <c r="E20" s="240" t="s">
        <v>19</v>
      </c>
      <c r="F20" s="242">
        <v>1319.16</v>
      </c>
      <c r="G20" s="243">
        <v>0.1</v>
      </c>
      <c r="H20" s="244">
        <v>121.36</v>
      </c>
      <c r="I20" s="245"/>
      <c r="J20" s="263"/>
      <c r="K20" s="264"/>
    </row>
    <row r="21" spans="1:11">
      <c r="A21" s="90">
        <v>43510</v>
      </c>
      <c r="B21" s="91">
        <v>43874</v>
      </c>
      <c r="C21" s="353" t="s">
        <v>235</v>
      </c>
      <c r="D21" s="93" t="s">
        <v>14</v>
      </c>
      <c r="E21" s="92" t="s">
        <v>10</v>
      </c>
      <c r="F21" s="146">
        <v>1607.65</v>
      </c>
      <c r="G21" s="94">
        <v>0.19</v>
      </c>
      <c r="H21" s="95">
        <v>280.49</v>
      </c>
      <c r="I21" s="159"/>
      <c r="J21" s="108"/>
      <c r="K21" s="109"/>
    </row>
    <row r="22" spans="1:11">
      <c r="A22" s="207">
        <v>43510</v>
      </c>
      <c r="B22" s="275">
        <v>43882</v>
      </c>
      <c r="C22" s="387" t="s">
        <v>509</v>
      </c>
      <c r="D22" s="209" t="s">
        <v>14</v>
      </c>
      <c r="E22" s="169" t="s">
        <v>19</v>
      </c>
      <c r="F22" s="210">
        <v>3146.01</v>
      </c>
      <c r="G22" s="211">
        <v>0.2</v>
      </c>
      <c r="H22" s="212">
        <v>578.86</v>
      </c>
      <c r="I22" s="213"/>
      <c r="J22" s="223"/>
      <c r="K22" s="224"/>
    </row>
    <row r="23" spans="1:11">
      <c r="A23" s="90">
        <v>43511</v>
      </c>
      <c r="B23" s="91">
        <v>43875</v>
      </c>
      <c r="C23" s="358" t="s">
        <v>361</v>
      </c>
      <c r="D23" s="93" t="s">
        <v>14</v>
      </c>
      <c r="E23" s="92" t="s">
        <v>10</v>
      </c>
      <c r="F23" s="146">
        <v>1629.65</v>
      </c>
      <c r="G23" s="94">
        <v>0.1</v>
      </c>
      <c r="H23" s="95">
        <v>149.88999999999999</v>
      </c>
      <c r="I23" s="159"/>
      <c r="J23" s="108"/>
      <c r="K23" s="109"/>
    </row>
    <row r="24" spans="1:11">
      <c r="A24" s="90">
        <v>43510</v>
      </c>
      <c r="B24" s="91">
        <v>43875</v>
      </c>
      <c r="C24" s="168" t="s">
        <v>236</v>
      </c>
      <c r="D24" s="93" t="s">
        <v>14</v>
      </c>
      <c r="E24" s="92" t="s">
        <v>17</v>
      </c>
      <c r="F24" s="146">
        <v>876.96</v>
      </c>
      <c r="G24" s="94">
        <v>0.1</v>
      </c>
      <c r="H24" s="95">
        <v>80.680000000000007</v>
      </c>
      <c r="I24" s="159"/>
      <c r="J24" s="108"/>
      <c r="K24" s="109"/>
    </row>
    <row r="25" spans="1:11">
      <c r="A25" s="90">
        <v>43514</v>
      </c>
      <c r="B25" s="91">
        <v>43880</v>
      </c>
      <c r="C25" s="168" t="s">
        <v>241</v>
      </c>
      <c r="D25" s="93" t="s">
        <v>9</v>
      </c>
      <c r="E25" s="92" t="s">
        <v>10</v>
      </c>
      <c r="F25" s="146">
        <v>1195.49</v>
      </c>
      <c r="G25" s="94">
        <v>0.1</v>
      </c>
      <c r="H25" s="95">
        <v>109.98</v>
      </c>
      <c r="I25" s="159"/>
      <c r="J25" s="108"/>
      <c r="K25" s="109"/>
    </row>
    <row r="26" spans="1:11">
      <c r="A26" s="90">
        <v>43517</v>
      </c>
      <c r="B26" s="91">
        <v>43878</v>
      </c>
      <c r="C26" s="168" t="s">
        <v>220</v>
      </c>
      <c r="D26" s="93" t="s">
        <v>14</v>
      </c>
      <c r="E26" s="92" t="s">
        <v>10</v>
      </c>
      <c r="F26" s="146">
        <v>966.84</v>
      </c>
      <c r="G26" s="94">
        <v>0.1</v>
      </c>
      <c r="H26" s="95">
        <v>88.94</v>
      </c>
      <c r="I26" s="159"/>
      <c r="J26" s="108"/>
      <c r="K26" s="109"/>
    </row>
    <row r="27" spans="1:11">
      <c r="A27" s="207">
        <v>43514</v>
      </c>
      <c r="B27" s="208">
        <v>43879</v>
      </c>
      <c r="C27" s="168" t="s">
        <v>861</v>
      </c>
      <c r="D27" s="209" t="s">
        <v>61</v>
      </c>
      <c r="E27" s="169" t="s">
        <v>90</v>
      </c>
      <c r="F27" s="210">
        <v>2388.14</v>
      </c>
      <c r="G27" s="211">
        <v>0.1</v>
      </c>
      <c r="H27" s="212">
        <v>219.7</v>
      </c>
      <c r="I27" s="213"/>
      <c r="J27" s="223"/>
      <c r="K27" s="224"/>
    </row>
    <row r="28" spans="1:11">
      <c r="A28" s="90">
        <v>43515</v>
      </c>
      <c r="B28" s="91">
        <v>43880</v>
      </c>
      <c r="C28" s="101" t="s">
        <v>862</v>
      </c>
      <c r="D28" s="93" t="s">
        <v>209</v>
      </c>
      <c r="E28" s="92" t="s">
        <v>10</v>
      </c>
      <c r="F28" s="146">
        <v>1749.03</v>
      </c>
      <c r="G28" s="94">
        <v>0.1</v>
      </c>
      <c r="H28" s="95">
        <v>160.9</v>
      </c>
      <c r="I28" s="159"/>
      <c r="J28" s="108"/>
      <c r="K28" s="109"/>
    </row>
    <row r="29" spans="1:11">
      <c r="A29" s="265">
        <v>43521</v>
      </c>
      <c r="B29" s="266">
        <v>43886</v>
      </c>
      <c r="C29" s="441" t="s">
        <v>863</v>
      </c>
      <c r="D29" s="268" t="s">
        <v>9</v>
      </c>
      <c r="E29" s="267" t="s">
        <v>19</v>
      </c>
      <c r="F29" s="269">
        <v>1337.12</v>
      </c>
      <c r="G29" s="270">
        <v>0.13</v>
      </c>
      <c r="H29" s="271">
        <v>159.91999999999999</v>
      </c>
      <c r="I29" s="272"/>
      <c r="J29" s="406"/>
      <c r="K29" s="407"/>
    </row>
    <row r="30" spans="1:11">
      <c r="A30" s="90">
        <v>43517</v>
      </c>
      <c r="B30" s="91">
        <v>43883</v>
      </c>
      <c r="C30" s="168" t="s">
        <v>456</v>
      </c>
      <c r="D30" s="93" t="s">
        <v>33</v>
      </c>
      <c r="E30" s="92" t="s">
        <v>10</v>
      </c>
      <c r="F30" s="146">
        <v>1431.75</v>
      </c>
      <c r="G30" s="94">
        <v>0.1</v>
      </c>
      <c r="H30" s="95">
        <v>131.72</v>
      </c>
      <c r="I30" s="159"/>
      <c r="J30" s="108"/>
      <c r="K30" s="109"/>
    </row>
    <row r="31" spans="1:11">
      <c r="A31" s="90">
        <v>43518</v>
      </c>
      <c r="B31" s="91">
        <v>43522</v>
      </c>
      <c r="C31" s="168" t="s">
        <v>508</v>
      </c>
      <c r="D31" s="93" t="s">
        <v>14</v>
      </c>
      <c r="E31" s="92" t="s">
        <v>10</v>
      </c>
      <c r="F31" s="146">
        <v>1759.27</v>
      </c>
      <c r="G31" s="94">
        <v>0.18</v>
      </c>
      <c r="H31" s="95">
        <v>291.33</v>
      </c>
      <c r="I31" s="159"/>
      <c r="J31" s="108"/>
      <c r="K31" s="109"/>
    </row>
    <row r="32" spans="1:11">
      <c r="A32" s="90">
        <v>43518</v>
      </c>
      <c r="B32" s="91">
        <v>43883</v>
      </c>
      <c r="C32" s="168" t="s">
        <v>243</v>
      </c>
      <c r="D32" s="93" t="s">
        <v>61</v>
      </c>
      <c r="E32" s="92" t="s">
        <v>19</v>
      </c>
      <c r="F32" s="146">
        <v>1456.41</v>
      </c>
      <c r="G32" s="94">
        <v>0.13</v>
      </c>
      <c r="H32" s="95">
        <v>174.18</v>
      </c>
      <c r="I32" s="159"/>
      <c r="J32" s="108"/>
      <c r="K32" s="109"/>
    </row>
    <row r="33" spans="1:11">
      <c r="A33" s="238">
        <v>43518</v>
      </c>
      <c r="B33" s="239">
        <v>43883</v>
      </c>
      <c r="C33" s="412" t="s">
        <v>864</v>
      </c>
      <c r="D33" s="241" t="s">
        <v>61</v>
      </c>
      <c r="E33" s="240" t="s">
        <v>75</v>
      </c>
      <c r="F33" s="242">
        <v>1177.92</v>
      </c>
      <c r="G33" s="243">
        <v>0.12</v>
      </c>
      <c r="H33" s="244">
        <v>130.04</v>
      </c>
      <c r="I33" s="245"/>
      <c r="J33" s="263"/>
      <c r="K33" s="264"/>
    </row>
    <row r="34" spans="1:11">
      <c r="A34" s="90">
        <v>43518</v>
      </c>
      <c r="B34" s="91">
        <v>43887</v>
      </c>
      <c r="C34" s="168" t="s">
        <v>384</v>
      </c>
      <c r="D34" s="93" t="s">
        <v>14</v>
      </c>
      <c r="E34" s="92" t="s">
        <v>10</v>
      </c>
      <c r="F34" s="146">
        <v>1940.42</v>
      </c>
      <c r="G34" s="94">
        <v>0.1</v>
      </c>
      <c r="H34" s="95">
        <v>178.51</v>
      </c>
      <c r="I34" s="159"/>
      <c r="J34" s="108"/>
      <c r="K34" s="109"/>
    </row>
    <row r="35" spans="1:11">
      <c r="A35" s="90">
        <v>43521</v>
      </c>
      <c r="B35" s="91">
        <v>43887</v>
      </c>
      <c r="C35" s="168" t="s">
        <v>865</v>
      </c>
      <c r="D35" s="93" t="s">
        <v>9</v>
      </c>
      <c r="E35" s="92" t="s">
        <v>10</v>
      </c>
      <c r="F35" s="146">
        <v>1577.62</v>
      </c>
      <c r="G35" s="94">
        <v>0.1</v>
      </c>
      <c r="H35" s="95">
        <v>145.13999999999999</v>
      </c>
      <c r="I35" s="159"/>
      <c r="J35" s="108"/>
      <c r="K35" s="109"/>
    </row>
    <row r="36" spans="1:11">
      <c r="A36" s="90">
        <v>43522</v>
      </c>
      <c r="B36" s="91">
        <v>43887</v>
      </c>
      <c r="C36" s="168" t="s">
        <v>866</v>
      </c>
      <c r="D36" s="93" t="s">
        <v>61</v>
      </c>
      <c r="E36" s="92" t="s">
        <v>29</v>
      </c>
      <c r="F36" s="146">
        <v>2980.07</v>
      </c>
      <c r="G36" s="94">
        <v>0.21</v>
      </c>
      <c r="H36" s="95">
        <v>575.74</v>
      </c>
      <c r="I36" s="159"/>
      <c r="J36" s="108"/>
      <c r="K36" s="109"/>
    </row>
    <row r="37" spans="1:11">
      <c r="A37" s="90">
        <v>43522</v>
      </c>
      <c r="B37" s="91">
        <v>43835</v>
      </c>
      <c r="C37" s="92" t="s">
        <v>867</v>
      </c>
      <c r="D37" s="93" t="s">
        <v>25</v>
      </c>
      <c r="E37" s="92" t="s">
        <v>10</v>
      </c>
      <c r="F37" s="146">
        <v>1077.3399999999999</v>
      </c>
      <c r="G37" s="94">
        <v>0.18</v>
      </c>
      <c r="H37" s="95">
        <v>178.4</v>
      </c>
      <c r="I37" s="159"/>
      <c r="J37" s="108"/>
      <c r="K37" s="109"/>
    </row>
    <row r="38" spans="1:11">
      <c r="A38" s="90">
        <v>43524</v>
      </c>
      <c r="B38" s="91">
        <v>43889</v>
      </c>
      <c r="C38" s="168" t="s">
        <v>868</v>
      </c>
      <c r="D38" s="93" t="s">
        <v>448</v>
      </c>
      <c r="E38" s="92" t="s">
        <v>19</v>
      </c>
      <c r="F38" s="146">
        <v>4123.72</v>
      </c>
      <c r="G38" s="94">
        <v>0.1</v>
      </c>
      <c r="H38" s="95">
        <v>379.38</v>
      </c>
      <c r="I38" s="159"/>
      <c r="J38" s="108"/>
      <c r="K38" s="109"/>
    </row>
    <row r="39" spans="1:11">
      <c r="A39" s="90"/>
      <c r="B39" s="91"/>
      <c r="C39" s="92"/>
      <c r="D39" s="93"/>
      <c r="E39" s="92"/>
      <c r="F39" s="146"/>
      <c r="G39" s="94"/>
      <c r="H39" s="95"/>
      <c r="I39" s="159"/>
      <c r="J39" s="108"/>
      <c r="K39" s="109"/>
    </row>
    <row r="40" spans="1:11">
      <c r="A40" s="90"/>
      <c r="B40" s="91"/>
      <c r="C40" s="92"/>
      <c r="D40" s="93"/>
      <c r="E40" s="92"/>
      <c r="F40" s="146"/>
      <c r="G40" s="94"/>
      <c r="H40" s="95"/>
      <c r="I40" s="159"/>
      <c r="J40" s="108"/>
      <c r="K40" s="109"/>
    </row>
    <row r="41" spans="1:11">
      <c r="A41" s="90"/>
      <c r="B41" s="91"/>
      <c r="C41" s="92" t="s">
        <v>869</v>
      </c>
      <c r="D41" s="93"/>
      <c r="E41" s="92"/>
      <c r="F41" s="146"/>
      <c r="G41" s="94"/>
      <c r="H41" s="95"/>
      <c r="I41" s="159"/>
      <c r="J41" s="108"/>
      <c r="K41" s="109"/>
    </row>
    <row r="42" spans="1:11" ht="19.5">
      <c r="A42" s="673"/>
      <c r="B42" s="674"/>
      <c r="C42" s="674"/>
      <c r="D42" s="674"/>
      <c r="E42" s="674"/>
      <c r="F42" s="147">
        <f>SUM(F2:F41)</f>
        <v>69987.372000000003</v>
      </c>
      <c r="G42" s="143"/>
      <c r="H42" s="129">
        <f>SUM(H2:H41)</f>
        <v>8595.4199999999983</v>
      </c>
      <c r="I42" s="107">
        <f>SUM(I2:I41)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41"/>
  <sheetViews>
    <sheetView workbookViewId="0"/>
  </sheetViews>
  <sheetFormatPr defaultRowHeight="15"/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216">
        <v>43487</v>
      </c>
      <c r="B2" s="225">
        <v>43831</v>
      </c>
      <c r="C2" s="172" t="s">
        <v>246</v>
      </c>
      <c r="D2" s="218" t="s">
        <v>70</v>
      </c>
      <c r="E2" s="217" t="s">
        <v>29</v>
      </c>
      <c r="F2" s="219">
        <v>1315.05</v>
      </c>
      <c r="G2" s="220">
        <v>0.25</v>
      </c>
      <c r="H2" s="214">
        <v>302.45999999999998</v>
      </c>
      <c r="I2" s="215"/>
      <c r="J2" s="223"/>
      <c r="K2" s="224"/>
    </row>
    <row r="3" spans="1:11">
      <c r="A3" s="216">
        <v>43491</v>
      </c>
      <c r="B3" s="221">
        <v>43836</v>
      </c>
      <c r="C3" s="172" t="s">
        <v>671</v>
      </c>
      <c r="D3" s="218" t="s">
        <v>14</v>
      </c>
      <c r="E3" s="217" t="s">
        <v>10</v>
      </c>
      <c r="F3" s="219">
        <v>1415.55</v>
      </c>
      <c r="G3" s="220">
        <v>0.22</v>
      </c>
      <c r="H3" s="214">
        <v>286.5</v>
      </c>
      <c r="I3" s="215"/>
      <c r="J3" s="223"/>
      <c r="K3" s="224"/>
    </row>
    <row r="4" spans="1:11">
      <c r="A4" s="207">
        <v>43525</v>
      </c>
      <c r="B4" s="208">
        <v>43840</v>
      </c>
      <c r="C4" s="168" t="s">
        <v>258</v>
      </c>
      <c r="D4" s="209" t="s">
        <v>14</v>
      </c>
      <c r="E4" s="169" t="s">
        <v>10</v>
      </c>
      <c r="F4" s="210">
        <v>2198.5</v>
      </c>
      <c r="G4" s="211">
        <v>0.2</v>
      </c>
      <c r="H4" s="212">
        <v>404.52</v>
      </c>
      <c r="I4" s="213"/>
      <c r="J4" s="223"/>
      <c r="K4" s="224"/>
    </row>
    <row r="5" spans="1:11">
      <c r="A5" s="207">
        <v>43525</v>
      </c>
      <c r="B5" s="208">
        <v>43834</v>
      </c>
      <c r="C5" s="168" t="s">
        <v>387</v>
      </c>
      <c r="D5" s="209" t="s">
        <v>14</v>
      </c>
      <c r="E5" s="169" t="s">
        <v>10</v>
      </c>
      <c r="F5" s="210">
        <v>1362.15</v>
      </c>
      <c r="G5" s="211">
        <v>0.2</v>
      </c>
      <c r="H5" s="212">
        <v>250.63</v>
      </c>
      <c r="I5" s="213"/>
      <c r="J5" s="223"/>
      <c r="K5" s="224"/>
    </row>
    <row r="6" spans="1:11">
      <c r="A6" s="207">
        <v>43525</v>
      </c>
      <c r="B6" s="208">
        <v>43836</v>
      </c>
      <c r="C6" s="168" t="s">
        <v>256</v>
      </c>
      <c r="D6" s="209" t="s">
        <v>14</v>
      </c>
      <c r="E6" s="169" t="s">
        <v>15</v>
      </c>
      <c r="F6" s="210">
        <v>1218.32</v>
      </c>
      <c r="G6" s="222">
        <v>0.2</v>
      </c>
      <c r="H6" s="212">
        <v>224.17</v>
      </c>
      <c r="I6" s="213"/>
      <c r="J6" s="223"/>
      <c r="K6" s="224"/>
    </row>
    <row r="7" spans="1:11">
      <c r="A7" s="90">
        <v>43525</v>
      </c>
      <c r="B7" s="91">
        <v>43891</v>
      </c>
      <c r="C7" s="101" t="s">
        <v>385</v>
      </c>
      <c r="D7" s="93" t="s">
        <v>9</v>
      </c>
      <c r="E7" s="92" t="s">
        <v>143</v>
      </c>
      <c r="F7" s="146">
        <v>1807.54</v>
      </c>
      <c r="G7" s="94">
        <v>0.1</v>
      </c>
      <c r="H7" s="95">
        <v>166.29</v>
      </c>
      <c r="I7" s="159"/>
      <c r="J7" s="108"/>
      <c r="K7" s="109"/>
    </row>
    <row r="8" spans="1:11">
      <c r="A8" s="90">
        <v>43525</v>
      </c>
      <c r="B8" s="91">
        <v>43892</v>
      </c>
      <c r="C8" s="168" t="s">
        <v>512</v>
      </c>
      <c r="D8" s="93" t="s">
        <v>25</v>
      </c>
      <c r="E8" s="92" t="s">
        <v>10</v>
      </c>
      <c r="F8" s="146">
        <v>1919.44</v>
      </c>
      <c r="G8" s="94">
        <v>0.13</v>
      </c>
      <c r="H8" s="95">
        <v>229.56</v>
      </c>
      <c r="I8" s="159"/>
      <c r="J8" s="108"/>
      <c r="K8" s="109"/>
    </row>
    <row r="9" spans="1:11">
      <c r="A9" s="255">
        <v>43525</v>
      </c>
      <c r="B9" s="256">
        <v>43891</v>
      </c>
      <c r="C9" s="412" t="s">
        <v>239</v>
      </c>
      <c r="D9" s="258" t="s">
        <v>14</v>
      </c>
      <c r="E9" s="257" t="s">
        <v>75</v>
      </c>
      <c r="F9" s="259">
        <v>2145.67</v>
      </c>
      <c r="G9" s="260">
        <v>0.1</v>
      </c>
      <c r="H9" s="261">
        <v>197.4</v>
      </c>
      <c r="I9" s="262"/>
      <c r="J9" s="307"/>
      <c r="K9" s="308"/>
    </row>
    <row r="10" spans="1:11">
      <c r="A10" s="207">
        <v>43525</v>
      </c>
      <c r="B10" s="208">
        <v>43909</v>
      </c>
      <c r="C10" s="414" t="s">
        <v>746</v>
      </c>
      <c r="D10" s="209" t="s">
        <v>9</v>
      </c>
      <c r="E10" s="169" t="s">
        <v>19</v>
      </c>
      <c r="F10" s="210">
        <v>904.71</v>
      </c>
      <c r="G10" s="211">
        <v>0.18</v>
      </c>
      <c r="H10" s="212">
        <v>149.81</v>
      </c>
      <c r="I10" s="213"/>
      <c r="J10" s="223"/>
      <c r="K10" s="224"/>
    </row>
    <row r="11" spans="1:11">
      <c r="A11" s="90">
        <v>43529</v>
      </c>
      <c r="B11" s="91">
        <v>43896</v>
      </c>
      <c r="C11" s="168" t="s">
        <v>870</v>
      </c>
      <c r="D11" s="93" t="s">
        <v>33</v>
      </c>
      <c r="E11" s="92" t="s">
        <v>10</v>
      </c>
      <c r="F11" s="146">
        <v>1383.47</v>
      </c>
      <c r="G11" s="94">
        <v>0.15</v>
      </c>
      <c r="H11" s="95">
        <v>157.13999999999999</v>
      </c>
      <c r="I11" s="159"/>
      <c r="J11" s="108"/>
      <c r="K11" s="109"/>
    </row>
    <row r="12" spans="1:11">
      <c r="A12" s="90">
        <v>43530</v>
      </c>
      <c r="B12" s="91">
        <v>43896</v>
      </c>
      <c r="C12" s="353" t="s">
        <v>871</v>
      </c>
      <c r="D12" s="93" t="s">
        <v>61</v>
      </c>
      <c r="E12" s="92" t="s">
        <v>75</v>
      </c>
      <c r="F12" s="146">
        <v>2567.1799999999998</v>
      </c>
      <c r="G12" s="94">
        <v>0.1</v>
      </c>
      <c r="H12" s="95">
        <v>236.18</v>
      </c>
      <c r="I12" s="159"/>
      <c r="J12" s="108"/>
      <c r="K12" s="109"/>
    </row>
    <row r="13" spans="1:11">
      <c r="A13" s="90">
        <v>43530</v>
      </c>
      <c r="B13" s="91">
        <v>43898</v>
      </c>
      <c r="C13" s="168" t="s">
        <v>872</v>
      </c>
      <c r="D13" s="93" t="s">
        <v>9</v>
      </c>
      <c r="E13" s="92" t="s">
        <v>75</v>
      </c>
      <c r="F13" s="146">
        <v>931.89</v>
      </c>
      <c r="G13" s="94">
        <v>0.2</v>
      </c>
      <c r="H13" s="95">
        <v>171.46</v>
      </c>
      <c r="I13" s="159"/>
      <c r="J13" s="108"/>
      <c r="K13" s="109"/>
    </row>
    <row r="14" spans="1:11">
      <c r="A14" s="90">
        <v>43525</v>
      </c>
      <c r="B14" s="91">
        <v>43906</v>
      </c>
      <c r="C14" s="387" t="s">
        <v>873</v>
      </c>
      <c r="D14" s="93" t="s">
        <v>61</v>
      </c>
      <c r="E14" s="92" t="s">
        <v>90</v>
      </c>
      <c r="F14" s="146">
        <v>2687.9</v>
      </c>
      <c r="G14" s="94">
        <v>0.1</v>
      </c>
      <c r="H14" s="95">
        <v>247.28</v>
      </c>
      <c r="I14" s="159"/>
      <c r="J14" s="108"/>
      <c r="K14" s="109"/>
    </row>
    <row r="15" spans="1:11">
      <c r="A15" s="207">
        <v>43531</v>
      </c>
      <c r="B15" s="208">
        <v>43899</v>
      </c>
      <c r="C15" s="178" t="s">
        <v>874</v>
      </c>
      <c r="D15" s="209" t="s">
        <v>14</v>
      </c>
      <c r="E15" s="169" t="s">
        <v>15</v>
      </c>
      <c r="F15" s="210">
        <v>1108.82</v>
      </c>
      <c r="G15" s="211">
        <v>0.25</v>
      </c>
      <c r="H15" s="212">
        <v>255.02</v>
      </c>
      <c r="I15" s="213"/>
      <c r="J15" s="223"/>
      <c r="K15" s="224"/>
    </row>
    <row r="16" spans="1:11">
      <c r="A16" s="207">
        <v>43531</v>
      </c>
      <c r="B16" s="208">
        <v>43899</v>
      </c>
      <c r="C16" s="414" t="s">
        <v>672</v>
      </c>
      <c r="D16" s="209" t="s">
        <v>9</v>
      </c>
      <c r="E16" s="169" t="s">
        <v>10</v>
      </c>
      <c r="F16" s="210">
        <v>1867.38</v>
      </c>
      <c r="G16" s="211">
        <v>0.1</v>
      </c>
      <c r="H16" s="212">
        <v>171.79</v>
      </c>
      <c r="I16" s="213"/>
      <c r="J16" s="223"/>
      <c r="K16" s="224"/>
    </row>
    <row r="17" spans="1:11">
      <c r="A17" s="207">
        <v>43525</v>
      </c>
      <c r="B17" s="208">
        <v>43853</v>
      </c>
      <c r="C17" s="414" t="s">
        <v>875</v>
      </c>
      <c r="D17" s="209" t="s">
        <v>9</v>
      </c>
      <c r="E17" s="169" t="s">
        <v>279</v>
      </c>
      <c r="F17" s="210">
        <v>384.74</v>
      </c>
      <c r="G17" s="211">
        <v>0.1</v>
      </c>
      <c r="H17" s="212">
        <v>35.39</v>
      </c>
      <c r="I17" s="213"/>
      <c r="J17" s="223"/>
      <c r="K17" s="224"/>
    </row>
    <row r="18" spans="1:11">
      <c r="A18" s="207">
        <v>43535</v>
      </c>
      <c r="B18" s="208">
        <v>43901</v>
      </c>
      <c r="C18" s="172" t="s">
        <v>876</v>
      </c>
      <c r="D18" s="209" t="s">
        <v>61</v>
      </c>
      <c r="E18" s="169" t="s">
        <v>19</v>
      </c>
      <c r="F18" s="210">
        <v>1260.27</v>
      </c>
      <c r="G18" s="211">
        <v>0.25</v>
      </c>
      <c r="H18" s="212">
        <v>289.86</v>
      </c>
      <c r="I18" s="213"/>
      <c r="J18" s="223"/>
      <c r="K18" s="224"/>
    </row>
    <row r="19" spans="1:11">
      <c r="A19" s="207">
        <v>43537</v>
      </c>
      <c r="B19" s="208">
        <v>43896</v>
      </c>
      <c r="C19" s="217" t="s">
        <v>296</v>
      </c>
      <c r="D19" s="209" t="s">
        <v>381</v>
      </c>
      <c r="E19" s="169" t="s">
        <v>10</v>
      </c>
      <c r="F19" s="210">
        <v>2216.1999999999998</v>
      </c>
      <c r="G19" s="211">
        <v>0.1</v>
      </c>
      <c r="H19" s="212">
        <v>203.89</v>
      </c>
      <c r="I19" s="213"/>
      <c r="J19" s="223"/>
      <c r="K19" s="224"/>
    </row>
    <row r="20" spans="1:11">
      <c r="A20" s="207">
        <v>43537</v>
      </c>
      <c r="B20" s="208">
        <v>43905</v>
      </c>
      <c r="C20" s="353" t="s">
        <v>261</v>
      </c>
      <c r="D20" s="209" t="s">
        <v>14</v>
      </c>
      <c r="E20" s="169" t="s">
        <v>10</v>
      </c>
      <c r="F20" s="210">
        <v>1212.3800000000001</v>
      </c>
      <c r="G20" s="211">
        <v>0.18</v>
      </c>
      <c r="H20" s="212">
        <v>200.77</v>
      </c>
      <c r="I20" s="213"/>
      <c r="J20" s="223"/>
      <c r="K20" s="224"/>
    </row>
    <row r="21" spans="1:11">
      <c r="A21" s="207">
        <v>43537</v>
      </c>
      <c r="B21" s="208">
        <v>43903</v>
      </c>
      <c r="C21" s="442" t="s">
        <v>877</v>
      </c>
      <c r="D21" s="209" t="s">
        <v>70</v>
      </c>
      <c r="E21" s="169" t="s">
        <v>279</v>
      </c>
      <c r="F21" s="210">
        <v>2660.11</v>
      </c>
      <c r="G21" s="211">
        <v>0.1</v>
      </c>
      <c r="H21" s="212">
        <v>244.73</v>
      </c>
      <c r="I21" s="213"/>
      <c r="J21" s="223"/>
      <c r="K21" s="224"/>
    </row>
    <row r="22" spans="1:11">
      <c r="A22" s="207">
        <v>43539</v>
      </c>
      <c r="B22" s="208">
        <v>43541</v>
      </c>
      <c r="C22" s="168" t="s">
        <v>513</v>
      </c>
      <c r="D22" s="209" t="s">
        <v>14</v>
      </c>
      <c r="E22" s="169" t="s">
        <v>10</v>
      </c>
      <c r="F22" s="210">
        <v>2116.8000000000002</v>
      </c>
      <c r="G22" s="211">
        <v>0.15</v>
      </c>
      <c r="H22" s="212">
        <v>292.11</v>
      </c>
      <c r="I22" s="213"/>
      <c r="J22" s="223"/>
      <c r="K22" s="224"/>
    </row>
    <row r="23" spans="1:11">
      <c r="A23" s="255">
        <v>43550</v>
      </c>
      <c r="B23" s="256">
        <v>43905</v>
      </c>
      <c r="C23" s="414" t="s">
        <v>878</v>
      </c>
      <c r="D23" s="258" t="s">
        <v>14</v>
      </c>
      <c r="E23" s="257" t="s">
        <v>22</v>
      </c>
      <c r="F23" s="259">
        <v>6935.41</v>
      </c>
      <c r="G23" s="260">
        <v>0.1</v>
      </c>
      <c r="H23" s="261">
        <v>638.04999999999995</v>
      </c>
      <c r="I23" s="213"/>
      <c r="J23" s="223"/>
      <c r="K23" s="224"/>
    </row>
    <row r="24" spans="1:11">
      <c r="A24" s="287">
        <v>43544</v>
      </c>
      <c r="B24" s="288">
        <v>43909</v>
      </c>
      <c r="C24" s="446" t="s">
        <v>879</v>
      </c>
      <c r="D24" s="289" t="s">
        <v>9</v>
      </c>
      <c r="E24" s="290" t="s">
        <v>10</v>
      </c>
      <c r="F24" s="291">
        <v>1628.1</v>
      </c>
      <c r="G24" s="292">
        <v>0.1</v>
      </c>
      <c r="H24" s="293">
        <v>149.78</v>
      </c>
      <c r="I24" s="294">
        <v>74.89</v>
      </c>
      <c r="J24" s="223" t="s">
        <v>880</v>
      </c>
      <c r="K24" s="308"/>
    </row>
    <row r="25" spans="1:11">
      <c r="A25" s="207">
        <v>43544</v>
      </c>
      <c r="B25" s="208">
        <v>43912</v>
      </c>
      <c r="C25" s="168" t="s">
        <v>881</v>
      </c>
      <c r="D25" s="209" t="s">
        <v>61</v>
      </c>
      <c r="E25" s="169" t="s">
        <v>19</v>
      </c>
      <c r="F25" s="210">
        <v>1552.31</v>
      </c>
      <c r="G25" s="211">
        <v>0.1</v>
      </c>
      <c r="H25" s="212">
        <v>142.81</v>
      </c>
      <c r="I25" s="213"/>
      <c r="J25" s="223"/>
      <c r="K25" s="224"/>
    </row>
    <row r="26" spans="1:11">
      <c r="A26" s="207">
        <v>43544</v>
      </c>
      <c r="B26" s="208">
        <v>43913</v>
      </c>
      <c r="C26" s="168" t="s">
        <v>882</v>
      </c>
      <c r="D26" s="209" t="s">
        <v>14</v>
      </c>
      <c r="E26" s="169" t="s">
        <v>22</v>
      </c>
      <c r="F26" s="210">
        <v>1333.31</v>
      </c>
      <c r="G26" s="211">
        <v>0.18</v>
      </c>
      <c r="H26" s="212">
        <v>220.79</v>
      </c>
      <c r="I26" s="213"/>
      <c r="J26" s="223"/>
      <c r="K26" s="224"/>
    </row>
    <row r="27" spans="1:11">
      <c r="A27" s="207">
        <v>43545</v>
      </c>
      <c r="B27" s="208">
        <v>43911</v>
      </c>
      <c r="C27" s="168" t="s">
        <v>264</v>
      </c>
      <c r="D27" s="209" t="s">
        <v>417</v>
      </c>
      <c r="E27" s="169" t="s">
        <v>17</v>
      </c>
      <c r="F27" s="210">
        <v>1537.89</v>
      </c>
      <c r="G27" s="211">
        <v>0.1</v>
      </c>
      <c r="H27" s="212">
        <v>141.47999999999999</v>
      </c>
      <c r="I27" s="213"/>
      <c r="J27" s="223"/>
      <c r="K27" s="224"/>
    </row>
    <row r="28" spans="1:11">
      <c r="A28" s="207">
        <v>43549</v>
      </c>
      <c r="B28" s="208">
        <v>43915</v>
      </c>
      <c r="C28" s="169" t="s">
        <v>269</v>
      </c>
      <c r="D28" s="209" t="s">
        <v>14</v>
      </c>
      <c r="E28" s="169" t="s">
        <v>90</v>
      </c>
      <c r="F28" s="210">
        <v>2093.8000000000002</v>
      </c>
      <c r="G28" s="211">
        <v>0.1</v>
      </c>
      <c r="H28" s="212">
        <v>195.69</v>
      </c>
      <c r="I28" s="213"/>
      <c r="J28" s="223"/>
      <c r="K28" s="224"/>
    </row>
    <row r="29" spans="1:11">
      <c r="A29" s="207">
        <v>43545</v>
      </c>
      <c r="B29" s="208">
        <v>43911</v>
      </c>
      <c r="C29" s="168" t="s">
        <v>682</v>
      </c>
      <c r="D29" s="209" t="s">
        <v>14</v>
      </c>
      <c r="E29" s="169" t="s">
        <v>10</v>
      </c>
      <c r="F29" s="210">
        <v>1511.63</v>
      </c>
      <c r="G29" s="211">
        <v>0.1</v>
      </c>
      <c r="H29" s="212">
        <v>250.32</v>
      </c>
      <c r="I29" s="213"/>
      <c r="J29" s="223"/>
      <c r="K29" s="224"/>
    </row>
    <row r="30" spans="1:11">
      <c r="A30" s="207">
        <v>43544</v>
      </c>
      <c r="B30" s="208">
        <v>43910</v>
      </c>
      <c r="C30" s="168" t="s">
        <v>883</v>
      </c>
      <c r="D30" s="209" t="s">
        <v>61</v>
      </c>
      <c r="E30" s="169" t="s">
        <v>75</v>
      </c>
      <c r="F30" s="210">
        <v>1567.3</v>
      </c>
      <c r="G30" s="211">
        <v>0.13</v>
      </c>
      <c r="H30" s="212">
        <v>187.44</v>
      </c>
      <c r="I30" s="213"/>
      <c r="J30" s="223"/>
      <c r="K30" s="224"/>
    </row>
    <row r="31" spans="1:11">
      <c r="A31" s="207">
        <v>43543</v>
      </c>
      <c r="B31" s="208">
        <v>43909</v>
      </c>
      <c r="C31" s="414" t="s">
        <v>884</v>
      </c>
      <c r="D31" s="209" t="s">
        <v>149</v>
      </c>
      <c r="E31" s="169" t="s">
        <v>19</v>
      </c>
      <c r="F31" s="210">
        <v>1569.63</v>
      </c>
      <c r="G31" s="211">
        <v>0.1</v>
      </c>
      <c r="H31" s="212">
        <v>144.4</v>
      </c>
      <c r="I31" s="213">
        <v>72.2</v>
      </c>
      <c r="J31" s="223" t="s">
        <v>491</v>
      </c>
      <c r="K31" s="224"/>
    </row>
    <row r="32" spans="1:11">
      <c r="A32" s="207">
        <v>43551</v>
      </c>
      <c r="B32" s="208">
        <v>43917</v>
      </c>
      <c r="C32" s="414" t="s">
        <v>685</v>
      </c>
      <c r="D32" s="209" t="s">
        <v>61</v>
      </c>
      <c r="E32" s="169" t="s">
        <v>10</v>
      </c>
      <c r="F32" s="210">
        <v>1716.75</v>
      </c>
      <c r="G32" s="211">
        <v>0.18</v>
      </c>
      <c r="H32" s="212">
        <v>284.29000000000002</v>
      </c>
      <c r="I32" s="213"/>
      <c r="J32" s="223"/>
      <c r="K32" s="224"/>
    </row>
    <row r="33" spans="1:11">
      <c r="A33" s="207">
        <v>43550</v>
      </c>
      <c r="B33" s="208">
        <v>43906</v>
      </c>
      <c r="C33" s="168" t="s">
        <v>885</v>
      </c>
      <c r="D33" s="209" t="s">
        <v>61</v>
      </c>
      <c r="E33" s="169" t="s">
        <v>10</v>
      </c>
      <c r="F33" s="210">
        <v>2010.05</v>
      </c>
      <c r="G33" s="211">
        <v>0.1</v>
      </c>
      <c r="H33" s="212">
        <v>184.92</v>
      </c>
      <c r="I33" s="213"/>
      <c r="J33" s="223"/>
      <c r="K33" s="224"/>
    </row>
    <row r="34" spans="1:11">
      <c r="A34" s="207">
        <v>43552</v>
      </c>
      <c r="B34" s="208">
        <v>43919</v>
      </c>
      <c r="C34" s="168" t="s">
        <v>524</v>
      </c>
      <c r="D34" s="209" t="s">
        <v>70</v>
      </c>
      <c r="E34" s="169" t="s">
        <v>10</v>
      </c>
      <c r="F34" s="210">
        <v>1227.93</v>
      </c>
      <c r="G34" s="211">
        <v>0.15</v>
      </c>
      <c r="H34" s="212">
        <v>169.45</v>
      </c>
      <c r="I34" s="213"/>
      <c r="J34" s="223"/>
      <c r="K34" s="224"/>
    </row>
    <row r="35" spans="1:11">
      <c r="A35" s="207">
        <v>43553</v>
      </c>
      <c r="B35" s="208">
        <v>43919</v>
      </c>
      <c r="C35" s="168" t="s">
        <v>595</v>
      </c>
      <c r="D35" s="209" t="s">
        <v>25</v>
      </c>
      <c r="E35" s="169" t="s">
        <v>22</v>
      </c>
      <c r="F35" s="210">
        <v>1681.41</v>
      </c>
      <c r="G35" s="211">
        <v>0.1</v>
      </c>
      <c r="H35" s="212">
        <v>154.66</v>
      </c>
      <c r="I35" s="213"/>
      <c r="J35" s="223"/>
      <c r="K35" s="224"/>
    </row>
    <row r="36" spans="1:11">
      <c r="A36" s="207"/>
      <c r="B36" s="208"/>
      <c r="C36" s="169"/>
      <c r="D36" s="209"/>
      <c r="E36" s="169"/>
      <c r="F36" s="210"/>
      <c r="G36" s="211"/>
      <c r="H36" s="212"/>
      <c r="I36" s="213"/>
      <c r="J36" s="223"/>
      <c r="K36" s="224"/>
    </row>
    <row r="37" spans="1:11">
      <c r="A37" s="207"/>
      <c r="B37" s="208"/>
      <c r="C37" s="169"/>
      <c r="D37" s="209"/>
      <c r="E37" s="169"/>
      <c r="F37" s="210"/>
      <c r="G37" s="211"/>
      <c r="H37" s="212"/>
      <c r="I37" s="213"/>
      <c r="J37" s="223"/>
      <c r="K37" s="224"/>
    </row>
    <row r="38" spans="1:11">
      <c r="A38" s="207"/>
      <c r="B38" s="208"/>
      <c r="C38" s="169"/>
      <c r="D38" s="209"/>
      <c r="E38" s="169"/>
      <c r="F38" s="210"/>
      <c r="G38" s="211"/>
      <c r="H38" s="212"/>
      <c r="I38" s="213"/>
      <c r="J38" s="223"/>
      <c r="K38" s="224"/>
    </row>
    <row r="39" spans="1:11">
      <c r="A39" s="90"/>
      <c r="B39" s="91"/>
      <c r="C39" s="92"/>
      <c r="D39" s="93"/>
      <c r="E39" s="92"/>
      <c r="F39" s="146"/>
      <c r="G39" s="94"/>
      <c r="H39" s="95"/>
      <c r="I39" s="159"/>
      <c r="J39" s="108"/>
      <c r="K39" s="109"/>
    </row>
    <row r="40" spans="1:11">
      <c r="A40" s="90"/>
      <c r="B40" s="91"/>
      <c r="C40" s="92" t="s">
        <v>886</v>
      </c>
      <c r="D40" s="93"/>
      <c r="E40" s="92"/>
      <c r="F40" s="146"/>
      <c r="G40" s="94"/>
      <c r="H40" s="95"/>
      <c r="I40" s="285"/>
      <c r="J40" s="108"/>
      <c r="K40" s="109"/>
    </row>
    <row r="41" spans="1:11" ht="19.5">
      <c r="A41" s="673"/>
      <c r="B41" s="674"/>
      <c r="C41" s="674"/>
      <c r="D41" s="674"/>
      <c r="E41" s="674"/>
      <c r="F41" s="147">
        <f>SUM(F2:F40)</f>
        <v>61049.590000000011</v>
      </c>
      <c r="G41" s="143"/>
      <c r="H41" s="129">
        <f>SUM(H2:H40)</f>
        <v>7581.0399999999972</v>
      </c>
      <c r="I41" s="107">
        <f>SUM(I2:I40)</f>
        <v>147.09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44"/>
  <sheetViews>
    <sheetView topLeftCell="A13" workbookViewId="0">
      <selection activeCell="A13" sqref="A1:A1048576"/>
    </sheetView>
  </sheetViews>
  <sheetFormatPr defaultRowHeight="15"/>
  <cols>
    <col min="1" max="1" width="16.42578125" bestFit="1" customWidth="1"/>
    <col min="2" max="2" width="18.85546875" customWidth="1"/>
    <col min="3" max="3" width="51.7109375" bestFit="1" customWidth="1"/>
  </cols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216">
        <v>43550</v>
      </c>
      <c r="B2" s="225">
        <v>43924</v>
      </c>
      <c r="C2" s="172" t="s">
        <v>688</v>
      </c>
      <c r="D2" s="218" t="s">
        <v>448</v>
      </c>
      <c r="E2" s="217" t="s">
        <v>279</v>
      </c>
      <c r="F2" s="219">
        <v>1046.42</v>
      </c>
      <c r="G2" s="220">
        <v>0.22</v>
      </c>
      <c r="H2" s="214">
        <v>211.79</v>
      </c>
      <c r="I2" s="215"/>
      <c r="J2" s="223"/>
      <c r="K2" s="224"/>
    </row>
    <row r="3" spans="1:11">
      <c r="A3" s="216">
        <v>43556</v>
      </c>
      <c r="B3" s="221">
        <v>43922</v>
      </c>
      <c r="C3" s="172" t="s">
        <v>686</v>
      </c>
      <c r="D3" s="218" t="s">
        <v>61</v>
      </c>
      <c r="E3" s="217" t="s">
        <v>10</v>
      </c>
      <c r="F3" s="219">
        <v>738.69</v>
      </c>
      <c r="G3" s="220">
        <v>0.1</v>
      </c>
      <c r="H3" s="214">
        <v>67.95</v>
      </c>
      <c r="I3" s="215"/>
      <c r="J3" s="223"/>
      <c r="K3" s="224"/>
    </row>
    <row r="4" spans="1:11">
      <c r="A4" s="255">
        <v>43557</v>
      </c>
      <c r="B4" s="256">
        <v>43930</v>
      </c>
      <c r="C4" s="412" t="s">
        <v>887</v>
      </c>
      <c r="D4" s="258" t="s">
        <v>61</v>
      </c>
      <c r="E4" s="257" t="s">
        <v>143</v>
      </c>
      <c r="F4" s="259">
        <v>7128.5</v>
      </c>
      <c r="G4" s="260">
        <v>0.12</v>
      </c>
      <c r="H4" s="261">
        <v>786.98</v>
      </c>
      <c r="I4" s="262"/>
      <c r="J4" s="307"/>
      <c r="K4" s="308"/>
    </row>
    <row r="5" spans="1:11">
      <c r="A5" s="207">
        <v>43557</v>
      </c>
      <c r="B5" s="208">
        <v>43923</v>
      </c>
      <c r="C5" s="168" t="s">
        <v>528</v>
      </c>
      <c r="D5" s="209" t="s">
        <v>70</v>
      </c>
      <c r="E5" s="169" t="s">
        <v>10</v>
      </c>
      <c r="F5" s="210">
        <v>1070.99</v>
      </c>
      <c r="G5" s="211">
        <v>0.18</v>
      </c>
      <c r="H5" s="212">
        <v>177.35</v>
      </c>
      <c r="I5" s="213"/>
      <c r="J5" s="223"/>
      <c r="K5" s="224"/>
    </row>
    <row r="6" spans="1:11">
      <c r="A6" s="207">
        <v>43556</v>
      </c>
      <c r="B6" s="208">
        <v>43922</v>
      </c>
      <c r="C6" s="414" t="s">
        <v>888</v>
      </c>
      <c r="D6" s="209" t="s">
        <v>533</v>
      </c>
      <c r="E6" s="169" t="s">
        <v>469</v>
      </c>
      <c r="F6" s="210"/>
      <c r="G6" s="222" t="s">
        <v>889</v>
      </c>
      <c r="H6" s="212">
        <v>150</v>
      </c>
      <c r="I6" s="213">
        <v>75</v>
      </c>
      <c r="J6" s="408" t="s">
        <v>890</v>
      </c>
      <c r="K6" s="409"/>
    </row>
    <row r="7" spans="1:11">
      <c r="A7" s="238">
        <v>43559</v>
      </c>
      <c r="B7" s="239">
        <v>43925</v>
      </c>
      <c r="C7" s="412" t="s">
        <v>891</v>
      </c>
      <c r="D7" s="241" t="s">
        <v>14</v>
      </c>
      <c r="E7" s="240" t="s">
        <v>143</v>
      </c>
      <c r="F7" s="242">
        <v>3108.5</v>
      </c>
      <c r="G7" s="243">
        <v>0.1</v>
      </c>
      <c r="H7" s="244">
        <v>285.98</v>
      </c>
      <c r="I7" s="245"/>
      <c r="J7" s="263"/>
      <c r="K7" s="264"/>
    </row>
    <row r="8" spans="1:11">
      <c r="A8" s="90">
        <v>43558</v>
      </c>
      <c r="B8" s="91">
        <v>43924</v>
      </c>
      <c r="C8" s="168" t="s">
        <v>481</v>
      </c>
      <c r="D8" s="93" t="s">
        <v>198</v>
      </c>
      <c r="E8" s="92" t="s">
        <v>19</v>
      </c>
      <c r="F8" s="146">
        <v>1494.29</v>
      </c>
      <c r="G8" s="94">
        <v>0.1</v>
      </c>
      <c r="H8" s="95">
        <v>137.47</v>
      </c>
      <c r="I8" s="159"/>
      <c r="J8" s="108"/>
      <c r="K8" s="109"/>
    </row>
    <row r="9" spans="1:11">
      <c r="A9" s="207">
        <v>43562</v>
      </c>
      <c r="B9" s="208">
        <v>43928</v>
      </c>
      <c r="C9" s="168" t="s">
        <v>892</v>
      </c>
      <c r="D9" s="209" t="s">
        <v>9</v>
      </c>
      <c r="E9" s="169" t="s">
        <v>10</v>
      </c>
      <c r="F9" s="210">
        <v>2177.83</v>
      </c>
      <c r="G9" s="211">
        <v>0.1</v>
      </c>
      <c r="H9" s="212">
        <v>200.28</v>
      </c>
      <c r="I9" s="213">
        <v>100</v>
      </c>
      <c r="J9" s="223" t="s">
        <v>880</v>
      </c>
      <c r="K9" s="224"/>
    </row>
    <row r="10" spans="1:11">
      <c r="A10" s="207">
        <v>43560</v>
      </c>
      <c r="B10" s="208">
        <v>43926</v>
      </c>
      <c r="C10" s="414" t="s">
        <v>525</v>
      </c>
      <c r="D10" s="209" t="s">
        <v>9</v>
      </c>
      <c r="E10" s="169" t="s">
        <v>362</v>
      </c>
      <c r="F10" s="210">
        <v>931.5</v>
      </c>
      <c r="G10" s="211">
        <v>0.25</v>
      </c>
      <c r="H10" s="212">
        <v>214.24</v>
      </c>
      <c r="I10" s="213"/>
      <c r="J10" s="223"/>
      <c r="K10" s="224"/>
    </row>
    <row r="11" spans="1:11">
      <c r="A11" s="90">
        <v>43567</v>
      </c>
      <c r="B11" s="91">
        <v>43933</v>
      </c>
      <c r="C11" s="172" t="s">
        <v>677</v>
      </c>
      <c r="D11" s="93" t="s">
        <v>25</v>
      </c>
      <c r="E11" s="92" t="s">
        <v>19</v>
      </c>
      <c r="F11" s="146">
        <v>1382</v>
      </c>
      <c r="G11" s="94">
        <v>0.22</v>
      </c>
      <c r="H11" s="95">
        <v>279.70999999999998</v>
      </c>
      <c r="I11" s="159"/>
      <c r="J11" s="108"/>
      <c r="K11" s="109"/>
    </row>
    <row r="12" spans="1:11">
      <c r="A12" s="90">
        <v>43564</v>
      </c>
      <c r="B12" s="91">
        <v>43930</v>
      </c>
      <c r="C12" s="353" t="s">
        <v>893</v>
      </c>
      <c r="D12" s="93" t="s">
        <v>70</v>
      </c>
      <c r="E12" s="92" t="s">
        <v>19</v>
      </c>
      <c r="F12" s="146">
        <v>2134.69</v>
      </c>
      <c r="G12" s="94">
        <v>0.1</v>
      </c>
      <c r="H12" s="95">
        <v>196.39</v>
      </c>
      <c r="I12" s="159">
        <v>98.19</v>
      </c>
      <c r="J12" s="108" t="s">
        <v>894</v>
      </c>
      <c r="K12" s="109"/>
    </row>
    <row r="13" spans="1:11">
      <c r="A13" s="90">
        <v>43564</v>
      </c>
      <c r="B13" s="91">
        <v>43931</v>
      </c>
      <c r="C13" s="168" t="s">
        <v>615</v>
      </c>
      <c r="D13" s="93" t="s">
        <v>61</v>
      </c>
      <c r="E13" s="92" t="s">
        <v>10</v>
      </c>
      <c r="F13" s="146">
        <v>1706.49</v>
      </c>
      <c r="G13" s="94">
        <v>0.1</v>
      </c>
      <c r="H13" s="95">
        <v>156.99</v>
      </c>
      <c r="I13" s="159"/>
      <c r="J13" s="108"/>
      <c r="K13" s="109"/>
    </row>
    <row r="14" spans="1:11">
      <c r="A14" s="90">
        <v>43564</v>
      </c>
      <c r="B14" s="91">
        <v>43930</v>
      </c>
      <c r="C14" s="387" t="s">
        <v>278</v>
      </c>
      <c r="D14" s="93" t="s">
        <v>14</v>
      </c>
      <c r="E14" s="92" t="s">
        <v>10</v>
      </c>
      <c r="F14" s="146">
        <v>2179.02</v>
      </c>
      <c r="G14" s="94">
        <v>0.1</v>
      </c>
      <c r="H14" s="95">
        <v>200.46</v>
      </c>
      <c r="I14" s="159"/>
      <c r="J14" s="108"/>
      <c r="K14" s="109"/>
    </row>
    <row r="15" spans="1:11">
      <c r="A15" s="90">
        <v>43566</v>
      </c>
      <c r="B15" s="91">
        <v>43932</v>
      </c>
      <c r="C15" s="387" t="s">
        <v>520</v>
      </c>
      <c r="D15" s="93" t="s">
        <v>14</v>
      </c>
      <c r="E15" s="92" t="s">
        <v>15</v>
      </c>
      <c r="F15" s="146">
        <v>2398.5100000000002</v>
      </c>
      <c r="G15" s="94">
        <v>0.12</v>
      </c>
      <c r="H15" s="95">
        <v>264.77</v>
      </c>
      <c r="I15" s="159"/>
      <c r="J15" s="108"/>
      <c r="K15" s="109"/>
    </row>
    <row r="16" spans="1:11">
      <c r="A16" s="90">
        <v>43932</v>
      </c>
      <c r="B16" s="91">
        <v>43926</v>
      </c>
      <c r="C16" s="358" t="s">
        <v>521</v>
      </c>
      <c r="D16" s="93" t="s">
        <v>14</v>
      </c>
      <c r="E16" s="92" t="s">
        <v>10</v>
      </c>
      <c r="F16" s="146">
        <v>1292.42</v>
      </c>
      <c r="G16" s="94">
        <v>0.19</v>
      </c>
      <c r="H16" s="95">
        <v>225.91</v>
      </c>
      <c r="I16" s="159"/>
      <c r="J16" s="108"/>
      <c r="K16" s="109"/>
    </row>
    <row r="17" spans="1:11">
      <c r="A17" s="90">
        <v>43566</v>
      </c>
      <c r="B17" s="91">
        <v>43935</v>
      </c>
      <c r="C17" s="168" t="s">
        <v>895</v>
      </c>
      <c r="D17" s="93" t="s">
        <v>61</v>
      </c>
      <c r="E17" s="92" t="s">
        <v>438</v>
      </c>
      <c r="F17" s="146">
        <v>2863.53</v>
      </c>
      <c r="G17" s="94">
        <v>0.1</v>
      </c>
      <c r="H17" s="95">
        <v>263.48</v>
      </c>
      <c r="I17" s="159"/>
      <c r="J17" s="108"/>
      <c r="K17" s="109"/>
    </row>
    <row r="18" spans="1:11">
      <c r="A18" s="90">
        <v>43566</v>
      </c>
      <c r="B18" s="91">
        <v>43932</v>
      </c>
      <c r="C18" s="414" t="s">
        <v>547</v>
      </c>
      <c r="D18" s="93" t="s">
        <v>9</v>
      </c>
      <c r="E18" s="92" t="s">
        <v>279</v>
      </c>
      <c r="F18" s="146">
        <v>2007.58</v>
      </c>
      <c r="G18" s="94">
        <v>0.1</v>
      </c>
      <c r="H18" s="95">
        <v>184.69</v>
      </c>
      <c r="I18" s="159"/>
      <c r="J18" s="108"/>
      <c r="K18" s="109"/>
    </row>
    <row r="19" spans="1:11">
      <c r="A19" s="90">
        <v>43567</v>
      </c>
      <c r="B19" s="91">
        <v>43933</v>
      </c>
      <c r="C19" s="457" t="s">
        <v>896</v>
      </c>
      <c r="D19" s="93" t="s">
        <v>61</v>
      </c>
      <c r="E19" s="92" t="s">
        <v>75</v>
      </c>
      <c r="F19" s="146">
        <v>864.1</v>
      </c>
      <c r="G19" s="94">
        <v>0.2</v>
      </c>
      <c r="H19" s="95">
        <v>158.99</v>
      </c>
      <c r="I19" s="159"/>
      <c r="J19" s="108"/>
      <c r="K19" s="109"/>
    </row>
    <row r="20" spans="1:11">
      <c r="A20" s="90"/>
      <c r="B20" s="91" t="s">
        <v>897</v>
      </c>
      <c r="C20" s="137" t="s">
        <v>898</v>
      </c>
      <c r="D20" s="93" t="s">
        <v>448</v>
      </c>
      <c r="E20" s="92" t="s">
        <v>469</v>
      </c>
      <c r="F20" s="146" t="s">
        <v>560</v>
      </c>
      <c r="G20" s="94" t="s">
        <v>889</v>
      </c>
      <c r="H20" s="95">
        <v>150</v>
      </c>
      <c r="I20" s="159"/>
      <c r="J20" s="108"/>
      <c r="K20" s="109"/>
    </row>
    <row r="21" spans="1:11">
      <c r="A21" s="238">
        <v>43570</v>
      </c>
      <c r="B21" s="239">
        <v>43933</v>
      </c>
      <c r="C21" s="456" t="s">
        <v>899</v>
      </c>
      <c r="D21" s="241" t="s">
        <v>14</v>
      </c>
      <c r="E21" s="240" t="s">
        <v>10</v>
      </c>
      <c r="F21" s="242">
        <v>1627.1</v>
      </c>
      <c r="G21" s="243">
        <v>0.1</v>
      </c>
      <c r="H21" s="244">
        <v>209.69</v>
      </c>
      <c r="I21" s="245"/>
      <c r="J21" s="263"/>
      <c r="K21" s="264"/>
    </row>
    <row r="22" spans="1:11">
      <c r="A22" s="297"/>
      <c r="B22" s="298"/>
      <c r="C22" s="101" t="s">
        <v>900</v>
      </c>
      <c r="D22" s="299" t="s">
        <v>560</v>
      </c>
      <c r="E22" s="101" t="s">
        <v>22</v>
      </c>
      <c r="F22" s="300"/>
      <c r="G22" s="301"/>
      <c r="H22" s="302">
        <v>-145.74</v>
      </c>
      <c r="I22" s="303"/>
      <c r="J22" s="295"/>
      <c r="K22" s="296"/>
    </row>
    <row r="23" spans="1:11">
      <c r="A23" s="297"/>
      <c r="B23" s="298"/>
      <c r="C23" s="101" t="s">
        <v>901</v>
      </c>
      <c r="D23" s="299" t="s">
        <v>560</v>
      </c>
      <c r="E23" s="101" t="s">
        <v>10</v>
      </c>
      <c r="F23" s="300">
        <v>256.37</v>
      </c>
      <c r="G23" s="301">
        <v>0.17</v>
      </c>
      <c r="H23" s="302">
        <v>-43.58</v>
      </c>
      <c r="I23" s="303"/>
      <c r="J23" s="295"/>
      <c r="K23" s="296"/>
    </row>
    <row r="24" spans="1:11">
      <c r="A24" s="238">
        <v>43570</v>
      </c>
      <c r="B24" s="239">
        <v>43939</v>
      </c>
      <c r="C24" s="412" t="s">
        <v>902</v>
      </c>
      <c r="D24" s="241" t="s">
        <v>14</v>
      </c>
      <c r="E24" s="240" t="s">
        <v>10</v>
      </c>
      <c r="F24" s="242">
        <v>1438.2</v>
      </c>
      <c r="G24" s="243">
        <v>0.15</v>
      </c>
      <c r="H24" s="244">
        <v>198.47</v>
      </c>
      <c r="I24" s="245"/>
      <c r="J24" s="263"/>
      <c r="K24" s="264"/>
    </row>
    <row r="25" spans="1:11">
      <c r="A25" s="207">
        <v>43571</v>
      </c>
      <c r="B25" s="208">
        <v>43937</v>
      </c>
      <c r="C25" s="521" t="s">
        <v>547</v>
      </c>
      <c r="D25" s="209" t="s">
        <v>61</v>
      </c>
      <c r="E25" s="169" t="s">
        <v>75</v>
      </c>
      <c r="F25" s="210">
        <v>1156.93</v>
      </c>
      <c r="G25" s="211">
        <v>0.15</v>
      </c>
      <c r="H25" s="212">
        <v>159.65</v>
      </c>
      <c r="I25" s="213"/>
      <c r="J25" s="223"/>
      <c r="K25" s="224"/>
    </row>
    <row r="26" spans="1:11">
      <c r="A26" s="90">
        <v>43573</v>
      </c>
      <c r="B26" s="91">
        <v>43943</v>
      </c>
      <c r="C26" s="168" t="s">
        <v>903</v>
      </c>
      <c r="D26" s="93" t="s">
        <v>14</v>
      </c>
      <c r="E26" s="92" t="s">
        <v>10</v>
      </c>
      <c r="F26" s="146">
        <v>1436.27</v>
      </c>
      <c r="G26" s="94">
        <v>0.1</v>
      </c>
      <c r="H26" s="95">
        <v>132.13</v>
      </c>
      <c r="I26" s="159"/>
      <c r="J26" s="108"/>
      <c r="K26" s="109"/>
    </row>
    <row r="27" spans="1:11">
      <c r="A27" s="265">
        <v>43573</v>
      </c>
      <c r="B27" s="266">
        <v>43935</v>
      </c>
      <c r="C27" s="417" t="s">
        <v>904</v>
      </c>
      <c r="D27" s="268" t="s">
        <v>21</v>
      </c>
      <c r="E27" s="267" t="s">
        <v>22</v>
      </c>
      <c r="F27" s="269">
        <v>1192.3900000000001</v>
      </c>
      <c r="G27" s="270">
        <v>0.1</v>
      </c>
      <c r="H27" s="271">
        <v>109.69</v>
      </c>
      <c r="I27" s="272"/>
      <c r="J27" s="406"/>
      <c r="K27" s="407"/>
    </row>
    <row r="28" spans="1:11">
      <c r="A28" s="90">
        <v>43573</v>
      </c>
      <c r="B28" s="91">
        <v>43577</v>
      </c>
      <c r="C28" s="168" t="s">
        <v>905</v>
      </c>
      <c r="D28" s="93" t="s">
        <v>14</v>
      </c>
      <c r="E28" s="92" t="s">
        <v>22</v>
      </c>
      <c r="F28" s="146">
        <v>1188.04</v>
      </c>
      <c r="G28" s="94">
        <v>0.15</v>
      </c>
      <c r="H28" s="95">
        <v>163.94</v>
      </c>
      <c r="I28" s="159"/>
      <c r="J28" s="108"/>
      <c r="K28" s="109"/>
    </row>
    <row r="29" spans="1:11">
      <c r="A29" s="90">
        <v>43573</v>
      </c>
      <c r="B29" s="91">
        <v>43575</v>
      </c>
      <c r="C29" s="168" t="s">
        <v>906</v>
      </c>
      <c r="D29" s="93" t="s">
        <v>61</v>
      </c>
      <c r="E29" s="92" t="s">
        <v>143</v>
      </c>
      <c r="F29" s="146">
        <v>3326.9</v>
      </c>
      <c r="G29" s="94">
        <v>0.1</v>
      </c>
      <c r="H29" s="95">
        <v>306.07</v>
      </c>
      <c r="I29" s="159"/>
      <c r="J29" s="108"/>
      <c r="K29" s="109"/>
    </row>
    <row r="30" spans="1:11">
      <c r="A30" s="90">
        <v>43573</v>
      </c>
      <c r="B30" s="91">
        <v>43574</v>
      </c>
      <c r="C30" s="168" t="s">
        <v>907</v>
      </c>
      <c r="D30" s="93" t="s">
        <v>21</v>
      </c>
      <c r="E30" s="92" t="s">
        <v>362</v>
      </c>
      <c r="F30" s="146">
        <v>1108.76</v>
      </c>
      <c r="G30" s="94">
        <v>0.25</v>
      </c>
      <c r="H30" s="95">
        <v>255.01</v>
      </c>
      <c r="I30" s="159"/>
      <c r="J30" s="108"/>
      <c r="K30" s="109"/>
    </row>
    <row r="31" spans="1:11">
      <c r="A31" s="90">
        <v>43577</v>
      </c>
      <c r="B31" s="91">
        <v>43575</v>
      </c>
      <c r="C31" s="168" t="s">
        <v>908</v>
      </c>
      <c r="D31" s="93" t="s">
        <v>14</v>
      </c>
      <c r="E31" s="92" t="s">
        <v>15</v>
      </c>
      <c r="F31" s="146">
        <v>4806.1899999999996</v>
      </c>
      <c r="G31" s="94">
        <v>0.1</v>
      </c>
      <c r="H31" s="95">
        <v>442.16</v>
      </c>
      <c r="I31" s="159"/>
      <c r="J31" s="108"/>
      <c r="K31" s="109"/>
    </row>
    <row r="32" spans="1:11">
      <c r="A32" s="90">
        <v>43578</v>
      </c>
      <c r="B32" s="91">
        <v>43940</v>
      </c>
      <c r="C32" s="168" t="s">
        <v>409</v>
      </c>
      <c r="D32" s="93" t="s">
        <v>21</v>
      </c>
      <c r="E32" s="92" t="s">
        <v>22</v>
      </c>
      <c r="F32" s="146">
        <v>5179.63</v>
      </c>
      <c r="G32" s="94">
        <v>0.1</v>
      </c>
      <c r="H32" s="95">
        <v>476.52</v>
      </c>
      <c r="I32" s="159"/>
      <c r="J32" s="108"/>
      <c r="K32" s="109"/>
    </row>
    <row r="33" spans="1:11">
      <c r="A33" s="90">
        <v>43578</v>
      </c>
      <c r="B33" s="91">
        <v>43945</v>
      </c>
      <c r="C33" s="168" t="s">
        <v>909</v>
      </c>
      <c r="D33" s="93" t="s">
        <v>61</v>
      </c>
      <c r="E33" s="92" t="s">
        <v>19</v>
      </c>
      <c r="F33" s="146">
        <v>1852.92</v>
      </c>
      <c r="G33" s="94">
        <v>0.16</v>
      </c>
      <c r="H33" s="95">
        <v>272.75</v>
      </c>
      <c r="I33" s="159"/>
      <c r="J33" s="108"/>
      <c r="K33" s="109"/>
    </row>
    <row r="34" spans="1:11">
      <c r="A34" s="90">
        <v>43581</v>
      </c>
      <c r="B34" s="91">
        <v>43947</v>
      </c>
      <c r="C34" s="168" t="s">
        <v>910</v>
      </c>
      <c r="D34" s="93" t="s">
        <v>209</v>
      </c>
      <c r="E34" s="92" t="s">
        <v>10</v>
      </c>
      <c r="F34" s="146">
        <v>1249.94</v>
      </c>
      <c r="G34" s="94">
        <v>0.2</v>
      </c>
      <c r="H34" s="95">
        <v>229.88</v>
      </c>
      <c r="I34" s="159"/>
      <c r="J34" s="108"/>
      <c r="K34" s="109"/>
    </row>
    <row r="35" spans="1:11">
      <c r="A35" s="90">
        <v>43581</v>
      </c>
      <c r="B35" s="91">
        <v>43951</v>
      </c>
      <c r="C35" s="168" t="s">
        <v>537</v>
      </c>
      <c r="D35" s="93" t="s">
        <v>322</v>
      </c>
      <c r="E35" s="92" t="s">
        <v>22</v>
      </c>
      <c r="F35" s="146">
        <v>2319.9499999999998</v>
      </c>
      <c r="G35" s="94">
        <v>0.23</v>
      </c>
      <c r="H35" s="95">
        <v>490.9</v>
      </c>
      <c r="I35" s="159"/>
      <c r="J35" s="108"/>
      <c r="K35" s="109"/>
    </row>
    <row r="36" spans="1:11">
      <c r="A36" s="90">
        <v>43584</v>
      </c>
      <c r="B36" s="91">
        <v>43949</v>
      </c>
      <c r="C36" s="168" t="s">
        <v>687</v>
      </c>
      <c r="D36" s="93" t="s">
        <v>14</v>
      </c>
      <c r="E36" s="92" t="s">
        <v>10</v>
      </c>
      <c r="F36" s="146">
        <v>1862.7</v>
      </c>
      <c r="G36" s="94">
        <v>0.18</v>
      </c>
      <c r="H36" s="95">
        <v>308.45999999999998</v>
      </c>
      <c r="I36" s="159"/>
      <c r="J36" s="108"/>
      <c r="K36" s="109"/>
    </row>
    <row r="37" spans="1:11">
      <c r="A37" s="90">
        <v>43584</v>
      </c>
      <c r="B37" s="91">
        <v>43950</v>
      </c>
      <c r="C37" s="168" t="s">
        <v>583</v>
      </c>
      <c r="D37" s="93" t="s">
        <v>14</v>
      </c>
      <c r="E37" s="92" t="s">
        <v>10</v>
      </c>
      <c r="F37" s="146">
        <v>1803.46</v>
      </c>
      <c r="G37" s="94">
        <v>0.18</v>
      </c>
      <c r="H37" s="95">
        <v>298.64999999999998</v>
      </c>
      <c r="I37" s="159"/>
      <c r="J37" s="108"/>
      <c r="K37" s="109"/>
    </row>
    <row r="38" spans="1:11">
      <c r="A38" s="90">
        <v>43585</v>
      </c>
      <c r="B38" s="91">
        <v>43951</v>
      </c>
      <c r="C38" s="168" t="s">
        <v>539</v>
      </c>
      <c r="D38" s="93" t="s">
        <v>14</v>
      </c>
      <c r="E38" s="92" t="s">
        <v>22</v>
      </c>
      <c r="F38" s="146">
        <v>955.72</v>
      </c>
      <c r="G38" s="94">
        <v>0.23</v>
      </c>
      <c r="H38" s="95">
        <v>202.23</v>
      </c>
      <c r="I38" s="159"/>
      <c r="J38" s="108"/>
      <c r="K38" s="109"/>
    </row>
    <row r="39" spans="1:11">
      <c r="A39" s="90">
        <v>43559</v>
      </c>
      <c r="B39" s="91">
        <v>43949</v>
      </c>
      <c r="C39" s="168" t="s">
        <v>911</v>
      </c>
      <c r="D39" s="93" t="s">
        <v>9</v>
      </c>
      <c r="E39" s="92" t="s">
        <v>10</v>
      </c>
      <c r="F39" s="146">
        <v>1630.39</v>
      </c>
      <c r="G39" s="94">
        <v>0.1</v>
      </c>
      <c r="H39" s="95">
        <v>174.99</v>
      </c>
      <c r="I39" s="159">
        <v>74.989999999999995</v>
      </c>
      <c r="J39" s="108" t="s">
        <v>491</v>
      </c>
      <c r="K39" s="109"/>
    </row>
    <row r="40" spans="1:11">
      <c r="A40" s="90"/>
      <c r="B40" s="91"/>
      <c r="C40" s="92"/>
      <c r="D40" s="93"/>
      <c r="E40" s="92"/>
      <c r="F40" s="146"/>
      <c r="G40" s="94"/>
      <c r="H40" s="95"/>
      <c r="I40" s="159"/>
      <c r="J40" s="108"/>
      <c r="K40" s="109"/>
    </row>
    <row r="41" spans="1:11">
      <c r="A41" s="90"/>
      <c r="B41" s="91"/>
      <c r="C41" s="92"/>
      <c r="D41" s="93"/>
      <c r="E41" s="92"/>
      <c r="F41" s="146"/>
      <c r="G41" s="94"/>
      <c r="H41" s="95"/>
      <c r="I41" s="159"/>
      <c r="J41" s="108"/>
      <c r="K41" s="109"/>
    </row>
    <row r="42" spans="1:11">
      <c r="A42" s="90"/>
      <c r="B42" s="91"/>
      <c r="C42" s="92"/>
      <c r="D42" s="93"/>
      <c r="E42" s="92"/>
      <c r="F42" s="146"/>
      <c r="G42" s="94"/>
      <c r="H42" s="95"/>
      <c r="I42" s="159"/>
      <c r="J42" s="108"/>
      <c r="K42" s="109"/>
    </row>
    <row r="43" spans="1:11">
      <c r="A43" s="90"/>
      <c r="B43" s="91"/>
      <c r="C43" s="92" t="s">
        <v>912</v>
      </c>
      <c r="D43" s="93"/>
      <c r="E43" s="92"/>
      <c r="F43" s="146"/>
      <c r="G43" s="94"/>
      <c r="H43" s="95"/>
      <c r="I43" s="159"/>
      <c r="J43" s="108"/>
      <c r="K43" s="109"/>
    </row>
    <row r="44" spans="1:11" ht="19.5">
      <c r="A44" s="673"/>
      <c r="B44" s="674"/>
      <c r="C44" s="674"/>
      <c r="D44" s="674"/>
      <c r="E44" s="674"/>
      <c r="F44" s="147">
        <f>SUM(F2:F43)</f>
        <v>68916.92</v>
      </c>
      <c r="G44" s="143"/>
      <c r="H44" s="129">
        <f>SUM(H2:H43)</f>
        <v>8555.2999999999975</v>
      </c>
      <c r="I44" s="107">
        <f>SUM(I2:I43)</f>
        <v>348.18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40"/>
  <sheetViews>
    <sheetView topLeftCell="A19" workbookViewId="0"/>
  </sheetViews>
  <sheetFormatPr defaultRowHeight="15"/>
  <cols>
    <col min="3" max="3" width="57.5703125" bestFit="1" customWidth="1"/>
  </cols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39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216">
        <v>43582</v>
      </c>
      <c r="B2" s="225">
        <v>43956</v>
      </c>
      <c r="C2" s="172" t="s">
        <v>913</v>
      </c>
      <c r="D2" s="218" t="s">
        <v>14</v>
      </c>
      <c r="E2" s="217" t="s">
        <v>19</v>
      </c>
      <c r="F2" s="219">
        <v>1030.02</v>
      </c>
      <c r="G2" s="220">
        <v>0.18</v>
      </c>
      <c r="H2" s="214">
        <v>170.57</v>
      </c>
      <c r="I2" s="215"/>
      <c r="J2" s="223"/>
      <c r="K2" s="224"/>
    </row>
    <row r="3" spans="1:11">
      <c r="A3" s="216">
        <v>43586</v>
      </c>
      <c r="B3" s="221">
        <v>43953</v>
      </c>
      <c r="C3" s="172" t="s">
        <v>11</v>
      </c>
      <c r="D3" s="218" t="s">
        <v>14</v>
      </c>
      <c r="E3" s="217" t="s">
        <v>10</v>
      </c>
      <c r="F3" s="219">
        <v>1198.77</v>
      </c>
      <c r="G3" s="220">
        <v>0.2</v>
      </c>
      <c r="H3" s="214">
        <v>220.57</v>
      </c>
      <c r="I3" s="215"/>
      <c r="J3" s="223"/>
      <c r="K3" s="224"/>
    </row>
    <row r="4" spans="1:11">
      <c r="A4" s="207">
        <v>43588</v>
      </c>
      <c r="B4" s="208">
        <v>43955</v>
      </c>
      <c r="C4" s="168" t="s">
        <v>540</v>
      </c>
      <c r="D4" s="209" t="s">
        <v>61</v>
      </c>
      <c r="E4" s="169" t="s">
        <v>438</v>
      </c>
      <c r="F4" s="210">
        <v>992.94</v>
      </c>
      <c r="G4" s="211">
        <v>0.25</v>
      </c>
      <c r="H4" s="212">
        <v>228.37</v>
      </c>
      <c r="I4" s="213"/>
      <c r="J4" s="223"/>
      <c r="K4" s="224"/>
    </row>
    <row r="5" spans="1:11">
      <c r="A5" s="207">
        <v>43589</v>
      </c>
      <c r="B5" s="208">
        <v>43955</v>
      </c>
      <c r="C5" s="168" t="s">
        <v>914</v>
      </c>
      <c r="D5" s="209" t="s">
        <v>14</v>
      </c>
      <c r="E5" s="169" t="s">
        <v>29</v>
      </c>
      <c r="F5" s="210">
        <v>1433.58</v>
      </c>
      <c r="G5" s="211">
        <v>0.15</v>
      </c>
      <c r="H5" s="212">
        <v>197.83</v>
      </c>
      <c r="I5" s="213"/>
      <c r="J5" s="223"/>
      <c r="K5" s="224"/>
    </row>
    <row r="6" spans="1:11">
      <c r="A6" s="207">
        <v>43591</v>
      </c>
      <c r="B6" s="208">
        <v>43955</v>
      </c>
      <c r="C6" s="168" t="s">
        <v>915</v>
      </c>
      <c r="D6" s="209" t="s">
        <v>14</v>
      </c>
      <c r="E6" s="169" t="s">
        <v>10</v>
      </c>
      <c r="F6" s="210">
        <v>2094.9899999999998</v>
      </c>
      <c r="G6" s="222">
        <v>0.1</v>
      </c>
      <c r="H6" s="212">
        <v>252.73</v>
      </c>
      <c r="I6" s="213"/>
      <c r="J6" s="223"/>
      <c r="K6" s="224"/>
    </row>
    <row r="7" spans="1:11">
      <c r="A7" s="90">
        <v>43591</v>
      </c>
      <c r="B7" s="91">
        <v>43957</v>
      </c>
      <c r="C7" s="168" t="s">
        <v>705</v>
      </c>
      <c r="D7" s="93" t="s">
        <v>9</v>
      </c>
      <c r="E7" s="92" t="s">
        <v>22</v>
      </c>
      <c r="F7" s="146">
        <v>1195.69</v>
      </c>
      <c r="G7" s="94">
        <v>0.1</v>
      </c>
      <c r="H7" s="95">
        <v>110</v>
      </c>
      <c r="I7" s="159"/>
      <c r="J7" s="108"/>
      <c r="K7" s="109"/>
    </row>
    <row r="8" spans="1:11">
      <c r="A8" s="246">
        <v>43592</v>
      </c>
      <c r="B8" s="247">
        <v>43962</v>
      </c>
      <c r="C8" s="413" t="s">
        <v>916</v>
      </c>
      <c r="D8" s="249" t="s">
        <v>61</v>
      </c>
      <c r="E8" s="248" t="s">
        <v>90</v>
      </c>
      <c r="F8" s="250">
        <v>1302.5999999999999</v>
      </c>
      <c r="G8" s="251">
        <v>0.1</v>
      </c>
      <c r="H8" s="252">
        <v>119.89</v>
      </c>
      <c r="I8" s="253"/>
      <c r="J8" s="273"/>
      <c r="K8" s="274"/>
    </row>
    <row r="9" spans="1:11">
      <c r="A9" s="207">
        <v>43592</v>
      </c>
      <c r="B9" s="208">
        <v>43958</v>
      </c>
      <c r="C9" s="168" t="s">
        <v>674</v>
      </c>
      <c r="D9" s="209" t="s">
        <v>448</v>
      </c>
      <c r="E9" s="169" t="s">
        <v>19</v>
      </c>
      <c r="F9" s="210">
        <v>1069.01</v>
      </c>
      <c r="G9" s="211">
        <v>0.1</v>
      </c>
      <c r="H9" s="212">
        <v>98.34</v>
      </c>
      <c r="I9" s="213"/>
      <c r="J9" s="223"/>
      <c r="K9" s="224"/>
    </row>
    <row r="10" spans="1:11">
      <c r="A10" s="207">
        <v>43592</v>
      </c>
      <c r="B10" s="208">
        <v>43960</v>
      </c>
      <c r="C10" s="168" t="s">
        <v>20</v>
      </c>
      <c r="D10" s="209" t="s">
        <v>14</v>
      </c>
      <c r="E10" s="169" t="s">
        <v>10</v>
      </c>
      <c r="F10" s="210">
        <v>995.42</v>
      </c>
      <c r="G10" s="211">
        <v>0.21</v>
      </c>
      <c r="H10" s="212">
        <v>192.31</v>
      </c>
      <c r="I10" s="213"/>
      <c r="J10" s="223"/>
      <c r="K10" s="224"/>
    </row>
    <row r="11" spans="1:11">
      <c r="A11" s="90">
        <v>43591</v>
      </c>
      <c r="B11" s="91">
        <v>43957</v>
      </c>
      <c r="C11" s="168" t="s">
        <v>352</v>
      </c>
      <c r="D11" s="93" t="s">
        <v>61</v>
      </c>
      <c r="E11" s="92" t="s">
        <v>19</v>
      </c>
      <c r="F11" s="146">
        <v>3421.94</v>
      </c>
      <c r="G11" s="94">
        <v>0.1</v>
      </c>
      <c r="H11" s="95">
        <v>314.81</v>
      </c>
      <c r="I11" s="159"/>
      <c r="J11" s="108"/>
      <c r="K11" s="109"/>
    </row>
    <row r="12" spans="1:11">
      <c r="A12" s="90">
        <v>43593</v>
      </c>
      <c r="B12" s="91">
        <v>43958</v>
      </c>
      <c r="C12" s="353" t="s">
        <v>258</v>
      </c>
      <c r="D12" s="93" t="s">
        <v>14</v>
      </c>
      <c r="E12" s="92" t="s">
        <v>10</v>
      </c>
      <c r="F12" s="146">
        <v>1994.29</v>
      </c>
      <c r="G12" s="94">
        <v>0.15</v>
      </c>
      <c r="H12" s="95">
        <v>284.18</v>
      </c>
      <c r="I12" s="159"/>
      <c r="J12" s="108"/>
      <c r="K12" s="109"/>
    </row>
    <row r="13" spans="1:11">
      <c r="A13" s="90">
        <v>43595</v>
      </c>
      <c r="B13" s="91">
        <v>43961</v>
      </c>
      <c r="C13" s="168" t="s">
        <v>708</v>
      </c>
      <c r="D13" s="93" t="s">
        <v>21</v>
      </c>
      <c r="E13" s="92" t="s">
        <v>22</v>
      </c>
      <c r="F13" s="146">
        <v>1384.23</v>
      </c>
      <c r="G13" s="94">
        <v>0.1</v>
      </c>
      <c r="H13" s="95">
        <v>126.98</v>
      </c>
      <c r="I13" s="159"/>
      <c r="J13" s="108"/>
      <c r="K13" s="109"/>
    </row>
    <row r="14" spans="1:11">
      <c r="A14" s="90">
        <v>43595</v>
      </c>
      <c r="B14" s="91">
        <v>43961</v>
      </c>
      <c r="C14" s="387" t="s">
        <v>709</v>
      </c>
      <c r="D14" s="93" t="s">
        <v>14</v>
      </c>
      <c r="E14" s="92" t="s">
        <v>10</v>
      </c>
      <c r="F14" s="146">
        <v>2592.04</v>
      </c>
      <c r="G14" s="94">
        <v>0.1</v>
      </c>
      <c r="H14" s="95">
        <v>238.46</v>
      </c>
      <c r="I14" s="159"/>
      <c r="J14" s="108"/>
      <c r="K14" s="109"/>
    </row>
    <row r="15" spans="1:11">
      <c r="A15" s="90">
        <v>43598</v>
      </c>
      <c r="B15" s="91">
        <v>43960</v>
      </c>
      <c r="C15" s="358" t="s">
        <v>710</v>
      </c>
      <c r="D15" s="93" t="s">
        <v>21</v>
      </c>
      <c r="E15" s="92" t="s">
        <v>22</v>
      </c>
      <c r="F15" s="146">
        <v>1264.3800000000001</v>
      </c>
      <c r="G15" s="94">
        <v>0.1</v>
      </c>
      <c r="H15" s="95">
        <v>116.32</v>
      </c>
      <c r="I15" s="159"/>
      <c r="J15" s="108"/>
      <c r="K15" s="109"/>
    </row>
    <row r="16" spans="1:11">
      <c r="A16" s="90">
        <v>43598</v>
      </c>
      <c r="B16" s="91">
        <v>43964</v>
      </c>
      <c r="C16" s="168" t="s">
        <v>27</v>
      </c>
      <c r="D16" s="93" t="s">
        <v>14</v>
      </c>
      <c r="E16" s="92" t="s">
        <v>10</v>
      </c>
      <c r="F16" s="146">
        <v>1160.95</v>
      </c>
      <c r="G16" s="94">
        <v>0.1</v>
      </c>
      <c r="H16" s="95">
        <v>106.8</v>
      </c>
      <c r="I16" s="159"/>
      <c r="J16" s="108"/>
      <c r="K16" s="109"/>
    </row>
    <row r="17" spans="1:11">
      <c r="A17" s="90">
        <v>43599</v>
      </c>
      <c r="B17" s="91">
        <v>43965</v>
      </c>
      <c r="C17" s="168" t="s">
        <v>293</v>
      </c>
      <c r="D17" s="93" t="s">
        <v>25</v>
      </c>
      <c r="E17" s="92" t="s">
        <v>22</v>
      </c>
      <c r="F17" s="146">
        <v>1564.49</v>
      </c>
      <c r="G17" s="94">
        <v>0.2</v>
      </c>
      <c r="H17" s="95">
        <v>287.86</v>
      </c>
      <c r="I17" s="159"/>
      <c r="J17" s="108"/>
      <c r="K17" s="109"/>
    </row>
    <row r="18" spans="1:11">
      <c r="A18" s="90">
        <v>43600</v>
      </c>
      <c r="B18" s="91">
        <v>43966</v>
      </c>
      <c r="C18" s="101" t="s">
        <v>917</v>
      </c>
      <c r="D18" s="93" t="s">
        <v>533</v>
      </c>
      <c r="E18" s="92" t="s">
        <v>19</v>
      </c>
      <c r="F18" s="146">
        <v>2602.94</v>
      </c>
      <c r="G18" s="94">
        <v>0.1</v>
      </c>
      <c r="H18" s="95">
        <v>239.47</v>
      </c>
      <c r="I18" s="159"/>
      <c r="J18" s="108"/>
      <c r="K18" s="109"/>
    </row>
    <row r="19" spans="1:11">
      <c r="A19" s="90">
        <v>43600</v>
      </c>
      <c r="B19" s="91">
        <v>43966</v>
      </c>
      <c r="C19" s="172" t="s">
        <v>115</v>
      </c>
      <c r="D19" s="93" t="s">
        <v>9</v>
      </c>
      <c r="E19" s="92" t="s">
        <v>10</v>
      </c>
      <c r="F19" s="146">
        <v>1706.02</v>
      </c>
      <c r="G19" s="94">
        <v>0.1</v>
      </c>
      <c r="H19" s="95">
        <v>156.94999999999999</v>
      </c>
      <c r="I19" s="159"/>
      <c r="J19" s="108"/>
      <c r="K19" s="109"/>
    </row>
    <row r="20" spans="1:11">
      <c r="A20" s="207">
        <v>43601</v>
      </c>
      <c r="B20" s="208">
        <v>43967</v>
      </c>
      <c r="C20" s="353" t="s">
        <v>918</v>
      </c>
      <c r="D20" s="209" t="s">
        <v>9</v>
      </c>
      <c r="E20" s="169" t="s">
        <v>19</v>
      </c>
      <c r="F20" s="210">
        <v>2108.91</v>
      </c>
      <c r="G20" s="211">
        <v>0.14000000000000001</v>
      </c>
      <c r="H20" s="212">
        <v>271.62</v>
      </c>
      <c r="I20" s="213"/>
      <c r="J20" s="223"/>
      <c r="K20" s="224"/>
    </row>
    <row r="21" spans="1:11">
      <c r="A21" s="90">
        <v>43602</v>
      </c>
      <c r="B21" s="91">
        <v>43974</v>
      </c>
      <c r="C21" s="358" t="s">
        <v>36</v>
      </c>
      <c r="D21" s="93" t="s">
        <v>61</v>
      </c>
      <c r="E21" s="92" t="s">
        <v>10</v>
      </c>
      <c r="F21" s="146">
        <v>1172.54</v>
      </c>
      <c r="G21" s="94">
        <v>0.15</v>
      </c>
      <c r="H21" s="95">
        <v>161.81</v>
      </c>
      <c r="I21" s="159"/>
      <c r="J21" s="108"/>
      <c r="K21" s="109"/>
    </row>
    <row r="22" spans="1:11">
      <c r="A22" s="90">
        <v>43602</v>
      </c>
      <c r="B22" s="91">
        <v>43970</v>
      </c>
      <c r="C22" s="168" t="s">
        <v>919</v>
      </c>
      <c r="D22" s="93" t="s">
        <v>9</v>
      </c>
      <c r="E22" s="92" t="s">
        <v>10</v>
      </c>
      <c r="F22" s="146">
        <v>1957.41</v>
      </c>
      <c r="G22" s="94">
        <v>0.1</v>
      </c>
      <c r="H22" s="95">
        <v>180.08</v>
      </c>
      <c r="I22" s="159"/>
      <c r="J22" s="108"/>
      <c r="K22" s="109"/>
    </row>
    <row r="23" spans="1:11">
      <c r="A23" s="90">
        <v>43605</v>
      </c>
      <c r="B23" s="91">
        <v>43968</v>
      </c>
      <c r="C23" s="168" t="s">
        <v>920</v>
      </c>
      <c r="D23" s="93" t="s">
        <v>14</v>
      </c>
      <c r="E23" s="92" t="s">
        <v>10</v>
      </c>
      <c r="F23" s="146">
        <v>2697.46</v>
      </c>
      <c r="G23" s="94">
        <v>0.1</v>
      </c>
      <c r="H23" s="95">
        <v>248.16</v>
      </c>
      <c r="I23" s="159"/>
      <c r="J23" s="108"/>
      <c r="K23" s="109"/>
    </row>
    <row r="24" spans="1:11">
      <c r="A24" s="90">
        <v>43605</v>
      </c>
      <c r="B24" s="91">
        <v>43967</v>
      </c>
      <c r="C24" s="168" t="s">
        <v>295</v>
      </c>
      <c r="D24" s="93" t="s">
        <v>61</v>
      </c>
      <c r="E24" s="92" t="s">
        <v>10</v>
      </c>
      <c r="F24" s="146">
        <v>1652.48</v>
      </c>
      <c r="G24" s="94">
        <v>0.14000000000000001</v>
      </c>
      <c r="H24" s="95">
        <v>212.83</v>
      </c>
      <c r="I24" s="159"/>
      <c r="J24" s="108"/>
      <c r="K24" s="109"/>
    </row>
    <row r="25" spans="1:11">
      <c r="A25" s="207">
        <v>43605</v>
      </c>
      <c r="B25" s="208">
        <v>43972</v>
      </c>
      <c r="C25" s="168" t="s">
        <v>295</v>
      </c>
      <c r="D25" s="209" t="s">
        <v>61</v>
      </c>
      <c r="E25" s="169" t="s">
        <v>75</v>
      </c>
      <c r="F25" s="210">
        <v>1399.85</v>
      </c>
      <c r="G25" s="211">
        <v>0.1</v>
      </c>
      <c r="H25" s="212">
        <v>128.78</v>
      </c>
      <c r="I25" s="213"/>
      <c r="J25" s="223"/>
      <c r="K25" s="224"/>
    </row>
    <row r="26" spans="1:11">
      <c r="A26" s="90">
        <v>43609</v>
      </c>
      <c r="B26" s="91">
        <v>43975</v>
      </c>
      <c r="C26" s="168" t="s">
        <v>408</v>
      </c>
      <c r="D26" s="93" t="s">
        <v>9</v>
      </c>
      <c r="E26" s="92" t="s">
        <v>10</v>
      </c>
      <c r="F26" s="146">
        <v>1044.71</v>
      </c>
      <c r="G26" s="94">
        <v>0.13</v>
      </c>
      <c r="H26" s="95">
        <v>124.94</v>
      </c>
      <c r="I26" s="159"/>
      <c r="J26" s="108"/>
      <c r="K26" s="109"/>
    </row>
    <row r="27" spans="1:11">
      <c r="A27" s="265">
        <v>43606</v>
      </c>
      <c r="B27" s="266">
        <v>43976</v>
      </c>
      <c r="C27" s="417" t="s">
        <v>921</v>
      </c>
      <c r="D27" s="268" t="s">
        <v>9</v>
      </c>
      <c r="E27" s="267" t="s">
        <v>10</v>
      </c>
      <c r="F27" s="269">
        <v>1311.16</v>
      </c>
      <c r="G27" s="270">
        <v>0.17</v>
      </c>
      <c r="H27" s="271">
        <v>205.06</v>
      </c>
      <c r="I27" s="272"/>
      <c r="J27" s="406"/>
      <c r="K27" s="407"/>
    </row>
    <row r="28" spans="1:11">
      <c r="A28" s="238">
        <v>43607</v>
      </c>
      <c r="B28" s="239">
        <v>43973</v>
      </c>
      <c r="C28" s="412" t="s">
        <v>922</v>
      </c>
      <c r="D28" s="241" t="s">
        <v>14</v>
      </c>
      <c r="E28" s="240" t="s">
        <v>75</v>
      </c>
      <c r="F28" s="242">
        <v>3134.62</v>
      </c>
      <c r="G28" s="243">
        <v>0.2</v>
      </c>
      <c r="H28" s="244">
        <v>576.77</v>
      </c>
      <c r="I28" s="245"/>
      <c r="J28" s="263"/>
      <c r="K28" s="264"/>
    </row>
    <row r="29" spans="1:11">
      <c r="A29" s="90">
        <v>43612</v>
      </c>
      <c r="B29" s="91">
        <v>43981</v>
      </c>
      <c r="C29" s="168" t="s">
        <v>554</v>
      </c>
      <c r="D29" s="93" t="s">
        <v>61</v>
      </c>
      <c r="E29" s="92" t="s">
        <v>10</v>
      </c>
      <c r="F29" s="146">
        <v>2631.47</v>
      </c>
      <c r="G29" s="94">
        <v>0.15</v>
      </c>
      <c r="H29" s="95">
        <v>363.14</v>
      </c>
      <c r="I29" s="159"/>
      <c r="J29" s="108"/>
      <c r="K29" s="109"/>
    </row>
    <row r="30" spans="1:11">
      <c r="A30" s="90">
        <v>43612</v>
      </c>
      <c r="B30" s="91">
        <v>43971</v>
      </c>
      <c r="C30" s="168" t="s">
        <v>923</v>
      </c>
      <c r="D30" s="93" t="s">
        <v>61</v>
      </c>
      <c r="E30" s="92" t="s">
        <v>29</v>
      </c>
      <c r="F30" s="146">
        <v>1549.57</v>
      </c>
      <c r="G30" s="94">
        <v>0.1</v>
      </c>
      <c r="H30" s="95">
        <v>142.46</v>
      </c>
      <c r="I30" s="159">
        <v>71.23</v>
      </c>
      <c r="J30" s="108" t="s">
        <v>924</v>
      </c>
      <c r="K30" s="109"/>
    </row>
    <row r="31" spans="1:11">
      <c r="A31" s="90">
        <v>43613</v>
      </c>
      <c r="B31" s="91">
        <v>43614</v>
      </c>
      <c r="C31" s="101" t="s">
        <v>925</v>
      </c>
      <c r="D31" s="93" t="s">
        <v>61</v>
      </c>
      <c r="E31" s="92" t="s">
        <v>10</v>
      </c>
      <c r="F31" s="146">
        <v>1183.6300000000001</v>
      </c>
      <c r="G31" s="94">
        <v>0.23</v>
      </c>
      <c r="H31" s="95">
        <v>250.45</v>
      </c>
      <c r="I31" s="159"/>
      <c r="J31" s="108"/>
      <c r="K31" s="109"/>
    </row>
    <row r="32" spans="1:11">
      <c r="A32" s="90">
        <v>43613</v>
      </c>
      <c r="B32" s="91">
        <v>43614</v>
      </c>
      <c r="C32" s="168" t="s">
        <v>383</v>
      </c>
      <c r="D32" s="93" t="s">
        <v>14</v>
      </c>
      <c r="E32" s="92" t="s">
        <v>10</v>
      </c>
      <c r="F32" s="146">
        <v>1617.44</v>
      </c>
      <c r="G32" s="94">
        <v>0.2</v>
      </c>
      <c r="H32" s="95">
        <v>297.06</v>
      </c>
      <c r="I32" s="159"/>
      <c r="J32" s="108"/>
      <c r="K32" s="109"/>
    </row>
    <row r="33" spans="1:11">
      <c r="A33" s="90">
        <v>43616</v>
      </c>
      <c r="B33" s="91">
        <v>43616</v>
      </c>
      <c r="C33" s="101" t="s">
        <v>926</v>
      </c>
      <c r="D33" s="93" t="s">
        <v>14</v>
      </c>
      <c r="E33" s="92" t="s">
        <v>22</v>
      </c>
      <c r="F33" s="146">
        <v>3431.37</v>
      </c>
      <c r="G33" s="94">
        <v>0.1</v>
      </c>
      <c r="H33" s="95">
        <v>315.68</v>
      </c>
      <c r="I33" s="159"/>
      <c r="J33" s="108"/>
      <c r="K33" s="109"/>
    </row>
    <row r="34" spans="1:11">
      <c r="A34" s="90"/>
      <c r="B34" s="91"/>
      <c r="C34" s="92"/>
      <c r="D34" s="93"/>
      <c r="E34" s="92"/>
      <c r="F34" s="146"/>
      <c r="G34" s="94"/>
      <c r="H34" s="95"/>
      <c r="I34" s="159"/>
      <c r="J34" s="108"/>
      <c r="K34" s="109"/>
    </row>
    <row r="35" spans="1:11">
      <c r="A35" s="90"/>
      <c r="B35" s="91"/>
      <c r="C35" s="92"/>
      <c r="D35" s="93"/>
      <c r="E35" s="92"/>
      <c r="F35" s="146"/>
      <c r="G35" s="94"/>
      <c r="H35" s="95"/>
      <c r="I35" s="159"/>
      <c r="J35" s="108"/>
      <c r="K35" s="109"/>
    </row>
    <row r="36" spans="1:11">
      <c r="A36" s="90"/>
      <c r="B36" s="91"/>
      <c r="C36" s="92"/>
      <c r="D36" s="93"/>
      <c r="E36" s="92"/>
      <c r="F36" s="146"/>
      <c r="G36" s="94"/>
      <c r="H36" s="95"/>
      <c r="I36" s="159"/>
      <c r="J36" s="108"/>
      <c r="K36" s="109"/>
    </row>
    <row r="37" spans="1:11">
      <c r="A37" s="90"/>
      <c r="B37" s="91"/>
      <c r="C37" s="92"/>
      <c r="D37" s="93"/>
      <c r="E37" s="92"/>
      <c r="F37" s="146"/>
      <c r="G37" s="94"/>
      <c r="H37" s="95"/>
      <c r="I37" s="159"/>
      <c r="J37" s="108"/>
      <c r="K37" s="109"/>
    </row>
    <row r="38" spans="1:11">
      <c r="A38" s="90"/>
      <c r="B38" s="91"/>
      <c r="C38" s="92"/>
      <c r="D38" s="93"/>
      <c r="E38" s="92"/>
      <c r="F38" s="146"/>
      <c r="G38" s="94"/>
      <c r="H38" s="95"/>
      <c r="I38" s="159"/>
      <c r="J38" s="108"/>
      <c r="K38" s="109"/>
    </row>
    <row r="39" spans="1:11">
      <c r="A39" s="90"/>
      <c r="B39" s="91"/>
      <c r="C39" s="92" t="s">
        <v>927</v>
      </c>
      <c r="D39" s="93"/>
      <c r="E39" s="92"/>
      <c r="F39" s="146"/>
      <c r="G39" s="94"/>
      <c r="H39" s="95"/>
      <c r="I39" s="159"/>
      <c r="J39" s="108"/>
      <c r="K39" s="109"/>
    </row>
    <row r="40" spans="1:11" ht="19.5">
      <c r="A40" s="673"/>
      <c r="B40" s="674"/>
      <c r="C40" s="674"/>
      <c r="D40" s="674"/>
      <c r="E40" s="674"/>
      <c r="F40" s="147">
        <f>SUM(F2:F39)</f>
        <v>55896.920000000013</v>
      </c>
      <c r="G40" s="143"/>
      <c r="H40" s="129">
        <f>SUM(H2:H39)</f>
        <v>6941.2800000000007</v>
      </c>
      <c r="I40" s="107">
        <f>SUM(I2:I39)</f>
        <v>71.23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K42"/>
  <sheetViews>
    <sheetView topLeftCell="A13" workbookViewId="0"/>
  </sheetViews>
  <sheetFormatPr defaultRowHeight="15"/>
  <cols>
    <col min="3" max="3" width="51.85546875" bestFit="1" customWidth="1"/>
  </cols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216">
        <v>43613</v>
      </c>
      <c r="B2" s="225">
        <v>43983</v>
      </c>
      <c r="C2" s="172" t="s">
        <v>928</v>
      </c>
      <c r="D2" s="218" t="s">
        <v>14</v>
      </c>
      <c r="E2" s="217" t="s">
        <v>15</v>
      </c>
      <c r="F2" s="219">
        <v>853.94</v>
      </c>
      <c r="G2" s="220">
        <v>0.1</v>
      </c>
      <c r="H2" s="214">
        <v>78.52</v>
      </c>
      <c r="I2" s="215">
        <v>39.26</v>
      </c>
      <c r="J2" s="223" t="s">
        <v>929</v>
      </c>
      <c r="K2" s="224"/>
    </row>
    <row r="3" spans="1:11">
      <c r="A3" s="216">
        <v>43617</v>
      </c>
      <c r="B3" s="221">
        <v>43986</v>
      </c>
      <c r="C3" s="172" t="s">
        <v>41</v>
      </c>
      <c r="D3" s="218" t="s">
        <v>61</v>
      </c>
      <c r="E3" s="217" t="s">
        <v>10</v>
      </c>
      <c r="F3" s="219">
        <v>1296.26</v>
      </c>
      <c r="G3" s="220">
        <v>0.2</v>
      </c>
      <c r="H3" s="214">
        <v>238.51</v>
      </c>
      <c r="I3" s="215"/>
      <c r="J3" s="223"/>
      <c r="K3" s="224"/>
    </row>
    <row r="4" spans="1:11">
      <c r="A4" s="207">
        <v>43619</v>
      </c>
      <c r="B4" s="208">
        <v>43985</v>
      </c>
      <c r="C4" s="168" t="s">
        <v>930</v>
      </c>
      <c r="D4" s="209" t="s">
        <v>61</v>
      </c>
      <c r="E4" s="169" t="s">
        <v>19</v>
      </c>
      <c r="F4" s="210">
        <v>1672.25</v>
      </c>
      <c r="G4" s="211">
        <v>0.1</v>
      </c>
      <c r="H4" s="212">
        <v>153.84</v>
      </c>
      <c r="I4" s="213"/>
      <c r="J4" s="223"/>
      <c r="K4" s="224"/>
    </row>
    <row r="5" spans="1:11">
      <c r="A5" s="207">
        <v>43620</v>
      </c>
      <c r="B5" s="208">
        <v>43991</v>
      </c>
      <c r="C5" s="168" t="s">
        <v>410</v>
      </c>
      <c r="D5" s="209" t="s">
        <v>9</v>
      </c>
      <c r="E5" s="169" t="s">
        <v>362</v>
      </c>
      <c r="F5" s="210">
        <v>935.37</v>
      </c>
      <c r="G5" s="211">
        <v>0.25</v>
      </c>
      <c r="H5" s="212">
        <v>215.13</v>
      </c>
      <c r="I5" s="213"/>
      <c r="J5" s="223"/>
      <c r="K5" s="224"/>
    </row>
    <row r="6" spans="1:11">
      <c r="A6" s="207">
        <v>43620</v>
      </c>
      <c r="B6" s="208">
        <v>43991</v>
      </c>
      <c r="C6" s="414" t="s">
        <v>931</v>
      </c>
      <c r="D6" s="209" t="s">
        <v>448</v>
      </c>
      <c r="E6" s="169" t="s">
        <v>279</v>
      </c>
      <c r="F6" s="210">
        <v>1440.97</v>
      </c>
      <c r="G6" s="222">
        <v>0.1</v>
      </c>
      <c r="H6" s="212">
        <v>132.56</v>
      </c>
      <c r="I6" s="213"/>
      <c r="J6" s="223"/>
      <c r="K6" s="224"/>
    </row>
    <row r="7" spans="1:11">
      <c r="A7" s="90">
        <v>43621</v>
      </c>
      <c r="B7" s="91">
        <v>43998</v>
      </c>
      <c r="C7" s="168" t="s">
        <v>932</v>
      </c>
      <c r="D7" s="93" t="s">
        <v>14</v>
      </c>
      <c r="E7" s="92" t="s">
        <v>19</v>
      </c>
      <c r="F7" s="146">
        <v>2748.62</v>
      </c>
      <c r="G7" s="94">
        <v>0.1</v>
      </c>
      <c r="H7" s="95">
        <v>252.87</v>
      </c>
      <c r="I7" s="159"/>
      <c r="J7" s="108"/>
      <c r="K7" s="109"/>
    </row>
    <row r="8" spans="1:11">
      <c r="A8" s="90">
        <v>43621</v>
      </c>
      <c r="B8" s="91">
        <v>43987</v>
      </c>
      <c r="C8" s="168" t="s">
        <v>722</v>
      </c>
      <c r="D8" s="93" t="s">
        <v>9</v>
      </c>
      <c r="E8" s="92" t="s">
        <v>75</v>
      </c>
      <c r="F8" s="146">
        <v>1105.8</v>
      </c>
      <c r="G8" s="94">
        <v>0.1</v>
      </c>
      <c r="H8" s="95">
        <v>101.73</v>
      </c>
      <c r="I8" s="159"/>
      <c r="J8" s="108"/>
      <c r="K8" s="109"/>
    </row>
    <row r="9" spans="1:11">
      <c r="A9" s="255">
        <v>43620</v>
      </c>
      <c r="B9" s="256">
        <v>43987</v>
      </c>
      <c r="C9" s="414" t="s">
        <v>336</v>
      </c>
      <c r="D9" s="258" t="s">
        <v>9</v>
      </c>
      <c r="E9" s="257" t="s">
        <v>279</v>
      </c>
      <c r="F9" s="259">
        <v>2681.84</v>
      </c>
      <c r="G9" s="260">
        <v>0.1</v>
      </c>
      <c r="H9" s="261">
        <v>246.72</v>
      </c>
      <c r="I9" s="262"/>
      <c r="J9" s="307"/>
      <c r="K9" s="308"/>
    </row>
    <row r="10" spans="1:11">
      <c r="A10" s="255">
        <v>43622</v>
      </c>
      <c r="B10" s="256">
        <v>43635</v>
      </c>
      <c r="C10" s="257" t="s">
        <v>933</v>
      </c>
      <c r="D10" s="258" t="s">
        <v>14</v>
      </c>
      <c r="E10" s="257" t="s">
        <v>15</v>
      </c>
      <c r="F10" s="259">
        <v>1607.96</v>
      </c>
      <c r="G10" s="260">
        <v>0.18</v>
      </c>
      <c r="H10" s="261">
        <v>266.27</v>
      </c>
      <c r="I10" s="262"/>
      <c r="J10" s="307"/>
      <c r="K10" s="308"/>
    </row>
    <row r="11" spans="1:11">
      <c r="A11" s="90">
        <v>43622</v>
      </c>
      <c r="B11" s="91">
        <v>44000</v>
      </c>
      <c r="C11" s="168" t="s">
        <v>91</v>
      </c>
      <c r="D11" s="93" t="s">
        <v>61</v>
      </c>
      <c r="E11" s="92" t="s">
        <v>279</v>
      </c>
      <c r="F11" s="146">
        <v>699.77</v>
      </c>
      <c r="G11" s="94">
        <v>0.25</v>
      </c>
      <c r="H11" s="95">
        <v>160.94</v>
      </c>
      <c r="I11" s="159"/>
      <c r="J11" s="108"/>
      <c r="K11" s="109"/>
    </row>
    <row r="12" spans="1:11">
      <c r="A12" s="90">
        <v>43623</v>
      </c>
      <c r="B12" s="91">
        <v>43989</v>
      </c>
      <c r="C12" s="397" t="s">
        <v>934</v>
      </c>
      <c r="D12" s="93" t="s">
        <v>70</v>
      </c>
      <c r="E12" s="92" t="s">
        <v>279</v>
      </c>
      <c r="F12" s="146">
        <v>794.73</v>
      </c>
      <c r="G12" s="94">
        <v>0.2</v>
      </c>
      <c r="H12" s="95">
        <v>146.22999999999999</v>
      </c>
      <c r="I12" s="159"/>
      <c r="J12" s="108"/>
      <c r="K12" s="109"/>
    </row>
    <row r="13" spans="1:11">
      <c r="A13" s="90">
        <v>43635</v>
      </c>
      <c r="B13" s="91">
        <v>44001</v>
      </c>
      <c r="C13" s="168" t="s">
        <v>935</v>
      </c>
      <c r="D13" s="93" t="s">
        <v>448</v>
      </c>
      <c r="E13" s="92" t="s">
        <v>469</v>
      </c>
      <c r="F13" s="146">
        <v>737.28</v>
      </c>
      <c r="G13" s="309" t="s">
        <v>609</v>
      </c>
      <c r="H13" s="95">
        <v>150</v>
      </c>
      <c r="I13" s="159"/>
      <c r="J13" s="108"/>
      <c r="K13" s="109"/>
    </row>
    <row r="14" spans="1:11">
      <c r="A14" s="90">
        <v>43623</v>
      </c>
      <c r="B14" s="91">
        <v>43989</v>
      </c>
      <c r="C14" s="387" t="s">
        <v>936</v>
      </c>
      <c r="D14" s="93" t="s">
        <v>14</v>
      </c>
      <c r="E14" s="92" t="s">
        <v>15</v>
      </c>
      <c r="F14" s="146">
        <v>3150.17</v>
      </c>
      <c r="G14" s="94">
        <v>0.1</v>
      </c>
      <c r="H14" s="95">
        <v>289.81</v>
      </c>
      <c r="I14" s="159"/>
      <c r="J14" s="108"/>
      <c r="K14" s="109"/>
    </row>
    <row r="15" spans="1:11">
      <c r="A15" s="238">
        <v>43626</v>
      </c>
      <c r="B15" s="239">
        <v>43995</v>
      </c>
      <c r="C15" s="456" t="s">
        <v>937</v>
      </c>
      <c r="D15" s="241" t="s">
        <v>14</v>
      </c>
      <c r="E15" s="240" t="s">
        <v>362</v>
      </c>
      <c r="F15" s="242">
        <v>1548.92</v>
      </c>
      <c r="G15" s="243">
        <v>0.15</v>
      </c>
      <c r="H15" s="244">
        <v>213.75</v>
      </c>
      <c r="I15" s="245"/>
      <c r="J15" s="263"/>
      <c r="K15" s="264"/>
    </row>
    <row r="16" spans="1:11">
      <c r="A16" s="238">
        <v>43626</v>
      </c>
      <c r="B16" s="239">
        <v>43992</v>
      </c>
      <c r="C16" s="101" t="s">
        <v>938</v>
      </c>
      <c r="D16" s="241" t="s">
        <v>713</v>
      </c>
      <c r="E16" s="240" t="s">
        <v>19</v>
      </c>
      <c r="F16" s="242">
        <v>3213.57</v>
      </c>
      <c r="G16" s="243">
        <v>0.14000000000000001</v>
      </c>
      <c r="H16" s="244">
        <v>413.9</v>
      </c>
      <c r="I16" s="245"/>
      <c r="J16" s="263"/>
      <c r="K16" s="264"/>
    </row>
    <row r="17" spans="1:11">
      <c r="A17" s="90">
        <v>43994</v>
      </c>
      <c r="B17" s="91">
        <v>43996</v>
      </c>
      <c r="C17" s="168" t="s">
        <v>48</v>
      </c>
      <c r="D17" s="93" t="s">
        <v>25</v>
      </c>
      <c r="E17" s="92" t="s">
        <v>22</v>
      </c>
      <c r="F17" s="146">
        <v>1668.56</v>
      </c>
      <c r="G17" s="94">
        <v>0.15</v>
      </c>
      <c r="H17" s="95">
        <v>230.26</v>
      </c>
      <c r="I17" s="159"/>
      <c r="J17" s="108"/>
      <c r="K17" s="109"/>
    </row>
    <row r="18" spans="1:11">
      <c r="A18" s="90">
        <v>43630</v>
      </c>
      <c r="B18" s="91">
        <v>43997</v>
      </c>
      <c r="C18" s="172" t="s">
        <v>939</v>
      </c>
      <c r="D18" s="93" t="s">
        <v>14</v>
      </c>
      <c r="E18" s="92" t="s">
        <v>22</v>
      </c>
      <c r="F18" s="146">
        <v>1457.65</v>
      </c>
      <c r="G18" s="94">
        <v>0.2</v>
      </c>
      <c r="H18" s="95">
        <v>268.2</v>
      </c>
      <c r="I18" s="159"/>
      <c r="J18" s="108"/>
      <c r="K18" s="109"/>
    </row>
    <row r="19" spans="1:11">
      <c r="A19" s="90">
        <v>43633</v>
      </c>
      <c r="B19" s="91">
        <v>44004</v>
      </c>
      <c r="C19" s="353" t="s">
        <v>940</v>
      </c>
      <c r="D19" s="93" t="s">
        <v>61</v>
      </c>
      <c r="E19" s="92" t="s">
        <v>75</v>
      </c>
      <c r="F19" s="146">
        <v>805.42</v>
      </c>
      <c r="G19" s="94">
        <v>0.25</v>
      </c>
      <c r="H19" s="95">
        <v>185.24</v>
      </c>
      <c r="I19" s="159"/>
      <c r="J19" s="108"/>
      <c r="K19" s="109"/>
    </row>
    <row r="20" spans="1:11">
      <c r="A20" s="207">
        <v>43633</v>
      </c>
      <c r="B20" s="208">
        <v>44002</v>
      </c>
      <c r="C20" s="387" t="s">
        <v>941</v>
      </c>
      <c r="D20" s="209" t="s">
        <v>9</v>
      </c>
      <c r="E20" s="169" t="s">
        <v>10</v>
      </c>
      <c r="F20" s="210">
        <v>839</v>
      </c>
      <c r="G20" s="211">
        <v>0.19</v>
      </c>
      <c r="H20" s="212">
        <v>146.65</v>
      </c>
      <c r="I20" s="213"/>
      <c r="J20" s="223"/>
      <c r="K20" s="224"/>
    </row>
    <row r="21" spans="1:11">
      <c r="A21" s="90">
        <v>43635</v>
      </c>
      <c r="B21" s="91">
        <v>43998</v>
      </c>
      <c r="C21" s="509" t="s">
        <v>942</v>
      </c>
      <c r="D21" s="93" t="s">
        <v>9</v>
      </c>
      <c r="E21" s="92" t="s">
        <v>22</v>
      </c>
      <c r="F21" s="146">
        <v>968.41</v>
      </c>
      <c r="G21" s="94">
        <v>0.1</v>
      </c>
      <c r="H21" s="95">
        <v>89.09</v>
      </c>
      <c r="I21" s="159"/>
      <c r="J21" s="108"/>
      <c r="K21" s="109"/>
    </row>
    <row r="22" spans="1:11">
      <c r="A22" s="238">
        <v>43637</v>
      </c>
      <c r="B22" s="239">
        <v>44003</v>
      </c>
      <c r="C22" s="412" t="s">
        <v>943</v>
      </c>
      <c r="D22" s="93" t="s">
        <v>25</v>
      </c>
      <c r="E22" s="92" t="s">
        <v>29</v>
      </c>
      <c r="F22" s="146">
        <v>777.01</v>
      </c>
      <c r="G22" s="94">
        <v>0.1</v>
      </c>
      <c r="H22" s="95">
        <v>71.48</v>
      </c>
      <c r="I22" s="159"/>
      <c r="J22" s="108"/>
      <c r="K22" s="109"/>
    </row>
    <row r="23" spans="1:11">
      <c r="A23" s="90">
        <v>43637</v>
      </c>
      <c r="B23" s="91">
        <v>44007</v>
      </c>
      <c r="C23" s="168" t="s">
        <v>944</v>
      </c>
      <c r="D23" s="93" t="s">
        <v>448</v>
      </c>
      <c r="E23" s="92" t="s">
        <v>945</v>
      </c>
      <c r="F23" s="146">
        <v>1701.97</v>
      </c>
      <c r="G23" s="94">
        <v>0.1</v>
      </c>
      <c r="H23" s="95">
        <v>156.58000000000001</v>
      </c>
      <c r="I23" s="159"/>
      <c r="J23" s="108"/>
      <c r="K23" s="109"/>
    </row>
    <row r="24" spans="1:11">
      <c r="A24" s="90">
        <v>43637</v>
      </c>
      <c r="B24" s="91">
        <v>44005</v>
      </c>
      <c r="C24" s="168" t="s">
        <v>946</v>
      </c>
      <c r="D24" s="93" t="s">
        <v>448</v>
      </c>
      <c r="E24" s="92" t="s">
        <v>945</v>
      </c>
      <c r="F24" s="146">
        <v>3747.42</v>
      </c>
      <c r="G24" s="94">
        <v>0.1</v>
      </c>
      <c r="H24" s="95">
        <v>344.76</v>
      </c>
      <c r="I24" s="159"/>
      <c r="J24" s="108"/>
      <c r="K24" s="109"/>
    </row>
    <row r="25" spans="1:11">
      <c r="A25" s="255">
        <v>43637</v>
      </c>
      <c r="B25" s="256">
        <v>44004</v>
      </c>
      <c r="C25" s="412" t="s">
        <v>947</v>
      </c>
      <c r="D25" s="258" t="s">
        <v>14</v>
      </c>
      <c r="E25" s="257" t="s">
        <v>948</v>
      </c>
      <c r="F25" s="259">
        <v>2689.32</v>
      </c>
      <c r="G25" s="260">
        <v>0.1</v>
      </c>
      <c r="H25" s="261">
        <v>247.41</v>
      </c>
      <c r="I25" s="262"/>
      <c r="J25" s="307"/>
      <c r="K25" s="308"/>
    </row>
    <row r="26" spans="1:11">
      <c r="A26" s="90">
        <v>43637</v>
      </c>
      <c r="B26" s="91">
        <v>44003</v>
      </c>
      <c r="C26" s="168" t="s">
        <v>949</v>
      </c>
      <c r="D26" s="93" t="s">
        <v>14</v>
      </c>
      <c r="E26" s="92" t="s">
        <v>10</v>
      </c>
      <c r="F26" s="146">
        <v>2201.42</v>
      </c>
      <c r="G26" s="94">
        <v>0.1</v>
      </c>
      <c r="H26" s="95">
        <v>202.53</v>
      </c>
      <c r="I26" s="159"/>
      <c r="J26" s="108"/>
      <c r="K26" s="109"/>
    </row>
    <row r="27" spans="1:11">
      <c r="A27" s="265">
        <v>43641</v>
      </c>
      <c r="B27" s="266">
        <v>44007</v>
      </c>
      <c r="C27" s="417" t="s">
        <v>950</v>
      </c>
      <c r="D27" s="268" t="s">
        <v>9</v>
      </c>
      <c r="E27" s="267" t="s">
        <v>15</v>
      </c>
      <c r="F27" s="269">
        <v>2174.6799999999998</v>
      </c>
      <c r="G27" s="270">
        <v>0.1</v>
      </c>
      <c r="H27" s="271">
        <v>200.07</v>
      </c>
      <c r="I27" s="272"/>
      <c r="J27" s="406"/>
      <c r="K27" s="407"/>
    </row>
    <row r="28" spans="1:11">
      <c r="A28" s="90">
        <v>43643</v>
      </c>
      <c r="B28" s="91">
        <v>44009</v>
      </c>
      <c r="C28" s="168" t="s">
        <v>951</v>
      </c>
      <c r="D28" s="93" t="s">
        <v>9</v>
      </c>
      <c r="E28" s="92" t="s">
        <v>317</v>
      </c>
      <c r="F28" s="146">
        <v>2489.34</v>
      </c>
      <c r="G28" s="94">
        <v>0.1</v>
      </c>
      <c r="H28" s="95">
        <v>229.01</v>
      </c>
      <c r="I28" s="159"/>
      <c r="J28" s="108"/>
      <c r="K28" s="109"/>
    </row>
    <row r="29" spans="1:11">
      <c r="A29" s="90">
        <v>43644</v>
      </c>
      <c r="B29" s="91">
        <v>44011</v>
      </c>
      <c r="C29" s="168" t="s">
        <v>952</v>
      </c>
      <c r="D29" s="93" t="s">
        <v>14</v>
      </c>
      <c r="E29" s="92" t="s">
        <v>391</v>
      </c>
      <c r="F29" s="146">
        <v>1270.24</v>
      </c>
      <c r="G29" s="94">
        <v>0.25</v>
      </c>
      <c r="H29" s="95">
        <v>233.72</v>
      </c>
      <c r="I29" s="159"/>
      <c r="J29" s="108"/>
      <c r="K29" s="109"/>
    </row>
    <row r="30" spans="1:11">
      <c r="A30" s="90">
        <v>43644</v>
      </c>
      <c r="B30" s="91">
        <v>44011</v>
      </c>
      <c r="C30" s="168" t="s">
        <v>953</v>
      </c>
      <c r="D30" s="93" t="s">
        <v>61</v>
      </c>
      <c r="E30" s="92" t="s">
        <v>391</v>
      </c>
      <c r="F30" s="146">
        <v>1662.26</v>
      </c>
      <c r="G30" s="94">
        <v>0.2</v>
      </c>
      <c r="H30" s="95">
        <v>305.85000000000002</v>
      </c>
      <c r="I30" s="159"/>
      <c r="J30" s="108"/>
      <c r="K30" s="109"/>
    </row>
    <row r="31" spans="1:11">
      <c r="A31" s="90">
        <v>43644</v>
      </c>
      <c r="B31" s="91">
        <v>44011</v>
      </c>
      <c r="C31" s="92" t="s">
        <v>953</v>
      </c>
      <c r="D31" s="93" t="s">
        <v>14</v>
      </c>
      <c r="E31" s="92" t="s">
        <v>22</v>
      </c>
      <c r="F31" s="146">
        <v>2068.41</v>
      </c>
      <c r="G31" s="94">
        <v>0.1</v>
      </c>
      <c r="H31" s="95">
        <v>190.29</v>
      </c>
      <c r="I31" s="159"/>
      <c r="J31" s="108"/>
      <c r="K31" s="109"/>
    </row>
    <row r="32" spans="1:11">
      <c r="A32" s="238">
        <v>43647</v>
      </c>
      <c r="B32" s="239">
        <v>44008</v>
      </c>
      <c r="C32" s="412" t="s">
        <v>954</v>
      </c>
      <c r="D32" s="241" t="s">
        <v>14</v>
      </c>
      <c r="E32" s="240" t="s">
        <v>10</v>
      </c>
      <c r="F32" s="242">
        <v>1429.45</v>
      </c>
      <c r="G32" s="243">
        <v>0.1</v>
      </c>
      <c r="H32" s="244">
        <v>131.5</v>
      </c>
      <c r="I32" s="245"/>
      <c r="J32" s="263"/>
      <c r="K32" s="264"/>
    </row>
    <row r="33" spans="1:11">
      <c r="A33" s="90">
        <v>43644</v>
      </c>
      <c r="B33" s="91">
        <v>44010</v>
      </c>
      <c r="C33" s="168" t="s">
        <v>955</v>
      </c>
      <c r="D33" s="93" t="s">
        <v>9</v>
      </c>
      <c r="E33" s="92" t="s">
        <v>317</v>
      </c>
      <c r="F33" s="146">
        <v>901.58</v>
      </c>
      <c r="G33" s="94">
        <v>0.1</v>
      </c>
      <c r="H33" s="95">
        <v>82.94</v>
      </c>
      <c r="I33" s="159"/>
      <c r="J33" s="108"/>
      <c r="K33" s="109"/>
    </row>
    <row r="34" spans="1:11">
      <c r="A34" s="90"/>
      <c r="B34" s="91"/>
      <c r="C34" s="92"/>
      <c r="D34" s="93"/>
      <c r="E34" s="92"/>
      <c r="F34" s="146"/>
      <c r="G34" s="94"/>
      <c r="H34" s="95"/>
      <c r="I34" s="159"/>
      <c r="J34" s="108"/>
      <c r="K34" s="109"/>
    </row>
    <row r="35" spans="1:11">
      <c r="A35" s="90"/>
      <c r="B35" s="91"/>
      <c r="C35" s="92"/>
      <c r="D35" s="93"/>
      <c r="E35" s="92"/>
      <c r="F35" s="146"/>
      <c r="G35" s="94"/>
      <c r="H35" s="95"/>
      <c r="I35" s="159"/>
      <c r="J35" s="108"/>
      <c r="K35" s="109"/>
    </row>
    <row r="36" spans="1:11">
      <c r="A36" s="90"/>
      <c r="B36" s="91"/>
      <c r="C36" s="92"/>
      <c r="D36" s="93"/>
      <c r="E36" s="92"/>
      <c r="F36" s="146"/>
      <c r="G36" s="94"/>
      <c r="H36" s="95"/>
      <c r="I36" s="159"/>
      <c r="J36" s="108"/>
      <c r="K36" s="109"/>
    </row>
    <row r="37" spans="1:11">
      <c r="A37" s="90"/>
      <c r="B37" s="91"/>
      <c r="C37" s="92"/>
      <c r="D37" s="93"/>
      <c r="E37" s="92"/>
      <c r="F37" s="146"/>
      <c r="G37" s="94"/>
      <c r="H37" s="95"/>
      <c r="I37" s="159"/>
      <c r="J37" s="108"/>
      <c r="K37" s="109"/>
    </row>
    <row r="38" spans="1:11">
      <c r="A38" s="90"/>
      <c r="B38" s="91"/>
      <c r="C38" s="92"/>
      <c r="D38" s="93"/>
      <c r="E38" s="92"/>
      <c r="F38" s="146"/>
      <c r="G38" s="94"/>
      <c r="H38" s="95"/>
      <c r="I38" s="159"/>
      <c r="J38" s="108"/>
      <c r="K38" s="109"/>
    </row>
    <row r="39" spans="1:11">
      <c r="A39" s="90"/>
      <c r="B39" s="91"/>
      <c r="C39" s="92"/>
      <c r="D39" s="93"/>
      <c r="E39" s="92"/>
      <c r="F39" s="146"/>
      <c r="G39" s="94"/>
      <c r="H39" s="95"/>
      <c r="I39" s="159"/>
      <c r="J39" s="108"/>
      <c r="K39" s="109"/>
    </row>
    <row r="40" spans="1:11">
      <c r="A40" s="90"/>
      <c r="B40" s="91"/>
      <c r="C40" s="92"/>
      <c r="D40" s="93"/>
      <c r="E40" s="92"/>
      <c r="F40" s="146"/>
      <c r="G40" s="94"/>
      <c r="H40" s="95"/>
      <c r="I40" s="159"/>
      <c r="J40" s="108"/>
      <c r="K40" s="109"/>
    </row>
    <row r="41" spans="1:11">
      <c r="A41" s="90"/>
      <c r="B41" s="91"/>
      <c r="C41" s="92" t="s">
        <v>956</v>
      </c>
      <c r="D41" s="93"/>
      <c r="E41" s="92"/>
      <c r="F41" s="146"/>
      <c r="G41" s="94"/>
      <c r="H41" s="95"/>
      <c r="I41" s="159"/>
      <c r="J41" s="108"/>
      <c r="K41" s="109"/>
    </row>
    <row r="42" spans="1:11" ht="19.5">
      <c r="A42" s="673"/>
      <c r="B42" s="674"/>
      <c r="C42" s="674"/>
      <c r="D42" s="674"/>
      <c r="E42" s="674"/>
      <c r="F42" s="147">
        <f>SUM(F2:F41)</f>
        <v>53339.59</v>
      </c>
      <c r="G42" s="143"/>
      <c r="H42" s="129">
        <f>SUM(H2:H41)</f>
        <v>6376.36</v>
      </c>
      <c r="I42" s="107">
        <f>SUM(I2:I41)</f>
        <v>39.26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45"/>
  <sheetViews>
    <sheetView topLeftCell="A22" workbookViewId="0"/>
  </sheetViews>
  <sheetFormatPr defaultRowHeight="15"/>
  <sheetData>
    <row r="1" spans="1:10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19" t="s">
        <v>644</v>
      </c>
      <c r="G1" s="3" t="s">
        <v>555</v>
      </c>
      <c r="H1" s="86" t="s">
        <v>7</v>
      </c>
      <c r="I1" s="325" t="s">
        <v>307</v>
      </c>
      <c r="J1" s="20" t="s">
        <v>370</v>
      </c>
    </row>
    <row r="2" spans="1:10">
      <c r="A2" s="216">
        <v>43647</v>
      </c>
      <c r="B2" s="225">
        <v>44014</v>
      </c>
      <c r="C2" s="172" t="s">
        <v>66</v>
      </c>
      <c r="D2" s="218" t="s">
        <v>61</v>
      </c>
      <c r="E2" s="217" t="s">
        <v>22</v>
      </c>
      <c r="F2" s="310">
        <v>1179.8</v>
      </c>
      <c r="G2" s="220">
        <v>0.25</v>
      </c>
      <c r="H2" s="214">
        <v>271.33999999999997</v>
      </c>
      <c r="I2" s="215"/>
      <c r="J2" s="326"/>
    </row>
    <row r="3" spans="1:10">
      <c r="A3" s="216">
        <v>43647</v>
      </c>
      <c r="B3" s="221">
        <v>44017</v>
      </c>
      <c r="C3" s="172" t="s">
        <v>69</v>
      </c>
      <c r="D3" s="218" t="s">
        <v>14</v>
      </c>
      <c r="E3" s="217" t="s">
        <v>22</v>
      </c>
      <c r="F3" s="310">
        <v>2843.35</v>
      </c>
      <c r="G3" s="220">
        <v>0.22</v>
      </c>
      <c r="H3" s="214">
        <v>575.49</v>
      </c>
      <c r="I3" s="215"/>
      <c r="J3" s="326"/>
    </row>
    <row r="4" spans="1:10">
      <c r="A4" s="207">
        <v>43649</v>
      </c>
      <c r="B4" s="208">
        <v>44015</v>
      </c>
      <c r="C4" s="168" t="s">
        <v>957</v>
      </c>
      <c r="D4" s="209" t="s">
        <v>21</v>
      </c>
      <c r="E4" s="169" t="s">
        <v>391</v>
      </c>
      <c r="F4" s="320">
        <v>1091.96</v>
      </c>
      <c r="G4" s="211">
        <v>0.21</v>
      </c>
      <c r="H4" s="212">
        <v>210.96</v>
      </c>
      <c r="I4" s="213"/>
      <c r="J4" s="327"/>
    </row>
    <row r="5" spans="1:10">
      <c r="A5" s="207">
        <v>43649</v>
      </c>
      <c r="B5" s="208">
        <v>44018</v>
      </c>
      <c r="C5" s="168" t="s">
        <v>958</v>
      </c>
      <c r="D5" s="209" t="s">
        <v>61</v>
      </c>
      <c r="E5" s="169" t="s">
        <v>22</v>
      </c>
      <c r="F5" s="320">
        <v>2205.11</v>
      </c>
      <c r="G5" s="211">
        <v>0.15</v>
      </c>
      <c r="H5" s="212">
        <v>304.3</v>
      </c>
      <c r="I5" s="213"/>
      <c r="J5" s="327"/>
    </row>
    <row r="6" spans="1:10">
      <c r="A6" s="255">
        <v>43649</v>
      </c>
      <c r="B6" s="256">
        <v>44020</v>
      </c>
      <c r="C6" s="412" t="s">
        <v>959</v>
      </c>
      <c r="D6" s="258" t="s">
        <v>14</v>
      </c>
      <c r="E6" s="257" t="s">
        <v>10</v>
      </c>
      <c r="F6" s="321">
        <v>1252.4000000000001</v>
      </c>
      <c r="G6" s="311">
        <v>0.15</v>
      </c>
      <c r="H6" s="261">
        <v>172.83</v>
      </c>
      <c r="I6" s="262"/>
      <c r="J6" s="328"/>
    </row>
    <row r="7" spans="1:10">
      <c r="A7" s="90">
        <v>43649</v>
      </c>
      <c r="B7" s="91">
        <v>44015</v>
      </c>
      <c r="C7" s="168" t="s">
        <v>72</v>
      </c>
      <c r="D7" s="93" t="s">
        <v>14</v>
      </c>
      <c r="E7" s="92" t="s">
        <v>10</v>
      </c>
      <c r="F7" s="322">
        <v>1613.78</v>
      </c>
      <c r="G7" s="94">
        <v>0.25</v>
      </c>
      <c r="H7" s="95">
        <v>371.16</v>
      </c>
      <c r="I7" s="159"/>
      <c r="J7" s="329"/>
    </row>
    <row r="8" spans="1:10">
      <c r="A8" s="90">
        <v>43650</v>
      </c>
      <c r="B8" s="91">
        <v>44021</v>
      </c>
      <c r="C8" s="168" t="s">
        <v>960</v>
      </c>
      <c r="D8" s="93" t="s">
        <v>198</v>
      </c>
      <c r="E8" s="92" t="s">
        <v>948</v>
      </c>
      <c r="F8" s="322">
        <v>1171.48</v>
      </c>
      <c r="G8" s="94">
        <v>0.25</v>
      </c>
      <c r="H8" s="95">
        <v>269.44</v>
      </c>
      <c r="I8" s="159"/>
      <c r="J8" s="329"/>
    </row>
    <row r="9" spans="1:10">
      <c r="A9" s="207">
        <v>43650</v>
      </c>
      <c r="B9" s="208">
        <v>44027</v>
      </c>
      <c r="C9" s="414" t="s">
        <v>520</v>
      </c>
      <c r="D9" s="209" t="s">
        <v>209</v>
      </c>
      <c r="E9" s="169" t="s">
        <v>15</v>
      </c>
      <c r="F9" s="320">
        <v>2803.34</v>
      </c>
      <c r="G9" s="211">
        <v>0.1</v>
      </c>
      <c r="H9" s="212">
        <v>257.89999999999998</v>
      </c>
      <c r="I9" s="213"/>
      <c r="J9" s="326"/>
    </row>
    <row r="10" spans="1:10">
      <c r="A10" s="90">
        <v>43651</v>
      </c>
      <c r="B10" s="91">
        <v>44019</v>
      </c>
      <c r="C10" s="101" t="s">
        <v>47</v>
      </c>
      <c r="D10" s="93" t="s">
        <v>61</v>
      </c>
      <c r="E10" s="92" t="s">
        <v>10</v>
      </c>
      <c r="F10" s="322">
        <v>1559.7</v>
      </c>
      <c r="G10" s="94">
        <v>0.1</v>
      </c>
      <c r="H10" s="95">
        <v>143.49</v>
      </c>
      <c r="I10" s="159"/>
      <c r="J10" s="162"/>
    </row>
    <row r="11" spans="1:10">
      <c r="A11" s="90">
        <v>43651</v>
      </c>
      <c r="B11" s="91">
        <v>44027</v>
      </c>
      <c r="C11" s="353" t="s">
        <v>961</v>
      </c>
      <c r="D11" s="93" t="s">
        <v>21</v>
      </c>
      <c r="E11" s="92" t="s">
        <v>17</v>
      </c>
      <c r="F11" s="322">
        <v>1207.93</v>
      </c>
      <c r="G11" s="94">
        <v>0.2</v>
      </c>
      <c r="H11" s="95">
        <v>222.25</v>
      </c>
      <c r="I11" s="159"/>
      <c r="J11" s="162"/>
    </row>
    <row r="12" spans="1:10">
      <c r="A12" s="90">
        <v>43654</v>
      </c>
      <c r="B12" s="91">
        <v>44020</v>
      </c>
      <c r="C12" s="168" t="s">
        <v>962</v>
      </c>
      <c r="D12" s="93" t="s">
        <v>61</v>
      </c>
      <c r="E12" s="92" t="s">
        <v>22</v>
      </c>
      <c r="F12" s="322">
        <v>1861.58</v>
      </c>
      <c r="G12" s="94">
        <v>0.1</v>
      </c>
      <c r="H12" s="95">
        <v>171.26</v>
      </c>
      <c r="I12" s="159"/>
      <c r="J12" s="329"/>
    </row>
    <row r="13" spans="1:10">
      <c r="A13" s="90">
        <v>43656</v>
      </c>
      <c r="B13" s="91">
        <v>44023</v>
      </c>
      <c r="C13" s="387" t="s">
        <v>738</v>
      </c>
      <c r="D13" s="93" t="s">
        <v>33</v>
      </c>
      <c r="E13" s="92" t="s">
        <v>22</v>
      </c>
      <c r="F13" s="322">
        <v>1180.49</v>
      </c>
      <c r="G13" s="94">
        <v>0.1</v>
      </c>
      <c r="H13" s="95">
        <v>108.6</v>
      </c>
      <c r="I13" s="159"/>
      <c r="J13" s="162"/>
    </row>
    <row r="14" spans="1:10">
      <c r="A14" s="238">
        <v>43656</v>
      </c>
      <c r="B14" s="239">
        <v>43935</v>
      </c>
      <c r="C14" s="456" t="s">
        <v>963</v>
      </c>
      <c r="D14" s="241" t="s">
        <v>14</v>
      </c>
      <c r="E14" s="240" t="s">
        <v>29</v>
      </c>
      <c r="F14" s="323">
        <v>2278.63</v>
      </c>
      <c r="G14" s="243">
        <v>0.1</v>
      </c>
      <c r="H14" s="244">
        <v>209.63</v>
      </c>
      <c r="I14" s="245"/>
      <c r="J14" s="330"/>
    </row>
    <row r="15" spans="1:10">
      <c r="A15" s="90">
        <v>43656</v>
      </c>
      <c r="B15" s="91">
        <v>44017</v>
      </c>
      <c r="C15" s="168" t="s">
        <v>91</v>
      </c>
      <c r="D15" s="93" t="s">
        <v>9</v>
      </c>
      <c r="E15" s="92" t="s">
        <v>10</v>
      </c>
      <c r="F15" s="322">
        <v>2144.59</v>
      </c>
      <c r="G15" s="94">
        <v>0.13</v>
      </c>
      <c r="H15" s="95">
        <v>256.49</v>
      </c>
      <c r="I15" s="159"/>
      <c r="J15" s="162"/>
    </row>
    <row r="16" spans="1:10">
      <c r="A16" s="90">
        <v>43657</v>
      </c>
      <c r="B16" s="91">
        <v>44024</v>
      </c>
      <c r="C16" s="168" t="s">
        <v>739</v>
      </c>
      <c r="D16" s="93" t="s">
        <v>14</v>
      </c>
      <c r="E16" s="92" t="s">
        <v>22</v>
      </c>
      <c r="F16" s="322">
        <v>1530.11</v>
      </c>
      <c r="G16" s="94">
        <v>0.2</v>
      </c>
      <c r="H16" s="95">
        <v>294.2</v>
      </c>
      <c r="I16" s="159"/>
      <c r="J16" s="162"/>
    </row>
    <row r="17" spans="1:10">
      <c r="A17" s="90">
        <v>43658</v>
      </c>
      <c r="B17" s="91">
        <v>44024</v>
      </c>
      <c r="C17" s="168" t="s">
        <v>964</v>
      </c>
      <c r="D17" s="93" t="s">
        <v>448</v>
      </c>
      <c r="E17" s="92" t="s">
        <v>279</v>
      </c>
      <c r="F17" s="322">
        <v>2000.59</v>
      </c>
      <c r="G17" s="94">
        <v>0.1</v>
      </c>
      <c r="H17" s="95">
        <v>184.05</v>
      </c>
      <c r="I17" s="159"/>
      <c r="J17" s="162"/>
    </row>
    <row r="18" spans="1:10">
      <c r="A18" s="90">
        <v>43658</v>
      </c>
      <c r="B18" s="91">
        <v>44020</v>
      </c>
      <c r="C18" s="353" t="s">
        <v>965</v>
      </c>
      <c r="D18" s="93" t="s">
        <v>9</v>
      </c>
      <c r="E18" s="92" t="s">
        <v>362</v>
      </c>
      <c r="F18" s="322">
        <v>799</v>
      </c>
      <c r="G18" s="94">
        <v>0.15</v>
      </c>
      <c r="H18" s="95">
        <v>110.26</v>
      </c>
      <c r="I18" s="159"/>
      <c r="J18" s="162"/>
    </row>
    <row r="19" spans="1:10">
      <c r="A19" s="207">
        <v>43658</v>
      </c>
      <c r="B19" s="208">
        <v>44030</v>
      </c>
      <c r="C19" s="539" t="s">
        <v>966</v>
      </c>
      <c r="D19" s="209" t="s">
        <v>448</v>
      </c>
      <c r="E19" s="169" t="s">
        <v>469</v>
      </c>
      <c r="F19" s="320" t="s">
        <v>766</v>
      </c>
      <c r="G19" s="211" t="s">
        <v>454</v>
      </c>
      <c r="H19" s="212">
        <v>150</v>
      </c>
      <c r="I19" s="213"/>
      <c r="J19" s="326"/>
    </row>
    <row r="20" spans="1:10">
      <c r="A20" s="90">
        <v>43658</v>
      </c>
      <c r="B20" s="91">
        <v>44025</v>
      </c>
      <c r="C20" s="358" t="s">
        <v>742</v>
      </c>
      <c r="D20" s="93" t="s">
        <v>14</v>
      </c>
      <c r="E20" s="92" t="s">
        <v>90</v>
      </c>
      <c r="F20" s="322">
        <v>1675.86</v>
      </c>
      <c r="G20" s="94">
        <v>0.2</v>
      </c>
      <c r="H20" s="95">
        <v>308.35000000000002</v>
      </c>
      <c r="I20" s="159"/>
      <c r="J20" s="162"/>
    </row>
    <row r="21" spans="1:10">
      <c r="A21" s="90">
        <v>43661</v>
      </c>
      <c r="B21" s="91">
        <v>44027</v>
      </c>
      <c r="C21" s="168" t="s">
        <v>425</v>
      </c>
      <c r="D21" s="93" t="s">
        <v>14</v>
      </c>
      <c r="E21" s="92" t="s">
        <v>75</v>
      </c>
      <c r="F21" s="322">
        <v>2333.59</v>
      </c>
      <c r="G21" s="94">
        <v>0.1</v>
      </c>
      <c r="H21" s="95">
        <v>214.69</v>
      </c>
      <c r="I21" s="159"/>
      <c r="J21" s="329"/>
    </row>
    <row r="22" spans="1:10">
      <c r="A22" s="90">
        <v>43662</v>
      </c>
      <c r="B22" s="91">
        <v>44020</v>
      </c>
      <c r="C22" s="168" t="s">
        <v>421</v>
      </c>
      <c r="D22" s="93" t="s">
        <v>61</v>
      </c>
      <c r="E22" s="92" t="s">
        <v>10</v>
      </c>
      <c r="F22" s="322">
        <v>814.85</v>
      </c>
      <c r="G22" s="94">
        <v>0.1</v>
      </c>
      <c r="H22" s="95">
        <v>74.959999999999994</v>
      </c>
      <c r="I22" s="159"/>
      <c r="J22" s="162"/>
    </row>
    <row r="23" spans="1:10">
      <c r="A23" s="90">
        <v>43662</v>
      </c>
      <c r="B23" s="91">
        <v>44028</v>
      </c>
      <c r="C23" s="168" t="s">
        <v>967</v>
      </c>
      <c r="D23" s="93" t="s">
        <v>25</v>
      </c>
      <c r="E23" s="92" t="s">
        <v>22</v>
      </c>
      <c r="F23" s="322">
        <v>1394.48</v>
      </c>
      <c r="G23" s="94">
        <v>0.1</v>
      </c>
      <c r="H23" s="95">
        <v>128.29</v>
      </c>
      <c r="I23" s="159"/>
      <c r="J23" s="329"/>
    </row>
    <row r="24" spans="1:10">
      <c r="A24" s="90">
        <v>43662</v>
      </c>
      <c r="B24" s="91">
        <v>44031</v>
      </c>
      <c r="C24" s="168" t="s">
        <v>81</v>
      </c>
      <c r="D24" s="93" t="s">
        <v>14</v>
      </c>
      <c r="E24" s="92" t="s">
        <v>15</v>
      </c>
      <c r="F24" s="322">
        <v>3206.8</v>
      </c>
      <c r="G24" s="94">
        <v>0.1</v>
      </c>
      <c r="H24" s="95">
        <v>295.02</v>
      </c>
      <c r="I24" s="159"/>
      <c r="J24" s="162"/>
    </row>
    <row r="25" spans="1:10">
      <c r="A25" s="90">
        <v>43662</v>
      </c>
      <c r="B25" s="91">
        <v>44028</v>
      </c>
      <c r="C25" s="101" t="s">
        <v>968</v>
      </c>
      <c r="D25" s="93" t="s">
        <v>9</v>
      </c>
      <c r="E25" s="92" t="s">
        <v>945</v>
      </c>
      <c r="F25" s="322">
        <v>1293.53</v>
      </c>
      <c r="G25" s="94">
        <v>0.1</v>
      </c>
      <c r="H25" s="95">
        <v>119</v>
      </c>
      <c r="I25" s="159"/>
      <c r="J25" s="162"/>
    </row>
    <row r="26" spans="1:10">
      <c r="A26" s="312">
        <v>43663</v>
      </c>
      <c r="B26" s="313">
        <v>44029</v>
      </c>
      <c r="C26" s="551" t="s">
        <v>280</v>
      </c>
      <c r="D26" s="315" t="s">
        <v>149</v>
      </c>
      <c r="E26" s="314" t="s">
        <v>945</v>
      </c>
      <c r="F26" s="324">
        <v>1273.95</v>
      </c>
      <c r="G26" s="316">
        <v>0.1</v>
      </c>
      <c r="H26" s="317">
        <v>107.01</v>
      </c>
      <c r="I26" s="318"/>
      <c r="J26" s="331"/>
    </row>
    <row r="27" spans="1:10">
      <c r="A27" s="90">
        <v>43663</v>
      </c>
      <c r="B27" s="91">
        <v>44029</v>
      </c>
      <c r="C27" s="168" t="s">
        <v>969</v>
      </c>
      <c r="D27" s="93" t="s">
        <v>9</v>
      </c>
      <c r="E27" s="92" t="s">
        <v>10</v>
      </c>
      <c r="F27" s="322">
        <v>892.92</v>
      </c>
      <c r="G27" s="94">
        <v>0.18</v>
      </c>
      <c r="H27" s="95">
        <v>147.86000000000001</v>
      </c>
      <c r="I27" s="159"/>
      <c r="J27" s="162"/>
    </row>
    <row r="28" spans="1:10">
      <c r="A28" s="90">
        <v>43663</v>
      </c>
      <c r="B28" s="91">
        <v>44029</v>
      </c>
      <c r="C28" s="168" t="s">
        <v>744</v>
      </c>
      <c r="D28" s="93" t="s">
        <v>61</v>
      </c>
      <c r="E28" s="92" t="s">
        <v>945</v>
      </c>
      <c r="F28" s="322">
        <v>848.87</v>
      </c>
      <c r="G28" s="94">
        <v>0.21110000000000001</v>
      </c>
      <c r="H28" s="95">
        <v>164</v>
      </c>
      <c r="I28" s="159"/>
      <c r="J28" s="162"/>
    </row>
    <row r="29" spans="1:10">
      <c r="A29" s="90">
        <v>43665</v>
      </c>
      <c r="B29" s="91">
        <v>44031</v>
      </c>
      <c r="C29" s="168" t="s">
        <v>970</v>
      </c>
      <c r="D29" s="93" t="s">
        <v>9</v>
      </c>
      <c r="E29" s="92" t="s">
        <v>948</v>
      </c>
      <c r="F29" s="322">
        <v>1253.24</v>
      </c>
      <c r="G29" s="94">
        <v>0.1</v>
      </c>
      <c r="H29" s="95">
        <v>115.29</v>
      </c>
      <c r="I29" s="159"/>
      <c r="J29" s="162"/>
    </row>
    <row r="30" spans="1:10">
      <c r="A30" s="238">
        <v>43665</v>
      </c>
      <c r="B30" s="239">
        <v>44031</v>
      </c>
      <c r="C30" s="240" t="s">
        <v>971</v>
      </c>
      <c r="D30" s="241" t="s">
        <v>533</v>
      </c>
      <c r="E30" s="240" t="s">
        <v>279</v>
      </c>
      <c r="F30" s="323">
        <v>971.82</v>
      </c>
      <c r="G30" s="243">
        <v>0.1</v>
      </c>
      <c r="H30" s="244">
        <v>89.4</v>
      </c>
      <c r="I30" s="245"/>
      <c r="J30" s="330"/>
    </row>
    <row r="31" spans="1:10">
      <c r="A31" s="90">
        <v>43665</v>
      </c>
      <c r="B31" s="91">
        <v>44034</v>
      </c>
      <c r="C31" s="168" t="s">
        <v>972</v>
      </c>
      <c r="D31" s="93" t="s">
        <v>61</v>
      </c>
      <c r="E31" s="92" t="s">
        <v>458</v>
      </c>
      <c r="F31" s="322">
        <v>1029.93</v>
      </c>
      <c r="G31" s="94">
        <v>0.17</v>
      </c>
      <c r="H31" s="95">
        <v>161.08000000000001</v>
      </c>
      <c r="I31" s="159"/>
      <c r="J31" s="162"/>
    </row>
    <row r="32" spans="1:10">
      <c r="A32" s="90">
        <v>43665</v>
      </c>
      <c r="B32" s="91">
        <v>44032</v>
      </c>
      <c r="C32" s="168" t="s">
        <v>973</v>
      </c>
      <c r="D32" s="93" t="s">
        <v>448</v>
      </c>
      <c r="E32" s="92" t="s">
        <v>945</v>
      </c>
      <c r="F32" s="322">
        <v>1540.78</v>
      </c>
      <c r="G32" s="94">
        <v>0.1</v>
      </c>
      <c r="H32" s="95">
        <v>141.75</v>
      </c>
      <c r="I32" s="159"/>
      <c r="J32" s="162"/>
    </row>
    <row r="33" spans="1:10">
      <c r="A33" s="90">
        <v>43665</v>
      </c>
      <c r="B33" s="91">
        <v>44031</v>
      </c>
      <c r="C33" s="168" t="s">
        <v>974</v>
      </c>
      <c r="D33" s="93" t="s">
        <v>9</v>
      </c>
      <c r="E33" s="92" t="s">
        <v>975</v>
      </c>
      <c r="F33" s="322">
        <v>2034.84</v>
      </c>
      <c r="G33" s="94">
        <v>0.1</v>
      </c>
      <c r="H33" s="95">
        <v>187.2</v>
      </c>
      <c r="I33" s="159"/>
      <c r="J33" s="162"/>
    </row>
    <row r="34" spans="1:10">
      <c r="A34" s="90">
        <v>43668</v>
      </c>
      <c r="B34" s="91">
        <v>44034</v>
      </c>
      <c r="C34" s="168" t="s">
        <v>976</v>
      </c>
      <c r="D34" s="93" t="s">
        <v>14</v>
      </c>
      <c r="E34" s="92" t="s">
        <v>22</v>
      </c>
      <c r="F34" s="322">
        <v>1843.92</v>
      </c>
      <c r="G34" s="94">
        <v>0.1</v>
      </c>
      <c r="H34" s="95">
        <v>169.64</v>
      </c>
      <c r="I34" s="159"/>
      <c r="J34" s="162"/>
    </row>
    <row r="35" spans="1:10">
      <c r="A35" s="90">
        <v>43668</v>
      </c>
      <c r="B35" s="91">
        <v>44034</v>
      </c>
      <c r="C35" s="168" t="s">
        <v>977</v>
      </c>
      <c r="D35" s="93" t="s">
        <v>25</v>
      </c>
      <c r="E35" s="92" t="s">
        <v>22</v>
      </c>
      <c r="F35" s="322">
        <v>2001.35</v>
      </c>
      <c r="G35" s="94">
        <v>0.1</v>
      </c>
      <c r="H35" s="95">
        <v>184.12</v>
      </c>
      <c r="I35" s="159"/>
      <c r="J35" s="162"/>
    </row>
    <row r="36" spans="1:10">
      <c r="A36" s="540">
        <v>43669</v>
      </c>
      <c r="B36" s="541">
        <v>44034</v>
      </c>
      <c r="C36" s="565" t="s">
        <v>978</v>
      </c>
      <c r="D36" s="543" t="s">
        <v>713</v>
      </c>
      <c r="E36" s="542" t="s">
        <v>10</v>
      </c>
      <c r="F36" s="544">
        <v>2083.46</v>
      </c>
      <c r="G36" s="545">
        <v>0.1</v>
      </c>
      <c r="H36" s="546">
        <v>191.67</v>
      </c>
      <c r="I36" s="547">
        <v>57.5</v>
      </c>
      <c r="J36" s="548" t="s">
        <v>979</v>
      </c>
    </row>
    <row r="37" spans="1:10">
      <c r="A37" s="344">
        <v>43672</v>
      </c>
      <c r="B37" s="345">
        <v>44038</v>
      </c>
      <c r="C37" s="566" t="s">
        <v>980</v>
      </c>
      <c r="D37" s="347" t="s">
        <v>981</v>
      </c>
      <c r="E37" s="346" t="s">
        <v>22</v>
      </c>
      <c r="F37" s="348">
        <v>1190.72</v>
      </c>
      <c r="G37" s="349">
        <v>0.25</v>
      </c>
      <c r="H37" s="350">
        <v>273.86</v>
      </c>
      <c r="I37" s="343"/>
      <c r="J37" s="341"/>
    </row>
    <row r="38" spans="1:10">
      <c r="A38" s="26">
        <v>43675</v>
      </c>
      <c r="B38" s="26">
        <v>44039</v>
      </c>
      <c r="C38" s="172" t="s">
        <v>982</v>
      </c>
      <c r="D38" s="14" t="s">
        <v>9</v>
      </c>
      <c r="E38" s="13" t="s">
        <v>458</v>
      </c>
      <c r="F38" s="127">
        <v>1605.45</v>
      </c>
      <c r="G38" s="56">
        <v>0.25</v>
      </c>
      <c r="H38" s="81">
        <v>369.25</v>
      </c>
      <c r="I38" s="167"/>
      <c r="J38" s="162"/>
    </row>
    <row r="39" spans="1:10">
      <c r="A39" s="26">
        <v>43673</v>
      </c>
      <c r="B39" s="26">
        <v>44039</v>
      </c>
      <c r="C39" s="172" t="s">
        <v>983</v>
      </c>
      <c r="D39" s="14" t="s">
        <v>61</v>
      </c>
      <c r="E39" s="13" t="s">
        <v>279</v>
      </c>
      <c r="F39" s="145">
        <v>2497.3000000000002</v>
      </c>
      <c r="G39" s="56">
        <v>0.1</v>
      </c>
      <c r="H39" s="13">
        <v>229.75</v>
      </c>
      <c r="I39" s="13"/>
      <c r="J39" s="13"/>
    </row>
    <row r="40" spans="1:10">
      <c r="A40" s="26">
        <v>43675</v>
      </c>
      <c r="B40" s="26">
        <v>44041</v>
      </c>
      <c r="C40" s="172" t="s">
        <v>984</v>
      </c>
      <c r="D40" s="14" t="s">
        <v>9</v>
      </c>
      <c r="E40" s="13" t="s">
        <v>279</v>
      </c>
      <c r="F40" s="145">
        <v>903.05</v>
      </c>
      <c r="G40" s="56">
        <v>0.1</v>
      </c>
      <c r="H40" s="13">
        <v>83.08</v>
      </c>
      <c r="I40" s="13"/>
      <c r="J40" s="13"/>
    </row>
    <row r="41" spans="1:10">
      <c r="A41" s="334"/>
      <c r="B41" s="334"/>
      <c r="C41" s="333"/>
      <c r="D41" s="333"/>
      <c r="E41" s="333"/>
      <c r="F41" s="333"/>
      <c r="G41" s="333"/>
      <c r="H41" s="333"/>
      <c r="I41" s="329"/>
      <c r="J41" s="329"/>
    </row>
    <row r="42" spans="1:10">
      <c r="A42" s="333"/>
      <c r="B42" s="333"/>
      <c r="C42" s="333"/>
      <c r="D42" s="333"/>
      <c r="E42" s="333"/>
      <c r="F42" s="333"/>
      <c r="G42" s="333"/>
      <c r="H42" s="333"/>
      <c r="I42" s="329"/>
      <c r="J42" s="329"/>
    </row>
    <row r="43" spans="1:10">
      <c r="A43" s="333"/>
      <c r="B43" s="333"/>
      <c r="C43" s="333"/>
      <c r="D43" s="333"/>
      <c r="E43" s="333"/>
      <c r="F43" s="333"/>
      <c r="G43" s="333"/>
      <c r="H43" s="333"/>
      <c r="I43" s="329"/>
      <c r="J43" s="329"/>
    </row>
    <row r="44" spans="1:10">
      <c r="A44" s="26"/>
      <c r="B44" s="26"/>
      <c r="C44" s="13" t="s">
        <v>985</v>
      </c>
      <c r="D44" s="14"/>
      <c r="E44" s="13"/>
      <c r="F44" s="127"/>
      <c r="G44" s="56"/>
      <c r="H44" s="81"/>
      <c r="I44" s="167"/>
      <c r="J44" s="162"/>
    </row>
    <row r="45" spans="1:10" ht="19.5">
      <c r="A45" s="683"/>
      <c r="B45" s="684"/>
      <c r="C45" s="684"/>
      <c r="D45" s="684"/>
      <c r="E45" s="684"/>
      <c r="F45" s="332">
        <f>SUM(F2:F44)</f>
        <v>61414.55</v>
      </c>
      <c r="G45" s="164"/>
      <c r="H45" s="165">
        <f>SUM(H2:H44)</f>
        <v>8038.92</v>
      </c>
      <c r="I45" s="166">
        <f>SUM(I2:I44)</f>
        <v>57.5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K63"/>
  <sheetViews>
    <sheetView topLeftCell="A34" workbookViewId="0"/>
  </sheetViews>
  <sheetFormatPr defaultRowHeight="15"/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216">
        <v>43678</v>
      </c>
      <c r="B2" s="225">
        <v>44044</v>
      </c>
      <c r="C2" s="172" t="s">
        <v>986</v>
      </c>
      <c r="D2" s="218" t="s">
        <v>9</v>
      </c>
      <c r="E2" s="217" t="s">
        <v>948</v>
      </c>
      <c r="F2" s="310">
        <v>1380.53</v>
      </c>
      <c r="G2" s="220">
        <v>0.12</v>
      </c>
      <c r="H2" s="214">
        <v>152.41</v>
      </c>
      <c r="I2" s="215"/>
      <c r="J2" s="223"/>
      <c r="K2" s="224"/>
    </row>
    <row r="3" spans="1:11">
      <c r="A3" s="216">
        <v>43678</v>
      </c>
      <c r="B3" s="221">
        <v>44050</v>
      </c>
      <c r="C3" s="172" t="s">
        <v>987</v>
      </c>
      <c r="D3" s="218" t="s">
        <v>25</v>
      </c>
      <c r="E3" s="217" t="s">
        <v>948</v>
      </c>
      <c r="F3" s="310">
        <v>1597.67</v>
      </c>
      <c r="G3" s="220">
        <v>0.1</v>
      </c>
      <c r="H3" s="214">
        <v>146.97999999999999</v>
      </c>
      <c r="I3" s="215"/>
      <c r="J3" s="223"/>
      <c r="K3" s="224"/>
    </row>
    <row r="4" spans="1:11">
      <c r="A4" s="255">
        <v>43679</v>
      </c>
      <c r="B4" s="256">
        <v>44046</v>
      </c>
      <c r="C4" s="414" t="s">
        <v>751</v>
      </c>
      <c r="D4" s="258" t="s">
        <v>61</v>
      </c>
      <c r="E4" s="257" t="s">
        <v>29</v>
      </c>
      <c r="F4" s="321">
        <v>1996.72</v>
      </c>
      <c r="G4" s="260">
        <v>0.21</v>
      </c>
      <c r="H4" s="261">
        <v>385.76</v>
      </c>
      <c r="I4" s="262"/>
      <c r="J4" s="307"/>
      <c r="K4" s="308"/>
    </row>
    <row r="5" spans="1:11">
      <c r="A5" s="207">
        <v>43682</v>
      </c>
      <c r="B5" s="208">
        <v>44048</v>
      </c>
      <c r="C5" s="168" t="s">
        <v>988</v>
      </c>
      <c r="D5" s="209" t="s">
        <v>14</v>
      </c>
      <c r="E5" s="169" t="s">
        <v>75</v>
      </c>
      <c r="F5" s="320">
        <v>1177.6500000000001</v>
      </c>
      <c r="G5" s="222">
        <v>0.1</v>
      </c>
      <c r="H5" s="212">
        <v>108.34</v>
      </c>
      <c r="I5" s="213"/>
      <c r="J5" s="223"/>
      <c r="K5" s="224"/>
    </row>
    <row r="6" spans="1:11">
      <c r="A6" s="90">
        <v>43683</v>
      </c>
      <c r="B6" s="91">
        <v>44049</v>
      </c>
      <c r="C6" s="168" t="s">
        <v>989</v>
      </c>
      <c r="D6" s="93" t="s">
        <v>9</v>
      </c>
      <c r="E6" s="92" t="s">
        <v>15</v>
      </c>
      <c r="F6" s="322">
        <v>1505.02</v>
      </c>
      <c r="G6" s="94">
        <v>0.1</v>
      </c>
      <c r="H6" s="95">
        <v>138.46</v>
      </c>
      <c r="I6" s="159"/>
      <c r="J6" s="108"/>
      <c r="K6" s="109"/>
    </row>
    <row r="7" spans="1:11">
      <c r="A7" s="90">
        <v>43684</v>
      </c>
      <c r="B7" s="91">
        <v>44050</v>
      </c>
      <c r="C7" s="168" t="s">
        <v>990</v>
      </c>
      <c r="D7" s="93" t="s">
        <v>70</v>
      </c>
      <c r="E7" s="92" t="s">
        <v>279</v>
      </c>
      <c r="F7" s="322">
        <v>777.9</v>
      </c>
      <c r="G7" s="94">
        <v>0.17</v>
      </c>
      <c r="H7" s="95">
        <v>121.66</v>
      </c>
      <c r="I7" s="159"/>
      <c r="J7" s="108"/>
      <c r="K7" s="109"/>
    </row>
    <row r="8" spans="1:11">
      <c r="A8" s="287">
        <v>43684</v>
      </c>
      <c r="B8" s="288">
        <v>44054</v>
      </c>
      <c r="C8" s="566" t="s">
        <v>991</v>
      </c>
      <c r="D8" s="289" t="s">
        <v>9</v>
      </c>
      <c r="E8" s="290" t="s">
        <v>317</v>
      </c>
      <c r="F8" s="337">
        <v>2766.39</v>
      </c>
      <c r="G8" s="292">
        <v>0.1</v>
      </c>
      <c r="H8" s="293">
        <v>254.5</v>
      </c>
      <c r="I8" s="294">
        <v>127.25</v>
      </c>
      <c r="J8" s="443" t="s">
        <v>992</v>
      </c>
      <c r="K8" s="444"/>
    </row>
    <row r="9" spans="1:11">
      <c r="A9" s="207">
        <v>43684</v>
      </c>
      <c r="B9" s="208">
        <v>44050</v>
      </c>
      <c r="C9" s="168" t="s">
        <v>953</v>
      </c>
      <c r="D9" s="209" t="s">
        <v>61</v>
      </c>
      <c r="E9" s="169" t="s">
        <v>29</v>
      </c>
      <c r="F9" s="320">
        <v>3621.17</v>
      </c>
      <c r="G9" s="211">
        <v>0.1</v>
      </c>
      <c r="H9" s="212">
        <v>333.14</v>
      </c>
      <c r="I9" s="213"/>
      <c r="J9" s="223"/>
      <c r="K9" s="224"/>
    </row>
    <row r="10" spans="1:11">
      <c r="A10" s="238">
        <v>43685</v>
      </c>
      <c r="B10" s="239">
        <v>44052</v>
      </c>
      <c r="C10" s="440" t="s">
        <v>993</v>
      </c>
      <c r="D10" s="241" t="s">
        <v>61</v>
      </c>
      <c r="E10" s="240" t="s">
        <v>948</v>
      </c>
      <c r="F10" s="323">
        <v>1142.23</v>
      </c>
      <c r="G10" s="243">
        <v>0.19</v>
      </c>
      <c r="H10" s="244">
        <v>199.66</v>
      </c>
      <c r="I10" s="245"/>
      <c r="J10" s="263"/>
      <c r="K10" s="264"/>
    </row>
    <row r="11" spans="1:11">
      <c r="A11" s="90">
        <v>43685</v>
      </c>
      <c r="B11" s="91">
        <v>44053</v>
      </c>
      <c r="C11" s="172" t="s">
        <v>994</v>
      </c>
      <c r="D11" s="93" t="s">
        <v>9</v>
      </c>
      <c r="E11" s="92" t="s">
        <v>317</v>
      </c>
      <c r="F11" s="322">
        <v>1919.25</v>
      </c>
      <c r="G11" s="94">
        <v>0.13</v>
      </c>
      <c r="H11" s="95">
        <v>229.54</v>
      </c>
      <c r="I11" s="159"/>
      <c r="J11" s="108"/>
      <c r="K11" s="109"/>
    </row>
    <row r="12" spans="1:11">
      <c r="A12" s="90">
        <v>43686</v>
      </c>
      <c r="B12" s="91">
        <v>44053</v>
      </c>
      <c r="C12" s="168" t="s">
        <v>995</v>
      </c>
      <c r="D12" s="93" t="s">
        <v>14</v>
      </c>
      <c r="E12" s="92" t="s">
        <v>948</v>
      </c>
      <c r="F12" s="322">
        <v>2002.49</v>
      </c>
      <c r="G12" s="94">
        <v>0.1</v>
      </c>
      <c r="H12" s="95">
        <v>184.22</v>
      </c>
      <c r="I12" s="159"/>
      <c r="J12" s="108"/>
      <c r="K12" s="109"/>
    </row>
    <row r="13" spans="1:11">
      <c r="A13" s="90">
        <v>43686</v>
      </c>
      <c r="B13" s="91">
        <v>44052</v>
      </c>
      <c r="C13" s="387" t="s">
        <v>996</v>
      </c>
      <c r="D13" s="93" t="s">
        <v>21</v>
      </c>
      <c r="E13" s="92" t="s">
        <v>948</v>
      </c>
      <c r="F13" s="322">
        <v>1259.23</v>
      </c>
      <c r="G13" s="94">
        <v>0.1</v>
      </c>
      <c r="H13" s="95">
        <v>115.84</v>
      </c>
      <c r="I13" s="159"/>
      <c r="J13" s="108"/>
      <c r="K13" s="109"/>
    </row>
    <row r="14" spans="1:11">
      <c r="A14" s="90">
        <v>43686</v>
      </c>
      <c r="B14" s="91">
        <v>44055</v>
      </c>
      <c r="C14" s="358" t="s">
        <v>204</v>
      </c>
      <c r="D14" s="93" t="s">
        <v>14</v>
      </c>
      <c r="E14" s="92" t="s">
        <v>948</v>
      </c>
      <c r="F14" s="322">
        <v>956.36</v>
      </c>
      <c r="G14" s="94">
        <v>0.15</v>
      </c>
      <c r="H14" s="95">
        <v>131.97</v>
      </c>
      <c r="I14" s="159"/>
      <c r="J14" s="108"/>
      <c r="K14" s="109"/>
    </row>
    <row r="15" spans="1:11">
      <c r="A15" s="90">
        <v>43689</v>
      </c>
      <c r="B15" s="91">
        <v>44048</v>
      </c>
      <c r="C15" s="168" t="s">
        <v>997</v>
      </c>
      <c r="D15" s="93" t="s">
        <v>9</v>
      </c>
      <c r="E15" s="92" t="s">
        <v>948</v>
      </c>
      <c r="F15" s="322">
        <v>1321.01</v>
      </c>
      <c r="G15" s="94">
        <v>0.15</v>
      </c>
      <c r="H15" s="95">
        <v>182.29</v>
      </c>
      <c r="I15" s="159"/>
      <c r="J15" s="108"/>
      <c r="K15" s="109"/>
    </row>
    <row r="16" spans="1:11">
      <c r="A16" s="90">
        <v>43689</v>
      </c>
      <c r="B16" s="91">
        <v>44058</v>
      </c>
      <c r="C16" s="172" t="s">
        <v>998</v>
      </c>
      <c r="D16" s="93" t="s">
        <v>14</v>
      </c>
      <c r="E16" s="92" t="s">
        <v>19</v>
      </c>
      <c r="F16" s="322">
        <v>2387.25</v>
      </c>
      <c r="G16" s="94">
        <v>0.1</v>
      </c>
      <c r="H16" s="95">
        <v>219.62</v>
      </c>
      <c r="I16" s="159"/>
      <c r="J16" s="108"/>
      <c r="K16" s="109"/>
    </row>
    <row r="17" spans="1:11">
      <c r="A17" s="90">
        <v>43689</v>
      </c>
      <c r="B17" s="91">
        <v>44060</v>
      </c>
      <c r="C17" s="397" t="s">
        <v>431</v>
      </c>
      <c r="D17" s="93" t="s">
        <v>61</v>
      </c>
      <c r="E17" s="92" t="s">
        <v>19</v>
      </c>
      <c r="F17" s="322">
        <v>2137.79</v>
      </c>
      <c r="G17" s="94">
        <v>0.13</v>
      </c>
      <c r="H17" s="95">
        <v>255.67</v>
      </c>
      <c r="I17" s="159"/>
      <c r="J17" s="108"/>
      <c r="K17" s="109"/>
    </row>
    <row r="18" spans="1:11">
      <c r="A18" s="207">
        <v>43689</v>
      </c>
      <c r="B18" s="208">
        <v>44055</v>
      </c>
      <c r="C18" s="539" t="s">
        <v>628</v>
      </c>
      <c r="D18" s="209" t="s">
        <v>448</v>
      </c>
      <c r="E18" s="169" t="s">
        <v>75</v>
      </c>
      <c r="F18" s="320">
        <v>1367.82</v>
      </c>
      <c r="G18" s="211">
        <v>0.1</v>
      </c>
      <c r="H18" s="212">
        <v>125.85</v>
      </c>
      <c r="I18" s="213"/>
      <c r="J18" s="223"/>
      <c r="K18" s="224"/>
    </row>
    <row r="19" spans="1:11">
      <c r="A19" s="255">
        <v>43689</v>
      </c>
      <c r="B19" s="256">
        <v>44056</v>
      </c>
      <c r="C19" s="569" t="s">
        <v>757</v>
      </c>
      <c r="D19" s="258" t="s">
        <v>9</v>
      </c>
      <c r="E19" s="257" t="s">
        <v>948</v>
      </c>
      <c r="F19" s="321">
        <v>1658.42</v>
      </c>
      <c r="G19" s="260">
        <v>0.1</v>
      </c>
      <c r="H19" s="261">
        <v>152.57</v>
      </c>
      <c r="I19" s="262"/>
      <c r="J19" s="307"/>
      <c r="K19" s="308"/>
    </row>
    <row r="20" spans="1:11">
      <c r="A20" s="90">
        <v>43690</v>
      </c>
      <c r="B20" s="91">
        <v>44063</v>
      </c>
      <c r="C20" s="509" t="s">
        <v>999</v>
      </c>
      <c r="D20" s="93" t="s">
        <v>448</v>
      </c>
      <c r="E20" s="92" t="s">
        <v>469</v>
      </c>
      <c r="F20" s="322">
        <v>1811.64</v>
      </c>
      <c r="G20" s="94" t="s">
        <v>889</v>
      </c>
      <c r="H20" s="95">
        <v>150</v>
      </c>
      <c r="I20" s="159">
        <v>75</v>
      </c>
      <c r="J20" s="108" t="s">
        <v>1000</v>
      </c>
      <c r="K20" s="109"/>
    </row>
    <row r="21" spans="1:11">
      <c r="A21" s="90">
        <v>43690</v>
      </c>
      <c r="B21" s="91">
        <v>44056</v>
      </c>
      <c r="C21" s="168" t="s">
        <v>1001</v>
      </c>
      <c r="D21" s="93" t="s">
        <v>61</v>
      </c>
      <c r="E21" s="92" t="s">
        <v>948</v>
      </c>
      <c r="F21" s="322">
        <v>1044.22</v>
      </c>
      <c r="G21" s="94">
        <v>0.1</v>
      </c>
      <c r="H21" s="95">
        <v>96.06</v>
      </c>
      <c r="I21" s="159">
        <v>48.03</v>
      </c>
      <c r="J21" s="108" t="s">
        <v>924</v>
      </c>
      <c r="K21" s="109"/>
    </row>
    <row r="22" spans="1:11">
      <c r="A22" s="90">
        <v>43690</v>
      </c>
      <c r="B22" s="91">
        <v>44059</v>
      </c>
      <c r="C22" s="168" t="s">
        <v>50</v>
      </c>
      <c r="D22" s="93" t="s">
        <v>61</v>
      </c>
      <c r="E22" s="92" t="s">
        <v>29</v>
      </c>
      <c r="F22" s="322">
        <v>2469.09</v>
      </c>
      <c r="G22" s="94">
        <v>0.1</v>
      </c>
      <c r="H22" s="95">
        <v>227.15</v>
      </c>
      <c r="I22" s="159"/>
      <c r="J22" s="108"/>
      <c r="K22" s="109"/>
    </row>
    <row r="23" spans="1:11">
      <c r="A23" s="90">
        <v>43690</v>
      </c>
      <c r="B23" s="91">
        <v>43887</v>
      </c>
      <c r="C23" s="168" t="s">
        <v>1002</v>
      </c>
      <c r="D23" s="93" t="s">
        <v>21</v>
      </c>
      <c r="E23" s="92" t="s">
        <v>29</v>
      </c>
      <c r="F23" s="322">
        <v>2744.05</v>
      </c>
      <c r="G23" s="94">
        <v>0.1</v>
      </c>
      <c r="H23" s="95">
        <v>252.45</v>
      </c>
      <c r="I23" s="159"/>
      <c r="J23" s="108"/>
      <c r="K23" s="109"/>
    </row>
    <row r="24" spans="1:11">
      <c r="A24" s="255">
        <v>43685</v>
      </c>
      <c r="B24" s="256">
        <v>44057</v>
      </c>
      <c r="C24" s="412" t="s">
        <v>1003</v>
      </c>
      <c r="D24" s="258" t="s">
        <v>61</v>
      </c>
      <c r="E24" s="257" t="s">
        <v>29</v>
      </c>
      <c r="F24" s="321">
        <v>326.62</v>
      </c>
      <c r="G24" s="260">
        <v>0.1</v>
      </c>
      <c r="H24" s="261">
        <v>30.04</v>
      </c>
      <c r="I24" s="262"/>
      <c r="J24" s="307"/>
      <c r="K24" s="308"/>
    </row>
    <row r="25" spans="1:11">
      <c r="A25" s="90">
        <v>43691</v>
      </c>
      <c r="B25" s="91">
        <v>44058</v>
      </c>
      <c r="C25" s="168" t="s">
        <v>1004</v>
      </c>
      <c r="D25" s="93" t="s">
        <v>61</v>
      </c>
      <c r="E25" s="92" t="s">
        <v>948</v>
      </c>
      <c r="F25" s="322">
        <v>1402.12</v>
      </c>
      <c r="G25" s="94">
        <v>0.18</v>
      </c>
      <c r="H25" s="95">
        <v>232.19</v>
      </c>
      <c r="I25" s="159"/>
      <c r="J25" s="108"/>
      <c r="K25" s="109"/>
    </row>
    <row r="26" spans="1:11">
      <c r="A26" s="312">
        <v>43691</v>
      </c>
      <c r="B26" s="313">
        <v>44058</v>
      </c>
      <c r="C26" s="551" t="s">
        <v>1005</v>
      </c>
      <c r="D26" s="315" t="s">
        <v>61</v>
      </c>
      <c r="E26" s="314" t="s">
        <v>22</v>
      </c>
      <c r="F26" s="324">
        <v>1146.5899999999999</v>
      </c>
      <c r="G26" s="316">
        <v>0.1</v>
      </c>
      <c r="H26" s="317">
        <v>105.48</v>
      </c>
      <c r="I26" s="253"/>
      <c r="J26" s="273"/>
      <c r="K26" s="274"/>
    </row>
    <row r="27" spans="1:11">
      <c r="A27" s="90">
        <v>43691</v>
      </c>
      <c r="B27" s="91">
        <v>43864</v>
      </c>
      <c r="C27" s="168" t="s">
        <v>1006</v>
      </c>
      <c r="D27" s="93" t="s">
        <v>70</v>
      </c>
      <c r="E27" s="92" t="s">
        <v>948</v>
      </c>
      <c r="F27" s="322">
        <v>1022.46</v>
      </c>
      <c r="G27" s="94">
        <v>0.1</v>
      </c>
      <c r="H27" s="95">
        <v>94.06</v>
      </c>
      <c r="I27" s="159"/>
      <c r="J27" s="108"/>
      <c r="K27" s="109"/>
    </row>
    <row r="28" spans="1:11">
      <c r="A28" s="90">
        <v>43692</v>
      </c>
      <c r="B28" s="91">
        <v>44063</v>
      </c>
      <c r="C28" s="168" t="s">
        <v>1007</v>
      </c>
      <c r="D28" s="93" t="s">
        <v>21</v>
      </c>
      <c r="E28" s="92" t="s">
        <v>22</v>
      </c>
      <c r="F28" s="322">
        <v>1263.24</v>
      </c>
      <c r="G28" s="94">
        <v>0.13</v>
      </c>
      <c r="H28" s="95">
        <v>151.08000000000001</v>
      </c>
      <c r="I28" s="159"/>
      <c r="J28" s="108"/>
      <c r="K28" s="109"/>
    </row>
    <row r="29" spans="1:11">
      <c r="A29" s="90">
        <v>43692</v>
      </c>
      <c r="B29" s="91">
        <v>44058</v>
      </c>
      <c r="C29" s="168" t="s">
        <v>1008</v>
      </c>
      <c r="D29" s="93" t="s">
        <v>9</v>
      </c>
      <c r="E29" s="92" t="s">
        <v>15</v>
      </c>
      <c r="F29" s="322">
        <v>2196.06</v>
      </c>
      <c r="G29" s="94">
        <v>0.13</v>
      </c>
      <c r="H29" s="95">
        <v>262.64</v>
      </c>
      <c r="I29" s="159"/>
      <c r="J29" s="108"/>
      <c r="K29" s="109"/>
    </row>
    <row r="30" spans="1:11">
      <c r="A30" s="352">
        <v>43699</v>
      </c>
      <c r="B30" s="345">
        <v>44065</v>
      </c>
      <c r="C30" s="566" t="s">
        <v>762</v>
      </c>
      <c r="D30" s="347" t="s">
        <v>61</v>
      </c>
      <c r="E30" s="346" t="s">
        <v>19</v>
      </c>
      <c r="F30" s="348">
        <v>1002.34</v>
      </c>
      <c r="G30" s="349">
        <v>0.24</v>
      </c>
      <c r="H30" s="350">
        <v>221.31</v>
      </c>
      <c r="I30" s="351">
        <v>110.65</v>
      </c>
      <c r="J30" s="433" t="s">
        <v>1009</v>
      </c>
      <c r="K30" s="434"/>
    </row>
    <row r="31" spans="1:11">
      <c r="A31" s="90">
        <v>43692</v>
      </c>
      <c r="B31" s="91">
        <v>44061</v>
      </c>
      <c r="C31" s="168" t="s">
        <v>1010</v>
      </c>
      <c r="D31" s="93" t="s">
        <v>21</v>
      </c>
      <c r="E31" s="92" t="s">
        <v>29</v>
      </c>
      <c r="F31" s="322">
        <v>1297.3800000000001</v>
      </c>
      <c r="G31" s="94">
        <v>0.1</v>
      </c>
      <c r="H31" s="95">
        <v>119.35</v>
      </c>
      <c r="I31" s="159">
        <v>59.67</v>
      </c>
      <c r="J31" s="108" t="s">
        <v>1011</v>
      </c>
      <c r="K31" s="109"/>
    </row>
    <row r="32" spans="1:11">
      <c r="A32" s="90">
        <v>43692</v>
      </c>
      <c r="B32" s="91">
        <v>44058</v>
      </c>
      <c r="C32" s="168" t="s">
        <v>1012</v>
      </c>
      <c r="D32" s="93" t="s">
        <v>61</v>
      </c>
      <c r="E32" s="92" t="s">
        <v>29</v>
      </c>
      <c r="F32" s="322">
        <v>2736.28</v>
      </c>
      <c r="G32" s="94">
        <v>0.1</v>
      </c>
      <c r="H32" s="95">
        <v>251.73</v>
      </c>
      <c r="I32" s="159"/>
      <c r="J32" s="108"/>
      <c r="K32" s="109"/>
    </row>
    <row r="33" spans="1:11">
      <c r="A33" s="90">
        <v>43692</v>
      </c>
      <c r="B33" s="91">
        <v>44061</v>
      </c>
      <c r="C33" s="168" t="s">
        <v>1013</v>
      </c>
      <c r="D33" s="93" t="s">
        <v>61</v>
      </c>
      <c r="E33" s="92" t="s">
        <v>19</v>
      </c>
      <c r="F33" s="322">
        <v>2168.85</v>
      </c>
      <c r="G33" s="94">
        <v>0.1</v>
      </c>
      <c r="H33" s="95">
        <v>199.53</v>
      </c>
      <c r="I33" s="159"/>
      <c r="J33" s="108"/>
      <c r="K33" s="109"/>
    </row>
    <row r="34" spans="1:11">
      <c r="A34" s="90">
        <v>43693</v>
      </c>
      <c r="B34" s="91">
        <v>44059</v>
      </c>
      <c r="C34" s="168" t="s">
        <v>1014</v>
      </c>
      <c r="D34" s="93" t="s">
        <v>198</v>
      </c>
      <c r="E34" s="92" t="s">
        <v>22</v>
      </c>
      <c r="F34" s="322">
        <v>2199.2800000000002</v>
      </c>
      <c r="G34" s="94">
        <v>0.1</v>
      </c>
      <c r="H34" s="95">
        <v>202.33</v>
      </c>
      <c r="I34" s="159"/>
      <c r="J34" s="108"/>
      <c r="K34" s="109"/>
    </row>
    <row r="35" spans="1:11">
      <c r="A35" s="90">
        <v>43693</v>
      </c>
      <c r="B35" s="91">
        <v>44063</v>
      </c>
      <c r="C35" s="168" t="s">
        <v>1015</v>
      </c>
      <c r="D35" s="93" t="s">
        <v>9</v>
      </c>
      <c r="E35" s="92" t="s">
        <v>948</v>
      </c>
      <c r="F35" s="322">
        <v>1538.83</v>
      </c>
      <c r="G35" s="94">
        <v>0.15</v>
      </c>
      <c r="H35" s="95">
        <v>212.28</v>
      </c>
      <c r="I35" s="159">
        <v>106.14</v>
      </c>
      <c r="J35" s="108" t="s">
        <v>1011</v>
      </c>
      <c r="K35" s="109"/>
    </row>
    <row r="36" spans="1:11">
      <c r="A36" s="90">
        <v>43693</v>
      </c>
      <c r="B36" s="91">
        <v>44059</v>
      </c>
      <c r="C36" s="168" t="s">
        <v>1016</v>
      </c>
      <c r="D36" s="93" t="s">
        <v>376</v>
      </c>
      <c r="E36" s="92" t="s">
        <v>948</v>
      </c>
      <c r="F36" s="322">
        <v>1420.08</v>
      </c>
      <c r="G36" s="94">
        <v>0.1</v>
      </c>
      <c r="H36" s="95">
        <v>130.63999999999999</v>
      </c>
      <c r="I36" s="159"/>
      <c r="J36" s="108"/>
      <c r="K36" s="109"/>
    </row>
    <row r="37" spans="1:11">
      <c r="A37" s="90">
        <v>43693</v>
      </c>
      <c r="B37" s="91">
        <v>44058</v>
      </c>
      <c r="C37" s="101" t="s">
        <v>1017</v>
      </c>
      <c r="D37" s="93" t="s">
        <v>21</v>
      </c>
      <c r="E37" s="92" t="s">
        <v>19</v>
      </c>
      <c r="F37" s="322">
        <v>2390.4899999999998</v>
      </c>
      <c r="G37" s="94">
        <v>0.1</v>
      </c>
      <c r="H37" s="95">
        <v>219.92</v>
      </c>
      <c r="I37" s="159"/>
      <c r="J37" s="108"/>
      <c r="K37" s="109"/>
    </row>
    <row r="38" spans="1:11">
      <c r="A38" s="90">
        <v>43696</v>
      </c>
      <c r="B38" s="91">
        <v>44067</v>
      </c>
      <c r="C38" s="168" t="s">
        <v>593</v>
      </c>
      <c r="D38" s="93" t="s">
        <v>9</v>
      </c>
      <c r="E38" s="92" t="s">
        <v>948</v>
      </c>
      <c r="F38" s="322">
        <v>2075.96</v>
      </c>
      <c r="G38" s="94">
        <v>0.1</v>
      </c>
      <c r="H38" s="95">
        <v>208.7</v>
      </c>
      <c r="I38" s="159"/>
      <c r="J38" s="108"/>
      <c r="K38" s="109"/>
    </row>
    <row r="39" spans="1:11">
      <c r="A39" s="90">
        <v>43697</v>
      </c>
      <c r="B39" s="91">
        <v>44063</v>
      </c>
      <c r="C39" s="168" t="s">
        <v>1018</v>
      </c>
      <c r="D39" s="93" t="s">
        <v>14</v>
      </c>
      <c r="E39" s="92" t="s">
        <v>948</v>
      </c>
      <c r="F39" s="322">
        <v>938.76</v>
      </c>
      <c r="G39" s="94">
        <v>0.22</v>
      </c>
      <c r="H39" s="95">
        <v>190</v>
      </c>
      <c r="I39" s="159"/>
      <c r="J39" s="108"/>
      <c r="K39" s="109"/>
    </row>
    <row r="40" spans="1:11">
      <c r="A40" s="90">
        <v>43697</v>
      </c>
      <c r="B40" s="91">
        <v>44067</v>
      </c>
      <c r="C40" s="168" t="s">
        <v>1019</v>
      </c>
      <c r="D40" s="93" t="s">
        <v>61</v>
      </c>
      <c r="E40" s="92" t="s">
        <v>948</v>
      </c>
      <c r="F40" s="322">
        <v>1784.05</v>
      </c>
      <c r="G40" s="94">
        <v>0.1</v>
      </c>
      <c r="H40" s="95">
        <v>164.13</v>
      </c>
      <c r="I40" s="159"/>
      <c r="J40" s="108"/>
      <c r="K40" s="109"/>
    </row>
    <row r="41" spans="1:11">
      <c r="A41" s="90">
        <v>43700</v>
      </c>
      <c r="B41" s="91">
        <v>44073</v>
      </c>
      <c r="C41" s="168" t="s">
        <v>369</v>
      </c>
      <c r="D41" s="93" t="s">
        <v>25</v>
      </c>
      <c r="E41" s="92" t="s">
        <v>317</v>
      </c>
      <c r="F41" s="322">
        <v>1231.06</v>
      </c>
      <c r="G41" s="94">
        <v>0.1</v>
      </c>
      <c r="H41" s="95">
        <v>113.25</v>
      </c>
      <c r="I41" s="159"/>
      <c r="J41" s="108"/>
      <c r="K41" s="109"/>
    </row>
    <row r="42" spans="1:11">
      <c r="A42" s="238">
        <v>43700</v>
      </c>
      <c r="B42" s="239">
        <v>44070</v>
      </c>
      <c r="C42" s="412" t="s">
        <v>1020</v>
      </c>
      <c r="D42" s="241" t="s">
        <v>14</v>
      </c>
      <c r="E42" s="240" t="s">
        <v>948</v>
      </c>
      <c r="F42" s="323">
        <v>2071.27</v>
      </c>
      <c r="G42" s="243">
        <v>0.1</v>
      </c>
      <c r="H42" s="244">
        <v>190.55</v>
      </c>
      <c r="I42" s="245"/>
      <c r="J42" s="263"/>
      <c r="K42" s="264"/>
    </row>
    <row r="43" spans="1:11">
      <c r="A43" s="90">
        <v>43700</v>
      </c>
      <c r="B43" s="91">
        <v>44066</v>
      </c>
      <c r="C43" s="101" t="s">
        <v>1021</v>
      </c>
      <c r="D43" s="93" t="s">
        <v>14</v>
      </c>
      <c r="E43" s="92" t="s">
        <v>948</v>
      </c>
      <c r="F43" s="322">
        <v>3644.54</v>
      </c>
      <c r="G43" s="94">
        <v>0.15</v>
      </c>
      <c r="H43" s="95">
        <v>502.94</v>
      </c>
      <c r="I43" s="159"/>
      <c r="J43" s="108"/>
      <c r="K43" s="109"/>
    </row>
    <row r="44" spans="1:11">
      <c r="A44" s="90">
        <v>43703</v>
      </c>
      <c r="B44" s="91">
        <v>44069</v>
      </c>
      <c r="C44" s="168" t="s">
        <v>1022</v>
      </c>
      <c r="D44" s="93" t="s">
        <v>61</v>
      </c>
      <c r="E44" s="92" t="s">
        <v>948</v>
      </c>
      <c r="F44" s="322">
        <v>946.66</v>
      </c>
      <c r="G44" s="94">
        <v>0.1</v>
      </c>
      <c r="H44" s="95">
        <v>87.09</v>
      </c>
      <c r="I44" s="159"/>
      <c r="J44" s="108"/>
      <c r="K44" s="109"/>
    </row>
    <row r="45" spans="1:11">
      <c r="A45" s="90">
        <v>43703</v>
      </c>
      <c r="B45" s="91">
        <v>44069</v>
      </c>
      <c r="C45" s="168" t="s">
        <v>476</v>
      </c>
      <c r="D45" s="93" t="s">
        <v>9</v>
      </c>
      <c r="E45" s="92" t="s">
        <v>279</v>
      </c>
      <c r="F45" s="322">
        <v>848.88</v>
      </c>
      <c r="G45" s="94">
        <v>0.2</v>
      </c>
      <c r="H45" s="95">
        <v>156.19</v>
      </c>
      <c r="I45" s="159"/>
      <c r="J45" s="108"/>
      <c r="K45" s="109"/>
    </row>
    <row r="46" spans="1:11">
      <c r="A46" s="238">
        <v>43703</v>
      </c>
      <c r="B46" s="239">
        <v>44071</v>
      </c>
      <c r="C46" s="412" t="s">
        <v>1023</v>
      </c>
      <c r="D46" s="241" t="s">
        <v>21</v>
      </c>
      <c r="E46" s="240" t="s">
        <v>75</v>
      </c>
      <c r="F46" s="323">
        <v>694.48</v>
      </c>
      <c r="G46" s="243">
        <v>0.1</v>
      </c>
      <c r="H46" s="244">
        <v>63.93</v>
      </c>
      <c r="I46" s="245"/>
      <c r="J46" s="263"/>
      <c r="K46" s="264"/>
    </row>
    <row r="47" spans="1:11">
      <c r="A47" s="90">
        <v>43704</v>
      </c>
      <c r="B47" s="91">
        <v>44070</v>
      </c>
      <c r="C47" s="101" t="s">
        <v>1024</v>
      </c>
      <c r="D47" s="93" t="s">
        <v>9</v>
      </c>
      <c r="E47" s="92" t="s">
        <v>19</v>
      </c>
      <c r="F47" s="322">
        <v>1561.2</v>
      </c>
      <c r="G47" s="94">
        <v>0.1</v>
      </c>
      <c r="H47" s="95">
        <v>143.63</v>
      </c>
      <c r="I47" s="159"/>
      <c r="J47" s="108"/>
      <c r="K47" s="109"/>
    </row>
    <row r="48" spans="1:11">
      <c r="A48" s="359">
        <v>43705</v>
      </c>
      <c r="B48" s="345">
        <v>44071</v>
      </c>
      <c r="C48" s="566" t="s">
        <v>1025</v>
      </c>
      <c r="D48" s="347" t="s">
        <v>9</v>
      </c>
      <c r="E48" s="346" t="s">
        <v>948</v>
      </c>
      <c r="F48" s="348">
        <v>1578.71</v>
      </c>
      <c r="G48" s="349">
        <v>0.13</v>
      </c>
      <c r="H48" s="350">
        <v>188.81</v>
      </c>
      <c r="I48" s="303"/>
      <c r="J48" s="295"/>
      <c r="K48" s="296"/>
    </row>
    <row r="49" spans="1:11">
      <c r="A49" s="90">
        <v>43706</v>
      </c>
      <c r="B49" s="91">
        <v>44072</v>
      </c>
      <c r="C49" s="168" t="s">
        <v>1026</v>
      </c>
      <c r="D49" s="93" t="s">
        <v>14</v>
      </c>
      <c r="E49" s="92" t="s">
        <v>15</v>
      </c>
      <c r="F49" s="322">
        <v>3209.9</v>
      </c>
      <c r="G49" s="94">
        <v>0.1</v>
      </c>
      <c r="H49" s="95">
        <v>295.31</v>
      </c>
      <c r="I49" s="159"/>
      <c r="J49" s="108"/>
      <c r="K49" s="109"/>
    </row>
    <row r="50" spans="1:11">
      <c r="A50" s="238">
        <v>43710</v>
      </c>
      <c r="B50" s="239">
        <v>44073</v>
      </c>
      <c r="C50" s="412" t="s">
        <v>1027</v>
      </c>
      <c r="D50" s="241" t="s">
        <v>376</v>
      </c>
      <c r="E50" s="240" t="s">
        <v>22</v>
      </c>
      <c r="F50" s="323">
        <v>4772.3100000000004</v>
      </c>
      <c r="G50" s="243">
        <v>0.11</v>
      </c>
      <c r="H50" s="244">
        <v>482.95</v>
      </c>
      <c r="I50" s="245"/>
      <c r="J50" s="263"/>
      <c r="K50" s="264"/>
    </row>
    <row r="51" spans="1:11">
      <c r="A51" s="90"/>
      <c r="B51" s="91"/>
      <c r="C51" s="92"/>
      <c r="D51" s="93"/>
      <c r="E51" s="92"/>
      <c r="F51" s="322"/>
      <c r="G51" s="94"/>
      <c r="H51" s="95"/>
      <c r="I51" s="159"/>
      <c r="J51" s="108"/>
      <c r="K51" s="109"/>
    </row>
    <row r="52" spans="1:11">
      <c r="A52" s="90"/>
      <c r="B52" s="91"/>
      <c r="C52" s="92"/>
      <c r="D52" s="93"/>
      <c r="E52" s="92"/>
      <c r="F52" s="322"/>
      <c r="G52" s="94"/>
      <c r="H52" s="95"/>
      <c r="I52" s="159"/>
      <c r="J52" s="108"/>
      <c r="K52" s="109"/>
    </row>
    <row r="53" spans="1:11">
      <c r="A53" s="90"/>
      <c r="B53" s="91"/>
      <c r="C53" s="92"/>
      <c r="D53" s="93"/>
      <c r="E53" s="92"/>
      <c r="F53" s="322"/>
      <c r="G53" s="94"/>
      <c r="H53" s="95"/>
      <c r="I53" s="159"/>
      <c r="J53" s="108"/>
      <c r="K53" s="109"/>
    </row>
    <row r="54" spans="1:11">
      <c r="A54" s="90"/>
      <c r="B54" s="91"/>
      <c r="C54" s="92"/>
      <c r="D54" s="93"/>
      <c r="E54" s="92"/>
      <c r="F54" s="322"/>
      <c r="G54" s="94"/>
      <c r="H54" s="95"/>
      <c r="I54" s="159"/>
      <c r="J54" s="108"/>
      <c r="K54" s="109"/>
    </row>
    <row r="55" spans="1:11">
      <c r="A55" s="90"/>
      <c r="B55" s="91"/>
      <c r="C55" s="92"/>
      <c r="D55" s="93"/>
      <c r="E55" s="92"/>
      <c r="F55" s="322"/>
      <c r="G55" s="94"/>
      <c r="H55" s="95"/>
      <c r="I55" s="159"/>
      <c r="J55" s="108"/>
      <c r="K55" s="109"/>
    </row>
    <row r="56" spans="1:11">
      <c r="A56" s="90"/>
      <c r="B56" s="91"/>
      <c r="C56" s="92"/>
      <c r="D56" s="93"/>
      <c r="E56" s="92"/>
      <c r="F56" s="322"/>
      <c r="G56" s="94"/>
      <c r="H56" s="95"/>
      <c r="I56" s="159"/>
      <c r="J56" s="108"/>
      <c r="K56" s="109"/>
    </row>
    <row r="57" spans="1:11">
      <c r="A57" s="90"/>
      <c r="B57" s="91"/>
      <c r="C57" s="92"/>
      <c r="D57" s="93"/>
      <c r="E57" s="92"/>
      <c r="F57" s="322"/>
      <c r="G57" s="94"/>
      <c r="H57" s="95"/>
      <c r="I57" s="159"/>
      <c r="J57" s="108"/>
      <c r="K57" s="109"/>
    </row>
    <row r="58" spans="1:11">
      <c r="A58" s="90"/>
      <c r="B58" s="91"/>
      <c r="C58" s="92" t="s">
        <v>1028</v>
      </c>
      <c r="D58" s="93"/>
      <c r="E58" s="92"/>
      <c r="F58" s="322"/>
      <c r="G58" s="94"/>
      <c r="H58" s="95"/>
      <c r="I58" s="159"/>
      <c r="J58" s="108"/>
      <c r="K58" s="109"/>
    </row>
    <row r="59" spans="1:11" ht="19.5">
      <c r="A59" s="673"/>
      <c r="B59" s="674"/>
      <c r="C59" s="674"/>
      <c r="D59" s="674"/>
      <c r="E59" s="674"/>
      <c r="F59" s="338">
        <f>SUM(F2:F58)</f>
        <v>86512.299999999988</v>
      </c>
      <c r="G59" s="143"/>
      <c r="H59" s="129">
        <f>SUM(H2:H58)</f>
        <v>9384.1999999999989</v>
      </c>
      <c r="I59" s="107">
        <f>SUM(I2:I58)</f>
        <v>526.74</v>
      </c>
    </row>
    <row r="63" spans="1:11">
      <c r="C63" t="s">
        <v>1029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K57"/>
  <sheetViews>
    <sheetView topLeftCell="A16" workbookViewId="0"/>
  </sheetViews>
  <sheetFormatPr defaultRowHeight="15"/>
  <cols>
    <col min="2" max="2" width="11.5703125" bestFit="1" customWidth="1"/>
    <col min="3" max="3" width="57.7109375" bestFit="1" customWidth="1"/>
  </cols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216">
        <v>43705</v>
      </c>
      <c r="B2" s="225">
        <v>44077</v>
      </c>
      <c r="C2" s="172" t="s">
        <v>1030</v>
      </c>
      <c r="D2" s="218" t="s">
        <v>21</v>
      </c>
      <c r="E2" s="217" t="s">
        <v>10</v>
      </c>
      <c r="F2" s="371">
        <v>1916.76</v>
      </c>
      <c r="G2" s="220">
        <v>0.1</v>
      </c>
      <c r="H2" s="214">
        <v>176.34</v>
      </c>
      <c r="I2" s="215"/>
      <c r="J2" s="223"/>
      <c r="K2" s="224"/>
    </row>
    <row r="3" spans="1:11">
      <c r="A3" s="360">
        <v>43706</v>
      </c>
      <c r="B3" s="221">
        <v>44078</v>
      </c>
      <c r="C3" s="172" t="s">
        <v>1031</v>
      </c>
      <c r="D3" s="218" t="s">
        <v>21</v>
      </c>
      <c r="E3" s="217" t="s">
        <v>22</v>
      </c>
      <c r="F3" s="371">
        <v>2259.6999999999998</v>
      </c>
      <c r="G3" s="220">
        <v>0.17</v>
      </c>
      <c r="H3" s="214">
        <v>353.41</v>
      </c>
      <c r="I3" s="215"/>
      <c r="J3" s="223"/>
      <c r="K3" s="224"/>
    </row>
    <row r="4" spans="1:11">
      <c r="A4" s="255">
        <v>43706</v>
      </c>
      <c r="B4" s="256">
        <v>44078</v>
      </c>
      <c r="C4" s="257" t="s">
        <v>1032</v>
      </c>
      <c r="D4" s="258" t="s">
        <v>448</v>
      </c>
      <c r="E4" s="257" t="s">
        <v>469</v>
      </c>
      <c r="F4" s="372">
        <v>3300</v>
      </c>
      <c r="G4" s="260" t="s">
        <v>1033</v>
      </c>
      <c r="H4" s="261">
        <v>300</v>
      </c>
      <c r="I4" s="262"/>
      <c r="J4" s="307"/>
      <c r="K4" s="308"/>
    </row>
    <row r="5" spans="1:11">
      <c r="A5" s="207">
        <v>43711</v>
      </c>
      <c r="B5" s="208">
        <v>44076</v>
      </c>
      <c r="C5" s="414" t="s">
        <v>1034</v>
      </c>
      <c r="D5" s="209" t="s">
        <v>713</v>
      </c>
      <c r="E5" s="169" t="s">
        <v>10</v>
      </c>
      <c r="F5" s="373">
        <v>1022.83</v>
      </c>
      <c r="G5" s="211">
        <v>0.15</v>
      </c>
      <c r="H5" s="212">
        <v>141.15</v>
      </c>
      <c r="I5" s="213">
        <v>70.569999999999993</v>
      </c>
      <c r="J5" s="408" t="s">
        <v>491</v>
      </c>
      <c r="K5" s="409"/>
    </row>
    <row r="6" spans="1:11">
      <c r="A6" s="207">
        <v>43710</v>
      </c>
      <c r="B6" s="208">
        <v>44080</v>
      </c>
      <c r="C6" s="168" t="s">
        <v>1035</v>
      </c>
      <c r="D6" s="209" t="s">
        <v>149</v>
      </c>
      <c r="E6" s="169" t="s">
        <v>15</v>
      </c>
      <c r="F6" s="373">
        <v>2377.41</v>
      </c>
      <c r="G6" s="222">
        <v>0.1</v>
      </c>
      <c r="H6" s="212">
        <v>218.72</v>
      </c>
      <c r="I6" s="213"/>
      <c r="J6" s="223"/>
      <c r="K6" s="224"/>
    </row>
    <row r="7" spans="1:11">
      <c r="A7" s="90">
        <v>43712</v>
      </c>
      <c r="B7" s="91">
        <v>44091</v>
      </c>
      <c r="C7" s="168" t="s">
        <v>1036</v>
      </c>
      <c r="D7" s="93" t="s">
        <v>448</v>
      </c>
      <c r="E7" s="169" t="s">
        <v>469</v>
      </c>
      <c r="F7" s="374">
        <v>2011.68</v>
      </c>
      <c r="G7" s="94" t="s">
        <v>454</v>
      </c>
      <c r="H7" s="95">
        <v>150</v>
      </c>
      <c r="I7" s="159">
        <v>75</v>
      </c>
      <c r="J7" s="406" t="s">
        <v>1037</v>
      </c>
      <c r="K7" s="407"/>
    </row>
    <row r="8" spans="1:11">
      <c r="A8" s="90">
        <v>43713</v>
      </c>
      <c r="B8" s="91">
        <v>44080</v>
      </c>
      <c r="C8" s="168" t="s">
        <v>1038</v>
      </c>
      <c r="D8" s="93" t="s">
        <v>61</v>
      </c>
      <c r="E8" s="169" t="s">
        <v>19</v>
      </c>
      <c r="F8" s="374">
        <v>734.94</v>
      </c>
      <c r="G8" s="94">
        <v>0.17</v>
      </c>
      <c r="H8" s="95">
        <v>114.94</v>
      </c>
      <c r="I8" s="159"/>
      <c r="J8" s="108"/>
      <c r="K8" s="109"/>
    </row>
    <row r="9" spans="1:11">
      <c r="A9" s="207">
        <v>43717</v>
      </c>
      <c r="B9" s="208">
        <v>44083</v>
      </c>
      <c r="C9" s="168" t="s">
        <v>1039</v>
      </c>
      <c r="D9" s="209" t="s">
        <v>9</v>
      </c>
      <c r="E9" s="169" t="s">
        <v>17</v>
      </c>
      <c r="F9" s="373">
        <v>1348.88</v>
      </c>
      <c r="G9" s="211">
        <v>0.1</v>
      </c>
      <c r="H9" s="212">
        <v>124.09</v>
      </c>
      <c r="I9" s="213"/>
      <c r="J9" s="223"/>
      <c r="K9" s="224"/>
    </row>
    <row r="10" spans="1:11">
      <c r="A10" s="90">
        <v>43717</v>
      </c>
      <c r="B10" s="91">
        <v>44091</v>
      </c>
      <c r="C10" s="172" t="s">
        <v>1040</v>
      </c>
      <c r="D10" s="93" t="s">
        <v>25</v>
      </c>
      <c r="E10" s="92" t="s">
        <v>10</v>
      </c>
      <c r="F10" s="374">
        <v>1181.04</v>
      </c>
      <c r="G10" s="94">
        <v>0.2</v>
      </c>
      <c r="H10" s="95">
        <v>271.31</v>
      </c>
      <c r="I10" s="159"/>
      <c r="J10" s="108"/>
      <c r="K10" s="109"/>
    </row>
    <row r="11" spans="1:11">
      <c r="A11" s="90">
        <v>43717</v>
      </c>
      <c r="B11" s="91">
        <v>44083</v>
      </c>
      <c r="C11" s="172" t="s">
        <v>169</v>
      </c>
      <c r="D11" s="93" t="s">
        <v>448</v>
      </c>
      <c r="E11" s="92" t="s">
        <v>19</v>
      </c>
      <c r="F11" s="374">
        <v>1836.96</v>
      </c>
      <c r="G11" s="94">
        <v>0.1</v>
      </c>
      <c r="H11" s="95">
        <v>169</v>
      </c>
      <c r="I11" s="159"/>
      <c r="J11" s="108"/>
      <c r="K11" s="109"/>
    </row>
    <row r="12" spans="1:11">
      <c r="A12" s="90">
        <v>43717</v>
      </c>
      <c r="B12" s="91">
        <v>44089</v>
      </c>
      <c r="C12" s="566" t="s">
        <v>1041</v>
      </c>
      <c r="D12" s="93" t="s">
        <v>9</v>
      </c>
      <c r="E12" s="92" t="s">
        <v>10</v>
      </c>
      <c r="F12" s="374">
        <v>1173.81</v>
      </c>
      <c r="G12" s="94">
        <v>0.1</v>
      </c>
      <c r="H12" s="95">
        <v>107.99</v>
      </c>
      <c r="I12" s="159"/>
      <c r="J12" s="108"/>
      <c r="K12" s="109"/>
    </row>
    <row r="13" spans="1:11">
      <c r="A13" s="238">
        <v>43717</v>
      </c>
      <c r="B13" s="239">
        <v>44083</v>
      </c>
      <c r="C13" s="569" t="s">
        <v>1042</v>
      </c>
      <c r="D13" s="241" t="s">
        <v>9</v>
      </c>
      <c r="E13" s="240" t="s">
        <v>22</v>
      </c>
      <c r="F13" s="376">
        <v>1911.7</v>
      </c>
      <c r="G13" s="243">
        <v>0.1</v>
      </c>
      <c r="H13" s="244">
        <v>175.87</v>
      </c>
      <c r="I13" s="245"/>
      <c r="J13" s="263"/>
      <c r="K13" s="264"/>
    </row>
    <row r="14" spans="1:11">
      <c r="A14" s="238">
        <v>43718</v>
      </c>
      <c r="B14" s="239">
        <v>44086</v>
      </c>
      <c r="C14" s="584" t="s">
        <v>1043</v>
      </c>
      <c r="D14" s="241" t="s">
        <v>61</v>
      </c>
      <c r="E14" s="240" t="s">
        <v>1044</v>
      </c>
      <c r="F14" s="376">
        <v>1481.65</v>
      </c>
      <c r="G14" s="243">
        <v>0.15</v>
      </c>
      <c r="H14" s="244">
        <v>204.46</v>
      </c>
      <c r="I14" s="159"/>
      <c r="J14" s="108"/>
      <c r="K14" s="109"/>
    </row>
    <row r="15" spans="1:11">
      <c r="A15" s="90">
        <v>43719</v>
      </c>
      <c r="B15" s="91">
        <v>44092</v>
      </c>
      <c r="C15" s="566" t="s">
        <v>1045</v>
      </c>
      <c r="D15" s="93" t="s">
        <v>9</v>
      </c>
      <c r="E15" s="92" t="s">
        <v>10</v>
      </c>
      <c r="F15" s="374">
        <v>1124.01</v>
      </c>
      <c r="G15" s="94">
        <v>0.25</v>
      </c>
      <c r="H15" s="95">
        <v>258.52</v>
      </c>
      <c r="I15" s="159"/>
      <c r="J15" s="108"/>
      <c r="K15" s="109"/>
    </row>
    <row r="16" spans="1:11">
      <c r="A16" s="238">
        <v>43720</v>
      </c>
      <c r="B16" s="239">
        <v>44086</v>
      </c>
      <c r="C16" s="412" t="s">
        <v>595</v>
      </c>
      <c r="D16" s="241" t="s">
        <v>25</v>
      </c>
      <c r="E16" s="240" t="s">
        <v>362</v>
      </c>
      <c r="F16" s="376">
        <v>2418.7800000000002</v>
      </c>
      <c r="G16" s="243">
        <v>0.2</v>
      </c>
      <c r="H16" s="244">
        <v>445.05</v>
      </c>
      <c r="I16" s="159"/>
      <c r="J16" s="108"/>
      <c r="K16" s="109"/>
    </row>
    <row r="17" spans="1:11">
      <c r="A17" s="90">
        <v>43720</v>
      </c>
      <c r="B17" s="91">
        <v>44086</v>
      </c>
      <c r="C17" s="172" t="s">
        <v>1046</v>
      </c>
      <c r="D17" s="93" t="s">
        <v>9</v>
      </c>
      <c r="E17" s="92" t="s">
        <v>29</v>
      </c>
      <c r="F17" s="374">
        <v>811.72</v>
      </c>
      <c r="G17" s="94">
        <v>0.1</v>
      </c>
      <c r="H17" s="95">
        <v>74.67</v>
      </c>
      <c r="I17" s="159"/>
      <c r="J17" s="108"/>
      <c r="K17" s="109"/>
    </row>
    <row r="18" spans="1:11">
      <c r="A18" s="90">
        <v>43720</v>
      </c>
      <c r="B18" s="91">
        <v>44088</v>
      </c>
      <c r="C18" s="172" t="s">
        <v>1047</v>
      </c>
      <c r="D18" s="93" t="s">
        <v>25</v>
      </c>
      <c r="E18" s="92" t="s">
        <v>10</v>
      </c>
      <c r="F18" s="374">
        <v>1551.75</v>
      </c>
      <c r="G18" s="94">
        <v>0.1</v>
      </c>
      <c r="H18" s="95">
        <v>142.76</v>
      </c>
      <c r="I18" s="159"/>
      <c r="J18" s="108"/>
      <c r="K18" s="109"/>
    </row>
    <row r="19" spans="1:11">
      <c r="A19" s="207">
        <v>43720</v>
      </c>
      <c r="B19" s="208">
        <v>44085</v>
      </c>
      <c r="C19" s="353" t="s">
        <v>1048</v>
      </c>
      <c r="D19" s="209" t="s">
        <v>9</v>
      </c>
      <c r="E19" s="169" t="s">
        <v>10</v>
      </c>
      <c r="F19" s="373">
        <v>2322.88</v>
      </c>
      <c r="G19" s="211">
        <v>0.1</v>
      </c>
      <c r="H19" s="212">
        <v>213.7</v>
      </c>
      <c r="I19" s="213"/>
      <c r="J19" s="223"/>
      <c r="K19" s="224"/>
    </row>
    <row r="20" spans="1:11">
      <c r="A20" s="90">
        <v>43721</v>
      </c>
      <c r="B20" s="91">
        <v>44089</v>
      </c>
      <c r="C20" s="584" t="s">
        <v>1049</v>
      </c>
      <c r="D20" s="93" t="s">
        <v>9</v>
      </c>
      <c r="E20" s="92" t="s">
        <v>17</v>
      </c>
      <c r="F20" s="374">
        <v>1103.99</v>
      </c>
      <c r="G20" s="94">
        <v>0.21</v>
      </c>
      <c r="H20" s="95">
        <v>213.29</v>
      </c>
      <c r="I20" s="159"/>
      <c r="J20" s="108"/>
      <c r="K20" s="109"/>
    </row>
    <row r="21" spans="1:11">
      <c r="A21" s="90">
        <v>43721</v>
      </c>
      <c r="B21" s="91">
        <v>44089</v>
      </c>
      <c r="C21" s="566" t="s">
        <v>1050</v>
      </c>
      <c r="D21" s="93" t="s">
        <v>61</v>
      </c>
      <c r="E21" s="92" t="s">
        <v>90</v>
      </c>
      <c r="F21" s="374">
        <v>1504.08</v>
      </c>
      <c r="G21" s="94">
        <v>0.13</v>
      </c>
      <c r="H21" s="95">
        <v>179.88</v>
      </c>
      <c r="I21" s="159"/>
      <c r="J21" s="108"/>
      <c r="K21" s="109"/>
    </row>
    <row r="22" spans="1:11">
      <c r="A22" s="90">
        <v>43719</v>
      </c>
      <c r="B22" s="91">
        <v>44087</v>
      </c>
      <c r="C22" s="101" t="s">
        <v>1051</v>
      </c>
      <c r="D22" s="93" t="s">
        <v>448</v>
      </c>
      <c r="E22" s="92" t="s">
        <v>279</v>
      </c>
      <c r="F22" s="374">
        <v>1895.77</v>
      </c>
      <c r="G22" s="94">
        <v>0.1</v>
      </c>
      <c r="H22" s="95">
        <v>175</v>
      </c>
      <c r="I22" s="159"/>
      <c r="J22" s="108"/>
      <c r="K22" s="109"/>
    </row>
    <row r="23" spans="1:11">
      <c r="A23" s="90">
        <v>43721</v>
      </c>
      <c r="B23" s="91">
        <v>44088</v>
      </c>
      <c r="C23" s="566" t="s">
        <v>38</v>
      </c>
      <c r="D23" s="93" t="s">
        <v>9</v>
      </c>
      <c r="E23" s="92" t="s">
        <v>22</v>
      </c>
      <c r="F23" s="374">
        <v>723.76</v>
      </c>
      <c r="G23" s="94">
        <v>0.2</v>
      </c>
      <c r="H23" s="95">
        <v>133.16999999999999</v>
      </c>
      <c r="I23" s="159"/>
      <c r="J23" s="108"/>
      <c r="K23" s="109"/>
    </row>
    <row r="24" spans="1:11">
      <c r="A24" s="255">
        <v>43724</v>
      </c>
      <c r="B24" s="256">
        <v>44095</v>
      </c>
      <c r="C24" s="412" t="s">
        <v>1052</v>
      </c>
      <c r="D24" s="258" t="s">
        <v>61</v>
      </c>
      <c r="E24" s="257" t="s">
        <v>19</v>
      </c>
      <c r="F24" s="372">
        <v>1515.71</v>
      </c>
      <c r="G24" s="260">
        <v>0.1</v>
      </c>
      <c r="H24" s="261">
        <v>139.44</v>
      </c>
      <c r="I24" s="262"/>
      <c r="J24" s="307"/>
      <c r="K24" s="308"/>
    </row>
    <row r="25" spans="1:11">
      <c r="A25" s="90">
        <v>43725</v>
      </c>
      <c r="B25" s="91">
        <v>44085</v>
      </c>
      <c r="C25" s="566" t="s">
        <v>1053</v>
      </c>
      <c r="D25" s="93" t="s">
        <v>448</v>
      </c>
      <c r="E25" s="92" t="s">
        <v>945</v>
      </c>
      <c r="F25" s="374">
        <v>894.94</v>
      </c>
      <c r="G25" s="94">
        <v>0.1</v>
      </c>
      <c r="H25" s="95">
        <v>82.33</v>
      </c>
      <c r="I25" s="159"/>
      <c r="J25" s="108"/>
      <c r="K25" s="109"/>
    </row>
    <row r="26" spans="1:11">
      <c r="A26" s="255">
        <v>44091</v>
      </c>
      <c r="B26" s="256">
        <v>44090</v>
      </c>
      <c r="C26" s="566" t="s">
        <v>1054</v>
      </c>
      <c r="D26" s="258" t="s">
        <v>61</v>
      </c>
      <c r="E26" s="169" t="s">
        <v>29</v>
      </c>
      <c r="F26" s="372">
        <v>5690.28</v>
      </c>
      <c r="G26" s="260">
        <v>0.15</v>
      </c>
      <c r="H26" s="261">
        <v>785.25</v>
      </c>
      <c r="I26" s="262"/>
      <c r="J26" s="307"/>
      <c r="K26" s="308"/>
    </row>
    <row r="27" spans="1:11">
      <c r="A27" s="359">
        <v>43724</v>
      </c>
      <c r="B27" s="345">
        <v>44090</v>
      </c>
      <c r="C27" s="566" t="s">
        <v>1055</v>
      </c>
      <c r="D27" s="347" t="s">
        <v>14</v>
      </c>
      <c r="E27" s="346" t="s">
        <v>29</v>
      </c>
      <c r="F27" s="377">
        <v>2326.5</v>
      </c>
      <c r="G27" s="349">
        <v>0.1</v>
      </c>
      <c r="H27" s="350">
        <v>214.03</v>
      </c>
      <c r="I27" s="351">
        <v>107.01</v>
      </c>
      <c r="J27" s="410" t="s">
        <v>924</v>
      </c>
      <c r="K27" s="411"/>
    </row>
    <row r="28" spans="1:11">
      <c r="A28" s="90">
        <v>43725</v>
      </c>
      <c r="B28" s="91">
        <v>44091</v>
      </c>
      <c r="C28" s="566" t="s">
        <v>790</v>
      </c>
      <c r="D28" s="93" t="s">
        <v>61</v>
      </c>
      <c r="E28" s="92" t="s">
        <v>15</v>
      </c>
      <c r="F28" s="374">
        <v>1644.86</v>
      </c>
      <c r="G28" s="94">
        <v>0.1</v>
      </c>
      <c r="H28" s="95">
        <v>151.32</v>
      </c>
      <c r="I28" s="159"/>
      <c r="J28" s="108"/>
      <c r="K28" s="109"/>
    </row>
    <row r="29" spans="1:11">
      <c r="A29" s="238">
        <v>43725</v>
      </c>
      <c r="B29" s="239">
        <v>44095</v>
      </c>
      <c r="C29" s="412" t="s">
        <v>1056</v>
      </c>
      <c r="D29" s="241" t="s">
        <v>21</v>
      </c>
      <c r="E29" s="240" t="s">
        <v>22</v>
      </c>
      <c r="F29" s="376">
        <v>2938.37</v>
      </c>
      <c r="G29" s="243">
        <v>0.1</v>
      </c>
      <c r="H29" s="244">
        <v>270.33</v>
      </c>
      <c r="I29" s="245"/>
      <c r="J29" s="263"/>
      <c r="K29" s="264"/>
    </row>
    <row r="30" spans="1:11">
      <c r="A30" s="90">
        <v>43728</v>
      </c>
      <c r="B30" s="91">
        <v>44095</v>
      </c>
      <c r="C30" s="566" t="s">
        <v>1057</v>
      </c>
      <c r="D30" s="93" t="s">
        <v>61</v>
      </c>
      <c r="E30" s="92" t="s">
        <v>10</v>
      </c>
      <c r="F30" s="374">
        <v>1251.6600000000001</v>
      </c>
      <c r="G30" s="94">
        <v>0.1</v>
      </c>
      <c r="H30" s="95">
        <v>115.14</v>
      </c>
      <c r="I30" s="159"/>
      <c r="J30" s="108"/>
      <c r="K30" s="109"/>
    </row>
    <row r="31" spans="1:11">
      <c r="A31" s="90">
        <v>43728</v>
      </c>
      <c r="B31" s="91">
        <v>44094</v>
      </c>
      <c r="C31" s="566" t="s">
        <v>629</v>
      </c>
      <c r="D31" s="93" t="s">
        <v>9</v>
      </c>
      <c r="E31" s="92" t="s">
        <v>15</v>
      </c>
      <c r="F31" s="374">
        <v>1770.36</v>
      </c>
      <c r="G31" s="94">
        <v>0.1</v>
      </c>
      <c r="H31" s="95">
        <v>162.87</v>
      </c>
      <c r="I31" s="159"/>
      <c r="J31" s="108"/>
      <c r="K31" s="109"/>
    </row>
    <row r="32" spans="1:11">
      <c r="A32" s="265">
        <v>43728</v>
      </c>
      <c r="B32" s="266">
        <v>44094</v>
      </c>
      <c r="C32" s="583" t="s">
        <v>1058</v>
      </c>
      <c r="D32" s="268" t="s">
        <v>61</v>
      </c>
      <c r="E32" s="267" t="s">
        <v>10</v>
      </c>
      <c r="F32" s="378">
        <v>2063.87</v>
      </c>
      <c r="G32" s="270">
        <v>0.1</v>
      </c>
      <c r="H32" s="271">
        <v>189.87</v>
      </c>
      <c r="I32" s="272"/>
      <c r="J32" s="406"/>
      <c r="K32" s="407"/>
    </row>
    <row r="33" spans="1:11">
      <c r="A33" s="90">
        <v>43466</v>
      </c>
      <c r="B33" s="91">
        <v>43831</v>
      </c>
      <c r="C33" s="566" t="s">
        <v>1059</v>
      </c>
      <c r="D33" s="93" t="s">
        <v>9</v>
      </c>
      <c r="E33" s="92" t="s">
        <v>29</v>
      </c>
      <c r="F33" s="322">
        <v>1677.65</v>
      </c>
      <c r="G33" s="94">
        <v>0.1</v>
      </c>
      <c r="H33" s="95">
        <v>154.34</v>
      </c>
      <c r="I33" s="159">
        <v>77.17</v>
      </c>
      <c r="J33" s="108" t="s">
        <v>924</v>
      </c>
      <c r="K33" s="109" t="s">
        <v>1060</v>
      </c>
    </row>
    <row r="34" spans="1:11">
      <c r="A34" s="90">
        <v>43731</v>
      </c>
      <c r="B34" s="91">
        <v>44098</v>
      </c>
      <c r="C34" s="566" t="s">
        <v>1061</v>
      </c>
      <c r="D34" s="93" t="s">
        <v>448</v>
      </c>
      <c r="E34" s="92" t="s">
        <v>279</v>
      </c>
      <c r="F34" s="374">
        <v>2241.5500000000002</v>
      </c>
      <c r="G34" s="94">
        <v>0.1</v>
      </c>
      <c r="H34" s="95">
        <v>206.22</v>
      </c>
      <c r="I34" s="159">
        <v>103.11</v>
      </c>
      <c r="J34" s="108" t="s">
        <v>924</v>
      </c>
      <c r="K34" s="109"/>
    </row>
    <row r="35" spans="1:11">
      <c r="A35" s="90">
        <v>43731</v>
      </c>
      <c r="B35" s="91">
        <v>44101</v>
      </c>
      <c r="C35" s="566" t="s">
        <v>1062</v>
      </c>
      <c r="D35" s="93" t="s">
        <v>448</v>
      </c>
      <c r="E35" s="92" t="s">
        <v>469</v>
      </c>
      <c r="F35" s="374">
        <v>2052</v>
      </c>
      <c r="G35" s="94" t="s">
        <v>609</v>
      </c>
      <c r="H35" s="95">
        <v>150</v>
      </c>
      <c r="I35" s="159"/>
      <c r="J35" s="108"/>
      <c r="K35" s="109"/>
    </row>
    <row r="36" spans="1:11">
      <c r="A36" s="90">
        <v>43732</v>
      </c>
      <c r="B36" s="91">
        <v>44098</v>
      </c>
      <c r="C36" s="566" t="s">
        <v>1063</v>
      </c>
      <c r="D36" s="93" t="s">
        <v>448</v>
      </c>
      <c r="E36" s="92" t="s">
        <v>19</v>
      </c>
      <c r="F36" s="374">
        <v>1365.45</v>
      </c>
      <c r="G36" s="94">
        <v>0.13</v>
      </c>
      <c r="H36" s="95">
        <v>163.30000000000001</v>
      </c>
      <c r="I36" s="159"/>
      <c r="J36" s="108"/>
      <c r="K36" s="109"/>
    </row>
    <row r="37" spans="1:11">
      <c r="A37" s="90">
        <v>43732</v>
      </c>
      <c r="B37" s="91">
        <v>44103</v>
      </c>
      <c r="C37" s="566" t="s">
        <v>1064</v>
      </c>
      <c r="D37" s="93" t="s">
        <v>9</v>
      </c>
      <c r="E37" s="92" t="s">
        <v>22</v>
      </c>
      <c r="F37" s="374">
        <v>1646.06</v>
      </c>
      <c r="G37" s="94">
        <v>0.1</v>
      </c>
      <c r="H37" s="95">
        <v>151.43</v>
      </c>
      <c r="I37" s="159"/>
      <c r="J37" s="108"/>
      <c r="K37" s="109"/>
    </row>
    <row r="38" spans="1:11">
      <c r="A38" s="90">
        <v>43724</v>
      </c>
      <c r="B38" s="91">
        <v>44027</v>
      </c>
      <c r="C38" s="92" t="s">
        <v>1065</v>
      </c>
      <c r="D38" s="93"/>
      <c r="E38" s="92" t="s">
        <v>975</v>
      </c>
      <c r="F38" s="374">
        <v>-660.25</v>
      </c>
      <c r="G38" s="94">
        <v>0.1</v>
      </c>
      <c r="H38" s="95">
        <v>-60.74</v>
      </c>
      <c r="I38" s="159"/>
      <c r="J38" s="108"/>
      <c r="K38" s="109"/>
    </row>
    <row r="39" spans="1:11">
      <c r="A39" s="90">
        <v>43733</v>
      </c>
      <c r="B39" s="91">
        <v>43882</v>
      </c>
      <c r="C39" s="140" t="s">
        <v>1066</v>
      </c>
      <c r="D39" s="93" t="s">
        <v>14</v>
      </c>
      <c r="E39" s="92" t="s">
        <v>19</v>
      </c>
      <c r="F39" s="374">
        <v>758.16</v>
      </c>
      <c r="G39" s="94">
        <v>0.22</v>
      </c>
      <c r="H39" s="95">
        <v>153.44999999999999</v>
      </c>
      <c r="I39" s="159"/>
      <c r="J39" s="108"/>
      <c r="K39" s="109"/>
    </row>
    <row r="40" spans="1:11">
      <c r="A40" s="90">
        <v>43733</v>
      </c>
      <c r="B40" s="91">
        <v>44101</v>
      </c>
      <c r="C40" s="585" t="s">
        <v>1067</v>
      </c>
      <c r="D40" s="93" t="s">
        <v>70</v>
      </c>
      <c r="E40" s="168" t="s">
        <v>945</v>
      </c>
      <c r="F40" s="374">
        <v>2126.37</v>
      </c>
      <c r="G40" s="94">
        <v>0.1</v>
      </c>
      <c r="H40" s="95">
        <v>195.62</v>
      </c>
      <c r="I40" s="159"/>
      <c r="J40" s="108"/>
      <c r="K40" s="109"/>
    </row>
    <row r="41" spans="1:11">
      <c r="A41" s="90">
        <v>43734</v>
      </c>
      <c r="B41" s="91">
        <v>43737</v>
      </c>
      <c r="C41" s="585" t="s">
        <v>1068</v>
      </c>
      <c r="D41" s="93" t="s">
        <v>14</v>
      </c>
      <c r="E41" s="92" t="s">
        <v>948</v>
      </c>
      <c r="F41" s="374">
        <v>1180.1600000000001</v>
      </c>
      <c r="G41" s="94">
        <v>0.1</v>
      </c>
      <c r="H41" s="95">
        <v>108.57</v>
      </c>
      <c r="I41" s="159"/>
      <c r="J41" s="108"/>
      <c r="K41" s="109"/>
    </row>
    <row r="42" spans="1:11">
      <c r="A42" s="90">
        <v>43734</v>
      </c>
      <c r="B42" s="91">
        <v>44100</v>
      </c>
      <c r="C42" s="585" t="s">
        <v>1069</v>
      </c>
      <c r="D42" s="93" t="s">
        <v>448</v>
      </c>
      <c r="E42" s="92" t="s">
        <v>279</v>
      </c>
      <c r="F42" s="374">
        <v>1037.6400000000001</v>
      </c>
      <c r="G42" s="94">
        <v>0.1</v>
      </c>
      <c r="H42" s="95">
        <v>95.46</v>
      </c>
      <c r="I42" s="159">
        <v>47.73</v>
      </c>
      <c r="J42" s="108" t="s">
        <v>924</v>
      </c>
      <c r="K42" s="109"/>
    </row>
    <row r="43" spans="1:11">
      <c r="A43" s="90">
        <v>43735</v>
      </c>
      <c r="B43" s="91">
        <v>44101</v>
      </c>
      <c r="C43" s="585" t="s">
        <v>345</v>
      </c>
      <c r="D43" s="93" t="s">
        <v>21</v>
      </c>
      <c r="E43" s="92" t="s">
        <v>75</v>
      </c>
      <c r="F43" s="374">
        <v>3391.92</v>
      </c>
      <c r="G43" s="94">
        <v>0.1</v>
      </c>
      <c r="H43" s="95">
        <v>312.05</v>
      </c>
      <c r="I43" s="159"/>
      <c r="J43" s="108"/>
      <c r="K43" s="109"/>
    </row>
    <row r="44" spans="1:11">
      <c r="A44" s="238">
        <v>43735</v>
      </c>
      <c r="B44" s="239">
        <v>44101</v>
      </c>
      <c r="C44" s="440" t="s">
        <v>1070</v>
      </c>
      <c r="D44" s="241" t="s">
        <v>14</v>
      </c>
      <c r="E44" s="240" t="s">
        <v>15</v>
      </c>
      <c r="F44" s="376">
        <v>3501.23</v>
      </c>
      <c r="G44" s="243">
        <v>0.1</v>
      </c>
      <c r="H44" s="244" t="s">
        <v>560</v>
      </c>
      <c r="I44" s="245"/>
      <c r="J44" s="263"/>
      <c r="K44" s="264"/>
    </row>
    <row r="45" spans="1:11">
      <c r="A45" s="238">
        <v>43735</v>
      </c>
      <c r="B45" s="239">
        <v>44101</v>
      </c>
      <c r="C45" s="521" t="s">
        <v>1071</v>
      </c>
      <c r="D45" s="241" t="s">
        <v>61</v>
      </c>
      <c r="E45" s="240" t="s">
        <v>29</v>
      </c>
      <c r="F45" s="376">
        <v>2015.95</v>
      </c>
      <c r="G45" s="243">
        <v>0.1</v>
      </c>
      <c r="H45" s="244">
        <v>185.46</v>
      </c>
      <c r="I45" s="245"/>
      <c r="J45" s="263"/>
      <c r="K45" s="264"/>
    </row>
    <row r="46" spans="1:11">
      <c r="A46" s="90">
        <v>43738</v>
      </c>
      <c r="B46" s="91">
        <v>44102</v>
      </c>
      <c r="C46" s="566" t="s">
        <v>1072</v>
      </c>
      <c r="D46" s="93" t="s">
        <v>14</v>
      </c>
      <c r="E46" s="92" t="s">
        <v>22</v>
      </c>
      <c r="F46" s="374">
        <v>1369.5</v>
      </c>
      <c r="G46" s="94">
        <v>0.1</v>
      </c>
      <c r="H46" s="95">
        <v>125.99</v>
      </c>
      <c r="I46" s="159"/>
      <c r="J46" s="108"/>
      <c r="K46" s="109"/>
    </row>
    <row r="47" spans="1:11">
      <c r="A47" s="90">
        <v>43739</v>
      </c>
      <c r="B47" s="91">
        <v>44104</v>
      </c>
      <c r="C47" s="290" t="s">
        <v>1073</v>
      </c>
      <c r="D47" s="93" t="s">
        <v>376</v>
      </c>
      <c r="E47" s="92" t="s">
        <v>10</v>
      </c>
      <c r="F47" s="374">
        <v>2375.71</v>
      </c>
      <c r="G47" s="94">
        <v>0.1</v>
      </c>
      <c r="H47" s="95">
        <v>218.56</v>
      </c>
      <c r="I47" s="159"/>
      <c r="J47" s="108"/>
      <c r="K47" s="109"/>
    </row>
    <row r="48" spans="1:11">
      <c r="A48" s="90">
        <v>43739</v>
      </c>
      <c r="B48" s="91">
        <v>44102</v>
      </c>
      <c r="C48" s="414" t="s">
        <v>1074</v>
      </c>
      <c r="D48" s="93" t="s">
        <v>9</v>
      </c>
      <c r="E48" s="92" t="s">
        <v>10</v>
      </c>
      <c r="F48" s="374">
        <v>1830.77</v>
      </c>
      <c r="G48" s="94">
        <v>0.1</v>
      </c>
      <c r="H48" s="95">
        <v>168.44</v>
      </c>
      <c r="I48" s="159"/>
      <c r="J48" s="108"/>
      <c r="K48" s="109"/>
    </row>
    <row r="49" spans="1:11">
      <c r="A49" s="90"/>
      <c r="B49" s="91"/>
      <c r="C49" s="92"/>
      <c r="D49" s="93"/>
      <c r="E49" s="92"/>
      <c r="F49" s="374"/>
      <c r="G49" s="94"/>
      <c r="H49" s="95"/>
      <c r="I49" s="159"/>
      <c r="J49" s="108"/>
      <c r="K49" s="109"/>
    </row>
    <row r="50" spans="1:11">
      <c r="A50" s="90"/>
      <c r="B50" s="91"/>
      <c r="C50" s="92"/>
      <c r="D50" s="93"/>
      <c r="E50" s="92"/>
      <c r="F50" s="374"/>
      <c r="G50" s="94"/>
      <c r="H50" s="95"/>
      <c r="I50" s="159"/>
      <c r="J50" s="108"/>
      <c r="K50" s="109"/>
    </row>
    <row r="51" spans="1:11">
      <c r="A51" s="90"/>
      <c r="B51" s="91"/>
      <c r="C51" s="92"/>
      <c r="D51" s="93"/>
      <c r="E51" s="92"/>
      <c r="F51" s="374"/>
      <c r="G51" s="94"/>
      <c r="H51" s="95"/>
      <c r="I51" s="159"/>
      <c r="J51" s="108"/>
      <c r="K51" s="109"/>
    </row>
    <row r="52" spans="1:11">
      <c r="A52" s="90"/>
      <c r="B52" s="91"/>
      <c r="C52" s="92"/>
      <c r="D52" s="93"/>
      <c r="E52" s="92"/>
      <c r="F52" s="374"/>
      <c r="G52" s="94"/>
      <c r="H52" s="95"/>
      <c r="I52" s="159"/>
      <c r="J52" s="108"/>
      <c r="K52" s="109"/>
    </row>
    <row r="53" spans="1:11">
      <c r="A53" s="90"/>
      <c r="B53" s="91"/>
      <c r="C53" s="92"/>
      <c r="D53" s="93"/>
      <c r="E53" s="92"/>
      <c r="F53" s="374"/>
      <c r="G53" s="94"/>
      <c r="H53" s="95"/>
      <c r="I53" s="159"/>
      <c r="J53" s="108"/>
      <c r="K53" s="109"/>
    </row>
    <row r="54" spans="1:11">
      <c r="A54" s="90"/>
      <c r="B54" s="91"/>
      <c r="C54" s="92"/>
      <c r="D54" s="93"/>
      <c r="E54" s="92"/>
      <c r="F54" s="374"/>
      <c r="G54" s="94"/>
      <c r="H54" s="95"/>
      <c r="I54" s="159"/>
      <c r="J54" s="108"/>
      <c r="K54" s="109"/>
    </row>
    <row r="55" spans="1:11">
      <c r="A55" s="90"/>
      <c r="B55" s="91"/>
      <c r="C55" s="92"/>
      <c r="D55" s="93"/>
      <c r="E55" s="92"/>
      <c r="F55" s="374"/>
      <c r="G55" s="94"/>
      <c r="H55" s="95"/>
      <c r="I55" s="159"/>
      <c r="J55" s="108"/>
      <c r="K55" s="109"/>
    </row>
    <row r="56" spans="1:11">
      <c r="A56" s="90"/>
      <c r="B56" s="91"/>
      <c r="C56" s="92" t="s">
        <v>1075</v>
      </c>
      <c r="D56" s="93"/>
      <c r="E56" s="92"/>
      <c r="F56" s="374"/>
      <c r="G56" s="94"/>
      <c r="H56" s="95"/>
      <c r="I56" s="159"/>
      <c r="J56" s="108"/>
      <c r="K56" s="109"/>
    </row>
    <row r="57" spans="1:11" ht="19.5">
      <c r="A57" s="673"/>
      <c r="B57" s="674"/>
      <c r="C57" s="674"/>
      <c r="D57" s="674"/>
      <c r="E57" s="674"/>
      <c r="F57" s="375">
        <f>SUM(F2:F56)</f>
        <v>84020.520000000019</v>
      </c>
      <c r="G57" s="143"/>
      <c r="H57" s="129">
        <f>SUM(H2:H56)</f>
        <v>8782.0499999999993</v>
      </c>
      <c r="I57" s="107">
        <f>SUM(I2:I56)</f>
        <v>480.59000000000003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L49"/>
  <sheetViews>
    <sheetView topLeftCell="A31" workbookViewId="0"/>
  </sheetViews>
  <sheetFormatPr defaultRowHeight="15"/>
  <cols>
    <col min="3" max="3" width="61.42578125" bestFit="1" customWidth="1"/>
  </cols>
  <sheetData>
    <row r="1" spans="1:12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2">
      <c r="A2" s="379">
        <v>43739</v>
      </c>
      <c r="B2" s="380">
        <v>44105</v>
      </c>
      <c r="C2" s="457" t="s">
        <v>1076</v>
      </c>
      <c r="D2" s="382" t="s">
        <v>9</v>
      </c>
      <c r="E2" s="381" t="s">
        <v>15</v>
      </c>
      <c r="F2" s="386">
        <v>1865.67</v>
      </c>
      <c r="G2" s="383">
        <v>0.13</v>
      </c>
      <c r="H2" s="384">
        <v>223.13</v>
      </c>
      <c r="I2" s="385"/>
      <c r="J2" s="687"/>
      <c r="K2" s="688"/>
    </row>
    <row r="3" spans="1:12">
      <c r="A3" s="591">
        <v>43741</v>
      </c>
      <c r="B3" s="592">
        <v>44107</v>
      </c>
      <c r="C3" s="457" t="s">
        <v>1077</v>
      </c>
      <c r="D3" s="593" t="s">
        <v>61</v>
      </c>
      <c r="E3" s="457" t="s">
        <v>19</v>
      </c>
      <c r="F3" s="594">
        <v>2552.4699999999998</v>
      </c>
      <c r="G3" s="595">
        <v>0.1</v>
      </c>
      <c r="H3" s="596">
        <v>234.82</v>
      </c>
      <c r="I3" s="597"/>
      <c r="J3" s="589"/>
      <c r="K3" s="590"/>
    </row>
    <row r="4" spans="1:12">
      <c r="A4" s="532">
        <v>43741</v>
      </c>
      <c r="B4" s="533">
        <v>44106</v>
      </c>
      <c r="C4" s="414" t="s">
        <v>1078</v>
      </c>
      <c r="D4" s="534" t="s">
        <v>61</v>
      </c>
      <c r="E4" s="414" t="s">
        <v>22</v>
      </c>
      <c r="F4" s="535">
        <v>1179.57</v>
      </c>
      <c r="G4" s="536">
        <v>0.15</v>
      </c>
      <c r="H4" s="537">
        <v>162.78</v>
      </c>
      <c r="I4" s="538">
        <v>81.39</v>
      </c>
      <c r="J4" s="589" t="s">
        <v>491</v>
      </c>
      <c r="K4" s="590"/>
      <c r="L4" s="598" t="s">
        <v>312</v>
      </c>
    </row>
    <row r="5" spans="1:12">
      <c r="A5" s="207">
        <v>43742</v>
      </c>
      <c r="B5" s="208">
        <v>44109</v>
      </c>
      <c r="C5" s="168" t="s">
        <v>1079</v>
      </c>
      <c r="D5" s="209" t="s">
        <v>70</v>
      </c>
      <c r="E5" s="169" t="s">
        <v>1080</v>
      </c>
      <c r="F5" s="320">
        <v>1691.62</v>
      </c>
      <c r="G5" s="211">
        <v>0.13</v>
      </c>
      <c r="H5" s="212">
        <v>202.31</v>
      </c>
      <c r="I5" s="213"/>
      <c r="J5" s="408"/>
      <c r="K5" s="409"/>
    </row>
    <row r="6" spans="1:12">
      <c r="A6" s="207">
        <v>43742</v>
      </c>
      <c r="B6" s="208">
        <v>44109</v>
      </c>
      <c r="C6" s="168" t="s">
        <v>1081</v>
      </c>
      <c r="D6" s="209" t="s">
        <v>14</v>
      </c>
      <c r="E6" s="169" t="s">
        <v>948</v>
      </c>
      <c r="F6" s="320">
        <v>1183.47</v>
      </c>
      <c r="G6" s="222">
        <v>0.1</v>
      </c>
      <c r="H6" s="212">
        <v>108.87</v>
      </c>
      <c r="I6" s="213"/>
      <c r="J6" s="408"/>
      <c r="K6" s="409"/>
    </row>
    <row r="7" spans="1:12">
      <c r="A7" s="90">
        <v>43742</v>
      </c>
      <c r="B7" s="91">
        <v>44113</v>
      </c>
      <c r="C7" s="168" t="s">
        <v>1082</v>
      </c>
      <c r="D7" s="93" t="s">
        <v>9</v>
      </c>
      <c r="E7" s="92" t="s">
        <v>19</v>
      </c>
      <c r="F7" s="322">
        <v>1579.17</v>
      </c>
      <c r="G7" s="94">
        <v>0.12</v>
      </c>
      <c r="H7" s="95">
        <v>174.34</v>
      </c>
      <c r="I7" s="159"/>
      <c r="J7" s="406"/>
      <c r="K7" s="407"/>
    </row>
    <row r="8" spans="1:12">
      <c r="A8" s="90">
        <v>43742</v>
      </c>
      <c r="B8" s="91">
        <v>44116</v>
      </c>
      <c r="C8" s="168" t="s">
        <v>1082</v>
      </c>
      <c r="D8" s="93" t="s">
        <v>61</v>
      </c>
      <c r="E8" s="92" t="s">
        <v>948</v>
      </c>
      <c r="F8" s="322">
        <v>1069.6300000000001</v>
      </c>
      <c r="G8" s="94">
        <v>0.2</v>
      </c>
      <c r="H8" s="95">
        <v>196.81</v>
      </c>
      <c r="I8" s="159"/>
      <c r="J8" s="406"/>
      <c r="K8" s="407"/>
    </row>
    <row r="9" spans="1:12">
      <c r="A9" s="207">
        <v>43742</v>
      </c>
      <c r="B9" s="208">
        <v>44109</v>
      </c>
      <c r="C9" s="168" t="s">
        <v>784</v>
      </c>
      <c r="D9" s="209" t="s">
        <v>61</v>
      </c>
      <c r="E9" s="169" t="s">
        <v>143</v>
      </c>
      <c r="F9" s="320">
        <v>6420.12</v>
      </c>
      <c r="G9" s="211">
        <v>0.1</v>
      </c>
      <c r="H9" s="212">
        <v>590.65</v>
      </c>
      <c r="I9" s="213"/>
      <c r="J9" s="408"/>
      <c r="K9" s="409"/>
    </row>
    <row r="10" spans="1:12">
      <c r="A10" s="532">
        <v>43746</v>
      </c>
      <c r="B10" s="533">
        <v>44112</v>
      </c>
      <c r="C10" s="414" t="s">
        <v>785</v>
      </c>
      <c r="D10" s="534" t="s">
        <v>9</v>
      </c>
      <c r="E10" s="414" t="s">
        <v>143</v>
      </c>
      <c r="F10" s="535">
        <v>3698.72</v>
      </c>
      <c r="G10" s="536">
        <v>0.1</v>
      </c>
      <c r="H10" s="537">
        <v>340.28</v>
      </c>
      <c r="I10" s="538"/>
      <c r="J10" s="589"/>
      <c r="K10" s="590"/>
    </row>
    <row r="11" spans="1:12">
      <c r="A11" s="297">
        <v>43746</v>
      </c>
      <c r="B11" s="298">
        <v>44112</v>
      </c>
      <c r="C11" s="101" t="s">
        <v>1083</v>
      </c>
      <c r="D11" s="299" t="s">
        <v>448</v>
      </c>
      <c r="E11" s="101" t="s">
        <v>1080</v>
      </c>
      <c r="F11" s="340">
        <v>703.4</v>
      </c>
      <c r="G11" s="301">
        <v>0.15</v>
      </c>
      <c r="H11" s="302">
        <v>97.06</v>
      </c>
      <c r="I11" s="303"/>
      <c r="J11" s="587"/>
      <c r="K11" s="588"/>
    </row>
    <row r="12" spans="1:12">
      <c r="A12" s="90">
        <v>43746</v>
      </c>
      <c r="B12" s="91">
        <v>44115</v>
      </c>
      <c r="C12" s="353" t="s">
        <v>1084</v>
      </c>
      <c r="D12" s="93" t="s">
        <v>14</v>
      </c>
      <c r="E12" s="92" t="s">
        <v>19</v>
      </c>
      <c r="F12" s="322">
        <v>1395.42</v>
      </c>
      <c r="G12" s="94">
        <v>0.18</v>
      </c>
      <c r="H12" s="95">
        <v>231.08</v>
      </c>
      <c r="I12" s="159"/>
      <c r="J12" s="406"/>
      <c r="K12" s="407"/>
    </row>
    <row r="13" spans="1:12">
      <c r="A13" s="90">
        <v>43748</v>
      </c>
      <c r="B13" s="91">
        <v>43761</v>
      </c>
      <c r="C13" s="168" t="s">
        <v>1085</v>
      </c>
      <c r="D13" s="93" t="s">
        <v>21</v>
      </c>
      <c r="E13" s="92" t="s">
        <v>948</v>
      </c>
      <c r="F13" s="322">
        <v>1521.84</v>
      </c>
      <c r="G13" s="94">
        <v>0.1</v>
      </c>
      <c r="H13" s="95">
        <v>240</v>
      </c>
      <c r="I13" s="159"/>
      <c r="J13" s="406"/>
      <c r="K13" s="407"/>
    </row>
    <row r="14" spans="1:12">
      <c r="A14" s="90">
        <v>43748</v>
      </c>
      <c r="B14" s="91">
        <v>44114</v>
      </c>
      <c r="C14" s="387" t="s">
        <v>718</v>
      </c>
      <c r="D14" s="93" t="s">
        <v>448</v>
      </c>
      <c r="E14" s="92" t="s">
        <v>1080</v>
      </c>
      <c r="F14" s="322">
        <v>862.72</v>
      </c>
      <c r="G14" s="94">
        <v>0.2</v>
      </c>
      <c r="H14" s="95">
        <v>158.66999999999999</v>
      </c>
      <c r="I14" s="159"/>
      <c r="J14" s="406"/>
      <c r="K14" s="407"/>
    </row>
    <row r="15" spans="1:12">
      <c r="A15" s="90">
        <v>43748</v>
      </c>
      <c r="B15" s="91">
        <v>44114</v>
      </c>
      <c r="C15" s="140" t="s">
        <v>1086</v>
      </c>
      <c r="D15" s="93" t="s">
        <v>14</v>
      </c>
      <c r="E15" s="92" t="s">
        <v>948</v>
      </c>
      <c r="F15" s="322">
        <v>1648.91</v>
      </c>
      <c r="G15" s="94">
        <v>0.1</v>
      </c>
      <c r="H15" s="95">
        <v>151.69</v>
      </c>
      <c r="I15" s="159"/>
      <c r="J15" s="406"/>
      <c r="K15" s="407"/>
    </row>
    <row r="16" spans="1:12">
      <c r="A16" s="359">
        <v>43749</v>
      </c>
      <c r="B16" s="345">
        <v>44115</v>
      </c>
      <c r="C16" s="566" t="s">
        <v>1087</v>
      </c>
      <c r="D16" s="347" t="s">
        <v>9</v>
      </c>
      <c r="E16" s="346" t="s">
        <v>143</v>
      </c>
      <c r="F16" s="348">
        <v>1540.86</v>
      </c>
      <c r="G16" s="349">
        <v>0.1</v>
      </c>
      <c r="H16" s="350">
        <v>141.75</v>
      </c>
      <c r="I16" s="351"/>
      <c r="J16" s="410"/>
      <c r="K16" s="411"/>
    </row>
    <row r="17" spans="1:11">
      <c r="A17" s="388">
        <v>43748</v>
      </c>
      <c r="B17" s="389">
        <v>44114</v>
      </c>
      <c r="C17" s="101" t="s">
        <v>1088</v>
      </c>
      <c r="D17" s="391" t="s">
        <v>448</v>
      </c>
      <c r="E17" s="390" t="s">
        <v>1080</v>
      </c>
      <c r="F17" s="392">
        <v>1464.37</v>
      </c>
      <c r="G17" s="393">
        <v>0.1</v>
      </c>
      <c r="H17" s="394">
        <v>134.71</v>
      </c>
      <c r="I17" s="395">
        <v>67.349999999999994</v>
      </c>
      <c r="J17" s="689" t="s">
        <v>924</v>
      </c>
      <c r="K17" s="690"/>
    </row>
    <row r="18" spans="1:11">
      <c r="A18" s="90">
        <v>43749</v>
      </c>
      <c r="B18" s="91">
        <v>44118</v>
      </c>
      <c r="C18" s="168" t="s">
        <v>1089</v>
      </c>
      <c r="D18" s="93" t="s">
        <v>61</v>
      </c>
      <c r="E18" s="92" t="s">
        <v>22</v>
      </c>
      <c r="F18" s="322">
        <v>1691.57</v>
      </c>
      <c r="G18" s="94">
        <v>0.1</v>
      </c>
      <c r="H18" s="95">
        <v>155.61000000000001</v>
      </c>
      <c r="I18" s="159"/>
      <c r="J18" s="406"/>
      <c r="K18" s="407"/>
    </row>
    <row r="19" spans="1:11">
      <c r="A19" s="90">
        <v>43749</v>
      </c>
      <c r="B19" s="91">
        <v>44121</v>
      </c>
      <c r="C19" s="353" t="s">
        <v>1090</v>
      </c>
      <c r="D19" s="93" t="s">
        <v>70</v>
      </c>
      <c r="E19" s="92" t="s">
        <v>1080</v>
      </c>
      <c r="F19" s="322">
        <v>1995.72</v>
      </c>
      <c r="G19" s="94">
        <v>0.1</v>
      </c>
      <c r="H19" s="95">
        <v>183.6</v>
      </c>
      <c r="I19" s="159"/>
      <c r="J19" s="406"/>
      <c r="K19" s="407"/>
    </row>
    <row r="20" spans="1:11">
      <c r="A20" s="207">
        <v>43752</v>
      </c>
      <c r="B20" s="208">
        <v>44117</v>
      </c>
      <c r="C20" s="387" t="s">
        <v>1091</v>
      </c>
      <c r="D20" s="209" t="s">
        <v>9</v>
      </c>
      <c r="E20" s="169" t="s">
        <v>362</v>
      </c>
      <c r="F20" s="320">
        <v>1551.04</v>
      </c>
      <c r="G20" s="211">
        <v>0.14000000000000001</v>
      </c>
      <c r="H20" s="212">
        <v>199.77</v>
      </c>
      <c r="I20" s="213"/>
      <c r="J20" s="408"/>
      <c r="K20" s="409"/>
    </row>
    <row r="21" spans="1:11">
      <c r="A21" s="90">
        <v>43752</v>
      </c>
      <c r="B21" s="91">
        <v>44118</v>
      </c>
      <c r="C21" s="509" t="s">
        <v>1092</v>
      </c>
      <c r="D21" s="93" t="s">
        <v>448</v>
      </c>
      <c r="E21" s="92" t="s">
        <v>1080</v>
      </c>
      <c r="F21" s="322">
        <v>1749.2</v>
      </c>
      <c r="G21" s="94">
        <v>0.13</v>
      </c>
      <c r="H21" s="95">
        <v>209.2</v>
      </c>
      <c r="I21" s="159"/>
      <c r="J21" s="406"/>
      <c r="K21" s="407"/>
    </row>
    <row r="22" spans="1:11">
      <c r="A22" s="388">
        <v>43754</v>
      </c>
      <c r="B22" s="389">
        <v>44120</v>
      </c>
      <c r="C22" s="609" t="s">
        <v>1093</v>
      </c>
      <c r="D22" s="391" t="s">
        <v>61</v>
      </c>
      <c r="E22" s="390" t="s">
        <v>90</v>
      </c>
      <c r="F22" s="392">
        <v>1605.8</v>
      </c>
      <c r="G22" s="393">
        <v>0.1</v>
      </c>
      <c r="H22" s="394">
        <v>147.72999999999999</v>
      </c>
      <c r="I22" s="395">
        <v>50</v>
      </c>
      <c r="J22" s="689" t="s">
        <v>1094</v>
      </c>
      <c r="K22" s="690"/>
    </row>
    <row r="23" spans="1:11">
      <c r="A23" s="90">
        <v>43756</v>
      </c>
      <c r="B23" s="91">
        <v>44120</v>
      </c>
      <c r="C23" s="101" t="s">
        <v>877</v>
      </c>
      <c r="D23" s="93" t="s">
        <v>448</v>
      </c>
      <c r="E23" s="92" t="s">
        <v>19</v>
      </c>
      <c r="F23" s="322">
        <v>1165.3599999999999</v>
      </c>
      <c r="G23" s="94">
        <v>0.1</v>
      </c>
      <c r="H23" s="95">
        <v>107.2</v>
      </c>
      <c r="I23" s="159"/>
      <c r="J23" s="406"/>
      <c r="K23" s="407"/>
    </row>
    <row r="24" spans="1:11">
      <c r="A24" s="388">
        <v>43756</v>
      </c>
      <c r="B24" s="389">
        <v>44122</v>
      </c>
      <c r="C24" s="609" t="s">
        <v>1095</v>
      </c>
      <c r="D24" s="391" t="s">
        <v>25</v>
      </c>
      <c r="E24" s="390" t="s">
        <v>438</v>
      </c>
      <c r="F24" s="392">
        <v>2094.17</v>
      </c>
      <c r="G24" s="393">
        <v>0.1</v>
      </c>
      <c r="H24" s="394">
        <v>192.66</v>
      </c>
      <c r="I24" s="395">
        <v>50</v>
      </c>
      <c r="J24" s="689" t="s">
        <v>1096</v>
      </c>
      <c r="K24" s="690"/>
    </row>
    <row r="25" spans="1:11">
      <c r="A25" s="255">
        <v>43756</v>
      </c>
      <c r="B25" s="256">
        <v>43962</v>
      </c>
      <c r="C25" s="414" t="s">
        <v>1097</v>
      </c>
      <c r="D25" s="258" t="s">
        <v>61</v>
      </c>
      <c r="E25" s="257" t="s">
        <v>1098</v>
      </c>
      <c r="F25" s="321">
        <v>500.42</v>
      </c>
      <c r="G25" s="260">
        <v>0.1</v>
      </c>
      <c r="H25" s="261">
        <v>46.03</v>
      </c>
      <c r="I25" s="262"/>
      <c r="J25" s="687"/>
      <c r="K25" s="688"/>
    </row>
    <row r="26" spans="1:11">
      <c r="A26" s="90">
        <v>43760</v>
      </c>
      <c r="B26" s="91">
        <v>44126</v>
      </c>
      <c r="C26" s="168" t="s">
        <v>1099</v>
      </c>
      <c r="D26" s="93" t="s">
        <v>209</v>
      </c>
      <c r="E26" s="92" t="s">
        <v>22</v>
      </c>
      <c r="F26" s="322">
        <v>1089.17</v>
      </c>
      <c r="G26" s="94">
        <v>0.15</v>
      </c>
      <c r="H26" s="95">
        <v>150.30000000000001</v>
      </c>
      <c r="I26" s="159"/>
      <c r="J26" s="406"/>
      <c r="K26" s="407"/>
    </row>
    <row r="27" spans="1:11">
      <c r="A27" s="312">
        <v>43761</v>
      </c>
      <c r="B27" s="313">
        <v>44134</v>
      </c>
      <c r="C27" s="551" t="s">
        <v>1100</v>
      </c>
      <c r="D27" s="315" t="s">
        <v>14</v>
      </c>
      <c r="E27" s="314" t="s">
        <v>948</v>
      </c>
      <c r="F27" s="324">
        <v>1557.32</v>
      </c>
      <c r="G27" s="316">
        <v>0.15</v>
      </c>
      <c r="H27" s="317">
        <v>214.91</v>
      </c>
      <c r="I27" s="318"/>
      <c r="J27" s="410"/>
      <c r="K27" s="411"/>
    </row>
    <row r="28" spans="1:11">
      <c r="A28" s="398">
        <v>43761</v>
      </c>
      <c r="B28" s="399">
        <v>44127</v>
      </c>
      <c r="C28" s="617" t="s">
        <v>1101</v>
      </c>
      <c r="D28" s="401" t="s">
        <v>448</v>
      </c>
      <c r="E28" s="400" t="s">
        <v>1080</v>
      </c>
      <c r="F28" s="402">
        <v>907.06</v>
      </c>
      <c r="G28" s="403">
        <v>0.1</v>
      </c>
      <c r="H28" s="404">
        <v>83.44</v>
      </c>
      <c r="I28" s="405">
        <v>50</v>
      </c>
      <c r="J28" s="689" t="s">
        <v>1102</v>
      </c>
      <c r="K28" s="690"/>
    </row>
    <row r="29" spans="1:11">
      <c r="A29" s="90">
        <v>43762</v>
      </c>
      <c r="B29" s="91">
        <v>44132</v>
      </c>
      <c r="C29" s="168" t="s">
        <v>1103</v>
      </c>
      <c r="D29" s="93" t="s">
        <v>61</v>
      </c>
      <c r="E29" s="92" t="s">
        <v>22</v>
      </c>
      <c r="F29" s="322">
        <v>1193.24</v>
      </c>
      <c r="G29" s="94">
        <v>0.1</v>
      </c>
      <c r="H29" s="95">
        <v>109.77</v>
      </c>
      <c r="I29" s="159"/>
      <c r="J29" s="406"/>
      <c r="K29" s="407"/>
    </row>
    <row r="30" spans="1:11">
      <c r="A30" s="90">
        <v>43762</v>
      </c>
      <c r="B30" s="91">
        <v>44128</v>
      </c>
      <c r="C30" s="168" t="s">
        <v>784</v>
      </c>
      <c r="D30" s="93" t="s">
        <v>14</v>
      </c>
      <c r="E30" s="92" t="s">
        <v>75</v>
      </c>
      <c r="F30" s="322">
        <v>778.46</v>
      </c>
      <c r="G30" s="94">
        <v>0.25</v>
      </c>
      <c r="H30" s="95">
        <v>179.46</v>
      </c>
      <c r="I30" s="159"/>
      <c r="J30" s="406"/>
      <c r="K30" s="407"/>
    </row>
    <row r="31" spans="1:11">
      <c r="A31" s="90">
        <v>43763</v>
      </c>
      <c r="B31" s="91">
        <v>44134</v>
      </c>
      <c r="C31" s="168" t="s">
        <v>1104</v>
      </c>
      <c r="D31" s="93" t="s">
        <v>14</v>
      </c>
      <c r="E31" s="92" t="s">
        <v>948</v>
      </c>
      <c r="F31" s="322">
        <v>1513.12</v>
      </c>
      <c r="G31" s="94">
        <v>0.1</v>
      </c>
      <c r="H31" s="95">
        <v>139.19999999999999</v>
      </c>
      <c r="I31" s="159"/>
      <c r="J31" s="406"/>
      <c r="K31" s="407"/>
    </row>
    <row r="32" spans="1:11">
      <c r="A32" s="90">
        <v>43763</v>
      </c>
      <c r="B32" s="91">
        <v>44125</v>
      </c>
      <c r="C32" s="168" t="s">
        <v>1105</v>
      </c>
      <c r="D32" s="93" t="s">
        <v>9</v>
      </c>
      <c r="E32" s="92" t="s">
        <v>948</v>
      </c>
      <c r="F32" s="322">
        <v>2317.71</v>
      </c>
      <c r="G32" s="94">
        <v>0.1</v>
      </c>
      <c r="H32" s="95">
        <v>185.62</v>
      </c>
      <c r="I32" s="159"/>
      <c r="J32" s="406"/>
      <c r="K32" s="407"/>
    </row>
    <row r="33" spans="1:11">
      <c r="A33" s="90">
        <v>43763</v>
      </c>
      <c r="B33" s="91">
        <v>44130</v>
      </c>
      <c r="C33" s="168" t="s">
        <v>1106</v>
      </c>
      <c r="D33" s="93" t="s">
        <v>9</v>
      </c>
      <c r="E33" s="92" t="s">
        <v>948</v>
      </c>
      <c r="F33" s="322">
        <v>1091.1500000000001</v>
      </c>
      <c r="G33" s="94">
        <v>0.2</v>
      </c>
      <c r="H33" s="95">
        <v>200.77</v>
      </c>
      <c r="I33" s="159"/>
      <c r="J33" s="406"/>
      <c r="K33" s="407"/>
    </row>
    <row r="34" spans="1:11">
      <c r="A34" s="90">
        <v>43763</v>
      </c>
      <c r="B34" s="91">
        <v>44129</v>
      </c>
      <c r="C34" s="168" t="s">
        <v>1107</v>
      </c>
      <c r="D34" s="93" t="s">
        <v>9</v>
      </c>
      <c r="E34" s="92" t="s">
        <v>948</v>
      </c>
      <c r="F34" s="322">
        <v>2990.57</v>
      </c>
      <c r="G34" s="94">
        <v>0.2</v>
      </c>
      <c r="H34" s="95">
        <v>550.26</v>
      </c>
      <c r="I34" s="159">
        <v>275.13</v>
      </c>
      <c r="J34" s="406" t="s">
        <v>1108</v>
      </c>
      <c r="K34" s="407"/>
    </row>
    <row r="35" spans="1:11">
      <c r="A35" s="238">
        <v>43769</v>
      </c>
      <c r="B35" s="239">
        <v>44135</v>
      </c>
      <c r="C35" s="101" t="s">
        <v>1109</v>
      </c>
      <c r="D35" s="241" t="s">
        <v>14</v>
      </c>
      <c r="E35" s="240" t="s">
        <v>29</v>
      </c>
      <c r="F35" s="323">
        <v>1703.29</v>
      </c>
      <c r="G35" s="243">
        <v>0.1</v>
      </c>
      <c r="H35" s="244">
        <v>156.69999999999999</v>
      </c>
      <c r="I35" s="245"/>
      <c r="J35" s="273"/>
      <c r="K35" s="274"/>
    </row>
    <row r="36" spans="1:11">
      <c r="A36" s="359">
        <v>43763</v>
      </c>
      <c r="B36" s="345">
        <v>44129</v>
      </c>
      <c r="C36" s="566" t="s">
        <v>1110</v>
      </c>
      <c r="D36" s="347" t="s">
        <v>9</v>
      </c>
      <c r="E36" s="346" t="s">
        <v>948</v>
      </c>
      <c r="F36" s="348">
        <v>2379.35</v>
      </c>
      <c r="G36" s="349">
        <v>0.1</v>
      </c>
      <c r="H36" s="350">
        <v>218.9</v>
      </c>
      <c r="I36" s="351">
        <v>109.45</v>
      </c>
      <c r="J36" s="410" t="s">
        <v>1111</v>
      </c>
      <c r="K36" s="411"/>
    </row>
    <row r="37" spans="1:11">
      <c r="A37" s="90">
        <v>43766</v>
      </c>
      <c r="B37" s="91">
        <v>44132</v>
      </c>
      <c r="C37" s="168" t="s">
        <v>1112</v>
      </c>
      <c r="D37" s="93" t="s">
        <v>61</v>
      </c>
      <c r="E37" s="92" t="s">
        <v>19</v>
      </c>
      <c r="F37" s="322">
        <v>1830.09</v>
      </c>
      <c r="G37" s="94">
        <v>0.13</v>
      </c>
      <c r="H37" s="95">
        <v>218.87</v>
      </c>
      <c r="I37" s="159"/>
      <c r="J37" s="406"/>
      <c r="K37" s="407"/>
    </row>
    <row r="38" spans="1:11">
      <c r="A38" s="238">
        <v>43767</v>
      </c>
      <c r="B38" s="239">
        <v>44134</v>
      </c>
      <c r="C38" s="412" t="s">
        <v>1113</v>
      </c>
      <c r="D38" s="241" t="s">
        <v>9</v>
      </c>
      <c r="E38" s="240" t="s">
        <v>948</v>
      </c>
      <c r="F38" s="323">
        <v>1405.17</v>
      </c>
      <c r="G38" s="243">
        <v>0.15</v>
      </c>
      <c r="H38" s="244">
        <v>193.91</v>
      </c>
      <c r="I38" s="245"/>
      <c r="J38" s="273"/>
      <c r="K38" s="274"/>
    </row>
    <row r="39" spans="1:11">
      <c r="A39" s="90">
        <v>43768</v>
      </c>
      <c r="B39" s="91">
        <v>44134</v>
      </c>
      <c r="C39" s="168" t="s">
        <v>1114</v>
      </c>
      <c r="D39" s="93" t="s">
        <v>9</v>
      </c>
      <c r="E39" s="92" t="s">
        <v>948</v>
      </c>
      <c r="F39" s="322">
        <v>2527.8200000000002</v>
      </c>
      <c r="G39" s="94">
        <v>0.1</v>
      </c>
      <c r="H39" s="95">
        <v>232.55</v>
      </c>
      <c r="I39" s="159"/>
      <c r="J39" s="406"/>
      <c r="K39" s="407"/>
    </row>
    <row r="40" spans="1:11">
      <c r="A40" s="90">
        <v>43768</v>
      </c>
      <c r="B40" s="91">
        <v>44135</v>
      </c>
      <c r="C40" s="168" t="s">
        <v>1115</v>
      </c>
      <c r="D40" s="93" t="s">
        <v>33</v>
      </c>
      <c r="E40" s="92" t="s">
        <v>22</v>
      </c>
      <c r="F40" s="322">
        <v>1904.6</v>
      </c>
      <c r="G40" s="94">
        <v>0.15</v>
      </c>
      <c r="H40" s="95">
        <v>262.83</v>
      </c>
      <c r="I40" s="159">
        <v>131.41</v>
      </c>
      <c r="J40" s="691" t="s">
        <v>1116</v>
      </c>
      <c r="K40" s="692"/>
    </row>
    <row r="41" spans="1:11">
      <c r="A41" s="90">
        <v>43769</v>
      </c>
      <c r="B41" s="91">
        <v>44135</v>
      </c>
      <c r="C41" s="101" t="s">
        <v>1117</v>
      </c>
      <c r="D41" s="93" t="s">
        <v>448</v>
      </c>
      <c r="E41" s="92" t="s">
        <v>19</v>
      </c>
      <c r="F41" s="322">
        <v>1631.5</v>
      </c>
      <c r="G41" s="94">
        <v>0.1</v>
      </c>
      <c r="H41" s="95">
        <v>150.09</v>
      </c>
      <c r="I41" s="159"/>
      <c r="J41" s="406"/>
      <c r="K41" s="407"/>
    </row>
    <row r="42" spans="1:11">
      <c r="A42" s="388">
        <v>43769</v>
      </c>
      <c r="B42" s="389">
        <v>44135</v>
      </c>
      <c r="C42" s="609" t="s">
        <v>1118</v>
      </c>
      <c r="D42" s="391" t="s">
        <v>9</v>
      </c>
      <c r="E42" s="390" t="s">
        <v>1119</v>
      </c>
      <c r="F42" s="392">
        <v>1423.74</v>
      </c>
      <c r="G42" s="393">
        <v>0.1</v>
      </c>
      <c r="H42" s="394">
        <v>130.97999999999999</v>
      </c>
      <c r="I42" s="395">
        <v>50</v>
      </c>
      <c r="J42" s="689" t="s">
        <v>1120</v>
      </c>
      <c r="K42" s="690"/>
    </row>
    <row r="43" spans="1:11">
      <c r="A43" s="238">
        <v>43770</v>
      </c>
      <c r="B43" s="239">
        <v>44135</v>
      </c>
      <c r="C43" s="240" t="s">
        <v>1121</v>
      </c>
      <c r="D43" s="241" t="s">
        <v>14</v>
      </c>
      <c r="E43" s="240" t="s">
        <v>22</v>
      </c>
      <c r="F43" s="323">
        <v>1654.57</v>
      </c>
      <c r="G43" s="243">
        <v>0.17</v>
      </c>
      <c r="H43" s="244">
        <v>258.77</v>
      </c>
      <c r="I43" s="245"/>
      <c r="J43" s="273"/>
      <c r="K43" s="274"/>
    </row>
    <row r="44" spans="1:11">
      <c r="A44" s="90"/>
      <c r="B44" s="91"/>
      <c r="C44" s="92"/>
      <c r="D44" s="93"/>
      <c r="E44" s="92"/>
      <c r="F44" s="322"/>
      <c r="G44" s="94"/>
      <c r="H44" s="95"/>
      <c r="I44" s="159"/>
      <c r="J44" s="406"/>
      <c r="K44" s="407"/>
    </row>
    <row r="45" spans="1:11">
      <c r="A45" s="90"/>
      <c r="B45" s="91"/>
      <c r="C45" s="92"/>
      <c r="D45" s="93"/>
      <c r="E45" s="92"/>
      <c r="F45" s="322"/>
      <c r="G45" s="94"/>
      <c r="H45" s="95"/>
      <c r="I45" s="159"/>
      <c r="J45" s="406"/>
      <c r="K45" s="407"/>
    </row>
    <row r="46" spans="1:11">
      <c r="A46" s="90"/>
      <c r="B46" s="91"/>
      <c r="C46" s="92"/>
      <c r="D46" s="93"/>
      <c r="E46" s="92"/>
      <c r="F46" s="322"/>
      <c r="G46" s="94"/>
      <c r="H46" s="95"/>
      <c r="I46" s="159"/>
      <c r="J46" s="406"/>
      <c r="K46" s="407"/>
    </row>
    <row r="47" spans="1:11">
      <c r="A47" s="90"/>
      <c r="B47" s="91"/>
      <c r="C47" s="92" t="s">
        <v>1122</v>
      </c>
      <c r="D47" s="93"/>
      <c r="E47" s="92"/>
      <c r="F47" s="322"/>
      <c r="G47" s="94"/>
      <c r="H47" s="95"/>
      <c r="I47" s="159"/>
      <c r="J47" s="108"/>
      <c r="K47" s="109"/>
    </row>
    <row r="48" spans="1:11">
      <c r="A48" s="90"/>
      <c r="B48" s="91"/>
      <c r="C48" s="92" t="s">
        <v>1123</v>
      </c>
      <c r="D48" s="93"/>
      <c r="E48" s="92"/>
      <c r="F48" s="322"/>
      <c r="G48" s="94"/>
      <c r="H48" s="95"/>
      <c r="I48" s="159"/>
      <c r="J48" s="108"/>
      <c r="K48" s="109"/>
    </row>
    <row r="49" spans="1:9" ht="19.5">
      <c r="A49" s="673"/>
      <c r="B49" s="674"/>
      <c r="C49" s="674"/>
      <c r="D49" s="674"/>
      <c r="E49" s="674"/>
      <c r="F49" s="338">
        <f>SUM(F2:F48)</f>
        <v>72629.170000000013</v>
      </c>
      <c r="G49" s="143"/>
      <c r="H49" s="129">
        <f>SUM(H2:H48)</f>
        <v>8268.0799999999981</v>
      </c>
      <c r="I49" s="107">
        <f>SUM(I2:I48)</f>
        <v>864.73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K50"/>
  <sheetViews>
    <sheetView workbookViewId="0"/>
  </sheetViews>
  <sheetFormatPr defaultRowHeight="15"/>
  <cols>
    <col min="3" max="3" width="59.85546875" customWidth="1"/>
  </cols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216">
        <v>43766</v>
      </c>
      <c r="B2" s="225">
        <v>44136</v>
      </c>
      <c r="C2" s="172" t="s">
        <v>1124</v>
      </c>
      <c r="D2" s="218" t="s">
        <v>61</v>
      </c>
      <c r="E2" s="217" t="s">
        <v>10</v>
      </c>
      <c r="F2" s="310">
        <v>1471.91</v>
      </c>
      <c r="G2" s="220">
        <v>0.1</v>
      </c>
      <c r="H2" s="214">
        <v>135.41</v>
      </c>
      <c r="I2" s="215"/>
      <c r="J2" s="223"/>
      <c r="K2" s="224"/>
    </row>
    <row r="3" spans="1:11">
      <c r="A3" s="216">
        <v>43770</v>
      </c>
      <c r="B3" s="221">
        <v>44136</v>
      </c>
      <c r="C3" s="172" t="s">
        <v>1125</v>
      </c>
      <c r="D3" s="218" t="s">
        <v>14</v>
      </c>
      <c r="E3" s="217" t="s">
        <v>948</v>
      </c>
      <c r="F3" s="310">
        <v>1809.69</v>
      </c>
      <c r="G3" s="220">
        <v>0.1</v>
      </c>
      <c r="H3" s="214">
        <v>166.49</v>
      </c>
      <c r="I3" s="215"/>
      <c r="J3" s="223"/>
      <c r="K3" s="224"/>
    </row>
    <row r="4" spans="1:11">
      <c r="A4" s="207">
        <v>43770</v>
      </c>
      <c r="B4" s="208">
        <v>44136</v>
      </c>
      <c r="C4" s="168" t="s">
        <v>1126</v>
      </c>
      <c r="D4" s="209" t="s">
        <v>9</v>
      </c>
      <c r="E4" s="169" t="s">
        <v>22</v>
      </c>
      <c r="F4" s="320">
        <v>1453.76</v>
      </c>
      <c r="G4" s="211">
        <v>0.1</v>
      </c>
      <c r="H4" s="212">
        <v>133.74</v>
      </c>
      <c r="I4" s="213"/>
      <c r="J4" s="223"/>
      <c r="K4" s="224"/>
    </row>
    <row r="5" spans="1:11">
      <c r="A5" s="255">
        <v>43770</v>
      </c>
      <c r="B5" s="256">
        <v>44147</v>
      </c>
      <c r="C5" s="412" t="s">
        <v>1127</v>
      </c>
      <c r="D5" s="258" t="s">
        <v>25</v>
      </c>
      <c r="E5" s="257" t="s">
        <v>19</v>
      </c>
      <c r="F5" s="321">
        <v>1572.78</v>
      </c>
      <c r="G5" s="260">
        <v>0.1</v>
      </c>
      <c r="H5" s="261">
        <v>144.69</v>
      </c>
      <c r="I5" s="262"/>
      <c r="J5" s="307"/>
      <c r="K5" s="308"/>
    </row>
    <row r="6" spans="1:11">
      <c r="A6" s="207">
        <v>43770</v>
      </c>
      <c r="B6" s="208">
        <v>44140</v>
      </c>
      <c r="C6" s="168" t="s">
        <v>162</v>
      </c>
      <c r="D6" s="209" t="s">
        <v>25</v>
      </c>
      <c r="E6" s="169" t="s">
        <v>17</v>
      </c>
      <c r="F6" s="320">
        <v>1157.79</v>
      </c>
      <c r="G6" s="222">
        <v>0.1</v>
      </c>
      <c r="H6" s="212">
        <v>106.51</v>
      </c>
      <c r="I6" s="213"/>
      <c r="J6" s="223"/>
      <c r="K6" s="224"/>
    </row>
    <row r="7" spans="1:11">
      <c r="A7" s="90">
        <v>43774</v>
      </c>
      <c r="B7" s="91">
        <v>44140</v>
      </c>
      <c r="C7" s="168" t="s">
        <v>120</v>
      </c>
      <c r="D7" s="93" t="s">
        <v>61</v>
      </c>
      <c r="E7" s="92" t="s">
        <v>22</v>
      </c>
      <c r="F7" s="322">
        <v>4461.2700000000004</v>
      </c>
      <c r="G7" s="94">
        <v>0.1</v>
      </c>
      <c r="H7" s="95">
        <v>410.43</v>
      </c>
      <c r="I7" s="159"/>
      <c r="J7" s="108"/>
      <c r="K7" s="109"/>
    </row>
    <row r="8" spans="1:11">
      <c r="A8" s="90">
        <v>43773</v>
      </c>
      <c r="B8" s="91">
        <v>44151</v>
      </c>
      <c r="C8" s="168" t="s">
        <v>1128</v>
      </c>
      <c r="D8" s="93" t="s">
        <v>25</v>
      </c>
      <c r="E8" s="92" t="s">
        <v>22</v>
      </c>
      <c r="F8" s="322">
        <v>2077.0300000000002</v>
      </c>
      <c r="G8" s="94">
        <v>0.15</v>
      </c>
      <c r="H8" s="95">
        <v>286.63</v>
      </c>
      <c r="I8" s="159"/>
      <c r="J8" s="108"/>
      <c r="K8" s="109"/>
    </row>
    <row r="9" spans="1:11">
      <c r="A9" s="255">
        <v>43774</v>
      </c>
      <c r="B9" s="256">
        <v>44145</v>
      </c>
      <c r="C9" s="412" t="s">
        <v>1129</v>
      </c>
      <c r="D9" s="258" t="s">
        <v>25</v>
      </c>
      <c r="E9" s="257" t="s">
        <v>19</v>
      </c>
      <c r="F9" s="321">
        <v>882.03</v>
      </c>
      <c r="G9" s="260">
        <v>0.17</v>
      </c>
      <c r="H9" s="261">
        <v>137.94</v>
      </c>
      <c r="I9" s="262"/>
      <c r="J9" s="307"/>
      <c r="K9" s="308"/>
    </row>
    <row r="10" spans="1:11">
      <c r="A10" s="207">
        <v>43775</v>
      </c>
      <c r="B10" s="208">
        <v>44146</v>
      </c>
      <c r="C10" s="168" t="s">
        <v>1130</v>
      </c>
      <c r="D10" s="209" t="s">
        <v>9</v>
      </c>
      <c r="E10" s="169" t="s">
        <v>948</v>
      </c>
      <c r="F10" s="320">
        <v>901.8</v>
      </c>
      <c r="G10" s="211">
        <v>0.2</v>
      </c>
      <c r="H10" s="212">
        <v>165.93</v>
      </c>
      <c r="I10" s="213"/>
      <c r="J10" s="223"/>
      <c r="K10" s="224"/>
    </row>
    <row r="11" spans="1:11">
      <c r="A11" s="90">
        <v>43775</v>
      </c>
      <c r="B11" s="91">
        <v>44141</v>
      </c>
      <c r="C11" s="168" t="s">
        <v>529</v>
      </c>
      <c r="D11" s="93" t="s">
        <v>61</v>
      </c>
      <c r="E11" s="92" t="s">
        <v>279</v>
      </c>
      <c r="F11" s="322">
        <v>1441.68</v>
      </c>
      <c r="G11" s="94">
        <v>0.25</v>
      </c>
      <c r="H11" s="95">
        <v>331.57</v>
      </c>
      <c r="I11" s="159"/>
      <c r="J11" s="108"/>
      <c r="K11" s="109"/>
    </row>
    <row r="12" spans="1:11">
      <c r="A12" s="90">
        <v>43776</v>
      </c>
      <c r="B12" s="91">
        <v>44142</v>
      </c>
      <c r="C12" s="353" t="s">
        <v>1131</v>
      </c>
      <c r="D12" s="93" t="s">
        <v>9</v>
      </c>
      <c r="E12" s="92" t="s">
        <v>948</v>
      </c>
      <c r="F12" s="322">
        <v>1162.43</v>
      </c>
      <c r="G12" s="94">
        <v>0.12</v>
      </c>
      <c r="H12" s="95">
        <v>128.33000000000001</v>
      </c>
      <c r="I12" s="159"/>
      <c r="J12" s="108"/>
      <c r="K12" s="109"/>
    </row>
    <row r="13" spans="1:11">
      <c r="A13" s="90">
        <v>43776</v>
      </c>
      <c r="B13" s="91">
        <v>44144</v>
      </c>
      <c r="C13" s="168" t="s">
        <v>1132</v>
      </c>
      <c r="D13" s="93" t="s">
        <v>61</v>
      </c>
      <c r="E13" s="92" t="s">
        <v>10</v>
      </c>
      <c r="F13" s="322">
        <v>4250.8100000000004</v>
      </c>
      <c r="G13" s="94">
        <v>0.1</v>
      </c>
      <c r="H13" s="95">
        <v>391.07</v>
      </c>
      <c r="I13" s="159"/>
      <c r="J13" s="108"/>
      <c r="K13" s="109"/>
    </row>
    <row r="14" spans="1:11">
      <c r="A14" s="90">
        <v>43776</v>
      </c>
      <c r="B14" s="91">
        <v>44142</v>
      </c>
      <c r="C14" s="387" t="s">
        <v>1133</v>
      </c>
      <c r="D14" s="93" t="s">
        <v>61</v>
      </c>
      <c r="E14" s="92" t="s">
        <v>90</v>
      </c>
      <c r="F14" s="322">
        <v>2012.8</v>
      </c>
      <c r="G14" s="94">
        <v>0.1</v>
      </c>
      <c r="H14" s="95">
        <v>185.17</v>
      </c>
      <c r="I14" s="159"/>
      <c r="J14" s="108"/>
      <c r="K14" s="109"/>
    </row>
    <row r="15" spans="1:11">
      <c r="A15" s="90">
        <v>43777</v>
      </c>
      <c r="B15" s="91">
        <v>44144</v>
      </c>
      <c r="C15" s="358" t="s">
        <v>1134</v>
      </c>
      <c r="D15" s="93" t="s">
        <v>61</v>
      </c>
      <c r="E15" s="92" t="s">
        <v>90</v>
      </c>
      <c r="F15" s="322">
        <v>2238.73</v>
      </c>
      <c r="G15" s="94">
        <v>0.12</v>
      </c>
      <c r="H15" s="95">
        <v>247.15</v>
      </c>
      <c r="I15" s="159"/>
      <c r="J15" s="108"/>
      <c r="K15" s="109"/>
    </row>
    <row r="16" spans="1:11">
      <c r="A16" s="90">
        <v>43780</v>
      </c>
      <c r="B16" s="91">
        <v>44157</v>
      </c>
      <c r="C16" s="168" t="s">
        <v>1135</v>
      </c>
      <c r="D16" s="93" t="s">
        <v>448</v>
      </c>
      <c r="E16" s="92" t="s">
        <v>19</v>
      </c>
      <c r="F16" s="322">
        <v>1299.45</v>
      </c>
      <c r="G16" s="94">
        <v>0.1</v>
      </c>
      <c r="H16" s="95">
        <v>119.54</v>
      </c>
      <c r="I16" s="159"/>
      <c r="J16" s="108"/>
      <c r="K16" s="109"/>
    </row>
    <row r="17" spans="1:11">
      <c r="A17" s="90">
        <v>43780</v>
      </c>
      <c r="B17" s="91">
        <v>44145</v>
      </c>
      <c r="C17" s="168" t="s">
        <v>1136</v>
      </c>
      <c r="D17" s="93" t="s">
        <v>21</v>
      </c>
      <c r="E17" s="92" t="s">
        <v>10</v>
      </c>
      <c r="F17" s="322">
        <v>1556.66</v>
      </c>
      <c r="G17" s="94">
        <v>0.1</v>
      </c>
      <c r="H17" s="95">
        <v>143.21</v>
      </c>
      <c r="I17" s="159">
        <v>71.599999999999994</v>
      </c>
      <c r="J17" s="406" t="s">
        <v>1137</v>
      </c>
      <c r="K17" s="407"/>
    </row>
    <row r="18" spans="1:11">
      <c r="A18" s="90">
        <v>43780</v>
      </c>
      <c r="B18" s="91">
        <v>44154</v>
      </c>
      <c r="C18" s="168" t="s">
        <v>1138</v>
      </c>
      <c r="D18" s="93" t="s">
        <v>61</v>
      </c>
      <c r="E18" s="92" t="s">
        <v>90</v>
      </c>
      <c r="F18" s="322">
        <v>1546.32</v>
      </c>
      <c r="G18" s="94">
        <v>0.1</v>
      </c>
      <c r="H18" s="95">
        <v>142.26</v>
      </c>
      <c r="I18" s="159">
        <v>71.13</v>
      </c>
      <c r="J18" s="406" t="s">
        <v>1139</v>
      </c>
      <c r="K18" s="407"/>
    </row>
    <row r="19" spans="1:11">
      <c r="A19" s="90">
        <v>43780</v>
      </c>
      <c r="B19" s="91">
        <v>44146</v>
      </c>
      <c r="C19" s="353" t="s">
        <v>1140</v>
      </c>
      <c r="D19" s="93" t="s">
        <v>25</v>
      </c>
      <c r="E19" s="92" t="s">
        <v>948</v>
      </c>
      <c r="F19" s="322">
        <v>1279.92</v>
      </c>
      <c r="G19" s="94">
        <v>0.1</v>
      </c>
      <c r="H19" s="95">
        <v>117.75</v>
      </c>
      <c r="I19" s="159"/>
      <c r="J19" s="108"/>
      <c r="K19" s="109"/>
    </row>
    <row r="20" spans="1:11">
      <c r="A20" s="207">
        <v>43781</v>
      </c>
      <c r="B20" s="208">
        <v>44147</v>
      </c>
      <c r="C20" s="387" t="s">
        <v>1141</v>
      </c>
      <c r="D20" s="209" t="s">
        <v>25</v>
      </c>
      <c r="E20" s="169" t="s">
        <v>10</v>
      </c>
      <c r="F20" s="320">
        <v>832.22</v>
      </c>
      <c r="G20" s="211">
        <v>0.13</v>
      </c>
      <c r="H20" s="212">
        <v>99.53</v>
      </c>
      <c r="I20" s="213"/>
      <c r="J20" s="223"/>
      <c r="K20" s="224"/>
    </row>
    <row r="21" spans="1:11">
      <c r="A21" s="90">
        <v>43782</v>
      </c>
      <c r="B21" s="91">
        <v>44148</v>
      </c>
      <c r="C21" s="358" t="s">
        <v>1142</v>
      </c>
      <c r="D21" s="93" t="s">
        <v>61</v>
      </c>
      <c r="E21" s="92" t="s">
        <v>948</v>
      </c>
      <c r="F21" s="322">
        <v>1780.79</v>
      </c>
      <c r="G21" s="94">
        <v>0.1</v>
      </c>
      <c r="H21" s="95">
        <v>163.83000000000001</v>
      </c>
      <c r="I21" s="159"/>
      <c r="J21" s="108"/>
      <c r="K21" s="109"/>
    </row>
    <row r="22" spans="1:11">
      <c r="A22" s="90">
        <v>43782</v>
      </c>
      <c r="B22" s="91">
        <v>44148</v>
      </c>
      <c r="C22" s="168" t="s">
        <v>1143</v>
      </c>
      <c r="D22" s="93" t="s">
        <v>70</v>
      </c>
      <c r="E22" s="92" t="s">
        <v>279</v>
      </c>
      <c r="F22" s="322">
        <v>2981.05</v>
      </c>
      <c r="G22" s="94">
        <v>0.1</v>
      </c>
      <c r="H22" s="95">
        <v>274.25</v>
      </c>
      <c r="I22" s="159"/>
      <c r="J22" s="108"/>
      <c r="K22" s="109"/>
    </row>
    <row r="23" spans="1:11">
      <c r="A23" s="90">
        <v>43782</v>
      </c>
      <c r="B23" s="91">
        <v>44148</v>
      </c>
      <c r="C23" s="168" t="s">
        <v>640</v>
      </c>
      <c r="D23" s="93" t="s">
        <v>14</v>
      </c>
      <c r="E23" s="92" t="s">
        <v>143</v>
      </c>
      <c r="F23" s="322">
        <v>1401.47</v>
      </c>
      <c r="G23" s="94">
        <v>0.1</v>
      </c>
      <c r="H23" s="95">
        <v>128.38999999999999</v>
      </c>
      <c r="I23" s="159"/>
      <c r="J23" s="108"/>
      <c r="K23" s="109"/>
    </row>
    <row r="24" spans="1:11">
      <c r="A24" s="238">
        <v>43783</v>
      </c>
      <c r="B24" s="239">
        <v>44153</v>
      </c>
      <c r="C24" s="412" t="s">
        <v>1144</v>
      </c>
      <c r="D24" s="241" t="s">
        <v>61</v>
      </c>
      <c r="E24" s="240" t="s">
        <v>438</v>
      </c>
      <c r="F24" s="323">
        <v>1249.57</v>
      </c>
      <c r="G24" s="243">
        <v>0.1</v>
      </c>
      <c r="H24" s="244">
        <v>114.97</v>
      </c>
      <c r="I24" s="245"/>
      <c r="J24" s="263"/>
      <c r="K24" s="264"/>
    </row>
    <row r="25" spans="1:11">
      <c r="A25" s="255">
        <v>43785</v>
      </c>
      <c r="B25" s="256">
        <v>44151</v>
      </c>
      <c r="C25" s="412" t="s">
        <v>1145</v>
      </c>
      <c r="D25" s="258" t="s">
        <v>25</v>
      </c>
      <c r="E25" s="257" t="s">
        <v>90</v>
      </c>
      <c r="F25" s="321">
        <v>2097.84</v>
      </c>
      <c r="G25" s="260">
        <v>0.1</v>
      </c>
      <c r="H25" s="261">
        <v>193</v>
      </c>
      <c r="I25" s="262"/>
      <c r="J25" s="307"/>
      <c r="K25" s="308"/>
    </row>
    <row r="26" spans="1:11">
      <c r="A26" s="90">
        <v>43787</v>
      </c>
      <c r="B26" s="91">
        <v>44151</v>
      </c>
      <c r="C26" s="168" t="s">
        <v>1146</v>
      </c>
      <c r="D26" s="93" t="s">
        <v>14</v>
      </c>
      <c r="E26" s="92" t="s">
        <v>10</v>
      </c>
      <c r="F26" s="322">
        <v>1392.23</v>
      </c>
      <c r="G26" s="94">
        <v>0.17</v>
      </c>
      <c r="H26" s="95">
        <v>217.74</v>
      </c>
      <c r="I26" s="159"/>
      <c r="J26" s="108"/>
      <c r="K26" s="109"/>
    </row>
    <row r="27" spans="1:11">
      <c r="A27" s="312">
        <v>43788</v>
      </c>
      <c r="B27" s="313">
        <v>44157</v>
      </c>
      <c r="C27" s="551" t="s">
        <v>1147</v>
      </c>
      <c r="D27" s="315" t="s">
        <v>9</v>
      </c>
      <c r="E27" s="314" t="s">
        <v>22</v>
      </c>
      <c r="F27" s="324">
        <v>1250.92</v>
      </c>
      <c r="G27" s="316">
        <v>0.1</v>
      </c>
      <c r="H27" s="317">
        <v>115.08</v>
      </c>
      <c r="I27" s="318"/>
      <c r="J27" s="410"/>
      <c r="K27" s="411"/>
    </row>
    <row r="28" spans="1:11">
      <c r="A28" s="90">
        <v>43788</v>
      </c>
      <c r="B28" s="91">
        <v>44154</v>
      </c>
      <c r="C28" s="168" t="s">
        <v>1148</v>
      </c>
      <c r="D28" s="93" t="s">
        <v>9</v>
      </c>
      <c r="E28" s="92" t="s">
        <v>10</v>
      </c>
      <c r="F28" s="322">
        <v>1289.98</v>
      </c>
      <c r="G28" s="94">
        <v>0.1</v>
      </c>
      <c r="H28" s="95">
        <v>118.67</v>
      </c>
      <c r="I28" s="159">
        <v>59.33</v>
      </c>
      <c r="J28" s="406" t="s">
        <v>1149</v>
      </c>
      <c r="K28" s="407"/>
    </row>
    <row r="29" spans="1:11">
      <c r="A29" s="90">
        <v>43790</v>
      </c>
      <c r="B29" s="91">
        <v>44156</v>
      </c>
      <c r="C29" s="168" t="s">
        <v>1150</v>
      </c>
      <c r="D29" s="93" t="s">
        <v>25</v>
      </c>
      <c r="E29" s="92" t="s">
        <v>1151</v>
      </c>
      <c r="F29" s="322">
        <v>1347.32</v>
      </c>
      <c r="G29" s="94">
        <v>0.1</v>
      </c>
      <c r="H29" s="95">
        <v>123.95</v>
      </c>
      <c r="I29" s="159">
        <v>61.97</v>
      </c>
      <c r="J29" s="406" t="s">
        <v>1149</v>
      </c>
      <c r="K29" s="407"/>
    </row>
    <row r="30" spans="1:11">
      <c r="A30" s="90">
        <v>43791</v>
      </c>
      <c r="B30" s="91">
        <v>44163</v>
      </c>
      <c r="C30" s="101" t="s">
        <v>1152</v>
      </c>
      <c r="D30" s="93" t="s">
        <v>9</v>
      </c>
      <c r="E30" s="92" t="s">
        <v>948</v>
      </c>
      <c r="F30" s="322">
        <v>1609.72</v>
      </c>
      <c r="G30" s="94">
        <v>0.15</v>
      </c>
      <c r="H30" s="95">
        <v>222.14</v>
      </c>
      <c r="I30" s="159"/>
      <c r="J30" s="108"/>
      <c r="K30" s="109"/>
    </row>
    <row r="31" spans="1:11">
      <c r="A31" s="238">
        <v>43795</v>
      </c>
      <c r="B31" s="239">
        <v>44161</v>
      </c>
      <c r="C31" s="412" t="s">
        <v>1153</v>
      </c>
      <c r="D31" s="241" t="s">
        <v>61</v>
      </c>
      <c r="E31" s="240" t="s">
        <v>29</v>
      </c>
      <c r="F31" s="323">
        <v>1096.3</v>
      </c>
      <c r="G31" s="243">
        <v>0.1</v>
      </c>
      <c r="H31" s="244">
        <v>100.85</v>
      </c>
      <c r="I31" s="245"/>
      <c r="J31" s="263"/>
      <c r="K31" s="264"/>
    </row>
    <row r="32" spans="1:11">
      <c r="A32" s="90">
        <v>43791</v>
      </c>
      <c r="B32" s="91">
        <v>44157</v>
      </c>
      <c r="C32" s="168" t="s">
        <v>1154</v>
      </c>
      <c r="D32" s="93" t="s">
        <v>448</v>
      </c>
      <c r="E32" s="92" t="s">
        <v>279</v>
      </c>
      <c r="F32" s="322">
        <v>1863.7</v>
      </c>
      <c r="G32" s="94">
        <v>0.1</v>
      </c>
      <c r="H32" s="95">
        <v>171.46</v>
      </c>
      <c r="I32" s="159">
        <v>85.73</v>
      </c>
      <c r="J32" s="693" t="s">
        <v>1137</v>
      </c>
      <c r="K32" s="693"/>
    </row>
    <row r="33" spans="1:11">
      <c r="A33" s="90">
        <v>43794</v>
      </c>
      <c r="B33" s="91">
        <v>44160</v>
      </c>
      <c r="C33" s="168" t="s">
        <v>1155</v>
      </c>
      <c r="D33" s="93" t="s">
        <v>9</v>
      </c>
      <c r="E33" s="92" t="s">
        <v>362</v>
      </c>
      <c r="F33" s="322">
        <v>1182.8499999999999</v>
      </c>
      <c r="G33" s="94">
        <v>0.11</v>
      </c>
      <c r="H33" s="95">
        <v>119.7</v>
      </c>
      <c r="I33" s="159"/>
      <c r="J33" s="108"/>
      <c r="K33" s="109"/>
    </row>
    <row r="34" spans="1:11">
      <c r="A34" s="90">
        <v>43794</v>
      </c>
      <c r="B34" s="91">
        <v>44153</v>
      </c>
      <c r="C34" s="168" t="s">
        <v>1156</v>
      </c>
      <c r="D34" s="93" t="s">
        <v>9</v>
      </c>
      <c r="E34" s="92" t="s">
        <v>10</v>
      </c>
      <c r="F34" s="322">
        <v>1605.92</v>
      </c>
      <c r="G34" s="94">
        <v>0.1</v>
      </c>
      <c r="H34" s="95">
        <v>147.74</v>
      </c>
      <c r="I34" s="159"/>
      <c r="J34" s="108"/>
      <c r="K34" s="109"/>
    </row>
    <row r="35" spans="1:11">
      <c r="A35" s="90">
        <v>43794</v>
      </c>
      <c r="B35" s="91">
        <v>44165</v>
      </c>
      <c r="C35" s="168" t="s">
        <v>1157</v>
      </c>
      <c r="D35" s="93" t="s">
        <v>25</v>
      </c>
      <c r="E35" s="92" t="s">
        <v>10</v>
      </c>
      <c r="F35" s="322">
        <v>1471.59</v>
      </c>
      <c r="G35" s="94">
        <v>0.15</v>
      </c>
      <c r="H35" s="95">
        <v>203.07</v>
      </c>
      <c r="I35" s="159"/>
      <c r="J35" s="108"/>
      <c r="K35" s="109"/>
    </row>
    <row r="36" spans="1:11">
      <c r="A36" s="90">
        <v>43795</v>
      </c>
      <c r="B36" s="91">
        <v>44160</v>
      </c>
      <c r="C36" s="168" t="s">
        <v>1158</v>
      </c>
      <c r="D36" s="93" t="s">
        <v>61</v>
      </c>
      <c r="E36" s="92" t="s">
        <v>19</v>
      </c>
      <c r="F36" s="322">
        <v>1087.25</v>
      </c>
      <c r="G36" s="94">
        <v>0.1</v>
      </c>
      <c r="H36" s="95">
        <v>100.02</v>
      </c>
      <c r="I36" s="159">
        <v>50.01</v>
      </c>
      <c r="J36" s="108" t="s">
        <v>1149</v>
      </c>
      <c r="K36" s="109"/>
    </row>
    <row r="37" spans="1:11">
      <c r="A37" s="238">
        <v>43796</v>
      </c>
      <c r="B37" s="239">
        <v>44161</v>
      </c>
      <c r="C37" s="412" t="s">
        <v>1159</v>
      </c>
      <c r="D37" s="241" t="s">
        <v>9</v>
      </c>
      <c r="E37" s="240" t="s">
        <v>22</v>
      </c>
      <c r="F37" s="323">
        <v>1650.9</v>
      </c>
      <c r="G37" s="243">
        <v>0.1</v>
      </c>
      <c r="H37" s="244">
        <v>151.88</v>
      </c>
      <c r="I37" s="245"/>
      <c r="J37" s="263"/>
      <c r="K37" s="264"/>
    </row>
    <row r="38" spans="1:11">
      <c r="A38" s="623">
        <v>43796</v>
      </c>
      <c r="B38" s="618">
        <v>44162</v>
      </c>
      <c r="C38" s="412" t="s">
        <v>1160</v>
      </c>
      <c r="D38" s="619" t="s">
        <v>14</v>
      </c>
      <c r="E38" s="412" t="s">
        <v>75</v>
      </c>
      <c r="F38" s="620">
        <v>4472.3999999999996</v>
      </c>
      <c r="G38" s="621">
        <v>0.1</v>
      </c>
      <c r="H38" s="622">
        <v>411.46</v>
      </c>
      <c r="I38" s="245"/>
      <c r="J38" s="263"/>
      <c r="K38" s="264"/>
    </row>
    <row r="39" spans="1:11">
      <c r="A39" s="90">
        <v>43798</v>
      </c>
      <c r="B39" s="91">
        <v>44164</v>
      </c>
      <c r="C39" s="168" t="s">
        <v>672</v>
      </c>
      <c r="D39" s="93" t="s">
        <v>9</v>
      </c>
      <c r="E39" s="92" t="s">
        <v>1161</v>
      </c>
      <c r="F39" s="322">
        <v>2151.23</v>
      </c>
      <c r="G39" s="94">
        <v>0.1</v>
      </c>
      <c r="H39" s="95">
        <v>197.91</v>
      </c>
      <c r="I39" s="159"/>
      <c r="J39" s="108"/>
      <c r="K39" s="109"/>
    </row>
    <row r="40" spans="1:11">
      <c r="A40" s="359">
        <v>43801</v>
      </c>
      <c r="B40" s="345">
        <v>44165</v>
      </c>
      <c r="C40" s="566" t="s">
        <v>1162</v>
      </c>
      <c r="D40" s="347" t="s">
        <v>21</v>
      </c>
      <c r="E40" s="346" t="s">
        <v>22</v>
      </c>
      <c r="F40" s="348">
        <v>2264.38</v>
      </c>
      <c r="G40" s="349">
        <v>0.1</v>
      </c>
      <c r="H40" s="350">
        <v>208.32</v>
      </c>
      <c r="I40" s="351"/>
      <c r="J40" s="263"/>
      <c r="K40" s="264"/>
    </row>
    <row r="41" spans="1:11">
      <c r="A41" s="238"/>
      <c r="B41" s="239"/>
      <c r="C41" s="240"/>
      <c r="D41" s="241"/>
      <c r="E41" s="240"/>
      <c r="F41" s="323"/>
      <c r="G41" s="243"/>
      <c r="H41" s="244"/>
      <c r="I41" s="245"/>
      <c r="J41" s="263"/>
      <c r="K41" s="264"/>
    </row>
    <row r="42" spans="1:11">
      <c r="A42" s="238"/>
      <c r="B42" s="239"/>
      <c r="C42" s="240"/>
      <c r="D42" s="241"/>
      <c r="E42" s="240"/>
      <c r="F42" s="323"/>
      <c r="G42" s="243"/>
      <c r="H42" s="244"/>
      <c r="I42" s="245"/>
      <c r="J42" s="263"/>
      <c r="K42" s="264"/>
    </row>
    <row r="43" spans="1:11">
      <c r="A43" s="238"/>
      <c r="B43" s="239"/>
      <c r="C43" s="240"/>
      <c r="D43" s="241"/>
      <c r="E43" s="240"/>
      <c r="F43" s="323"/>
      <c r="G43" s="243"/>
      <c r="H43" s="244"/>
      <c r="I43" s="245"/>
      <c r="J43" s="263"/>
      <c r="K43" s="264"/>
    </row>
    <row r="44" spans="1:11">
      <c r="A44" s="90"/>
      <c r="B44" s="91"/>
      <c r="C44" s="92"/>
      <c r="D44" s="93"/>
      <c r="E44" s="92"/>
      <c r="F44" s="322"/>
      <c r="G44" s="94"/>
      <c r="H44" s="95"/>
      <c r="I44" s="159"/>
      <c r="J44" s="108"/>
      <c r="K44" s="109"/>
    </row>
    <row r="45" spans="1:11">
      <c r="A45" s="90"/>
      <c r="B45" s="91"/>
      <c r="C45" s="92"/>
      <c r="D45" s="93"/>
      <c r="E45" s="92"/>
      <c r="F45" s="322"/>
      <c r="G45" s="94"/>
      <c r="H45" s="95"/>
      <c r="I45" s="159"/>
      <c r="J45" s="108"/>
      <c r="K45" s="109"/>
    </row>
    <row r="46" spans="1:11">
      <c r="A46" s="90"/>
      <c r="B46" s="91"/>
      <c r="C46" s="92"/>
      <c r="D46" s="93"/>
      <c r="E46" s="92"/>
      <c r="F46" s="322"/>
      <c r="G46" s="94"/>
      <c r="H46" s="95"/>
      <c r="I46" s="159"/>
      <c r="J46" s="108"/>
      <c r="K46" s="109"/>
    </row>
    <row r="47" spans="1:11">
      <c r="A47" s="90"/>
      <c r="B47" s="91"/>
      <c r="C47" s="92"/>
      <c r="D47" s="93"/>
      <c r="E47" s="92"/>
      <c r="F47" s="322"/>
      <c r="G47" s="94"/>
      <c r="H47" s="95"/>
      <c r="I47" s="159"/>
      <c r="J47" s="108"/>
      <c r="K47" s="109"/>
    </row>
    <row r="48" spans="1:11">
      <c r="A48" s="90"/>
      <c r="B48" s="91"/>
      <c r="C48" s="92"/>
      <c r="D48" s="93"/>
      <c r="E48" s="92"/>
      <c r="F48" s="322"/>
      <c r="G48" s="94"/>
      <c r="H48" s="95"/>
      <c r="I48" s="159"/>
      <c r="J48" s="108"/>
      <c r="K48" s="109"/>
    </row>
    <row r="49" spans="1:11">
      <c r="A49" s="90"/>
      <c r="B49" s="91"/>
      <c r="C49" s="92" t="s">
        <v>1163</v>
      </c>
      <c r="D49" s="93"/>
      <c r="E49" s="92"/>
      <c r="F49" s="322"/>
      <c r="G49" s="94"/>
      <c r="H49" s="95"/>
      <c r="I49" s="159"/>
      <c r="J49" s="108"/>
      <c r="K49" s="109"/>
    </row>
    <row r="50" spans="1:11" ht="19.5">
      <c r="A50" s="673"/>
      <c r="B50" s="674"/>
      <c r="C50" s="674"/>
      <c r="D50" s="674"/>
      <c r="E50" s="674"/>
      <c r="F50" s="338">
        <f>SUM(F2:F49)</f>
        <v>68656.490000000005</v>
      </c>
      <c r="G50" s="143"/>
      <c r="H50" s="129">
        <f>SUM(H2:H49)</f>
        <v>7077.7800000000007</v>
      </c>
      <c r="I50" s="107">
        <f>SUM(I2:I49)</f>
        <v>399.77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K65"/>
  <sheetViews>
    <sheetView topLeftCell="A49" zoomScale="85" zoomScaleNormal="85" workbookViewId="0">
      <selection activeCell="C61" sqref="C61"/>
    </sheetView>
  </sheetViews>
  <sheetFormatPr defaultRowHeight="15"/>
  <cols>
    <col min="1" max="1" width="16.5703125" bestFit="1" customWidth="1"/>
    <col min="2" max="2" width="11.7109375" bestFit="1" customWidth="1"/>
    <col min="3" max="3" width="49.42578125" bestFit="1" customWidth="1"/>
    <col min="6" max="6" width="19.28515625" bestFit="1" customWidth="1"/>
    <col min="7" max="7" width="9.28515625" bestFit="1" customWidth="1"/>
    <col min="8" max="8" width="22.5703125" bestFit="1" customWidth="1"/>
    <col min="9" max="9" width="21" bestFit="1" customWidth="1"/>
  </cols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216">
        <v>43795</v>
      </c>
      <c r="B2" s="225">
        <v>44166</v>
      </c>
      <c r="C2" s="172" t="s">
        <v>1164</v>
      </c>
      <c r="D2" s="218" t="s">
        <v>25</v>
      </c>
      <c r="E2" s="217" t="s">
        <v>10</v>
      </c>
      <c r="F2" s="310">
        <v>820.95</v>
      </c>
      <c r="G2" s="220">
        <v>0.15</v>
      </c>
      <c r="H2" s="214">
        <v>113.29</v>
      </c>
      <c r="I2" s="215"/>
      <c r="J2" s="223"/>
      <c r="K2" s="224"/>
    </row>
    <row r="3" spans="1:11">
      <c r="A3" s="216">
        <v>43801</v>
      </c>
      <c r="B3" s="221">
        <v>44166</v>
      </c>
      <c r="C3" s="172" t="s">
        <v>1165</v>
      </c>
      <c r="D3" s="218" t="s">
        <v>9</v>
      </c>
      <c r="E3" s="217" t="s">
        <v>22</v>
      </c>
      <c r="F3" s="310">
        <v>1088.1400000000001</v>
      </c>
      <c r="G3" s="220">
        <v>0.1</v>
      </c>
      <c r="H3" s="214">
        <v>100.1</v>
      </c>
      <c r="I3" s="215">
        <v>60</v>
      </c>
      <c r="J3" s="223" t="s">
        <v>1166</v>
      </c>
      <c r="K3" s="224"/>
    </row>
    <row r="4" spans="1:11">
      <c r="A4" s="207">
        <v>43801</v>
      </c>
      <c r="B4" s="208">
        <v>44168</v>
      </c>
      <c r="C4" s="168" t="s">
        <v>1167</v>
      </c>
      <c r="D4" s="209" t="s">
        <v>61</v>
      </c>
      <c r="E4" s="169" t="s">
        <v>29</v>
      </c>
      <c r="F4" s="320">
        <v>1936.03</v>
      </c>
      <c r="G4" s="211">
        <v>0.15</v>
      </c>
      <c r="H4" s="212">
        <v>297.17</v>
      </c>
      <c r="I4" s="213"/>
      <c r="J4" s="223"/>
      <c r="K4" s="224"/>
    </row>
    <row r="5" spans="1:11">
      <c r="A5" s="287">
        <v>43771</v>
      </c>
      <c r="B5" s="288">
        <v>44171</v>
      </c>
      <c r="C5" s="566" t="s">
        <v>1168</v>
      </c>
      <c r="D5" s="289" t="s">
        <v>103</v>
      </c>
      <c r="E5" s="290" t="s">
        <v>948</v>
      </c>
      <c r="F5" s="337">
        <v>1457.36</v>
      </c>
      <c r="G5" s="292">
        <v>0.1</v>
      </c>
      <c r="H5" s="293">
        <v>134.07</v>
      </c>
      <c r="I5" s="262"/>
      <c r="J5" s="307"/>
      <c r="K5" s="308"/>
    </row>
    <row r="6" spans="1:11">
      <c r="A6" s="255">
        <v>43804</v>
      </c>
      <c r="B6" s="256">
        <v>44175</v>
      </c>
      <c r="C6" s="412" t="s">
        <v>1169</v>
      </c>
      <c r="D6" s="258" t="s">
        <v>25</v>
      </c>
      <c r="E6" s="381" t="s">
        <v>10</v>
      </c>
      <c r="F6" s="416">
        <v>2029.89</v>
      </c>
      <c r="G6" s="415">
        <v>0.1</v>
      </c>
      <c r="H6" s="261">
        <v>186.74</v>
      </c>
      <c r="I6" s="262"/>
      <c r="J6" s="223"/>
      <c r="K6" s="224"/>
    </row>
    <row r="7" spans="1:11">
      <c r="A7" s="90">
        <v>43802</v>
      </c>
      <c r="B7" s="91">
        <v>44172</v>
      </c>
      <c r="C7" s="168" t="s">
        <v>1170</v>
      </c>
      <c r="D7" s="93" t="s">
        <v>61</v>
      </c>
      <c r="E7" s="92" t="s">
        <v>10</v>
      </c>
      <c r="F7" s="322">
        <v>1859.33</v>
      </c>
      <c r="G7" s="94">
        <v>0.15</v>
      </c>
      <c r="H7" s="95">
        <v>256.58</v>
      </c>
      <c r="I7" s="159"/>
      <c r="J7" s="108"/>
      <c r="K7" s="109"/>
    </row>
    <row r="8" spans="1:11">
      <c r="A8" s="90">
        <v>43800</v>
      </c>
      <c r="B8" s="91">
        <v>44167</v>
      </c>
      <c r="C8" s="168" t="s">
        <v>431</v>
      </c>
      <c r="D8" s="93" t="s">
        <v>61</v>
      </c>
      <c r="E8" s="92" t="s">
        <v>19</v>
      </c>
      <c r="F8" s="322">
        <v>0</v>
      </c>
      <c r="G8" s="94" t="s">
        <v>560</v>
      </c>
      <c r="H8" s="95" t="s">
        <v>560</v>
      </c>
      <c r="I8" s="159"/>
      <c r="J8" s="108"/>
      <c r="K8" s="109"/>
    </row>
    <row r="9" spans="1:11">
      <c r="A9" s="255">
        <v>43803</v>
      </c>
      <c r="B9" s="256">
        <v>44174</v>
      </c>
      <c r="C9" s="412" t="s">
        <v>1171</v>
      </c>
      <c r="D9" s="258" t="s">
        <v>25</v>
      </c>
      <c r="E9" s="257" t="s">
        <v>10</v>
      </c>
      <c r="F9" s="321">
        <v>2029.31</v>
      </c>
      <c r="G9" s="211">
        <v>0.1</v>
      </c>
      <c r="H9" s="261">
        <v>186.69</v>
      </c>
      <c r="I9" s="262"/>
      <c r="J9" s="307"/>
      <c r="K9" s="308"/>
    </row>
    <row r="10" spans="1:11">
      <c r="A10" s="207">
        <v>43803</v>
      </c>
      <c r="B10" s="208">
        <v>44169</v>
      </c>
      <c r="C10" s="168" t="s">
        <v>1172</v>
      </c>
      <c r="D10" s="209" t="s">
        <v>70</v>
      </c>
      <c r="E10" s="169" t="s">
        <v>279</v>
      </c>
      <c r="F10" s="320">
        <v>2736.9</v>
      </c>
      <c r="G10" s="211">
        <v>0.1</v>
      </c>
      <c r="H10" s="212">
        <v>251.79</v>
      </c>
      <c r="I10" s="213"/>
      <c r="J10" s="223"/>
      <c r="K10" s="224"/>
    </row>
    <row r="11" spans="1:11">
      <c r="A11" s="90">
        <v>43805</v>
      </c>
      <c r="B11" s="91">
        <v>44171</v>
      </c>
      <c r="C11" s="168" t="s">
        <v>1173</v>
      </c>
      <c r="D11" s="93" t="s">
        <v>14</v>
      </c>
      <c r="E11" s="92" t="s">
        <v>22</v>
      </c>
      <c r="F11" s="322">
        <v>2452.9899999999998</v>
      </c>
      <c r="G11" s="94">
        <v>0.1</v>
      </c>
      <c r="H11" s="95">
        <v>225.67</v>
      </c>
      <c r="I11" s="159"/>
      <c r="J11" s="108"/>
      <c r="K11" s="109"/>
    </row>
    <row r="12" spans="1:11">
      <c r="A12" s="90">
        <v>43805</v>
      </c>
      <c r="B12" s="91">
        <v>44171</v>
      </c>
      <c r="C12" s="353" t="s">
        <v>1174</v>
      </c>
      <c r="D12" s="93" t="s">
        <v>61</v>
      </c>
      <c r="E12" s="92" t="s">
        <v>29</v>
      </c>
      <c r="F12" s="322">
        <v>1691.75</v>
      </c>
      <c r="G12" s="94">
        <v>0.1</v>
      </c>
      <c r="H12" s="95">
        <v>155.63999999999999</v>
      </c>
      <c r="I12" s="159"/>
      <c r="J12" s="108"/>
      <c r="K12" s="109"/>
    </row>
    <row r="13" spans="1:11">
      <c r="A13" s="732">
        <v>43808</v>
      </c>
      <c r="B13" s="733">
        <v>44063</v>
      </c>
      <c r="C13" s="169" t="s">
        <v>1018</v>
      </c>
      <c r="D13" s="735" t="s">
        <v>149</v>
      </c>
      <c r="E13" s="734" t="s">
        <v>948</v>
      </c>
      <c r="F13" s="736">
        <v>437.01</v>
      </c>
      <c r="G13" s="737">
        <v>0.1</v>
      </c>
      <c r="H13" s="738">
        <v>40.200000000000003</v>
      </c>
      <c r="I13" s="159"/>
      <c r="J13" s="108"/>
      <c r="K13" s="109"/>
    </row>
    <row r="14" spans="1:11">
      <c r="A14" s="297">
        <v>43808</v>
      </c>
      <c r="B14" s="298">
        <v>44167</v>
      </c>
      <c r="C14" s="539" t="s">
        <v>1175</v>
      </c>
      <c r="D14" s="299" t="s">
        <v>9</v>
      </c>
      <c r="E14" s="101" t="s">
        <v>22</v>
      </c>
      <c r="F14" s="340">
        <v>1244.77</v>
      </c>
      <c r="G14" s="301">
        <v>0.12</v>
      </c>
      <c r="H14" s="302">
        <v>137.44</v>
      </c>
      <c r="I14" s="303"/>
      <c r="J14" s="295"/>
      <c r="K14" s="296"/>
    </row>
    <row r="15" spans="1:11">
      <c r="A15" s="90">
        <v>43808</v>
      </c>
      <c r="B15" s="91">
        <v>44174</v>
      </c>
      <c r="C15" s="358" t="s">
        <v>1176</v>
      </c>
      <c r="D15" s="93" t="s">
        <v>9</v>
      </c>
      <c r="E15" s="92" t="s">
        <v>1177</v>
      </c>
      <c r="F15" s="322">
        <v>1490.74</v>
      </c>
      <c r="G15" s="94">
        <v>0.1</v>
      </c>
      <c r="H15" s="95">
        <v>137.13999999999999</v>
      </c>
      <c r="I15" s="159"/>
      <c r="J15" s="108"/>
      <c r="K15" s="109"/>
    </row>
    <row r="16" spans="1:11">
      <c r="A16" s="297">
        <v>43808</v>
      </c>
      <c r="B16" s="298">
        <v>43808</v>
      </c>
      <c r="C16" s="414" t="s">
        <v>1178</v>
      </c>
      <c r="D16" s="299" t="s">
        <v>25</v>
      </c>
      <c r="E16" s="101" t="s">
        <v>279</v>
      </c>
      <c r="F16" s="340"/>
      <c r="G16" s="301">
        <v>0.1</v>
      </c>
      <c r="H16" s="302"/>
      <c r="I16" s="159"/>
      <c r="J16" s="108"/>
      <c r="K16" s="109"/>
    </row>
    <row r="17" spans="1:11">
      <c r="A17" s="90">
        <v>43809</v>
      </c>
      <c r="B17" s="91">
        <v>44180</v>
      </c>
      <c r="C17" s="566" t="s">
        <v>1179</v>
      </c>
      <c r="D17" s="93" t="s">
        <v>21</v>
      </c>
      <c r="E17" s="92" t="s">
        <v>10</v>
      </c>
      <c r="F17" s="322">
        <v>1345.09</v>
      </c>
      <c r="G17" s="94">
        <v>0.15</v>
      </c>
      <c r="H17" s="95">
        <v>185.62</v>
      </c>
      <c r="I17" s="159"/>
      <c r="J17" s="406"/>
      <c r="K17" s="407"/>
    </row>
    <row r="18" spans="1:11">
      <c r="A18" s="90">
        <v>43809</v>
      </c>
      <c r="B18" s="91">
        <v>44169</v>
      </c>
      <c r="C18" s="168" t="s">
        <v>1180</v>
      </c>
      <c r="D18" s="93" t="s">
        <v>14</v>
      </c>
      <c r="E18" s="92" t="s">
        <v>945</v>
      </c>
      <c r="F18" s="322">
        <v>1230.76</v>
      </c>
      <c r="G18" s="94">
        <v>0.2</v>
      </c>
      <c r="H18" s="95">
        <v>226.45</v>
      </c>
      <c r="I18" s="159"/>
      <c r="J18" s="694"/>
      <c r="K18" s="695"/>
    </row>
    <row r="19" spans="1:11">
      <c r="A19" s="427">
        <v>43809</v>
      </c>
      <c r="B19" s="427">
        <v>44174</v>
      </c>
      <c r="C19" s="440" t="s">
        <v>1181</v>
      </c>
      <c r="D19" s="428" t="s">
        <v>9</v>
      </c>
      <c r="E19" s="363" t="s">
        <v>948</v>
      </c>
      <c r="F19" s="429">
        <v>1387.06</v>
      </c>
      <c r="G19" s="430">
        <v>0.1</v>
      </c>
      <c r="H19" s="431">
        <v>127.6</v>
      </c>
      <c r="I19" s="432"/>
      <c r="J19" s="330"/>
      <c r="K19" s="330"/>
    </row>
    <row r="20" spans="1:11">
      <c r="A20" s="418">
        <v>43810</v>
      </c>
      <c r="B20" s="419">
        <v>44176</v>
      </c>
      <c r="C20" s="353" t="s">
        <v>1182</v>
      </c>
      <c r="D20" s="420" t="s">
        <v>61</v>
      </c>
      <c r="E20" s="286" t="s">
        <v>19</v>
      </c>
      <c r="F20" s="421">
        <v>3022.27</v>
      </c>
      <c r="G20" s="422">
        <v>0.1</v>
      </c>
      <c r="H20" s="423">
        <v>278.04000000000002</v>
      </c>
      <c r="I20" s="424"/>
      <c r="J20" s="425"/>
      <c r="K20" s="426"/>
    </row>
    <row r="21" spans="1:11">
      <c r="A21" s="238">
        <v>43810</v>
      </c>
      <c r="B21" s="239">
        <v>44180</v>
      </c>
      <c r="C21" s="456" t="s">
        <v>1183</v>
      </c>
      <c r="D21" s="241" t="s">
        <v>61</v>
      </c>
      <c r="E21" s="240" t="s">
        <v>945</v>
      </c>
      <c r="F21" s="323">
        <v>1357.8</v>
      </c>
      <c r="G21" s="243">
        <v>0.1</v>
      </c>
      <c r="H21" s="244">
        <v>124.91</v>
      </c>
      <c r="I21" s="245"/>
      <c r="J21" s="263"/>
      <c r="K21" s="264"/>
    </row>
    <row r="22" spans="1:11">
      <c r="A22" s="297">
        <v>43829</v>
      </c>
      <c r="B22" s="298">
        <v>44195</v>
      </c>
      <c r="C22" s="414" t="s">
        <v>1184</v>
      </c>
      <c r="D22" s="299" t="s">
        <v>25</v>
      </c>
      <c r="E22" s="101" t="s">
        <v>22</v>
      </c>
      <c r="F22" s="340">
        <v>1941.05</v>
      </c>
      <c r="G22" s="301">
        <v>0.1</v>
      </c>
      <c r="H22" s="302">
        <v>178.57</v>
      </c>
      <c r="I22" s="303"/>
      <c r="J22" s="295"/>
      <c r="K22" s="296"/>
    </row>
    <row r="23" spans="1:11">
      <c r="A23" s="359">
        <v>43812</v>
      </c>
      <c r="B23" s="345">
        <v>44174</v>
      </c>
      <c r="C23" s="566" t="s">
        <v>1185</v>
      </c>
      <c r="D23" s="347" t="s">
        <v>70</v>
      </c>
      <c r="E23" s="346" t="s">
        <v>10</v>
      </c>
      <c r="F23" s="348">
        <v>1145.1099999999999</v>
      </c>
      <c r="G23" s="349">
        <v>0.12</v>
      </c>
      <c r="H23" s="350">
        <v>126.42</v>
      </c>
      <c r="I23" s="351"/>
      <c r="J23" s="433"/>
      <c r="K23" s="434"/>
    </row>
    <row r="24" spans="1:11">
      <c r="A24" s="287">
        <v>43812</v>
      </c>
      <c r="B24" s="288">
        <v>44180</v>
      </c>
      <c r="C24" s="566" t="s">
        <v>972</v>
      </c>
      <c r="D24" s="289" t="s">
        <v>25</v>
      </c>
      <c r="E24" s="290" t="s">
        <v>10</v>
      </c>
      <c r="F24" s="337">
        <v>1427.24</v>
      </c>
      <c r="G24" s="292">
        <v>0.11</v>
      </c>
      <c r="H24" s="293">
        <v>144.43</v>
      </c>
      <c r="I24" s="294"/>
      <c r="J24" s="443"/>
      <c r="K24" s="444"/>
    </row>
    <row r="25" spans="1:11">
      <c r="A25" s="90">
        <v>43812</v>
      </c>
      <c r="B25" s="91">
        <v>44179</v>
      </c>
      <c r="C25" s="168" t="s">
        <v>1155</v>
      </c>
      <c r="D25" s="93" t="s">
        <v>9</v>
      </c>
      <c r="E25" s="92" t="s">
        <v>317</v>
      </c>
      <c r="F25" s="322">
        <v>1451.44</v>
      </c>
      <c r="G25" s="94">
        <v>0.15</v>
      </c>
      <c r="H25" s="95">
        <v>200.29</v>
      </c>
      <c r="I25" s="159"/>
      <c r="J25" s="108"/>
      <c r="K25" s="109"/>
    </row>
    <row r="26" spans="1:11">
      <c r="A26" s="312">
        <v>43812</v>
      </c>
      <c r="B26" s="313">
        <v>44185</v>
      </c>
      <c r="C26" s="551" t="s">
        <v>1186</v>
      </c>
      <c r="D26" s="315" t="s">
        <v>25</v>
      </c>
      <c r="E26" s="314" t="s">
        <v>948</v>
      </c>
      <c r="F26" s="324">
        <v>1098.6600000000001</v>
      </c>
      <c r="G26" s="316">
        <v>0.1</v>
      </c>
      <c r="H26" s="317">
        <v>101.07</v>
      </c>
      <c r="I26" s="318"/>
      <c r="J26" s="410"/>
      <c r="K26" s="411"/>
    </row>
    <row r="27" spans="1:11">
      <c r="A27" s="246">
        <v>43812</v>
      </c>
      <c r="B27" s="247">
        <v>44178</v>
      </c>
      <c r="C27" s="413" t="s">
        <v>1187</v>
      </c>
      <c r="D27" s="249" t="s">
        <v>61</v>
      </c>
      <c r="E27" s="248" t="s">
        <v>15</v>
      </c>
      <c r="F27" s="435">
        <v>1753.66</v>
      </c>
      <c r="G27" s="251">
        <v>0.1</v>
      </c>
      <c r="H27" s="252">
        <v>161.33000000000001</v>
      </c>
      <c r="I27" s="253"/>
      <c r="J27" s="273"/>
      <c r="K27" s="274"/>
    </row>
    <row r="28" spans="1:11">
      <c r="A28" s="297">
        <v>43815</v>
      </c>
      <c r="B28" s="298">
        <v>43815</v>
      </c>
      <c r="C28" s="414" t="s">
        <v>1188</v>
      </c>
      <c r="D28" s="299" t="s">
        <v>25</v>
      </c>
      <c r="E28" s="101" t="s">
        <v>29</v>
      </c>
      <c r="F28" s="340">
        <v>-320.33999999999997</v>
      </c>
      <c r="G28" s="301">
        <v>0.1</v>
      </c>
      <c r="H28" s="302" t="s">
        <v>1189</v>
      </c>
      <c r="I28" s="303"/>
      <c r="J28" s="587"/>
      <c r="K28" s="588"/>
    </row>
    <row r="29" spans="1:11">
      <c r="A29" s="90">
        <v>43815</v>
      </c>
      <c r="B29" s="91">
        <v>43812</v>
      </c>
      <c r="C29" s="168" t="s">
        <v>966</v>
      </c>
      <c r="D29" s="93" t="s">
        <v>9</v>
      </c>
      <c r="E29" s="92" t="s">
        <v>10</v>
      </c>
      <c r="F29" s="322">
        <v>1674.65</v>
      </c>
      <c r="G29" s="94">
        <v>0.1</v>
      </c>
      <c r="H29" s="95">
        <v>200.58</v>
      </c>
      <c r="I29" s="159"/>
      <c r="J29" s="406"/>
      <c r="K29" s="407"/>
    </row>
    <row r="30" spans="1:11">
      <c r="A30" s="90">
        <v>43815</v>
      </c>
      <c r="B30" s="91">
        <v>44180</v>
      </c>
      <c r="C30" s="168" t="s">
        <v>1190</v>
      </c>
      <c r="D30" s="93" t="s">
        <v>25</v>
      </c>
      <c r="E30" s="92" t="s">
        <v>10</v>
      </c>
      <c r="F30" s="322">
        <v>2342.69</v>
      </c>
      <c r="G30" s="94">
        <v>0.1</v>
      </c>
      <c r="H30" s="95">
        <v>215.52</v>
      </c>
      <c r="I30" s="159"/>
      <c r="J30" s="108"/>
      <c r="K30" s="109"/>
    </row>
    <row r="31" spans="1:11">
      <c r="A31" s="90">
        <v>43816</v>
      </c>
      <c r="B31" s="91">
        <v>44185</v>
      </c>
      <c r="C31" s="168" t="s">
        <v>1191</v>
      </c>
      <c r="D31" s="93" t="s">
        <v>25</v>
      </c>
      <c r="E31" s="92" t="s">
        <v>19</v>
      </c>
      <c r="F31" s="322">
        <v>1148.1300000000001</v>
      </c>
      <c r="G31" s="94">
        <v>0.1</v>
      </c>
      <c r="H31" s="95">
        <v>105.62</v>
      </c>
      <c r="I31" s="159">
        <v>52.81</v>
      </c>
      <c r="J31" s="693" t="s">
        <v>924</v>
      </c>
      <c r="K31" s="693"/>
    </row>
    <row r="32" spans="1:11">
      <c r="A32" s="297">
        <v>43816</v>
      </c>
      <c r="B32" s="298">
        <v>44182</v>
      </c>
      <c r="C32" s="414" t="s">
        <v>1190</v>
      </c>
      <c r="D32" s="299" t="s">
        <v>9</v>
      </c>
      <c r="E32" s="101" t="s">
        <v>945</v>
      </c>
      <c r="F32" s="340">
        <v>1337.66</v>
      </c>
      <c r="G32" s="301">
        <v>0.2</v>
      </c>
      <c r="H32" s="302">
        <v>246.12</v>
      </c>
      <c r="I32" s="303"/>
      <c r="J32" s="295"/>
      <c r="K32" s="296"/>
    </row>
    <row r="33" spans="1:11">
      <c r="A33" s="90">
        <v>43816</v>
      </c>
      <c r="B33" s="91">
        <v>44187</v>
      </c>
      <c r="C33" s="168" t="s">
        <v>1192</v>
      </c>
      <c r="D33" s="93" t="s">
        <v>21</v>
      </c>
      <c r="E33" s="92" t="s">
        <v>10</v>
      </c>
      <c r="F33" s="322">
        <v>918.85</v>
      </c>
      <c r="G33" s="94">
        <v>0.1</v>
      </c>
      <c r="H33" s="95">
        <v>84.53</v>
      </c>
      <c r="I33" s="159"/>
      <c r="J33" s="108"/>
      <c r="K33" s="109"/>
    </row>
    <row r="34" spans="1:11">
      <c r="A34" s="90">
        <v>43816</v>
      </c>
      <c r="B34" s="91">
        <v>44188</v>
      </c>
      <c r="C34" s="168" t="s">
        <v>1193</v>
      </c>
      <c r="D34" s="93" t="s">
        <v>14</v>
      </c>
      <c r="E34" s="92" t="s">
        <v>10</v>
      </c>
      <c r="F34" s="322">
        <v>1077.8599999999999</v>
      </c>
      <c r="G34" s="94">
        <v>0.16</v>
      </c>
      <c r="H34" s="95">
        <v>158.66</v>
      </c>
      <c r="I34" s="159"/>
      <c r="J34" s="108"/>
      <c r="K34" s="109"/>
    </row>
    <row r="35" spans="1:11">
      <c r="A35" s="359">
        <v>43817</v>
      </c>
      <c r="B35" s="345">
        <v>44183</v>
      </c>
      <c r="C35" s="566" t="s">
        <v>1194</v>
      </c>
      <c r="D35" s="347" t="s">
        <v>112</v>
      </c>
      <c r="E35" s="346" t="s">
        <v>22</v>
      </c>
      <c r="F35" s="348">
        <v>2650.86</v>
      </c>
      <c r="G35" s="349">
        <v>0.1</v>
      </c>
      <c r="H35" s="350">
        <v>243.87</v>
      </c>
      <c r="I35" s="351"/>
      <c r="J35" s="433"/>
      <c r="K35" s="434"/>
    </row>
    <row r="36" spans="1:11">
      <c r="A36" s="359">
        <v>43817</v>
      </c>
      <c r="B36" s="345">
        <v>44183</v>
      </c>
      <c r="C36" s="566" t="s">
        <v>1195</v>
      </c>
      <c r="D36" s="347" t="s">
        <v>9</v>
      </c>
      <c r="E36" s="346" t="s">
        <v>45</v>
      </c>
      <c r="F36" s="348">
        <v>3932.33</v>
      </c>
      <c r="G36" s="349">
        <v>0.1</v>
      </c>
      <c r="H36" s="350">
        <v>361.77</v>
      </c>
      <c r="I36" s="351"/>
      <c r="J36" s="433"/>
      <c r="K36" s="434"/>
    </row>
    <row r="37" spans="1:11">
      <c r="A37" s="359">
        <v>43819</v>
      </c>
      <c r="B37" s="345">
        <v>44186</v>
      </c>
      <c r="C37" s="566" t="s">
        <v>1196</v>
      </c>
      <c r="D37" s="347" t="s">
        <v>9</v>
      </c>
      <c r="E37" s="346" t="s">
        <v>10</v>
      </c>
      <c r="F37" s="348">
        <v>1937.59</v>
      </c>
      <c r="G37" s="349">
        <v>0.1</v>
      </c>
      <c r="H37" s="350">
        <v>178.25</v>
      </c>
      <c r="I37" s="351"/>
      <c r="J37" s="433"/>
      <c r="K37" s="434"/>
    </row>
    <row r="38" spans="1:11">
      <c r="A38" s="359">
        <v>43819</v>
      </c>
      <c r="B38" s="345">
        <v>44193</v>
      </c>
      <c r="C38" s="566" t="s">
        <v>1197</v>
      </c>
      <c r="D38" s="347" t="s">
        <v>61</v>
      </c>
      <c r="E38" s="346" t="s">
        <v>438</v>
      </c>
      <c r="F38" s="348">
        <v>1392.58</v>
      </c>
      <c r="G38" s="349">
        <v>0.1</v>
      </c>
      <c r="H38" s="350">
        <v>128.11000000000001</v>
      </c>
      <c r="I38" s="351"/>
      <c r="J38" s="433"/>
      <c r="K38" s="434"/>
    </row>
    <row r="39" spans="1:11">
      <c r="A39" s="359">
        <v>43819</v>
      </c>
      <c r="B39" s="345">
        <v>44188</v>
      </c>
      <c r="C39" s="566" t="s">
        <v>1198</v>
      </c>
      <c r="D39" s="347" t="s">
        <v>25</v>
      </c>
      <c r="E39" s="346" t="s">
        <v>438</v>
      </c>
      <c r="F39" s="348">
        <v>1575.46</v>
      </c>
      <c r="G39" s="349">
        <v>0.31</v>
      </c>
      <c r="H39" s="350">
        <v>449.32</v>
      </c>
      <c r="I39" s="351"/>
      <c r="J39" s="433"/>
      <c r="K39" s="434"/>
    </row>
    <row r="40" spans="1:11">
      <c r="A40" s="359">
        <v>43822</v>
      </c>
      <c r="B40" s="345">
        <v>44189</v>
      </c>
      <c r="C40" s="566" t="s">
        <v>1199</v>
      </c>
      <c r="D40" s="347" t="s">
        <v>9</v>
      </c>
      <c r="E40" s="346" t="s">
        <v>317</v>
      </c>
      <c r="F40" s="348">
        <v>1699.84</v>
      </c>
      <c r="G40" s="349">
        <v>0.1</v>
      </c>
      <c r="H40" s="350">
        <v>156.38</v>
      </c>
      <c r="I40" s="351"/>
      <c r="J40" s="433"/>
      <c r="K40" s="434"/>
    </row>
    <row r="41" spans="1:11">
      <c r="A41" s="238">
        <v>43822</v>
      </c>
      <c r="B41" s="239">
        <v>44183</v>
      </c>
      <c r="C41" s="412" t="s">
        <v>1200</v>
      </c>
      <c r="D41" s="241" t="s">
        <v>9</v>
      </c>
      <c r="E41" s="240" t="s">
        <v>22</v>
      </c>
      <c r="F41" s="323">
        <v>2138.0700000000002</v>
      </c>
      <c r="G41" s="243">
        <v>0.1</v>
      </c>
      <c r="H41" s="244">
        <v>196.7</v>
      </c>
      <c r="I41" s="245"/>
      <c r="J41" s="263"/>
      <c r="K41" s="264"/>
    </row>
    <row r="42" spans="1:11">
      <c r="A42" s="359">
        <v>43822</v>
      </c>
      <c r="B42" s="345">
        <v>44188</v>
      </c>
      <c r="C42" s="414" t="s">
        <v>1201</v>
      </c>
      <c r="D42" s="347" t="s">
        <v>9</v>
      </c>
      <c r="E42" s="346" t="s">
        <v>279</v>
      </c>
      <c r="F42" s="348">
        <v>1662.38</v>
      </c>
      <c r="G42" s="349">
        <v>0.1</v>
      </c>
      <c r="H42" s="350">
        <v>152.93</v>
      </c>
      <c r="I42" s="351"/>
      <c r="J42" s="433"/>
      <c r="K42" s="434"/>
    </row>
    <row r="43" spans="1:11">
      <c r="A43" s="359">
        <v>43822</v>
      </c>
      <c r="B43" s="345">
        <v>44191</v>
      </c>
      <c r="C43" s="566" t="s">
        <v>1202</v>
      </c>
      <c r="D43" s="347" t="s">
        <v>25</v>
      </c>
      <c r="E43" s="346" t="s">
        <v>438</v>
      </c>
      <c r="F43" s="348">
        <v>671.57</v>
      </c>
      <c r="G43" s="349">
        <v>0.13</v>
      </c>
      <c r="H43" s="350">
        <v>80.31</v>
      </c>
      <c r="I43" s="351"/>
      <c r="J43" s="433"/>
      <c r="K43" s="434"/>
    </row>
    <row r="44" spans="1:11">
      <c r="A44" s="238">
        <v>43825</v>
      </c>
      <c r="B44" s="239">
        <v>43825</v>
      </c>
      <c r="C44" s="412" t="s">
        <v>1203</v>
      </c>
      <c r="D44" s="241" t="s">
        <v>9</v>
      </c>
      <c r="E44" s="240" t="s">
        <v>19</v>
      </c>
      <c r="F44" s="323">
        <v>2575.13</v>
      </c>
      <c r="G44" s="243">
        <v>0.1</v>
      </c>
      <c r="H44" s="244">
        <v>236.91</v>
      </c>
      <c r="I44" s="245"/>
      <c r="J44" s="263"/>
      <c r="K44" s="264"/>
    </row>
    <row r="45" spans="1:11">
      <c r="A45" s="90">
        <v>43825</v>
      </c>
      <c r="B45" s="91">
        <v>43822</v>
      </c>
      <c r="C45" s="168" t="s">
        <v>1204</v>
      </c>
      <c r="D45" s="93" t="s">
        <v>448</v>
      </c>
      <c r="E45" s="92" t="s">
        <v>19</v>
      </c>
      <c r="F45" s="322">
        <v>1584.55</v>
      </c>
      <c r="G45" s="94">
        <v>0.14000000000000001</v>
      </c>
      <c r="H45" s="95">
        <v>204.09</v>
      </c>
      <c r="I45" s="159"/>
      <c r="J45" s="108"/>
      <c r="K45" s="109"/>
    </row>
    <row r="46" spans="1:11">
      <c r="A46" s="359">
        <v>43825</v>
      </c>
      <c r="B46" s="345">
        <v>44184</v>
      </c>
      <c r="C46" s="566" t="s">
        <v>1205</v>
      </c>
      <c r="D46" s="347" t="s">
        <v>25</v>
      </c>
      <c r="E46" s="346" t="s">
        <v>22</v>
      </c>
      <c r="F46" s="348">
        <v>2371.4</v>
      </c>
      <c r="G46" s="349">
        <v>0.15</v>
      </c>
      <c r="H46" s="350">
        <v>327.25</v>
      </c>
      <c r="I46" s="351"/>
      <c r="J46" s="433"/>
      <c r="K46" s="434"/>
    </row>
    <row r="47" spans="1:11" s="730" customFormat="1">
      <c r="A47" s="297">
        <v>43826</v>
      </c>
      <c r="B47" s="298">
        <v>44188</v>
      </c>
      <c r="C47" s="414" t="s">
        <v>368</v>
      </c>
      <c r="D47" s="299" t="s">
        <v>14</v>
      </c>
      <c r="E47" s="101" t="s">
        <v>948</v>
      </c>
      <c r="F47" s="340">
        <v>1209.47</v>
      </c>
      <c r="G47" s="301">
        <v>0.1</v>
      </c>
      <c r="H47" s="302">
        <v>111.27</v>
      </c>
      <c r="I47" s="303"/>
      <c r="J47" s="295"/>
      <c r="K47" s="296"/>
    </row>
    <row r="48" spans="1:11">
      <c r="A48" s="90">
        <v>43826</v>
      </c>
      <c r="B48" s="91">
        <v>44192</v>
      </c>
      <c r="C48" s="168" t="s">
        <v>1206</v>
      </c>
      <c r="D48" s="93" t="s">
        <v>25</v>
      </c>
      <c r="E48" s="92" t="s">
        <v>10</v>
      </c>
      <c r="F48" s="322">
        <v>1250.58</v>
      </c>
      <c r="G48" s="94">
        <v>0.1</v>
      </c>
      <c r="H48" s="95">
        <v>115.05</v>
      </c>
      <c r="I48" s="159"/>
      <c r="J48" s="108"/>
      <c r="K48" s="109"/>
    </row>
    <row r="49" spans="1:11">
      <c r="A49" s="90">
        <v>43826</v>
      </c>
      <c r="B49" s="91">
        <v>44192</v>
      </c>
      <c r="C49" s="168" t="s">
        <v>1207</v>
      </c>
      <c r="D49" s="93" t="s">
        <v>9</v>
      </c>
      <c r="E49" s="92" t="s">
        <v>29</v>
      </c>
      <c r="F49" s="322">
        <v>1793.67</v>
      </c>
      <c r="G49" s="94">
        <v>0.1</v>
      </c>
      <c r="H49" s="95">
        <v>165.01</v>
      </c>
      <c r="I49" s="159"/>
      <c r="J49" s="108"/>
      <c r="K49" s="109"/>
    </row>
    <row r="50" spans="1:11">
      <c r="A50" s="90">
        <v>43826</v>
      </c>
      <c r="B50" s="91">
        <v>44192</v>
      </c>
      <c r="C50" s="168" t="s">
        <v>831</v>
      </c>
      <c r="D50" s="93" t="s">
        <v>70</v>
      </c>
      <c r="E50" s="92" t="s">
        <v>279</v>
      </c>
      <c r="F50" s="322">
        <v>1425.65</v>
      </c>
      <c r="G50" s="94">
        <v>0.1</v>
      </c>
      <c r="H50" s="95">
        <v>131.15</v>
      </c>
      <c r="I50" s="159"/>
      <c r="J50" s="108"/>
      <c r="K50" s="109"/>
    </row>
    <row r="51" spans="1:11">
      <c r="A51" s="238">
        <v>43826</v>
      </c>
      <c r="B51" s="239">
        <v>44192</v>
      </c>
      <c r="C51" s="412" t="s">
        <v>638</v>
      </c>
      <c r="D51" s="241" t="s">
        <v>61</v>
      </c>
      <c r="E51" s="240" t="s">
        <v>10</v>
      </c>
      <c r="F51" s="323">
        <v>1664.16</v>
      </c>
      <c r="G51" s="243">
        <v>0.1</v>
      </c>
      <c r="H51" s="244">
        <v>153.1</v>
      </c>
      <c r="I51" s="245"/>
      <c r="J51" s="263"/>
      <c r="K51" s="264"/>
    </row>
    <row r="52" spans="1:11">
      <c r="A52" s="359">
        <v>43826</v>
      </c>
      <c r="B52" s="345">
        <v>44193</v>
      </c>
      <c r="C52" s="566" t="s">
        <v>1208</v>
      </c>
      <c r="D52" s="347" t="s">
        <v>9</v>
      </c>
      <c r="E52" s="346" t="s">
        <v>10</v>
      </c>
      <c r="F52" s="348">
        <v>2159.84</v>
      </c>
      <c r="G52" s="349">
        <v>0.1</v>
      </c>
      <c r="H52" s="350">
        <v>198.7</v>
      </c>
      <c r="I52" s="351"/>
      <c r="J52" s="433"/>
      <c r="K52" s="434"/>
    </row>
    <row r="53" spans="1:11">
      <c r="A53" s="90">
        <v>43829</v>
      </c>
      <c r="B53" s="91">
        <v>44195</v>
      </c>
      <c r="C53" s="414" t="s">
        <v>98</v>
      </c>
      <c r="D53" s="93" t="s">
        <v>61</v>
      </c>
      <c r="E53" s="92" t="s">
        <v>90</v>
      </c>
      <c r="F53" s="322">
        <v>1658.87</v>
      </c>
      <c r="G53" s="94">
        <v>0.15</v>
      </c>
      <c r="H53" s="95">
        <v>228.92</v>
      </c>
      <c r="I53" s="159"/>
      <c r="J53" s="108"/>
      <c r="K53" s="109"/>
    </row>
    <row r="54" spans="1:11">
      <c r="A54" s="90">
        <v>43826</v>
      </c>
      <c r="B54" s="91">
        <v>44192</v>
      </c>
      <c r="C54" s="168" t="s">
        <v>47</v>
      </c>
      <c r="D54" s="93" t="s">
        <v>381</v>
      </c>
      <c r="E54" s="92" t="s">
        <v>29</v>
      </c>
      <c r="F54" s="322">
        <v>2693.07</v>
      </c>
      <c r="G54" s="94">
        <v>0.1</v>
      </c>
      <c r="H54" s="95">
        <v>247.76</v>
      </c>
      <c r="I54" s="159"/>
      <c r="J54" s="108"/>
      <c r="K54" s="109"/>
    </row>
    <row r="55" spans="1:11">
      <c r="A55" s="90">
        <v>43829</v>
      </c>
      <c r="B55" s="91">
        <v>44195</v>
      </c>
      <c r="C55" s="168" t="s">
        <v>1209</v>
      </c>
      <c r="D55" s="93" t="s">
        <v>9</v>
      </c>
      <c r="E55" s="92" t="s">
        <v>10</v>
      </c>
      <c r="F55" s="322">
        <v>1886.07</v>
      </c>
      <c r="G55" s="94">
        <v>0.1</v>
      </c>
      <c r="H55" s="95">
        <v>173.51</v>
      </c>
      <c r="I55" s="159"/>
      <c r="J55" s="108"/>
      <c r="K55" s="109"/>
    </row>
    <row r="56" spans="1:11">
      <c r="A56" s="90">
        <v>43829</v>
      </c>
      <c r="B56" s="91">
        <v>44195</v>
      </c>
      <c r="C56" s="168" t="s">
        <v>1210</v>
      </c>
      <c r="D56" s="93" t="s">
        <v>9</v>
      </c>
      <c r="E56" s="92" t="s">
        <v>29</v>
      </c>
      <c r="F56" s="322">
        <v>1549.3</v>
      </c>
      <c r="G56" s="94">
        <v>0.1</v>
      </c>
      <c r="H56" s="95">
        <v>142.53</v>
      </c>
      <c r="I56" s="159"/>
      <c r="J56" s="108"/>
      <c r="K56" s="109"/>
    </row>
    <row r="57" spans="1:11" s="731" customFormat="1">
      <c r="A57" s="238">
        <v>43827</v>
      </c>
      <c r="B57" s="239">
        <v>44193</v>
      </c>
      <c r="C57" s="412" t="s">
        <v>1211</v>
      </c>
      <c r="D57" s="241" t="s">
        <v>61</v>
      </c>
      <c r="E57" s="240" t="s">
        <v>90</v>
      </c>
      <c r="F57" s="323">
        <v>2036.5</v>
      </c>
      <c r="G57" s="243">
        <v>0.1</v>
      </c>
      <c r="H57" s="244">
        <v>187.5</v>
      </c>
      <c r="I57" s="245"/>
      <c r="J57" s="263"/>
      <c r="K57" s="264"/>
    </row>
    <row r="58" spans="1:11">
      <c r="A58" s="90"/>
      <c r="B58" s="91"/>
      <c r="C58" s="92"/>
      <c r="D58" s="93"/>
      <c r="E58" s="92"/>
      <c r="F58" s="322"/>
      <c r="G58" s="94"/>
      <c r="H58" s="95"/>
      <c r="I58" s="159"/>
      <c r="J58" s="108"/>
      <c r="K58" s="109"/>
    </row>
    <row r="59" spans="1:11">
      <c r="A59" s="90"/>
      <c r="B59" s="91"/>
      <c r="C59" s="92"/>
      <c r="D59" s="93"/>
      <c r="E59" s="92"/>
      <c r="F59" s="322"/>
      <c r="G59" s="94"/>
      <c r="H59" s="95"/>
      <c r="I59" s="159"/>
      <c r="J59" s="108"/>
      <c r="K59" s="109"/>
    </row>
    <row r="60" spans="1:11">
      <c r="A60" s="90"/>
      <c r="B60" s="91"/>
      <c r="C60" s="92"/>
      <c r="D60" s="93"/>
      <c r="E60" s="92"/>
      <c r="F60" s="322"/>
      <c r="G60" s="94"/>
      <c r="H60" s="95"/>
      <c r="I60" s="159"/>
      <c r="J60" s="108"/>
      <c r="K60" s="109"/>
    </row>
    <row r="61" spans="1:11">
      <c r="A61" s="90"/>
      <c r="B61" s="91"/>
      <c r="C61" s="92"/>
      <c r="D61" s="93"/>
      <c r="E61" s="92"/>
      <c r="F61" s="322"/>
      <c r="G61" s="94"/>
      <c r="H61" s="95"/>
      <c r="I61" s="159"/>
      <c r="J61" s="108"/>
      <c r="K61" s="109"/>
    </row>
    <row r="62" spans="1:11">
      <c r="A62" s="90"/>
      <c r="B62" s="91"/>
      <c r="C62" s="92"/>
      <c r="D62" s="93"/>
      <c r="E62" s="92"/>
      <c r="F62" s="322"/>
      <c r="G62" s="94"/>
      <c r="H62" s="95"/>
      <c r="I62" s="159"/>
      <c r="J62" s="108"/>
      <c r="K62" s="109"/>
    </row>
    <row r="63" spans="1:11">
      <c r="A63" s="90"/>
      <c r="B63" s="91"/>
      <c r="C63" s="92"/>
      <c r="D63" s="93"/>
      <c r="E63" s="92"/>
      <c r="F63" s="322"/>
      <c r="G63" s="94"/>
      <c r="H63" s="95"/>
      <c r="I63" s="159"/>
      <c r="J63" s="108"/>
      <c r="K63" s="109"/>
    </row>
    <row r="64" spans="1:11">
      <c r="A64" s="90"/>
      <c r="B64" s="91"/>
      <c r="C64" s="92" t="s">
        <v>1212</v>
      </c>
      <c r="D64" s="93"/>
      <c r="E64" s="92"/>
      <c r="F64" s="322"/>
      <c r="G64" s="94"/>
      <c r="H64" s="95"/>
      <c r="I64" s="159"/>
      <c r="J64" s="108"/>
      <c r="K64" s="109"/>
    </row>
    <row r="65" spans="1:9" ht="19.5">
      <c r="A65" s="673"/>
      <c r="B65" s="674"/>
      <c r="C65" s="674"/>
      <c r="D65" s="674"/>
      <c r="E65" s="674"/>
      <c r="F65" s="338">
        <f>SUM(F17:F64,F4:F15)</f>
        <v>88224.66</v>
      </c>
      <c r="G65" s="143"/>
      <c r="H65" s="129">
        <f>SUM(H2:H64)</f>
        <v>9658.6700000000019</v>
      </c>
      <c r="I65" s="107">
        <f>SUM(I2:I64)</f>
        <v>112.81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K48"/>
  <sheetViews>
    <sheetView topLeftCell="B28" workbookViewId="0">
      <selection activeCell="K15" sqref="K15"/>
    </sheetView>
  </sheetViews>
  <sheetFormatPr defaultRowHeight="15"/>
  <cols>
    <col min="1" max="1" width="16.42578125" bestFit="1" customWidth="1"/>
    <col min="2" max="2" width="11.5703125" bestFit="1" customWidth="1"/>
    <col min="3" max="3" width="46.7109375" bestFit="1" customWidth="1"/>
    <col min="6" max="6" width="19.28515625" bestFit="1" customWidth="1"/>
    <col min="8" max="8" width="22.5703125" bestFit="1" customWidth="1"/>
    <col min="9" max="9" width="21" bestFit="1" customWidth="1"/>
    <col min="10" max="10" width="11" bestFit="1" customWidth="1"/>
  </cols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216">
        <v>43822</v>
      </c>
      <c r="B2" s="225">
        <v>44201</v>
      </c>
      <c r="C2" s="172" t="s">
        <v>1213</v>
      </c>
      <c r="D2" s="218" t="s">
        <v>25</v>
      </c>
      <c r="E2" s="217" t="s">
        <v>945</v>
      </c>
      <c r="F2" s="310">
        <v>1757.92</v>
      </c>
      <c r="G2" s="220">
        <v>0.1</v>
      </c>
      <c r="H2" s="214">
        <v>161.72</v>
      </c>
      <c r="I2" s="215"/>
      <c r="J2" s="223"/>
      <c r="K2" s="224"/>
    </row>
    <row r="3" spans="1:11">
      <c r="A3" s="216">
        <v>43825</v>
      </c>
      <c r="B3" s="221">
        <v>44199</v>
      </c>
      <c r="C3" s="172" t="s">
        <v>1214</v>
      </c>
      <c r="D3" s="218" t="s">
        <v>70</v>
      </c>
      <c r="E3" s="217" t="s">
        <v>10</v>
      </c>
      <c r="F3" s="310">
        <v>1466.88</v>
      </c>
      <c r="G3" s="220">
        <v>0.1</v>
      </c>
      <c r="H3" s="214">
        <v>134.94999999999999</v>
      </c>
      <c r="I3" s="215"/>
      <c r="J3" s="223"/>
      <c r="K3" s="224"/>
    </row>
    <row r="4" spans="1:11">
      <c r="A4" s="207">
        <v>43826</v>
      </c>
      <c r="B4" s="208">
        <v>44200</v>
      </c>
      <c r="C4" s="168" t="s">
        <v>1215</v>
      </c>
      <c r="D4" s="209" t="s">
        <v>9</v>
      </c>
      <c r="E4" s="169" t="s">
        <v>10</v>
      </c>
      <c r="F4" s="320">
        <v>1432.35</v>
      </c>
      <c r="G4" s="211">
        <v>0.1</v>
      </c>
      <c r="H4" s="212">
        <v>131.77000000000001</v>
      </c>
      <c r="I4" s="213"/>
      <c r="J4" s="223"/>
      <c r="K4" s="224"/>
    </row>
    <row r="5" spans="1:11">
      <c r="A5" s="287">
        <v>43832</v>
      </c>
      <c r="B5" s="288">
        <v>44203</v>
      </c>
      <c r="C5" s="566" t="s">
        <v>1216</v>
      </c>
      <c r="D5" s="289" t="s">
        <v>9</v>
      </c>
      <c r="E5" s="290" t="s">
        <v>948</v>
      </c>
      <c r="F5" s="337">
        <v>1654.05</v>
      </c>
      <c r="G5" s="292">
        <v>0.21</v>
      </c>
      <c r="H5" s="293">
        <v>319.56</v>
      </c>
      <c r="I5" s="262"/>
      <c r="J5" s="307"/>
      <c r="K5" s="308"/>
    </row>
    <row r="6" spans="1:11">
      <c r="A6" s="287">
        <v>43832</v>
      </c>
      <c r="B6" s="288">
        <v>44204</v>
      </c>
      <c r="C6" s="566" t="s">
        <v>1217</v>
      </c>
      <c r="D6" s="289" t="s">
        <v>61</v>
      </c>
      <c r="E6" s="436" t="s">
        <v>10</v>
      </c>
      <c r="F6" s="437">
        <v>874.72</v>
      </c>
      <c r="G6" s="438">
        <v>0.17</v>
      </c>
      <c r="H6" s="293">
        <v>136.80000000000001</v>
      </c>
      <c r="I6" s="294"/>
      <c r="J6" s="443"/>
      <c r="K6" s="444"/>
    </row>
    <row r="7" spans="1:11">
      <c r="A7" s="90">
        <v>43833</v>
      </c>
      <c r="B7" s="91">
        <v>44201</v>
      </c>
      <c r="C7" s="168" t="s">
        <v>1218</v>
      </c>
      <c r="D7" s="93" t="s">
        <v>61</v>
      </c>
      <c r="E7" s="92" t="s">
        <v>948</v>
      </c>
      <c r="F7" s="322">
        <v>1553.33</v>
      </c>
      <c r="G7" s="94">
        <v>0.25</v>
      </c>
      <c r="H7" s="95">
        <v>357.26</v>
      </c>
      <c r="I7" s="159">
        <v>178.63</v>
      </c>
      <c r="J7" s="108" t="s">
        <v>1219</v>
      </c>
      <c r="K7" s="109"/>
    </row>
    <row r="8" spans="1:11">
      <c r="A8" s="90">
        <v>43833</v>
      </c>
      <c r="B8" s="91">
        <v>43832</v>
      </c>
      <c r="C8" s="168" t="s">
        <v>1220</v>
      </c>
      <c r="D8" s="93" t="s">
        <v>61</v>
      </c>
      <c r="E8" s="92" t="s">
        <v>945</v>
      </c>
      <c r="F8" s="322">
        <v>3887.22</v>
      </c>
      <c r="G8" s="94">
        <v>0.1</v>
      </c>
      <c r="H8" s="95">
        <v>357.62</v>
      </c>
      <c r="I8" s="159">
        <v>50</v>
      </c>
      <c r="J8" s="108" t="s">
        <v>1221</v>
      </c>
      <c r="K8" s="109"/>
    </row>
    <row r="9" spans="1:11">
      <c r="A9" s="287">
        <v>43836</v>
      </c>
      <c r="B9" s="288">
        <v>44202</v>
      </c>
      <c r="C9" s="566" t="s">
        <v>1222</v>
      </c>
      <c r="D9" s="289" t="s">
        <v>149</v>
      </c>
      <c r="E9" s="290" t="s">
        <v>10</v>
      </c>
      <c r="F9" s="337">
        <v>1573.04</v>
      </c>
      <c r="G9" s="292">
        <v>0.1</v>
      </c>
      <c r="H9" s="293">
        <v>144.71</v>
      </c>
      <c r="I9" s="294"/>
      <c r="J9" s="443"/>
      <c r="K9" s="444"/>
    </row>
    <row r="10" spans="1:11">
      <c r="A10" s="207">
        <v>43836</v>
      </c>
      <c r="B10" s="208">
        <v>44205</v>
      </c>
      <c r="C10" s="168" t="s">
        <v>489</v>
      </c>
      <c r="D10" s="209" t="s">
        <v>25</v>
      </c>
      <c r="E10" s="169" t="s">
        <v>10</v>
      </c>
      <c r="F10" s="320">
        <v>1039.27</v>
      </c>
      <c r="G10" s="211">
        <v>0.25</v>
      </c>
      <c r="H10" s="212">
        <v>239.03</v>
      </c>
      <c r="I10" s="213">
        <v>119.51</v>
      </c>
      <c r="J10" s="698" t="s">
        <v>491</v>
      </c>
      <c r="K10" s="698"/>
    </row>
    <row r="11" spans="1:11">
      <c r="A11" s="207">
        <v>43836</v>
      </c>
      <c r="B11" s="208">
        <v>44202</v>
      </c>
      <c r="C11" s="414" t="s">
        <v>1223</v>
      </c>
      <c r="D11" s="209" t="s">
        <v>9</v>
      </c>
      <c r="E11" s="169" t="s">
        <v>15</v>
      </c>
      <c r="F11" s="320">
        <v>2531.6999999999998</v>
      </c>
      <c r="G11" s="211">
        <v>0.1</v>
      </c>
      <c r="H11" s="212">
        <v>232.91</v>
      </c>
      <c r="I11" s="213"/>
      <c r="J11" s="223"/>
      <c r="K11" s="224"/>
    </row>
    <row r="12" spans="1:11">
      <c r="A12" s="207">
        <v>43838</v>
      </c>
      <c r="B12" s="208">
        <v>44204</v>
      </c>
      <c r="C12" s="168" t="s">
        <v>492</v>
      </c>
      <c r="D12" s="209" t="s">
        <v>14</v>
      </c>
      <c r="E12" s="169" t="s">
        <v>22</v>
      </c>
      <c r="F12" s="320">
        <v>1869.79</v>
      </c>
      <c r="G12" s="211">
        <v>0.1</v>
      </c>
      <c r="H12" s="212">
        <v>172.02</v>
      </c>
      <c r="I12" s="213"/>
      <c r="J12" s="223"/>
      <c r="K12" s="224"/>
    </row>
    <row r="13" spans="1:11">
      <c r="A13" s="207">
        <v>43838</v>
      </c>
      <c r="B13" s="208">
        <v>44208</v>
      </c>
      <c r="C13" s="168" t="s">
        <v>1224</v>
      </c>
      <c r="D13" s="209" t="s">
        <v>70</v>
      </c>
      <c r="E13" s="169" t="s">
        <v>10</v>
      </c>
      <c r="F13" s="320">
        <v>1288.3800000000001</v>
      </c>
      <c r="G13" s="211">
        <v>0.1</v>
      </c>
      <c r="H13" s="212">
        <v>118.53</v>
      </c>
      <c r="I13" s="213"/>
      <c r="J13" s="223"/>
      <c r="K13" s="224"/>
    </row>
    <row r="14" spans="1:11">
      <c r="A14" s="255">
        <v>43473</v>
      </c>
      <c r="B14" s="256">
        <v>44209</v>
      </c>
      <c r="C14" s="412" t="s">
        <v>1225</v>
      </c>
      <c r="D14" s="258" t="s">
        <v>9</v>
      </c>
      <c r="E14" s="257" t="s">
        <v>22</v>
      </c>
      <c r="F14" s="321">
        <v>4736.49</v>
      </c>
      <c r="G14" s="260">
        <v>0.1</v>
      </c>
      <c r="H14" s="261">
        <v>473.64</v>
      </c>
      <c r="I14" s="262"/>
      <c r="J14" s="307"/>
      <c r="K14" s="308"/>
    </row>
    <row r="15" spans="1:11">
      <c r="A15" s="207">
        <v>43839</v>
      </c>
      <c r="B15" s="208">
        <v>44217</v>
      </c>
      <c r="C15" s="168" t="s">
        <v>1226</v>
      </c>
      <c r="D15" s="209" t="s">
        <v>25</v>
      </c>
      <c r="E15" s="169" t="s">
        <v>10</v>
      </c>
      <c r="F15" s="320">
        <v>1537.04</v>
      </c>
      <c r="G15" s="211">
        <v>0.1</v>
      </c>
      <c r="H15" s="212">
        <v>141.46</v>
      </c>
      <c r="I15" s="213"/>
      <c r="J15" s="223"/>
      <c r="K15" s="224"/>
    </row>
    <row r="16" spans="1:11">
      <c r="A16" s="90">
        <v>43840</v>
      </c>
      <c r="B16" s="91">
        <v>44206</v>
      </c>
      <c r="C16" s="101" t="s">
        <v>1227</v>
      </c>
      <c r="D16" s="93" t="s">
        <v>61</v>
      </c>
      <c r="E16" s="92" t="s">
        <v>10</v>
      </c>
      <c r="F16" s="322">
        <v>1260.48</v>
      </c>
      <c r="G16" s="94">
        <v>0.1</v>
      </c>
      <c r="H16" s="95">
        <v>115.96</v>
      </c>
      <c r="I16" s="159"/>
      <c r="J16" s="108"/>
      <c r="K16" s="109"/>
    </row>
    <row r="17" spans="1:11">
      <c r="A17" s="90">
        <v>43840</v>
      </c>
      <c r="B17" s="91">
        <v>44211</v>
      </c>
      <c r="C17" s="353" t="s">
        <v>1001</v>
      </c>
      <c r="D17" s="93" t="s">
        <v>61</v>
      </c>
      <c r="E17" s="92" t="s">
        <v>22</v>
      </c>
      <c r="F17" s="322">
        <v>1372.51</v>
      </c>
      <c r="G17" s="94">
        <v>0.1</v>
      </c>
      <c r="H17" s="95">
        <v>126.27</v>
      </c>
      <c r="I17" s="159">
        <v>63.13</v>
      </c>
      <c r="J17" s="108" t="s">
        <v>924</v>
      </c>
      <c r="K17" s="109"/>
    </row>
    <row r="18" spans="1:11">
      <c r="A18" s="238">
        <v>43840</v>
      </c>
      <c r="B18" s="239">
        <v>44206</v>
      </c>
      <c r="C18" s="101" t="s">
        <v>1228</v>
      </c>
      <c r="D18" s="241" t="s">
        <v>61</v>
      </c>
      <c r="E18" s="240" t="s">
        <v>29</v>
      </c>
      <c r="F18" s="323">
        <v>3013.97</v>
      </c>
      <c r="G18" s="243">
        <v>0.1</v>
      </c>
      <c r="H18" s="244">
        <v>277.27999999999997</v>
      </c>
      <c r="I18" s="245"/>
      <c r="J18" s="263"/>
      <c r="K18" s="264"/>
    </row>
    <row r="19" spans="1:11">
      <c r="A19" s="90">
        <v>43843</v>
      </c>
      <c r="B19" s="91">
        <v>44207</v>
      </c>
      <c r="C19" s="387" t="s">
        <v>1229</v>
      </c>
      <c r="D19" s="93" t="s">
        <v>9</v>
      </c>
      <c r="E19" s="92" t="s">
        <v>22</v>
      </c>
      <c r="F19" s="322">
        <v>1714.48</v>
      </c>
      <c r="G19" s="94">
        <v>0.1</v>
      </c>
      <c r="H19" s="95">
        <v>157.72999999999999</v>
      </c>
      <c r="I19" s="159"/>
      <c r="J19" s="108"/>
      <c r="K19" s="109"/>
    </row>
    <row r="20" spans="1:11">
      <c r="A20" s="90">
        <v>43844</v>
      </c>
      <c r="B20" s="439">
        <v>44218</v>
      </c>
      <c r="C20" s="740" t="s">
        <v>1230</v>
      </c>
      <c r="D20" s="93" t="s">
        <v>9</v>
      </c>
      <c r="E20" s="92" t="s">
        <v>10</v>
      </c>
      <c r="F20" s="322">
        <v>1031.46</v>
      </c>
      <c r="G20" s="94">
        <v>0.25</v>
      </c>
      <c r="H20" s="95">
        <v>237.23</v>
      </c>
      <c r="I20" s="159"/>
      <c r="J20" s="108"/>
      <c r="K20" s="109"/>
    </row>
    <row r="21" spans="1:11">
      <c r="A21" s="359">
        <v>43845</v>
      </c>
      <c r="B21" s="345">
        <v>44211</v>
      </c>
      <c r="C21" s="101" t="s">
        <v>1231</v>
      </c>
      <c r="D21" s="347" t="s">
        <v>70</v>
      </c>
      <c r="E21" s="346" t="s">
        <v>362</v>
      </c>
      <c r="F21" s="348">
        <v>4262.2700000000004</v>
      </c>
      <c r="G21" s="349">
        <v>0.1</v>
      </c>
      <c r="H21" s="350">
        <v>392.12</v>
      </c>
      <c r="I21" s="351"/>
      <c r="J21" s="433"/>
      <c r="K21" s="434"/>
    </row>
    <row r="22" spans="1:11">
      <c r="A22" s="90">
        <v>43845</v>
      </c>
      <c r="B22" s="91">
        <v>44211</v>
      </c>
      <c r="C22" s="566" t="s">
        <v>1232</v>
      </c>
      <c r="D22" s="93" t="s">
        <v>21</v>
      </c>
      <c r="E22" s="92" t="s">
        <v>22</v>
      </c>
      <c r="F22" s="322">
        <v>2238.36</v>
      </c>
      <c r="G22" s="94">
        <v>0.1</v>
      </c>
      <c r="H22" s="95">
        <v>205.92</v>
      </c>
      <c r="I22" s="159"/>
      <c r="J22" s="406"/>
      <c r="K22" s="407"/>
    </row>
    <row r="23" spans="1:11">
      <c r="A23" s="238">
        <v>43845</v>
      </c>
      <c r="B23" s="239">
        <v>44211</v>
      </c>
      <c r="C23" s="412" t="s">
        <v>1233</v>
      </c>
      <c r="D23" s="241" t="s">
        <v>61</v>
      </c>
      <c r="E23" s="240" t="s">
        <v>15</v>
      </c>
      <c r="F23" s="323">
        <v>5561.42</v>
      </c>
      <c r="G23" s="243">
        <v>0.1</v>
      </c>
      <c r="H23" s="244">
        <v>511.65</v>
      </c>
      <c r="I23" s="245"/>
      <c r="J23" s="696"/>
      <c r="K23" s="697"/>
    </row>
    <row r="24" spans="1:11">
      <c r="A24" s="26">
        <v>43847</v>
      </c>
      <c r="B24" s="26">
        <v>44215</v>
      </c>
      <c r="C24" s="172" t="s">
        <v>1234</v>
      </c>
      <c r="D24" s="14" t="s">
        <v>14</v>
      </c>
      <c r="E24" s="13" t="s">
        <v>22</v>
      </c>
      <c r="F24" s="127">
        <v>1029.76</v>
      </c>
      <c r="G24" s="56">
        <v>0.15</v>
      </c>
      <c r="H24" s="81">
        <v>142.1</v>
      </c>
      <c r="I24" s="167"/>
      <c r="J24" s="162"/>
      <c r="K24" s="162"/>
    </row>
    <row r="25" spans="1:11">
      <c r="A25" s="418">
        <v>43850</v>
      </c>
      <c r="B25" s="419">
        <v>44222</v>
      </c>
      <c r="C25" s="353" t="s">
        <v>1235</v>
      </c>
      <c r="D25" s="420" t="s">
        <v>9</v>
      </c>
      <c r="E25" s="286" t="s">
        <v>10</v>
      </c>
      <c r="F25" s="421">
        <v>2282.0300000000002</v>
      </c>
      <c r="G25" s="422">
        <v>0.15</v>
      </c>
      <c r="H25" s="423">
        <v>314.92</v>
      </c>
      <c r="I25" s="424"/>
      <c r="J25" s="425"/>
      <c r="K25" s="426"/>
    </row>
    <row r="26" spans="1:11">
      <c r="A26" s="90">
        <v>43850</v>
      </c>
      <c r="B26" s="91">
        <v>44216</v>
      </c>
      <c r="C26" s="358" t="s">
        <v>862</v>
      </c>
      <c r="D26" s="93" t="s">
        <v>9</v>
      </c>
      <c r="E26" s="92" t="s">
        <v>10</v>
      </c>
      <c r="F26" s="322">
        <v>1531.12</v>
      </c>
      <c r="G26" s="94">
        <v>0.15</v>
      </c>
      <c r="H26" s="95">
        <v>211.29</v>
      </c>
      <c r="I26" s="159"/>
      <c r="J26" s="108"/>
      <c r="K26" s="109"/>
    </row>
    <row r="27" spans="1:11">
      <c r="A27" s="238">
        <v>43850</v>
      </c>
      <c r="B27" s="239">
        <v>44216</v>
      </c>
      <c r="C27" s="254" t="s">
        <v>1236</v>
      </c>
      <c r="D27" s="241" t="s">
        <v>61</v>
      </c>
      <c r="E27" s="240" t="s">
        <v>22</v>
      </c>
      <c r="F27" s="323">
        <v>857.65</v>
      </c>
      <c r="G27" s="243">
        <v>0.1</v>
      </c>
      <c r="H27" s="244">
        <v>78.900000000000006</v>
      </c>
      <c r="I27" s="245"/>
      <c r="J27" s="263"/>
      <c r="K27" s="264"/>
    </row>
    <row r="28" spans="1:11">
      <c r="A28" s="90">
        <v>43850</v>
      </c>
      <c r="B28" s="91">
        <v>44216</v>
      </c>
      <c r="C28" s="168" t="s">
        <v>845</v>
      </c>
      <c r="D28" s="93" t="s">
        <v>9</v>
      </c>
      <c r="E28" s="92" t="s">
        <v>15</v>
      </c>
      <c r="F28" s="322">
        <v>2211.17</v>
      </c>
      <c r="G28" s="94">
        <v>0.15</v>
      </c>
      <c r="H28" s="95">
        <v>305.14</v>
      </c>
      <c r="I28" s="159"/>
      <c r="J28" s="406"/>
      <c r="K28" s="407"/>
    </row>
    <row r="29" spans="1:11">
      <c r="A29" s="359">
        <v>43852</v>
      </c>
      <c r="B29" s="345">
        <v>44226</v>
      </c>
      <c r="C29" s="566" t="s">
        <v>1237</v>
      </c>
      <c r="D29" s="347" t="s">
        <v>61</v>
      </c>
      <c r="E29" s="346" t="s">
        <v>15</v>
      </c>
      <c r="F29" s="348">
        <v>1168.0899999999999</v>
      </c>
      <c r="G29" s="349">
        <v>0.1</v>
      </c>
      <c r="H29" s="350">
        <v>107.46</v>
      </c>
      <c r="I29" s="351"/>
      <c r="J29" s="433"/>
      <c r="K29" s="434"/>
    </row>
    <row r="30" spans="1:11">
      <c r="A30" s="287">
        <v>43852</v>
      </c>
      <c r="B30" s="288">
        <v>44220</v>
      </c>
      <c r="C30" s="566" t="s">
        <v>1238</v>
      </c>
      <c r="D30" s="289" t="s">
        <v>14</v>
      </c>
      <c r="E30" s="290" t="s">
        <v>317</v>
      </c>
      <c r="F30" s="337">
        <v>585.87</v>
      </c>
      <c r="G30" s="292">
        <v>0.1</v>
      </c>
      <c r="H30" s="293">
        <v>53.9</v>
      </c>
      <c r="I30" s="294"/>
      <c r="J30" s="443"/>
      <c r="K30" s="444"/>
    </row>
    <row r="31" spans="1:11">
      <c r="A31" s="90">
        <v>43853</v>
      </c>
      <c r="B31" s="91">
        <v>44219</v>
      </c>
      <c r="C31" s="168" t="s">
        <v>1239</v>
      </c>
      <c r="D31" s="93" t="s">
        <v>9</v>
      </c>
      <c r="E31" s="92" t="s">
        <v>10</v>
      </c>
      <c r="F31" s="322">
        <v>2207.5100000000002</v>
      </c>
      <c r="G31" s="94">
        <v>0.1</v>
      </c>
      <c r="H31" s="95">
        <v>203.09</v>
      </c>
      <c r="I31" s="159"/>
      <c r="J31" s="108"/>
      <c r="K31" s="109"/>
    </row>
    <row r="32" spans="1:11">
      <c r="A32" s="312">
        <v>43853</v>
      </c>
      <c r="B32" s="313">
        <v>44219</v>
      </c>
      <c r="C32" s="551" t="s">
        <v>77</v>
      </c>
      <c r="D32" s="315" t="s">
        <v>61</v>
      </c>
      <c r="E32" s="314" t="s">
        <v>15</v>
      </c>
      <c r="F32" s="324">
        <v>1518.25</v>
      </c>
      <c r="G32" s="316">
        <v>0.1</v>
      </c>
      <c r="H32" s="317">
        <v>139.66999999999999</v>
      </c>
      <c r="I32" s="318"/>
      <c r="J32" s="410"/>
      <c r="K32" s="411"/>
    </row>
    <row r="33" spans="1:11">
      <c r="A33" s="90">
        <v>43853</v>
      </c>
      <c r="B33" s="91">
        <v>44221</v>
      </c>
      <c r="C33" s="168" t="s">
        <v>120</v>
      </c>
      <c r="D33" s="93" t="s">
        <v>61</v>
      </c>
      <c r="E33" s="92" t="s">
        <v>90</v>
      </c>
      <c r="F33" s="322">
        <v>2826.45</v>
      </c>
      <c r="G33" s="94">
        <v>0.1</v>
      </c>
      <c r="H33" s="95">
        <v>260.02999999999997</v>
      </c>
      <c r="I33" s="159"/>
      <c r="J33" s="406"/>
      <c r="K33" s="407"/>
    </row>
    <row r="34" spans="1:11">
      <c r="A34" s="90">
        <v>43854</v>
      </c>
      <c r="B34" s="91">
        <v>44217</v>
      </c>
      <c r="C34" s="101" t="s">
        <v>1240</v>
      </c>
      <c r="D34" s="93" t="s">
        <v>61</v>
      </c>
      <c r="E34" s="92" t="s">
        <v>945</v>
      </c>
      <c r="F34" s="322">
        <v>2944.22</v>
      </c>
      <c r="G34" s="94">
        <v>0.1</v>
      </c>
      <c r="H34" s="95">
        <v>270.86</v>
      </c>
      <c r="I34" s="159"/>
      <c r="J34" s="406"/>
      <c r="K34" s="407"/>
    </row>
    <row r="35" spans="1:11">
      <c r="A35" s="90">
        <v>43854</v>
      </c>
      <c r="B35" s="91">
        <v>44220</v>
      </c>
      <c r="C35" s="168" t="s">
        <v>862</v>
      </c>
      <c r="D35" s="93" t="s">
        <v>9</v>
      </c>
      <c r="E35" s="92" t="s">
        <v>10</v>
      </c>
      <c r="F35" s="322">
        <v>1920.76</v>
      </c>
      <c r="G35" s="94">
        <v>0.15</v>
      </c>
      <c r="H35" s="95">
        <v>176.7</v>
      </c>
      <c r="I35" s="159"/>
      <c r="J35" s="108"/>
      <c r="K35" s="109"/>
    </row>
    <row r="36" spans="1:11">
      <c r="A36" s="90">
        <v>43857</v>
      </c>
      <c r="B36" s="91">
        <v>44227</v>
      </c>
      <c r="C36" s="353" t="s">
        <v>1241</v>
      </c>
      <c r="D36" s="93" t="s">
        <v>9</v>
      </c>
      <c r="E36" s="92" t="s">
        <v>22</v>
      </c>
      <c r="F36" s="322">
        <v>1128.58</v>
      </c>
      <c r="G36" s="94">
        <v>0.1</v>
      </c>
      <c r="H36" s="95">
        <v>103.82</v>
      </c>
      <c r="I36" s="159"/>
      <c r="J36" s="108"/>
      <c r="K36" s="109"/>
    </row>
    <row r="37" spans="1:11">
      <c r="A37" s="90">
        <v>43859</v>
      </c>
      <c r="B37" s="91">
        <v>44225</v>
      </c>
      <c r="C37" s="387" t="s">
        <v>1242</v>
      </c>
      <c r="D37" s="93" t="s">
        <v>448</v>
      </c>
      <c r="E37" s="92" t="s">
        <v>945</v>
      </c>
      <c r="F37" s="322">
        <v>1173.6099999999999</v>
      </c>
      <c r="G37" s="94">
        <v>0.13</v>
      </c>
      <c r="H37" s="95">
        <v>140.36000000000001</v>
      </c>
      <c r="I37" s="159"/>
      <c r="J37" s="108"/>
      <c r="K37" s="109"/>
    </row>
    <row r="38" spans="1:11">
      <c r="A38" s="90">
        <v>43860</v>
      </c>
      <c r="B38" s="91">
        <v>44226</v>
      </c>
      <c r="C38" s="168" t="s">
        <v>1243</v>
      </c>
      <c r="D38" s="93" t="s">
        <v>14</v>
      </c>
      <c r="E38" s="92" t="s">
        <v>90</v>
      </c>
      <c r="F38" s="322">
        <v>2338.0500000000002</v>
      </c>
      <c r="G38" s="94">
        <v>0.1</v>
      </c>
      <c r="H38" s="95">
        <v>215.1</v>
      </c>
      <c r="I38" s="159"/>
      <c r="J38" s="108"/>
      <c r="K38" s="109"/>
    </row>
    <row r="39" spans="1:11">
      <c r="A39" s="90">
        <v>43860</v>
      </c>
      <c r="B39" s="91">
        <v>44226</v>
      </c>
      <c r="C39" s="168" t="s">
        <v>1244</v>
      </c>
      <c r="D39" s="93" t="s">
        <v>25</v>
      </c>
      <c r="E39" s="92" t="s">
        <v>22</v>
      </c>
      <c r="F39" s="322">
        <v>2158.16</v>
      </c>
      <c r="G39" s="94">
        <v>0.14000000000000001</v>
      </c>
      <c r="H39" s="95">
        <v>277.97000000000003</v>
      </c>
      <c r="I39" s="159"/>
      <c r="J39" s="108"/>
      <c r="K39" s="109"/>
    </row>
    <row r="40" spans="1:11">
      <c r="A40" s="90">
        <v>43860</v>
      </c>
      <c r="B40" s="91">
        <v>44225</v>
      </c>
      <c r="C40" s="168" t="s">
        <v>1245</v>
      </c>
      <c r="D40" s="93" t="s">
        <v>198</v>
      </c>
      <c r="E40" s="92" t="s">
        <v>10</v>
      </c>
      <c r="F40" s="322">
        <v>2127.4899999999998</v>
      </c>
      <c r="G40" s="94">
        <v>0.1</v>
      </c>
      <c r="H40" s="95">
        <v>255.72</v>
      </c>
      <c r="I40" s="159"/>
      <c r="J40" s="108"/>
      <c r="K40" s="109"/>
    </row>
    <row r="41" spans="1:11">
      <c r="A41" s="90">
        <v>43871</v>
      </c>
      <c r="B41" s="91">
        <v>44227</v>
      </c>
      <c r="C41" s="168" t="s">
        <v>191</v>
      </c>
      <c r="D41" s="93" t="s">
        <v>9</v>
      </c>
      <c r="E41" s="92" t="s">
        <v>22</v>
      </c>
      <c r="F41" s="322">
        <v>1189.8399999999999</v>
      </c>
      <c r="G41" s="94">
        <v>0.1</v>
      </c>
      <c r="H41" s="95">
        <v>109.46</v>
      </c>
      <c r="I41" s="159"/>
      <c r="J41" s="108"/>
      <c r="K41" s="109"/>
    </row>
    <row r="42" spans="1:11">
      <c r="A42" s="90"/>
      <c r="B42" s="91"/>
      <c r="C42" s="92"/>
      <c r="D42" s="93"/>
      <c r="E42" s="92"/>
      <c r="F42" s="322"/>
      <c r="G42" s="94"/>
      <c r="H42" s="95"/>
      <c r="I42" s="159"/>
      <c r="J42" s="108"/>
      <c r="K42" s="109"/>
    </row>
    <row r="43" spans="1:11">
      <c r="A43" s="90"/>
      <c r="B43" s="91"/>
      <c r="C43" s="92"/>
      <c r="D43" s="93"/>
      <c r="E43" s="92"/>
      <c r="F43" s="322"/>
      <c r="G43" s="94"/>
      <c r="H43" s="95"/>
      <c r="I43" s="159"/>
      <c r="J43" s="108"/>
      <c r="K43" s="109"/>
    </row>
    <row r="44" spans="1:11">
      <c r="A44" s="90"/>
      <c r="B44" s="91"/>
      <c r="C44" s="92"/>
      <c r="D44" s="93"/>
      <c r="E44" s="92"/>
      <c r="F44" s="322"/>
      <c r="G44" s="94"/>
      <c r="H44" s="95"/>
      <c r="I44" s="159"/>
      <c r="J44" s="108"/>
      <c r="K44" s="109"/>
    </row>
    <row r="45" spans="1:11">
      <c r="A45" s="90"/>
      <c r="B45" s="91"/>
      <c r="C45" s="92"/>
      <c r="D45" s="93"/>
      <c r="E45" s="92"/>
      <c r="F45" s="322"/>
      <c r="G45" s="94"/>
      <c r="H45" s="95"/>
      <c r="I45" s="159"/>
      <c r="J45" s="108"/>
      <c r="K45" s="109"/>
    </row>
    <row r="46" spans="1:11">
      <c r="A46" s="90"/>
      <c r="B46" s="91"/>
      <c r="C46" s="92"/>
      <c r="D46" s="93"/>
      <c r="E46" s="92"/>
      <c r="F46" s="322"/>
      <c r="G46" s="94"/>
      <c r="H46" s="95"/>
      <c r="I46" s="159"/>
      <c r="J46" s="108"/>
      <c r="K46" s="109"/>
    </row>
    <row r="47" spans="1:11">
      <c r="A47" s="90"/>
      <c r="B47" s="91"/>
      <c r="C47" s="92" t="s">
        <v>1246</v>
      </c>
      <c r="D47" s="93"/>
      <c r="E47" s="92"/>
      <c r="F47" s="322"/>
      <c r="G47" s="94"/>
      <c r="H47" s="95"/>
      <c r="I47" s="159"/>
      <c r="J47" s="108"/>
      <c r="K47" s="109"/>
    </row>
    <row r="48" spans="1:11" ht="19.5">
      <c r="A48" s="673"/>
      <c r="B48" s="674"/>
      <c r="C48" s="674"/>
      <c r="D48" s="674"/>
      <c r="E48" s="674"/>
      <c r="F48" s="338">
        <f>SUM(F2:F41)</f>
        <v>78855.740000000005</v>
      </c>
      <c r="G48" s="143"/>
      <c r="H48" s="129">
        <f>SUM(H2:H47)</f>
        <v>8512.6299999999974</v>
      </c>
      <c r="I48" s="107">
        <f>SUM(I2:I47)</f>
        <v>411.27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K60"/>
  <sheetViews>
    <sheetView topLeftCell="A31" zoomScale="85" zoomScaleNormal="85" workbookViewId="0">
      <selection activeCell="C39" sqref="C39"/>
    </sheetView>
  </sheetViews>
  <sheetFormatPr defaultRowHeight="15"/>
  <cols>
    <col min="1" max="1" width="16.42578125" bestFit="1" customWidth="1"/>
    <col min="2" max="2" width="11.5703125" bestFit="1" customWidth="1"/>
    <col min="3" max="3" width="49.140625" bestFit="1" customWidth="1"/>
    <col min="4" max="4" width="18.28515625" bestFit="1" customWidth="1"/>
    <col min="5" max="5" width="14.140625" bestFit="1" customWidth="1"/>
    <col min="6" max="6" width="19.28515625" bestFit="1" customWidth="1"/>
    <col min="8" max="8" width="22.5703125" bestFit="1" customWidth="1"/>
    <col min="9" max="9" width="21" bestFit="1" customWidth="1"/>
  </cols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90">
        <v>43858</v>
      </c>
      <c r="B2" s="91">
        <v>44197</v>
      </c>
      <c r="C2" s="168" t="s">
        <v>1247</v>
      </c>
      <c r="D2" s="93" t="s">
        <v>9</v>
      </c>
      <c r="E2" s="92" t="s">
        <v>22</v>
      </c>
      <c r="F2" s="322">
        <v>2884.15</v>
      </c>
      <c r="G2" s="94">
        <v>0.1</v>
      </c>
      <c r="H2" s="95">
        <v>265.33999999999997</v>
      </c>
      <c r="I2" s="159"/>
      <c r="J2" s="108"/>
      <c r="K2" s="109"/>
    </row>
    <row r="3" spans="1:11">
      <c r="A3" s="216">
        <v>43860</v>
      </c>
      <c r="B3" s="221">
        <v>44233</v>
      </c>
      <c r="C3" s="172" t="s">
        <v>1248</v>
      </c>
      <c r="D3" s="218" t="s">
        <v>9</v>
      </c>
      <c r="E3" s="217" t="s">
        <v>10</v>
      </c>
      <c r="F3" s="310">
        <v>811.84</v>
      </c>
      <c r="G3" s="220">
        <v>0.15</v>
      </c>
      <c r="H3" s="214">
        <v>112.03</v>
      </c>
      <c r="I3" s="215"/>
      <c r="J3" s="223"/>
      <c r="K3" s="224"/>
    </row>
    <row r="4" spans="1:11">
      <c r="A4" s="255">
        <v>43861</v>
      </c>
      <c r="B4" s="256">
        <v>44233</v>
      </c>
      <c r="C4" s="412" t="s">
        <v>1249</v>
      </c>
      <c r="D4" s="258" t="s">
        <v>981</v>
      </c>
      <c r="E4" s="257" t="s">
        <v>10</v>
      </c>
      <c r="F4" s="321">
        <v>1076.32</v>
      </c>
      <c r="G4" s="260">
        <v>0.15</v>
      </c>
      <c r="H4" s="261">
        <v>145.53</v>
      </c>
      <c r="I4" s="262"/>
      <c r="J4" s="307"/>
      <c r="K4" s="308"/>
    </row>
    <row r="5" spans="1:11">
      <c r="A5" s="287">
        <v>43861</v>
      </c>
      <c r="B5" s="288">
        <v>44228</v>
      </c>
      <c r="C5" s="566" t="s">
        <v>1250</v>
      </c>
      <c r="D5" s="289" t="s">
        <v>9</v>
      </c>
      <c r="E5" s="290" t="s">
        <v>317</v>
      </c>
      <c r="F5" s="337">
        <v>4019.39</v>
      </c>
      <c r="G5" s="292">
        <v>0.25</v>
      </c>
      <c r="H5" s="293">
        <v>924.45</v>
      </c>
      <c r="I5" s="262"/>
      <c r="J5" s="307"/>
      <c r="K5" s="308"/>
    </row>
    <row r="6" spans="1:11">
      <c r="A6" s="287">
        <v>43861</v>
      </c>
      <c r="B6" s="288">
        <v>44229</v>
      </c>
      <c r="C6" s="566" t="s">
        <v>1251</v>
      </c>
      <c r="D6" s="289" t="s">
        <v>981</v>
      </c>
      <c r="E6" s="436" t="s">
        <v>90</v>
      </c>
      <c r="F6" s="437">
        <v>1798.09</v>
      </c>
      <c r="G6" s="438">
        <v>0.1</v>
      </c>
      <c r="H6" s="293">
        <v>165.42</v>
      </c>
      <c r="I6" s="294"/>
      <c r="J6" s="443"/>
      <c r="K6" s="444"/>
    </row>
    <row r="7" spans="1:11">
      <c r="A7" s="90">
        <v>43861</v>
      </c>
      <c r="B7" s="91">
        <v>44228</v>
      </c>
      <c r="C7" s="168" t="s">
        <v>1252</v>
      </c>
      <c r="D7" s="93" t="s">
        <v>9</v>
      </c>
      <c r="E7" s="92" t="s">
        <v>10</v>
      </c>
      <c r="F7" s="322">
        <v>929.47</v>
      </c>
      <c r="G7" s="94">
        <v>0.18</v>
      </c>
      <c r="H7" s="95">
        <v>153.91999999999999</v>
      </c>
      <c r="I7" s="159"/>
      <c r="J7" s="108"/>
      <c r="K7" s="109"/>
    </row>
    <row r="8" spans="1:11">
      <c r="A8" s="90">
        <v>43864</v>
      </c>
      <c r="B8" s="91">
        <v>44229</v>
      </c>
      <c r="C8" s="168" t="s">
        <v>1253</v>
      </c>
      <c r="D8" s="93" t="s">
        <v>981</v>
      </c>
      <c r="E8" s="92" t="s">
        <v>10</v>
      </c>
      <c r="F8" s="322">
        <v>2716.6</v>
      </c>
      <c r="G8" s="94">
        <v>0.1</v>
      </c>
      <c r="H8" s="95">
        <v>249.92</v>
      </c>
      <c r="I8" s="159"/>
      <c r="J8" s="108"/>
      <c r="K8" s="109"/>
    </row>
    <row r="9" spans="1:11">
      <c r="A9" s="287">
        <v>43864</v>
      </c>
      <c r="B9" s="288">
        <v>44230</v>
      </c>
      <c r="C9" s="566" t="s">
        <v>1254</v>
      </c>
      <c r="D9" s="289" t="s">
        <v>9</v>
      </c>
      <c r="E9" s="290" t="s">
        <v>22</v>
      </c>
      <c r="F9" s="337">
        <v>1805.55</v>
      </c>
      <c r="G9" s="292">
        <v>0.15</v>
      </c>
      <c r="H9" s="293">
        <v>249.16</v>
      </c>
      <c r="I9" s="294"/>
      <c r="J9" s="443"/>
      <c r="K9" s="444"/>
    </row>
    <row r="10" spans="1:11">
      <c r="A10" s="207">
        <v>43861</v>
      </c>
      <c r="B10" s="208">
        <v>44230</v>
      </c>
      <c r="C10" s="169" t="s">
        <v>1255</v>
      </c>
      <c r="D10" s="209" t="s">
        <v>448</v>
      </c>
      <c r="E10" s="169" t="s">
        <v>469</v>
      </c>
      <c r="F10" s="320" t="s">
        <v>889</v>
      </c>
      <c r="G10" s="211"/>
      <c r="H10" s="212">
        <v>250</v>
      </c>
      <c r="I10" s="371">
        <v>50</v>
      </c>
      <c r="J10" s="162" t="s">
        <v>1256</v>
      </c>
      <c r="K10" s="162"/>
    </row>
    <row r="11" spans="1:11">
      <c r="A11" s="207">
        <v>43864</v>
      </c>
      <c r="B11" s="208">
        <v>44230</v>
      </c>
      <c r="C11" s="168" t="s">
        <v>1257</v>
      </c>
      <c r="D11" s="209" t="s">
        <v>448</v>
      </c>
      <c r="E11" s="169" t="s">
        <v>19</v>
      </c>
      <c r="F11" s="320">
        <v>1568.99</v>
      </c>
      <c r="G11" s="211">
        <v>0.1</v>
      </c>
      <c r="H11" s="212">
        <v>144.34</v>
      </c>
      <c r="I11" s="213"/>
      <c r="J11" s="223"/>
      <c r="K11" s="224"/>
    </row>
    <row r="12" spans="1:11">
      <c r="A12" s="207">
        <v>43864</v>
      </c>
      <c r="B12" s="208">
        <v>44230</v>
      </c>
      <c r="C12" s="168" t="s">
        <v>1258</v>
      </c>
      <c r="D12" s="209" t="s">
        <v>9</v>
      </c>
      <c r="E12" s="169" t="s">
        <v>15</v>
      </c>
      <c r="F12" s="320">
        <v>3840.54</v>
      </c>
      <c r="G12" s="211">
        <v>0.1</v>
      </c>
      <c r="H12" s="212">
        <v>353.32</v>
      </c>
      <c r="I12" s="213"/>
      <c r="J12" s="223"/>
      <c r="K12" s="224"/>
    </row>
    <row r="13" spans="1:11">
      <c r="A13" s="207">
        <v>43865</v>
      </c>
      <c r="B13" s="208">
        <v>44235</v>
      </c>
      <c r="C13" s="168" t="s">
        <v>1259</v>
      </c>
      <c r="D13" s="209" t="s">
        <v>25</v>
      </c>
      <c r="E13" s="169" t="s">
        <v>279</v>
      </c>
      <c r="F13" s="320">
        <v>746.01</v>
      </c>
      <c r="G13" s="211">
        <v>0.1</v>
      </c>
      <c r="H13" s="212">
        <v>68.63</v>
      </c>
      <c r="I13" s="213"/>
      <c r="J13" s="223"/>
      <c r="K13" s="224"/>
    </row>
    <row r="14" spans="1:11">
      <c r="A14" s="255">
        <v>43865</v>
      </c>
      <c r="B14" s="256">
        <v>44232</v>
      </c>
      <c r="C14" s="412" t="s">
        <v>1260</v>
      </c>
      <c r="D14" s="258" t="s">
        <v>981</v>
      </c>
      <c r="E14" s="257" t="s">
        <v>438</v>
      </c>
      <c r="F14" s="321">
        <v>1728.56</v>
      </c>
      <c r="G14" s="260">
        <v>0.1</v>
      </c>
      <c r="H14" s="261">
        <v>159.02000000000001</v>
      </c>
      <c r="I14" s="262"/>
      <c r="J14" s="307"/>
      <c r="K14" s="308"/>
    </row>
    <row r="15" spans="1:11">
      <c r="A15" s="255">
        <v>43866</v>
      </c>
      <c r="B15" s="256">
        <v>44234</v>
      </c>
      <c r="C15" s="412" t="s">
        <v>1261</v>
      </c>
      <c r="D15" s="258" t="s">
        <v>25</v>
      </c>
      <c r="E15" s="257" t="s">
        <v>90</v>
      </c>
      <c r="F15" s="321">
        <v>1835.17</v>
      </c>
      <c r="G15" s="260">
        <v>0.1</v>
      </c>
      <c r="H15" s="261">
        <v>168.83</v>
      </c>
      <c r="I15" s="262"/>
      <c r="J15" s="307"/>
      <c r="K15" s="308"/>
    </row>
    <row r="16" spans="1:11">
      <c r="A16" s="90">
        <v>43866</v>
      </c>
      <c r="B16" s="91">
        <v>44021</v>
      </c>
      <c r="C16" s="13" t="s">
        <v>1262</v>
      </c>
      <c r="D16" s="93" t="s">
        <v>70</v>
      </c>
      <c r="E16" s="92" t="s">
        <v>10</v>
      </c>
      <c r="F16" s="322">
        <v>562.29999999999995</v>
      </c>
      <c r="G16" s="94">
        <v>0.25</v>
      </c>
      <c r="H16" s="95">
        <v>129.32</v>
      </c>
      <c r="I16" s="159"/>
      <c r="J16" s="108"/>
      <c r="K16" s="109"/>
    </row>
    <row r="17" spans="1:11">
      <c r="A17" s="90">
        <v>43867</v>
      </c>
      <c r="B17" s="91">
        <v>44233</v>
      </c>
      <c r="C17" s="353" t="s">
        <v>1263</v>
      </c>
      <c r="D17" s="93" t="s">
        <v>981</v>
      </c>
      <c r="E17" s="92" t="s">
        <v>438</v>
      </c>
      <c r="F17" s="322">
        <v>973.99</v>
      </c>
      <c r="G17" s="94">
        <v>0.1</v>
      </c>
      <c r="H17" s="95">
        <v>89.6</v>
      </c>
      <c r="I17" s="159">
        <v>44.8</v>
      </c>
      <c r="J17" s="108" t="s">
        <v>924</v>
      </c>
      <c r="K17" s="109"/>
    </row>
    <row r="18" spans="1:11">
      <c r="A18" s="90">
        <v>43867</v>
      </c>
      <c r="B18" s="91">
        <v>44233</v>
      </c>
      <c r="C18" s="101" t="s">
        <v>1264</v>
      </c>
      <c r="D18" s="93" t="s">
        <v>21</v>
      </c>
      <c r="E18" s="92" t="s">
        <v>279</v>
      </c>
      <c r="F18" s="322">
        <v>2028.68</v>
      </c>
      <c r="G18" s="94">
        <v>0.1</v>
      </c>
      <c r="H18" s="95">
        <v>186.63</v>
      </c>
      <c r="I18" s="159">
        <v>93.31</v>
      </c>
      <c r="J18" s="108" t="s">
        <v>924</v>
      </c>
      <c r="K18" s="109"/>
    </row>
    <row r="19" spans="1:11">
      <c r="A19" s="90">
        <v>43866</v>
      </c>
      <c r="B19" s="91">
        <v>44232</v>
      </c>
      <c r="C19" s="387" t="s">
        <v>1265</v>
      </c>
      <c r="D19" s="93" t="s">
        <v>9</v>
      </c>
      <c r="E19" s="92" t="s">
        <v>22</v>
      </c>
      <c r="F19" s="322">
        <v>568.9</v>
      </c>
      <c r="G19" s="94">
        <v>0.1</v>
      </c>
      <c r="H19" s="95">
        <v>52.33</v>
      </c>
      <c r="I19" s="159"/>
      <c r="J19" s="108"/>
      <c r="K19" s="109"/>
    </row>
    <row r="20" spans="1:11">
      <c r="A20" s="90">
        <v>43867</v>
      </c>
      <c r="B20" s="439">
        <v>44233</v>
      </c>
      <c r="C20" s="740" t="s">
        <v>1266</v>
      </c>
      <c r="D20" s="93" t="s">
        <v>9</v>
      </c>
      <c r="E20" s="92" t="s">
        <v>22</v>
      </c>
      <c r="F20" s="322">
        <v>1243.9000000000001</v>
      </c>
      <c r="G20" s="94">
        <v>0.15</v>
      </c>
      <c r="H20" s="95">
        <v>171.65</v>
      </c>
      <c r="I20" s="159"/>
      <c r="J20" s="108"/>
      <c r="K20" s="109"/>
    </row>
    <row r="21" spans="1:11">
      <c r="A21" s="238">
        <v>43867</v>
      </c>
      <c r="B21" s="239">
        <v>44104</v>
      </c>
      <c r="C21" s="240" t="s">
        <v>1267</v>
      </c>
      <c r="D21" s="241" t="s">
        <v>14</v>
      </c>
      <c r="E21" s="240" t="s">
        <v>15</v>
      </c>
      <c r="F21" s="323">
        <v>314.25</v>
      </c>
      <c r="G21" s="243">
        <v>0.1</v>
      </c>
      <c r="H21" s="244">
        <v>28.91</v>
      </c>
      <c r="I21" s="245"/>
      <c r="J21" s="263"/>
      <c r="K21" s="264"/>
    </row>
    <row r="22" spans="1:11">
      <c r="A22" s="90">
        <v>43868</v>
      </c>
      <c r="B22" s="91">
        <v>44232</v>
      </c>
      <c r="C22" s="566" t="s">
        <v>1268</v>
      </c>
      <c r="D22" s="93" t="s">
        <v>149</v>
      </c>
      <c r="E22" s="92" t="s">
        <v>10</v>
      </c>
      <c r="F22" s="322">
        <v>1132.3800000000001</v>
      </c>
      <c r="G22" s="94">
        <v>0.15</v>
      </c>
      <c r="H22" s="95">
        <v>156.26</v>
      </c>
      <c r="I22" s="159"/>
      <c r="J22" s="406"/>
      <c r="K22" s="407"/>
    </row>
    <row r="23" spans="1:11">
      <c r="A23" s="90">
        <v>43868</v>
      </c>
      <c r="B23" s="91">
        <v>44076</v>
      </c>
      <c r="C23" s="101" t="s">
        <v>1269</v>
      </c>
      <c r="D23" s="93" t="s">
        <v>14</v>
      </c>
      <c r="E23" s="92" t="s">
        <v>10</v>
      </c>
      <c r="F23" s="322">
        <v>240.66</v>
      </c>
      <c r="G23" s="94">
        <v>0.15</v>
      </c>
      <c r="H23" s="95">
        <v>33.21</v>
      </c>
      <c r="I23" s="159">
        <v>16.600000000000001</v>
      </c>
      <c r="J23" s="406" t="s">
        <v>491</v>
      </c>
      <c r="K23" s="407"/>
    </row>
    <row r="24" spans="1:11">
      <c r="A24" s="26">
        <v>43868</v>
      </c>
      <c r="B24" s="26">
        <v>44244</v>
      </c>
      <c r="C24" s="172" t="s">
        <v>1270</v>
      </c>
      <c r="D24" s="14" t="s">
        <v>70</v>
      </c>
      <c r="E24" s="13" t="s">
        <v>15</v>
      </c>
      <c r="F24" s="127">
        <v>3240.82</v>
      </c>
      <c r="G24" s="56">
        <v>0.1</v>
      </c>
      <c r="H24" s="81">
        <v>298.14999999999998</v>
      </c>
      <c r="I24" s="167"/>
      <c r="J24" s="108"/>
      <c r="K24" s="109"/>
    </row>
    <row r="25" spans="1:11">
      <c r="A25" s="418">
        <v>43868</v>
      </c>
      <c r="B25" s="419">
        <v>44234</v>
      </c>
      <c r="C25" s="743" t="s">
        <v>1271</v>
      </c>
      <c r="D25" s="420" t="s">
        <v>448</v>
      </c>
      <c r="E25" s="286" t="s">
        <v>279</v>
      </c>
      <c r="F25" s="421">
        <v>1634.12</v>
      </c>
      <c r="G25" s="422">
        <v>0.1</v>
      </c>
      <c r="H25" s="423">
        <v>150.33000000000001</v>
      </c>
      <c r="I25" s="424"/>
      <c r="J25" s="425"/>
      <c r="K25" s="426"/>
    </row>
    <row r="26" spans="1:11">
      <c r="A26" s="90">
        <v>43871</v>
      </c>
      <c r="B26" s="91">
        <v>44238</v>
      </c>
      <c r="C26" s="358" t="s">
        <v>1272</v>
      </c>
      <c r="D26" s="93" t="s">
        <v>9</v>
      </c>
      <c r="E26" s="92" t="s">
        <v>90</v>
      </c>
      <c r="F26" s="322">
        <v>2075.64</v>
      </c>
      <c r="G26" s="94">
        <v>0.1</v>
      </c>
      <c r="H26" s="95">
        <v>190.95</v>
      </c>
      <c r="I26" s="159"/>
      <c r="J26" s="108"/>
      <c r="K26" s="109"/>
    </row>
    <row r="27" spans="1:11">
      <c r="A27" s="238">
        <v>43871</v>
      </c>
      <c r="B27" s="239">
        <v>44237</v>
      </c>
      <c r="C27" s="742" t="s">
        <v>1273</v>
      </c>
      <c r="D27" s="241" t="s">
        <v>448</v>
      </c>
      <c r="E27" s="240" t="s">
        <v>1161</v>
      </c>
      <c r="F27" s="323">
        <v>1806.12</v>
      </c>
      <c r="G27" s="243">
        <v>0.1</v>
      </c>
      <c r="H27" s="244">
        <v>166.16</v>
      </c>
      <c r="I27" s="245"/>
      <c r="J27" s="263"/>
      <c r="K27" s="264"/>
    </row>
    <row r="28" spans="1:11">
      <c r="A28" s="90">
        <v>43871</v>
      </c>
      <c r="B28" s="91">
        <v>44241</v>
      </c>
      <c r="C28" s="168" t="s">
        <v>1274</v>
      </c>
      <c r="D28" s="93" t="s">
        <v>25</v>
      </c>
      <c r="E28" s="92" t="s">
        <v>17</v>
      </c>
      <c r="F28" s="322">
        <v>836.66</v>
      </c>
      <c r="G28" s="94">
        <v>0.1</v>
      </c>
      <c r="H28" s="95">
        <v>76.97</v>
      </c>
      <c r="I28" s="159"/>
      <c r="J28" s="406"/>
      <c r="K28" s="407"/>
    </row>
    <row r="29" spans="1:11">
      <c r="A29" s="359">
        <v>43872</v>
      </c>
      <c r="B29" s="345">
        <v>44238</v>
      </c>
      <c r="C29" s="101" t="s">
        <v>1275</v>
      </c>
      <c r="D29" s="347" t="s">
        <v>533</v>
      </c>
      <c r="E29" s="346" t="s">
        <v>19</v>
      </c>
      <c r="F29" s="348">
        <v>4171.66</v>
      </c>
      <c r="G29" s="349">
        <v>0.1</v>
      </c>
      <c r="H29" s="350">
        <v>383.79</v>
      </c>
      <c r="I29" s="351"/>
      <c r="J29" s="433"/>
      <c r="K29" s="434"/>
    </row>
    <row r="30" spans="1:11">
      <c r="A30" s="287">
        <v>43873</v>
      </c>
      <c r="B30" s="288">
        <v>44239</v>
      </c>
      <c r="C30" s="566" t="s">
        <v>1276</v>
      </c>
      <c r="D30" s="289" t="s">
        <v>9</v>
      </c>
      <c r="E30" s="290" t="s">
        <v>15</v>
      </c>
      <c r="F30" s="337">
        <v>1149.45</v>
      </c>
      <c r="G30" s="292">
        <v>0.15</v>
      </c>
      <c r="H30" s="293">
        <v>158.62</v>
      </c>
      <c r="I30" s="294"/>
      <c r="J30" s="443"/>
      <c r="K30" s="444"/>
    </row>
    <row r="31" spans="1:11">
      <c r="A31" s="90">
        <v>43874</v>
      </c>
      <c r="B31" s="91">
        <v>44240</v>
      </c>
      <c r="C31" s="168" t="s">
        <v>1277</v>
      </c>
      <c r="D31" s="93" t="s">
        <v>70</v>
      </c>
      <c r="E31" s="92" t="s">
        <v>10</v>
      </c>
      <c r="F31" s="322">
        <v>1435.42</v>
      </c>
      <c r="G31" s="94">
        <v>0.2</v>
      </c>
      <c r="H31" s="95">
        <v>264.11</v>
      </c>
      <c r="I31" s="159"/>
      <c r="J31" s="108"/>
      <c r="K31" s="109"/>
    </row>
    <row r="32" spans="1:11">
      <c r="A32" s="312">
        <v>43874</v>
      </c>
      <c r="B32" s="313">
        <v>44244</v>
      </c>
      <c r="C32" s="551" t="s">
        <v>1278</v>
      </c>
      <c r="D32" s="315" t="s">
        <v>9</v>
      </c>
      <c r="E32" s="314" t="s">
        <v>10</v>
      </c>
      <c r="F32" s="324">
        <v>1517.54</v>
      </c>
      <c r="G32" s="316">
        <v>0.1</v>
      </c>
      <c r="H32" s="317">
        <v>139.61000000000001</v>
      </c>
      <c r="I32" s="318"/>
      <c r="J32" s="410"/>
      <c r="K32" s="411"/>
    </row>
    <row r="33" spans="1:11">
      <c r="A33" s="90">
        <v>43874</v>
      </c>
      <c r="B33" s="91">
        <v>44240</v>
      </c>
      <c r="C33" s="168" t="s">
        <v>1279</v>
      </c>
      <c r="D33" s="93" t="s">
        <v>448</v>
      </c>
      <c r="E33" s="92" t="s">
        <v>19</v>
      </c>
      <c r="F33" s="322">
        <v>1473.6</v>
      </c>
      <c r="G33" s="94">
        <v>0.1</v>
      </c>
      <c r="H33" s="95">
        <v>135.37</v>
      </c>
      <c r="I33" s="159"/>
      <c r="J33" s="406"/>
      <c r="K33" s="407"/>
    </row>
    <row r="34" spans="1:11">
      <c r="A34" s="90">
        <v>43875</v>
      </c>
      <c r="B34" s="91">
        <v>44241</v>
      </c>
      <c r="C34" s="168" t="s">
        <v>1227</v>
      </c>
      <c r="D34" s="93" t="s">
        <v>981</v>
      </c>
      <c r="E34" s="92" t="s">
        <v>438</v>
      </c>
      <c r="F34" s="322">
        <v>1263.31</v>
      </c>
      <c r="G34" s="94">
        <v>0.1</v>
      </c>
      <c r="H34" s="95">
        <v>116.22</v>
      </c>
      <c r="I34" s="159"/>
      <c r="J34" s="406"/>
      <c r="K34" s="407"/>
    </row>
    <row r="35" spans="1:11">
      <c r="A35" s="238">
        <v>43878</v>
      </c>
      <c r="B35" s="239">
        <v>44247</v>
      </c>
      <c r="C35" s="440" t="s">
        <v>1280</v>
      </c>
      <c r="D35" s="241" t="s">
        <v>9</v>
      </c>
      <c r="E35" s="240" t="s">
        <v>10</v>
      </c>
      <c r="F35" s="323">
        <v>1584.97</v>
      </c>
      <c r="G35" s="243">
        <v>0.15</v>
      </c>
      <c r="H35" s="244">
        <v>218.72</v>
      </c>
      <c r="I35" s="245"/>
      <c r="J35" s="263"/>
      <c r="K35" s="264"/>
    </row>
    <row r="36" spans="1:11">
      <c r="A36" s="90">
        <v>43878</v>
      </c>
      <c r="B36" s="91">
        <v>44244</v>
      </c>
      <c r="C36" s="397" t="s">
        <v>543</v>
      </c>
      <c r="D36" s="93" t="s">
        <v>448</v>
      </c>
      <c r="E36" s="92" t="s">
        <v>19</v>
      </c>
      <c r="F36" s="322">
        <v>1960.83</v>
      </c>
      <c r="G36" s="94">
        <v>0.1</v>
      </c>
      <c r="H36" s="95">
        <v>180.39</v>
      </c>
      <c r="I36" s="159"/>
      <c r="J36" s="108"/>
      <c r="K36" s="109"/>
    </row>
    <row r="37" spans="1:11">
      <c r="A37" s="90">
        <v>43879</v>
      </c>
      <c r="B37" s="91">
        <v>44246</v>
      </c>
      <c r="C37" s="168" t="s">
        <v>241</v>
      </c>
      <c r="D37" s="93" t="s">
        <v>9</v>
      </c>
      <c r="E37" s="92" t="s">
        <v>10</v>
      </c>
      <c r="F37" s="322">
        <v>968.41</v>
      </c>
      <c r="G37" s="94">
        <v>0.15</v>
      </c>
      <c r="H37" s="95">
        <v>133.63999999999999</v>
      </c>
      <c r="I37" s="159"/>
      <c r="J37" s="108"/>
      <c r="K37" s="109"/>
    </row>
    <row r="38" spans="1:11">
      <c r="A38" s="90">
        <v>43879</v>
      </c>
      <c r="B38" s="91">
        <v>44245</v>
      </c>
      <c r="C38" s="387" t="s">
        <v>1281</v>
      </c>
      <c r="D38" s="93" t="s">
        <v>9</v>
      </c>
      <c r="E38" s="92" t="s">
        <v>948</v>
      </c>
      <c r="F38" s="322">
        <v>1848.24</v>
      </c>
      <c r="G38" s="94">
        <v>0.1</v>
      </c>
      <c r="H38" s="95">
        <v>170.03</v>
      </c>
      <c r="I38" s="159"/>
      <c r="J38" s="108"/>
      <c r="K38" s="109"/>
    </row>
    <row r="39" spans="1:11">
      <c r="A39" s="90">
        <v>43880</v>
      </c>
      <c r="B39" s="91">
        <v>44245</v>
      </c>
      <c r="C39" s="168" t="s">
        <v>1282</v>
      </c>
      <c r="D39" s="93" t="s">
        <v>448</v>
      </c>
      <c r="E39" s="92" t="s">
        <v>279</v>
      </c>
      <c r="F39" s="322">
        <v>1869.37</v>
      </c>
      <c r="G39" s="94">
        <v>0.1</v>
      </c>
      <c r="H39" s="95">
        <v>171.98</v>
      </c>
      <c r="I39" s="159">
        <v>85.99</v>
      </c>
      <c r="J39" s="406" t="s">
        <v>1011</v>
      </c>
      <c r="K39" s="407"/>
    </row>
    <row r="40" spans="1:11">
      <c r="A40" s="90">
        <v>43882</v>
      </c>
      <c r="B40" s="91">
        <v>44248</v>
      </c>
      <c r="C40" s="168" t="s">
        <v>1283</v>
      </c>
      <c r="D40" s="93" t="s">
        <v>981</v>
      </c>
      <c r="E40" s="92" t="s">
        <v>19</v>
      </c>
      <c r="F40" s="322">
        <v>3832.54</v>
      </c>
      <c r="G40" s="94">
        <v>0.2</v>
      </c>
      <c r="H40" s="95">
        <v>705.18</v>
      </c>
      <c r="I40" s="159"/>
      <c r="J40" s="108"/>
      <c r="K40" s="109"/>
    </row>
    <row r="41" spans="1:11">
      <c r="A41" s="90">
        <v>43882</v>
      </c>
      <c r="B41" s="91">
        <v>44249</v>
      </c>
      <c r="C41" s="168" t="s">
        <v>1284</v>
      </c>
      <c r="D41" s="93" t="s">
        <v>981</v>
      </c>
      <c r="E41" s="92" t="s">
        <v>19</v>
      </c>
      <c r="F41" s="322">
        <v>1287.83</v>
      </c>
      <c r="G41" s="94">
        <v>0.1</v>
      </c>
      <c r="H41" s="95">
        <v>118.48</v>
      </c>
      <c r="I41" s="159"/>
      <c r="J41" s="108"/>
      <c r="K41" s="109"/>
    </row>
    <row r="42" spans="1:11">
      <c r="A42" s="238">
        <v>43882</v>
      </c>
      <c r="B42" s="239">
        <v>44249</v>
      </c>
      <c r="C42" s="101" t="s">
        <v>1285</v>
      </c>
      <c r="D42" s="241" t="s">
        <v>981</v>
      </c>
      <c r="E42" s="240" t="s">
        <v>317</v>
      </c>
      <c r="F42" s="323">
        <v>1146.05</v>
      </c>
      <c r="G42" s="243">
        <v>0.1</v>
      </c>
      <c r="H42" s="244">
        <v>105.43</v>
      </c>
      <c r="I42" s="245"/>
      <c r="J42" s="263"/>
      <c r="K42" s="264"/>
    </row>
    <row r="43" spans="1:11">
      <c r="A43" s="90">
        <v>43882</v>
      </c>
      <c r="B43" s="91">
        <v>44253</v>
      </c>
      <c r="C43" s="168" t="s">
        <v>1286</v>
      </c>
      <c r="D43" s="93" t="s">
        <v>25</v>
      </c>
      <c r="E43" s="92" t="s">
        <v>45</v>
      </c>
      <c r="F43" s="322">
        <v>622.35</v>
      </c>
      <c r="G43" s="94">
        <v>0.1</v>
      </c>
      <c r="H43" s="95">
        <v>57.25</v>
      </c>
      <c r="I43" s="159"/>
      <c r="J43" s="108"/>
      <c r="K43" s="109"/>
    </row>
    <row r="44" spans="1:11">
      <c r="A44" s="359">
        <v>43882</v>
      </c>
      <c r="B44" s="345">
        <v>44253</v>
      </c>
      <c r="C44" s="566" t="s">
        <v>1287</v>
      </c>
      <c r="D44" s="347" t="s">
        <v>25</v>
      </c>
      <c r="E44" s="346" t="s">
        <v>10</v>
      </c>
      <c r="F44" s="348">
        <v>1529.23</v>
      </c>
      <c r="G44" s="349">
        <v>0.15</v>
      </c>
      <c r="H44" s="350">
        <v>211.03</v>
      </c>
      <c r="I44" s="351"/>
      <c r="J44" s="433"/>
      <c r="K44" s="434"/>
    </row>
    <row r="45" spans="1:11">
      <c r="A45" s="90">
        <v>43882</v>
      </c>
      <c r="B45" s="91">
        <v>44241</v>
      </c>
      <c r="C45" s="168" t="s">
        <v>361</v>
      </c>
      <c r="D45" s="93" t="s">
        <v>70</v>
      </c>
      <c r="E45" s="92" t="s">
        <v>10</v>
      </c>
      <c r="F45" s="322">
        <v>1654.97</v>
      </c>
      <c r="G45" s="94">
        <v>0.1</v>
      </c>
      <c r="H45" s="95">
        <v>152.16999999999999</v>
      </c>
      <c r="I45" s="159"/>
      <c r="J45" s="108"/>
      <c r="K45" s="109"/>
    </row>
    <row r="46" spans="1:11">
      <c r="A46" s="359">
        <v>43887</v>
      </c>
      <c r="B46" s="345">
        <v>44253</v>
      </c>
      <c r="C46" s="566" t="s">
        <v>1288</v>
      </c>
      <c r="D46" s="347" t="s">
        <v>9</v>
      </c>
      <c r="E46" s="346" t="s">
        <v>10</v>
      </c>
      <c r="F46" s="348">
        <v>1455.05</v>
      </c>
      <c r="G46" s="349">
        <v>0.1</v>
      </c>
      <c r="H46" s="350">
        <v>133.86000000000001</v>
      </c>
      <c r="I46" s="351"/>
      <c r="J46" s="433"/>
      <c r="K46" s="434"/>
    </row>
    <row r="47" spans="1:11">
      <c r="A47" s="90">
        <v>43887</v>
      </c>
      <c r="B47" s="91">
        <v>44253</v>
      </c>
      <c r="C47" s="168" t="s">
        <v>1289</v>
      </c>
      <c r="D47" s="93" t="s">
        <v>981</v>
      </c>
      <c r="E47" s="92" t="s">
        <v>90</v>
      </c>
      <c r="F47" s="322">
        <v>4322.46</v>
      </c>
      <c r="G47" s="94">
        <v>0.1</v>
      </c>
      <c r="H47" s="95">
        <v>397.66</v>
      </c>
      <c r="I47" s="159"/>
      <c r="J47" s="108"/>
      <c r="K47" s="109"/>
    </row>
    <row r="48" spans="1:11">
      <c r="A48" s="90">
        <v>43887</v>
      </c>
      <c r="B48" s="91">
        <v>44253</v>
      </c>
      <c r="C48" s="168" t="s">
        <v>1290</v>
      </c>
      <c r="D48" s="93" t="s">
        <v>14</v>
      </c>
      <c r="E48" s="92" t="s">
        <v>10</v>
      </c>
      <c r="F48" s="322">
        <v>1683.31</v>
      </c>
      <c r="G48" s="94">
        <v>0.13</v>
      </c>
      <c r="H48" s="95">
        <v>201.32</v>
      </c>
      <c r="I48" s="159"/>
      <c r="J48" s="108"/>
      <c r="K48" s="109"/>
    </row>
    <row r="49" spans="1:11">
      <c r="A49" s="90">
        <v>43889</v>
      </c>
      <c r="B49" s="91">
        <v>44249</v>
      </c>
      <c r="C49" s="168" t="s">
        <v>1291</v>
      </c>
      <c r="D49" s="93" t="s">
        <v>9</v>
      </c>
      <c r="E49" s="92" t="s">
        <v>10</v>
      </c>
      <c r="F49" s="322">
        <v>1424.65</v>
      </c>
      <c r="G49" s="94">
        <v>0.1</v>
      </c>
      <c r="H49" s="95">
        <v>131.06</v>
      </c>
      <c r="I49" s="159"/>
      <c r="J49" s="108"/>
      <c r="K49" s="109"/>
    </row>
    <row r="50" spans="1:11">
      <c r="A50" s="238">
        <v>43889</v>
      </c>
      <c r="B50" s="239">
        <v>44216</v>
      </c>
      <c r="C50" s="240" t="s">
        <v>1292</v>
      </c>
      <c r="D50" s="241" t="s">
        <v>25</v>
      </c>
      <c r="E50" s="240" t="s">
        <v>22</v>
      </c>
      <c r="F50" s="323">
        <v>190.67</v>
      </c>
      <c r="G50" s="243">
        <v>0.25</v>
      </c>
      <c r="H50" s="244">
        <v>43.85</v>
      </c>
      <c r="I50" s="245"/>
      <c r="J50" s="263"/>
      <c r="K50" s="264"/>
    </row>
    <row r="51" spans="1:11">
      <c r="A51" s="90">
        <v>43889</v>
      </c>
      <c r="B51" s="91">
        <v>44255</v>
      </c>
      <c r="C51" s="101" t="s">
        <v>1293</v>
      </c>
      <c r="D51" s="93" t="s">
        <v>448</v>
      </c>
      <c r="E51" s="92" t="s">
        <v>19</v>
      </c>
      <c r="F51" s="322">
        <v>3103.42</v>
      </c>
      <c r="G51" s="94">
        <v>0.1</v>
      </c>
      <c r="H51" s="95">
        <v>285.51</v>
      </c>
      <c r="I51" s="159"/>
      <c r="J51" s="108"/>
      <c r="K51" s="109"/>
    </row>
    <row r="52" spans="1:11">
      <c r="A52" s="90">
        <v>43889</v>
      </c>
      <c r="B52" s="91">
        <v>44255</v>
      </c>
      <c r="C52" s="92" t="s">
        <v>1294</v>
      </c>
      <c r="D52" s="93" t="s">
        <v>448</v>
      </c>
      <c r="E52" s="92" t="s">
        <v>1080</v>
      </c>
      <c r="F52" s="322">
        <v>1597.67</v>
      </c>
      <c r="G52" s="94">
        <v>0.1</v>
      </c>
      <c r="H52" s="95">
        <v>146.97999999999999</v>
      </c>
      <c r="I52" s="159"/>
      <c r="J52" s="108"/>
      <c r="K52" s="109"/>
    </row>
    <row r="53" spans="1:11">
      <c r="A53" s="90"/>
      <c r="B53" s="91"/>
      <c r="C53" s="92"/>
      <c r="D53" s="93"/>
      <c r="E53" s="92"/>
      <c r="F53" s="322"/>
      <c r="G53" s="94"/>
      <c r="H53" s="95"/>
      <c r="I53" s="159"/>
      <c r="J53" s="108"/>
      <c r="K53" s="109"/>
    </row>
    <row r="54" spans="1:11">
      <c r="A54" s="90"/>
      <c r="B54" s="91"/>
      <c r="C54" s="92"/>
      <c r="D54" s="93"/>
      <c r="E54" s="92"/>
      <c r="F54" s="322"/>
      <c r="G54" s="94"/>
      <c r="H54" s="95"/>
      <c r="I54" s="159"/>
      <c r="J54" s="108"/>
      <c r="K54" s="109"/>
    </row>
    <row r="55" spans="1:11">
      <c r="A55" s="90"/>
      <c r="B55" s="91"/>
      <c r="C55" s="92"/>
      <c r="D55" s="93"/>
      <c r="E55" s="92"/>
      <c r="F55" s="322"/>
      <c r="G55" s="94"/>
      <c r="H55" s="95"/>
      <c r="I55" s="159"/>
      <c r="J55" s="108"/>
      <c r="K55" s="109"/>
    </row>
    <row r="56" spans="1:11">
      <c r="A56" s="238"/>
      <c r="B56" s="239"/>
      <c r="C56" s="240" t="s">
        <v>1295</v>
      </c>
      <c r="D56" s="241"/>
      <c r="E56" s="240"/>
      <c r="F56" s="323"/>
      <c r="G56" s="243"/>
      <c r="H56" s="244"/>
      <c r="I56" s="245"/>
      <c r="J56" s="263"/>
      <c r="K56" s="264"/>
    </row>
    <row r="57" spans="1:11">
      <c r="A57" s="90"/>
      <c r="B57" s="91"/>
      <c r="C57" s="92"/>
      <c r="D57" s="93"/>
      <c r="E57" s="92"/>
      <c r="F57" s="322"/>
      <c r="G57" s="94"/>
      <c r="H57" s="95"/>
      <c r="I57" s="159"/>
      <c r="J57" s="108"/>
      <c r="K57" s="109"/>
    </row>
    <row r="58" spans="1:11">
      <c r="A58" s="90"/>
      <c r="B58" s="91"/>
      <c r="C58" s="92" t="s">
        <v>1296</v>
      </c>
      <c r="D58" s="93"/>
      <c r="E58" s="92"/>
      <c r="F58" s="322"/>
      <c r="G58" s="94"/>
      <c r="H58" s="95"/>
      <c r="I58" s="159"/>
      <c r="J58" s="108"/>
      <c r="K58" s="109"/>
    </row>
    <row r="59" spans="1:11" ht="19.5">
      <c r="A59" s="673"/>
      <c r="B59" s="674"/>
      <c r="C59" s="674"/>
      <c r="D59" s="674"/>
      <c r="E59" s="674"/>
      <c r="F59" s="338">
        <f>SUM(F11:F58,F2:F9)</f>
        <v>85512.1</v>
      </c>
      <c r="G59" s="143"/>
      <c r="H59" s="129">
        <f>SUM(H2:H58)</f>
        <v>9902.6400000000012</v>
      </c>
      <c r="I59" s="107"/>
    </row>
    <row r="60" spans="1:11">
      <c r="F60" s="142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K54"/>
  <sheetViews>
    <sheetView topLeftCell="A10" workbookViewId="0">
      <selection activeCell="C36" sqref="C36"/>
    </sheetView>
  </sheetViews>
  <sheetFormatPr defaultRowHeight="15"/>
  <cols>
    <col min="2" max="2" width="11.5703125" bestFit="1" customWidth="1"/>
    <col min="3" max="3" width="48.7109375" bestFit="1" customWidth="1"/>
    <col min="4" max="4" width="18.28515625" bestFit="1" customWidth="1"/>
    <col min="5" max="5" width="14.140625" bestFit="1" customWidth="1"/>
    <col min="6" max="6" width="19.28515625" bestFit="1" customWidth="1"/>
    <col min="8" max="8" width="22.5703125" bestFit="1" customWidth="1"/>
    <col min="9" max="9" width="21" bestFit="1" customWidth="1"/>
    <col min="10" max="10" width="18.28515625" bestFit="1" customWidth="1"/>
  </cols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90">
        <v>43888</v>
      </c>
      <c r="B2" s="91">
        <v>43891</v>
      </c>
      <c r="C2" s="168" t="s">
        <v>1297</v>
      </c>
      <c r="D2" s="93" t="s">
        <v>25</v>
      </c>
      <c r="E2" s="92" t="s">
        <v>29</v>
      </c>
      <c r="F2" s="322">
        <v>1177.1400000000001</v>
      </c>
      <c r="G2" s="94">
        <v>0.1</v>
      </c>
      <c r="H2" s="95">
        <v>108.29</v>
      </c>
      <c r="I2" s="159"/>
      <c r="J2" s="108"/>
      <c r="K2" s="109"/>
    </row>
    <row r="3" spans="1:11">
      <c r="A3" s="216">
        <v>43889</v>
      </c>
      <c r="B3" s="221">
        <v>44257</v>
      </c>
      <c r="C3" s="172" t="s">
        <v>1298</v>
      </c>
      <c r="D3" s="218" t="s">
        <v>25</v>
      </c>
      <c r="E3" s="217" t="s">
        <v>10</v>
      </c>
      <c r="F3" s="310">
        <v>1671.75</v>
      </c>
      <c r="G3" s="220">
        <v>0.1</v>
      </c>
      <c r="H3" s="214">
        <v>153.80000000000001</v>
      </c>
      <c r="I3" s="215"/>
      <c r="J3" s="223"/>
      <c r="K3" s="224"/>
    </row>
    <row r="4" spans="1:11">
      <c r="A4" s="287">
        <v>43892</v>
      </c>
      <c r="B4" s="288">
        <v>44259</v>
      </c>
      <c r="C4" s="566" t="s">
        <v>1299</v>
      </c>
      <c r="D4" s="289" t="s">
        <v>25</v>
      </c>
      <c r="E4" s="290" t="s">
        <v>10</v>
      </c>
      <c r="F4" s="337">
        <v>1217.1600000000001</v>
      </c>
      <c r="G4" s="292">
        <v>0.1</v>
      </c>
      <c r="H4" s="293">
        <v>111.97</v>
      </c>
      <c r="I4" s="294"/>
      <c r="J4" s="443"/>
      <c r="K4" s="444"/>
    </row>
    <row r="5" spans="1:11">
      <c r="A5" s="287">
        <v>43892</v>
      </c>
      <c r="B5" s="288">
        <v>44261</v>
      </c>
      <c r="C5" s="566" t="s">
        <v>1300</v>
      </c>
      <c r="D5" s="289" t="s">
        <v>14</v>
      </c>
      <c r="E5" s="290" t="s">
        <v>948</v>
      </c>
      <c r="F5" s="337">
        <v>1041.54</v>
      </c>
      <c r="G5" s="292">
        <v>0.2</v>
      </c>
      <c r="H5" s="293">
        <v>191.64</v>
      </c>
      <c r="I5" s="262"/>
      <c r="J5" s="307"/>
      <c r="K5" s="308"/>
    </row>
    <row r="6" spans="1:11">
      <c r="A6" s="287">
        <v>43892</v>
      </c>
      <c r="B6" s="288">
        <v>44222</v>
      </c>
      <c r="C6" s="414" t="s">
        <v>1301</v>
      </c>
      <c r="D6" s="289" t="s">
        <v>61</v>
      </c>
      <c r="E6" s="436" t="s">
        <v>10</v>
      </c>
      <c r="F6" s="437">
        <v>434.97</v>
      </c>
      <c r="G6" s="438">
        <v>0.1</v>
      </c>
      <c r="H6" s="293">
        <v>40.01</v>
      </c>
      <c r="I6" s="294"/>
      <c r="J6" s="443"/>
      <c r="K6" s="444"/>
    </row>
    <row r="7" spans="1:11">
      <c r="A7" s="90">
        <v>43893</v>
      </c>
      <c r="B7" s="91">
        <v>44257</v>
      </c>
      <c r="C7" s="168" t="s">
        <v>1302</v>
      </c>
      <c r="D7" s="93" t="s">
        <v>14</v>
      </c>
      <c r="E7" s="92" t="s">
        <v>500</v>
      </c>
      <c r="F7" s="322">
        <v>1567.48</v>
      </c>
      <c r="G7" s="94">
        <v>0.15</v>
      </c>
      <c r="H7" s="95">
        <v>216.31</v>
      </c>
      <c r="I7" s="159">
        <v>108.15</v>
      </c>
      <c r="J7" s="108" t="s">
        <v>1303</v>
      </c>
      <c r="K7" s="109"/>
    </row>
    <row r="8" spans="1:11">
      <c r="A8" s="90">
        <v>43895</v>
      </c>
      <c r="B8" s="91">
        <v>44259</v>
      </c>
      <c r="C8" s="168" t="s">
        <v>1304</v>
      </c>
      <c r="D8" s="93" t="s">
        <v>25</v>
      </c>
      <c r="E8" s="92" t="s">
        <v>10</v>
      </c>
      <c r="F8" s="322">
        <v>1568.99</v>
      </c>
      <c r="G8" s="94">
        <v>0.1</v>
      </c>
      <c r="H8" s="95">
        <v>144.34</v>
      </c>
      <c r="I8" s="159"/>
      <c r="J8" s="108" t="s">
        <v>1305</v>
      </c>
      <c r="K8" s="109"/>
    </row>
    <row r="9" spans="1:11">
      <c r="A9" s="287">
        <v>43895</v>
      </c>
      <c r="B9" s="288">
        <v>44260</v>
      </c>
      <c r="C9" s="414" t="s">
        <v>1306</v>
      </c>
      <c r="D9" s="289" t="s">
        <v>448</v>
      </c>
      <c r="E9" s="290" t="s">
        <v>279</v>
      </c>
      <c r="F9" s="337">
        <v>2851.42</v>
      </c>
      <c r="G9" s="292">
        <v>0.1</v>
      </c>
      <c r="H9" s="293">
        <v>262.33</v>
      </c>
      <c r="I9" s="294"/>
      <c r="J9" s="443"/>
      <c r="K9" s="444"/>
    </row>
    <row r="10" spans="1:11">
      <c r="A10" s="207">
        <v>43895</v>
      </c>
      <c r="B10" s="208">
        <v>43990</v>
      </c>
      <c r="C10" s="414" t="s">
        <v>1307</v>
      </c>
      <c r="D10" s="209" t="s">
        <v>70</v>
      </c>
      <c r="E10" s="169" t="s">
        <v>279</v>
      </c>
      <c r="F10" s="320">
        <v>347.71</v>
      </c>
      <c r="G10" s="211">
        <v>0.1</v>
      </c>
      <c r="H10" s="212">
        <v>29.7</v>
      </c>
      <c r="I10" s="371"/>
      <c r="J10" s="162"/>
      <c r="K10" s="162"/>
    </row>
    <row r="11" spans="1:11">
      <c r="A11" s="207">
        <v>43896</v>
      </c>
      <c r="B11" s="208">
        <v>44263</v>
      </c>
      <c r="C11" s="168" t="s">
        <v>1308</v>
      </c>
      <c r="D11" s="209" t="s">
        <v>14</v>
      </c>
      <c r="E11" s="169" t="s">
        <v>438</v>
      </c>
      <c r="F11" s="320">
        <v>2337.48</v>
      </c>
      <c r="G11" s="211">
        <v>0.1</v>
      </c>
      <c r="H11" s="212">
        <v>215.04</v>
      </c>
      <c r="I11" s="213"/>
      <c r="J11" s="223"/>
      <c r="K11" s="224"/>
    </row>
    <row r="12" spans="1:11">
      <c r="A12" s="207">
        <v>43896</v>
      </c>
      <c r="B12" s="208">
        <v>44261</v>
      </c>
      <c r="C12" s="168" t="s">
        <v>1309</v>
      </c>
      <c r="D12" s="209" t="s">
        <v>25</v>
      </c>
      <c r="E12" s="169" t="s">
        <v>1310</v>
      </c>
      <c r="F12" s="320">
        <v>1071.77</v>
      </c>
      <c r="G12" s="211">
        <v>0.15</v>
      </c>
      <c r="H12" s="212">
        <v>147.9</v>
      </c>
      <c r="I12" s="213"/>
      <c r="J12" s="223"/>
      <c r="K12" s="224"/>
    </row>
    <row r="13" spans="1:11">
      <c r="A13" s="255">
        <v>43896</v>
      </c>
      <c r="B13" s="256">
        <v>44261</v>
      </c>
      <c r="C13" s="412" t="s">
        <v>1311</v>
      </c>
      <c r="D13" s="258" t="s">
        <v>9</v>
      </c>
      <c r="E13" s="257" t="s">
        <v>500</v>
      </c>
      <c r="F13" s="321">
        <v>4937.33</v>
      </c>
      <c r="G13" s="260">
        <v>0.1</v>
      </c>
      <c r="H13" s="261">
        <v>454.23</v>
      </c>
      <c r="I13" s="262"/>
      <c r="J13" s="307"/>
      <c r="K13" s="308"/>
    </row>
    <row r="14" spans="1:11">
      <c r="A14" s="207">
        <v>43896</v>
      </c>
      <c r="B14" s="208">
        <v>44261</v>
      </c>
      <c r="C14" s="168" t="s">
        <v>1312</v>
      </c>
      <c r="D14" s="209" t="s">
        <v>61</v>
      </c>
      <c r="E14" s="169" t="s">
        <v>10</v>
      </c>
      <c r="F14" s="320">
        <v>1133.42</v>
      </c>
      <c r="G14" s="211">
        <v>0.13</v>
      </c>
      <c r="H14" s="212">
        <v>104.27</v>
      </c>
      <c r="I14" s="213"/>
      <c r="J14" s="223"/>
      <c r="K14" s="224"/>
    </row>
    <row r="15" spans="1:11">
      <c r="A15" s="287">
        <v>43896</v>
      </c>
      <c r="B15" s="288">
        <v>44261</v>
      </c>
      <c r="C15" s="566" t="s">
        <v>1313</v>
      </c>
      <c r="D15" s="289" t="s">
        <v>9</v>
      </c>
      <c r="E15" s="290" t="s">
        <v>500</v>
      </c>
      <c r="F15" s="337">
        <v>1379.29</v>
      </c>
      <c r="G15" s="292">
        <v>0.1</v>
      </c>
      <c r="H15" s="293">
        <v>126.89</v>
      </c>
      <c r="I15" s="294"/>
      <c r="J15" s="443"/>
      <c r="K15" s="444"/>
    </row>
    <row r="16" spans="1:11">
      <c r="A16" s="287">
        <v>43896</v>
      </c>
      <c r="B16" s="288">
        <v>44263</v>
      </c>
      <c r="C16" s="414" t="s">
        <v>872</v>
      </c>
      <c r="D16" s="289" t="s">
        <v>9</v>
      </c>
      <c r="E16" s="290" t="s">
        <v>500</v>
      </c>
      <c r="F16" s="337">
        <v>939.49</v>
      </c>
      <c r="G16" s="292">
        <v>0.2</v>
      </c>
      <c r="H16" s="293">
        <v>176.82</v>
      </c>
      <c r="I16" s="294"/>
      <c r="J16" s="443"/>
      <c r="K16" s="444"/>
    </row>
    <row r="17" spans="1:11">
      <c r="A17" s="238">
        <v>43896</v>
      </c>
      <c r="B17" s="239">
        <v>44263</v>
      </c>
      <c r="C17" s="440" t="s">
        <v>1314</v>
      </c>
      <c r="D17" s="241" t="s">
        <v>9</v>
      </c>
      <c r="E17" s="240" t="s">
        <v>458</v>
      </c>
      <c r="F17" s="323">
        <v>1813.2</v>
      </c>
      <c r="G17" s="243">
        <v>0.1</v>
      </c>
      <c r="H17" s="244">
        <v>166.81</v>
      </c>
      <c r="I17" s="245"/>
      <c r="J17" s="263"/>
      <c r="K17" s="264"/>
    </row>
    <row r="18" spans="1:11">
      <c r="A18" s="90">
        <v>43899</v>
      </c>
      <c r="B18" s="91">
        <v>44259</v>
      </c>
      <c r="C18" s="353" t="s">
        <v>1315</v>
      </c>
      <c r="D18" s="93" t="s">
        <v>9</v>
      </c>
      <c r="E18" s="92" t="s">
        <v>948</v>
      </c>
      <c r="F18" s="322">
        <v>1757.09</v>
      </c>
      <c r="G18" s="94">
        <v>0.1</v>
      </c>
      <c r="H18" s="95">
        <v>161.65</v>
      </c>
      <c r="I18" s="159"/>
      <c r="J18" s="108"/>
      <c r="K18" s="109"/>
    </row>
    <row r="19" spans="1:11">
      <c r="A19" s="90">
        <v>43900</v>
      </c>
      <c r="B19" s="91">
        <v>44265</v>
      </c>
      <c r="C19" s="168" t="s">
        <v>1316</v>
      </c>
      <c r="D19" s="93" t="s">
        <v>14</v>
      </c>
      <c r="E19" s="92" t="s">
        <v>10</v>
      </c>
      <c r="F19" s="322">
        <v>1528.37</v>
      </c>
      <c r="G19" s="94">
        <v>0.1</v>
      </c>
      <c r="H19" s="95">
        <v>140.61000000000001</v>
      </c>
      <c r="I19" s="159"/>
      <c r="J19" s="108"/>
      <c r="K19" s="109"/>
    </row>
    <row r="20" spans="1:11">
      <c r="A20" s="90">
        <v>43900</v>
      </c>
      <c r="B20" s="91">
        <v>44266</v>
      </c>
      <c r="C20" s="387" t="s">
        <v>394</v>
      </c>
      <c r="D20" s="93" t="s">
        <v>448</v>
      </c>
      <c r="E20" s="92" t="s">
        <v>19</v>
      </c>
      <c r="F20" s="322">
        <v>602.76</v>
      </c>
      <c r="G20" s="94">
        <v>0.2</v>
      </c>
      <c r="H20" s="95">
        <v>110.9</v>
      </c>
      <c r="I20" s="159"/>
      <c r="J20" s="108"/>
      <c r="K20" s="109"/>
    </row>
    <row r="21" spans="1:11">
      <c r="A21" s="238">
        <v>43900</v>
      </c>
      <c r="B21" s="445">
        <v>44264</v>
      </c>
      <c r="C21" s="618" t="s">
        <v>1317</v>
      </c>
      <c r="D21" s="241" t="s">
        <v>61</v>
      </c>
      <c r="E21" s="240" t="s">
        <v>1310</v>
      </c>
      <c r="F21" s="323">
        <v>1023.28</v>
      </c>
      <c r="G21" s="243">
        <v>0.1</v>
      </c>
      <c r="H21" s="244">
        <v>94.14</v>
      </c>
      <c r="I21" s="245"/>
      <c r="J21" s="263"/>
      <c r="K21" s="264"/>
    </row>
    <row r="22" spans="1:11">
      <c r="A22" s="359">
        <v>43900</v>
      </c>
      <c r="B22" s="345">
        <v>44270</v>
      </c>
      <c r="C22" s="566" t="s">
        <v>261</v>
      </c>
      <c r="D22" s="347" t="s">
        <v>14</v>
      </c>
      <c r="E22" s="346" t="s">
        <v>10</v>
      </c>
      <c r="F22" s="348">
        <v>1054.23</v>
      </c>
      <c r="G22" s="349">
        <v>0.1</v>
      </c>
      <c r="H22" s="350">
        <v>96.98</v>
      </c>
      <c r="I22" s="351"/>
      <c r="J22" s="433"/>
      <c r="K22" s="434"/>
    </row>
    <row r="23" spans="1:11">
      <c r="A23" s="90">
        <v>43900</v>
      </c>
      <c r="B23" s="91">
        <v>44265</v>
      </c>
      <c r="C23" s="566" t="s">
        <v>1318</v>
      </c>
      <c r="D23" s="93" t="s">
        <v>448</v>
      </c>
      <c r="E23" s="92" t="s">
        <v>279</v>
      </c>
      <c r="F23" s="322">
        <v>2015</v>
      </c>
      <c r="G23" s="94">
        <v>0.1</v>
      </c>
      <c r="H23" s="95">
        <v>185.38</v>
      </c>
      <c r="I23" s="159"/>
      <c r="J23" s="406"/>
      <c r="K23" s="407"/>
    </row>
    <row r="24" spans="1:11">
      <c r="A24" s="90">
        <v>43902</v>
      </c>
      <c r="B24" s="91">
        <v>44269</v>
      </c>
      <c r="C24" s="168" t="s">
        <v>1319</v>
      </c>
      <c r="D24" s="93" t="s">
        <v>61</v>
      </c>
      <c r="E24" s="92" t="s">
        <v>10</v>
      </c>
      <c r="F24" s="322">
        <v>2689.89</v>
      </c>
      <c r="G24" s="94">
        <v>0.15</v>
      </c>
      <c r="H24" s="95">
        <v>371.2</v>
      </c>
      <c r="I24" s="159"/>
      <c r="J24" s="406"/>
      <c r="K24" s="407"/>
    </row>
    <row r="25" spans="1:11">
      <c r="A25" s="427">
        <v>43907</v>
      </c>
      <c r="B25" s="427">
        <v>44272</v>
      </c>
      <c r="C25" s="440" t="s">
        <v>1311</v>
      </c>
      <c r="D25" s="428" t="s">
        <v>376</v>
      </c>
      <c r="E25" s="363" t="s">
        <v>500</v>
      </c>
      <c r="F25" s="429">
        <v>11750.24</v>
      </c>
      <c r="G25" s="430">
        <v>0.1</v>
      </c>
      <c r="H25" s="431">
        <v>1081.02</v>
      </c>
      <c r="I25" s="432"/>
      <c r="J25" s="263"/>
      <c r="K25" s="264"/>
    </row>
    <row r="26" spans="1:11">
      <c r="A26" s="418">
        <v>43906</v>
      </c>
      <c r="B26" s="419">
        <v>44271</v>
      </c>
      <c r="C26" s="353" t="s">
        <v>1320</v>
      </c>
      <c r="D26" s="420" t="s">
        <v>322</v>
      </c>
      <c r="E26" s="286" t="s">
        <v>90</v>
      </c>
      <c r="F26" s="421">
        <v>2066.6</v>
      </c>
      <c r="G26" s="422">
        <v>0.1</v>
      </c>
      <c r="H26" s="423">
        <v>190.12</v>
      </c>
      <c r="I26" s="424"/>
      <c r="J26" s="425"/>
      <c r="K26" s="426"/>
    </row>
    <row r="27" spans="1:11">
      <c r="A27" s="90">
        <v>43908</v>
      </c>
      <c r="B27" s="91">
        <v>44273</v>
      </c>
      <c r="C27" s="358" t="s">
        <v>1321</v>
      </c>
      <c r="D27" s="93" t="s">
        <v>9</v>
      </c>
      <c r="E27" s="92" t="s">
        <v>10</v>
      </c>
      <c r="F27" s="322">
        <v>1579.95</v>
      </c>
      <c r="G27" s="94">
        <v>0.1</v>
      </c>
      <c r="H27" s="95">
        <v>145.35</v>
      </c>
      <c r="I27" s="159"/>
      <c r="J27" s="108"/>
      <c r="K27" s="109"/>
    </row>
    <row r="28" spans="1:11">
      <c r="A28" s="90">
        <v>43909</v>
      </c>
      <c r="B28" s="91">
        <v>44274</v>
      </c>
      <c r="C28" s="745" t="s">
        <v>1322</v>
      </c>
      <c r="D28" s="93" t="s">
        <v>448</v>
      </c>
      <c r="E28" s="92" t="s">
        <v>469</v>
      </c>
      <c r="F28" s="322" t="s">
        <v>560</v>
      </c>
      <c r="G28" s="94" t="s">
        <v>560</v>
      </c>
      <c r="H28" s="95">
        <v>300</v>
      </c>
      <c r="I28" s="351"/>
      <c r="J28" s="433"/>
      <c r="K28" s="434"/>
    </row>
    <row r="29" spans="1:11">
      <c r="A29" s="90">
        <v>43909</v>
      </c>
      <c r="B29" s="91">
        <v>44274</v>
      </c>
      <c r="C29" s="168" t="s">
        <v>882</v>
      </c>
      <c r="D29" s="93" t="s">
        <v>25</v>
      </c>
      <c r="E29" s="92" t="s">
        <v>458</v>
      </c>
      <c r="F29" s="322">
        <v>1251.93</v>
      </c>
      <c r="G29" s="94">
        <v>0.25</v>
      </c>
      <c r="H29" s="95">
        <v>287.95</v>
      </c>
      <c r="I29" s="159"/>
      <c r="J29" s="406"/>
      <c r="K29" s="407"/>
    </row>
    <row r="30" spans="1:11">
      <c r="A30" s="359">
        <v>44278</v>
      </c>
      <c r="B30" s="345">
        <v>44278</v>
      </c>
      <c r="C30" s="566" t="s">
        <v>879</v>
      </c>
      <c r="D30" s="347" t="s">
        <v>448</v>
      </c>
      <c r="E30" s="346" t="s">
        <v>19</v>
      </c>
      <c r="F30" s="348">
        <v>1580.9</v>
      </c>
      <c r="G30" s="349">
        <v>0.1</v>
      </c>
      <c r="H30" s="350">
        <v>145.44</v>
      </c>
      <c r="I30" s="351">
        <v>72.72</v>
      </c>
      <c r="J30" s="433" t="s">
        <v>1303</v>
      </c>
      <c r="K30" s="434"/>
    </row>
    <row r="31" spans="1:11">
      <c r="A31" s="287">
        <v>43910</v>
      </c>
      <c r="B31" s="288">
        <v>44275</v>
      </c>
      <c r="C31" s="566" t="s">
        <v>1323</v>
      </c>
      <c r="D31" s="289" t="s">
        <v>14</v>
      </c>
      <c r="E31" s="290" t="s">
        <v>10</v>
      </c>
      <c r="F31" s="337">
        <v>1286.3499999999999</v>
      </c>
      <c r="G31" s="292">
        <v>0.12</v>
      </c>
      <c r="H31" s="293">
        <v>142.01</v>
      </c>
      <c r="I31" s="294"/>
      <c r="J31" s="443"/>
      <c r="K31" s="444"/>
    </row>
    <row r="32" spans="1:11">
      <c r="A32" s="90">
        <v>43912</v>
      </c>
      <c r="B32" s="91">
        <v>44277</v>
      </c>
      <c r="C32" s="168" t="s">
        <v>268</v>
      </c>
      <c r="D32" s="93" t="s">
        <v>9</v>
      </c>
      <c r="E32" s="92" t="s">
        <v>19</v>
      </c>
      <c r="F32" s="322">
        <v>1538.07</v>
      </c>
      <c r="G32" s="94">
        <v>0.1</v>
      </c>
      <c r="H32" s="95">
        <v>141.57</v>
      </c>
      <c r="I32" s="159"/>
      <c r="J32" s="108"/>
      <c r="K32" s="109"/>
    </row>
    <row r="33" spans="1:11">
      <c r="A33" s="246">
        <v>43914</v>
      </c>
      <c r="B33" s="247">
        <v>44279</v>
      </c>
      <c r="C33" s="441" t="s">
        <v>1324</v>
      </c>
      <c r="D33" s="249" t="s">
        <v>448</v>
      </c>
      <c r="E33" s="248" t="s">
        <v>19</v>
      </c>
      <c r="F33" s="435">
        <v>2452.5700000000002</v>
      </c>
      <c r="G33" s="251">
        <v>0.1</v>
      </c>
      <c r="H33" s="252">
        <v>225.63</v>
      </c>
      <c r="I33" s="253"/>
      <c r="J33" s="273"/>
      <c r="K33" s="274"/>
    </row>
    <row r="34" spans="1:11">
      <c r="A34" s="359">
        <v>43913</v>
      </c>
      <c r="B34" s="345">
        <v>44284</v>
      </c>
      <c r="C34" s="746" t="s">
        <v>272</v>
      </c>
      <c r="D34" s="347" t="s">
        <v>14</v>
      </c>
      <c r="E34" s="346" t="s">
        <v>10</v>
      </c>
      <c r="F34" s="348">
        <v>830.9</v>
      </c>
      <c r="G34" s="349">
        <v>0.1</v>
      </c>
      <c r="H34" s="350">
        <v>81.96</v>
      </c>
      <c r="I34" s="159"/>
      <c r="J34" s="406"/>
      <c r="K34" s="407"/>
    </row>
    <row r="35" spans="1:11">
      <c r="A35" s="90">
        <v>43915</v>
      </c>
      <c r="B35" s="91">
        <v>44281</v>
      </c>
      <c r="C35" s="168" t="s">
        <v>1325</v>
      </c>
      <c r="D35" s="93" t="s">
        <v>448</v>
      </c>
      <c r="E35" s="92" t="s">
        <v>19</v>
      </c>
      <c r="F35" s="322">
        <v>1337.5</v>
      </c>
      <c r="G35" s="94">
        <v>0.1</v>
      </c>
      <c r="H35" s="95">
        <v>123.05</v>
      </c>
      <c r="I35" s="159"/>
      <c r="J35" s="406"/>
      <c r="K35" s="407"/>
    </row>
    <row r="36" spans="1:11">
      <c r="A36" s="427">
        <v>43915</v>
      </c>
      <c r="B36" s="427">
        <v>44284</v>
      </c>
      <c r="C36" s="440" t="s">
        <v>1326</v>
      </c>
      <c r="D36" s="428" t="s">
        <v>33</v>
      </c>
      <c r="E36" s="363" t="s">
        <v>500</v>
      </c>
      <c r="F36" s="429">
        <v>1492.66</v>
      </c>
      <c r="G36" s="430">
        <v>0.1</v>
      </c>
      <c r="H36" s="431">
        <v>137.32</v>
      </c>
      <c r="I36" s="447"/>
      <c r="J36" s="263"/>
      <c r="K36" s="264"/>
    </row>
    <row r="37" spans="1:11">
      <c r="A37" s="451">
        <v>43915</v>
      </c>
      <c r="B37" s="451">
        <v>44282</v>
      </c>
      <c r="C37" s="172" t="s">
        <v>1327</v>
      </c>
      <c r="D37" s="452" t="s">
        <v>61</v>
      </c>
      <c r="E37" s="453" t="s">
        <v>458</v>
      </c>
      <c r="F37" s="454">
        <v>2103.71</v>
      </c>
      <c r="G37" s="455">
        <v>0.1</v>
      </c>
      <c r="H37" s="454">
        <v>193.54</v>
      </c>
      <c r="I37" s="448"/>
      <c r="J37" s="108" t="s">
        <v>1305</v>
      </c>
      <c r="K37" s="109"/>
    </row>
    <row r="38" spans="1:11">
      <c r="A38" s="329"/>
      <c r="B38" s="329"/>
      <c r="C38" s="329"/>
      <c r="D38" s="162"/>
      <c r="E38" s="329"/>
      <c r="F38" s="449"/>
      <c r="G38" s="450"/>
      <c r="H38" s="449"/>
      <c r="I38" s="448"/>
      <c r="J38" s="108"/>
      <c r="K38" s="109"/>
    </row>
    <row r="39" spans="1:11">
      <c r="A39" s="329"/>
      <c r="B39" s="329"/>
      <c r="C39" s="329"/>
      <c r="D39" s="162"/>
      <c r="E39" s="329"/>
      <c r="F39" s="329"/>
      <c r="G39" s="329"/>
      <c r="H39" s="329"/>
      <c r="I39" s="448"/>
      <c r="J39" s="108"/>
      <c r="K39" s="109"/>
    </row>
    <row r="40" spans="1:11">
      <c r="A40" s="90"/>
      <c r="B40" s="91"/>
      <c r="C40" s="92"/>
      <c r="D40" s="93"/>
      <c r="E40" s="92"/>
      <c r="F40" s="322"/>
      <c r="G40" s="94"/>
      <c r="H40" s="95"/>
      <c r="I40" s="159"/>
      <c r="J40" s="406"/>
      <c r="K40" s="407"/>
    </row>
    <row r="41" spans="1:11">
      <c r="A41" s="90"/>
      <c r="B41" s="91"/>
      <c r="C41" s="92"/>
      <c r="D41" s="93"/>
      <c r="E41" s="92"/>
      <c r="F41" s="322"/>
      <c r="G41" s="94"/>
      <c r="H41" s="95"/>
      <c r="I41" s="159"/>
      <c r="J41" s="108"/>
      <c r="K41" s="109"/>
    </row>
    <row r="42" spans="1:11">
      <c r="A42" s="90"/>
      <c r="B42" s="91"/>
      <c r="C42" s="92"/>
      <c r="D42" s="93"/>
      <c r="E42" s="92"/>
      <c r="F42" s="322"/>
      <c r="G42" s="94"/>
      <c r="H42" s="95"/>
      <c r="I42" s="159"/>
      <c r="J42" s="108"/>
      <c r="K42" s="109"/>
    </row>
    <row r="43" spans="1:11">
      <c r="A43" s="238"/>
      <c r="B43" s="239"/>
      <c r="C43" s="240"/>
      <c r="D43" s="241"/>
      <c r="E43" s="240"/>
      <c r="F43" s="323"/>
      <c r="G43" s="243"/>
      <c r="H43" s="244"/>
      <c r="I43" s="245"/>
      <c r="J43" s="263"/>
      <c r="K43" s="264"/>
    </row>
    <row r="44" spans="1:11">
      <c r="A44" s="90"/>
      <c r="B44" s="91"/>
      <c r="C44" s="92"/>
      <c r="D44" s="93"/>
      <c r="E44" s="92"/>
      <c r="F44" s="322"/>
      <c r="G44" s="94"/>
      <c r="H44" s="95"/>
      <c r="I44" s="159"/>
      <c r="J44" s="108"/>
      <c r="K44" s="109"/>
    </row>
    <row r="45" spans="1:11">
      <c r="A45" s="359"/>
      <c r="B45" s="345"/>
      <c r="C45" s="346"/>
      <c r="D45" s="347"/>
      <c r="E45" s="346"/>
      <c r="F45" s="348"/>
      <c r="G45" s="349"/>
      <c r="H45" s="350"/>
      <c r="I45" s="351"/>
      <c r="J45" s="433"/>
      <c r="K45" s="434"/>
    </row>
    <row r="46" spans="1:11">
      <c r="A46" s="90"/>
      <c r="B46" s="91"/>
      <c r="C46" s="92"/>
      <c r="D46" s="93"/>
      <c r="E46" s="92"/>
      <c r="F46" s="322"/>
      <c r="G46" s="94"/>
      <c r="H46" s="95"/>
      <c r="I46" s="159"/>
      <c r="J46" s="108"/>
      <c r="K46" s="109"/>
    </row>
    <row r="47" spans="1:11">
      <c r="A47" s="359"/>
      <c r="B47" s="345"/>
      <c r="C47" s="346"/>
      <c r="D47" s="347"/>
      <c r="E47" s="346"/>
      <c r="F47" s="348"/>
      <c r="G47" s="349"/>
      <c r="H47" s="350"/>
      <c r="I47" s="351"/>
      <c r="J47" s="433"/>
      <c r="K47" s="434"/>
    </row>
    <row r="48" spans="1:11">
      <c r="A48" s="90"/>
      <c r="B48" s="91"/>
      <c r="C48" s="92"/>
      <c r="D48" s="93"/>
      <c r="E48" s="92"/>
      <c r="F48" s="322"/>
      <c r="G48" s="94"/>
      <c r="H48" s="95"/>
      <c r="I48" s="159"/>
      <c r="J48" s="108"/>
      <c r="K48" s="109"/>
    </row>
    <row r="49" spans="1:11">
      <c r="A49" s="90"/>
      <c r="B49" s="91"/>
      <c r="C49" s="92"/>
      <c r="D49" s="93"/>
      <c r="E49" s="92"/>
      <c r="F49" s="322"/>
      <c r="G49" s="94"/>
      <c r="H49" s="95"/>
      <c r="I49" s="159"/>
      <c r="J49" s="108"/>
      <c r="K49" s="109"/>
    </row>
    <row r="50" spans="1:11">
      <c r="A50" s="90"/>
      <c r="B50" s="91"/>
      <c r="C50" s="92"/>
      <c r="D50" s="93"/>
      <c r="E50" s="92"/>
      <c r="F50" s="322"/>
      <c r="G50" s="94"/>
      <c r="H50" s="95"/>
      <c r="I50" s="159"/>
      <c r="J50" s="108"/>
      <c r="K50" s="109"/>
    </row>
    <row r="51" spans="1:11">
      <c r="A51" s="238"/>
      <c r="B51" s="239"/>
      <c r="C51" s="240"/>
      <c r="D51" s="241"/>
      <c r="E51" s="240"/>
      <c r="F51" s="323"/>
      <c r="G51" s="243"/>
      <c r="H51" s="244"/>
      <c r="I51" s="245"/>
      <c r="J51" s="263"/>
      <c r="K51" s="264"/>
    </row>
    <row r="52" spans="1:11">
      <c r="A52" s="90"/>
      <c r="B52" s="91"/>
      <c r="C52" s="92"/>
      <c r="D52" s="93"/>
      <c r="E52" s="92"/>
      <c r="F52" s="322"/>
      <c r="G52" s="94"/>
      <c r="H52" s="95"/>
      <c r="I52" s="159"/>
      <c r="J52" s="108"/>
      <c r="K52" s="109"/>
    </row>
    <row r="53" spans="1:11">
      <c r="A53" s="90"/>
      <c r="B53" s="91"/>
      <c r="C53" s="92" t="s">
        <v>1328</v>
      </c>
      <c r="D53" s="93"/>
      <c r="E53" s="92"/>
      <c r="F53" s="322"/>
      <c r="G53" s="94"/>
      <c r="H53" s="95"/>
      <c r="I53" s="159"/>
      <c r="J53" s="108"/>
      <c r="K53" s="109"/>
    </row>
    <row r="54" spans="1:11" ht="19.5">
      <c r="A54" s="673"/>
      <c r="B54" s="674"/>
      <c r="C54" s="674"/>
      <c r="D54" s="674"/>
      <c r="E54" s="674"/>
      <c r="F54" s="338">
        <f>SUM(F2:F27,F29:F37)</f>
        <v>65432.139999999992</v>
      </c>
      <c r="G54" s="143"/>
      <c r="H54" s="129">
        <f>SUM(H2:H53)</f>
        <v>7006.17</v>
      </c>
      <c r="I54" s="107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K54"/>
  <sheetViews>
    <sheetView topLeftCell="A7" zoomScale="85" zoomScaleNormal="85" workbookViewId="0">
      <selection activeCell="C24" sqref="C24"/>
    </sheetView>
  </sheetViews>
  <sheetFormatPr defaultRowHeight="15"/>
  <cols>
    <col min="2" max="2" width="11.5703125" bestFit="1" customWidth="1"/>
    <col min="3" max="3" width="47.7109375" bestFit="1" customWidth="1"/>
    <col min="5" max="5" width="14.140625" bestFit="1" customWidth="1"/>
    <col min="6" max="6" width="19.28515625" bestFit="1" customWidth="1"/>
    <col min="8" max="8" width="22.5703125" bestFit="1" customWidth="1"/>
    <col min="9" max="9" width="21" bestFit="1" customWidth="1"/>
    <col min="10" max="10" width="15.7109375" bestFit="1" customWidth="1"/>
  </cols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90">
        <v>43922</v>
      </c>
      <c r="B2" s="91">
        <v>44287</v>
      </c>
      <c r="C2" s="168" t="s">
        <v>1329</v>
      </c>
      <c r="D2" s="93" t="s">
        <v>9</v>
      </c>
      <c r="E2" s="92" t="s">
        <v>10</v>
      </c>
      <c r="F2" s="322">
        <v>638.79</v>
      </c>
      <c r="G2" s="94">
        <v>0.1</v>
      </c>
      <c r="H2" s="95">
        <v>58.76</v>
      </c>
      <c r="I2" s="159"/>
      <c r="J2" s="108"/>
      <c r="K2" s="109"/>
    </row>
    <row r="3" spans="1:11">
      <c r="A3" s="216">
        <v>43923</v>
      </c>
      <c r="B3" s="221">
        <v>44295</v>
      </c>
      <c r="C3" s="172" t="s">
        <v>1330</v>
      </c>
      <c r="D3" s="218" t="s">
        <v>9</v>
      </c>
      <c r="E3" s="217" t="s">
        <v>22</v>
      </c>
      <c r="F3" s="310">
        <v>4049.29</v>
      </c>
      <c r="G3" s="220">
        <v>0.1</v>
      </c>
      <c r="H3" s="214">
        <v>372.53</v>
      </c>
      <c r="I3" s="215"/>
      <c r="J3" s="223"/>
      <c r="K3" s="224"/>
    </row>
    <row r="4" spans="1:11">
      <c r="A4" s="287">
        <v>43924</v>
      </c>
      <c r="B4" s="288">
        <v>44289</v>
      </c>
      <c r="C4" s="566" t="s">
        <v>1331</v>
      </c>
      <c r="D4" s="289" t="s">
        <v>448</v>
      </c>
      <c r="E4" s="290" t="s">
        <v>279</v>
      </c>
      <c r="F4" s="337">
        <v>824.08</v>
      </c>
      <c r="G4" s="292">
        <v>0.2</v>
      </c>
      <c r="H4" s="293">
        <v>151.63</v>
      </c>
      <c r="I4" s="294"/>
      <c r="J4" s="443"/>
      <c r="K4" s="444"/>
    </row>
    <row r="5" spans="1:11">
      <c r="A5" s="287">
        <v>43924</v>
      </c>
      <c r="B5" s="288">
        <v>43924</v>
      </c>
      <c r="C5" s="566" t="s">
        <v>1232</v>
      </c>
      <c r="D5" s="289" t="s">
        <v>198</v>
      </c>
      <c r="E5" s="290" t="s">
        <v>500</v>
      </c>
      <c r="F5" s="337">
        <v>1348.49</v>
      </c>
      <c r="G5" s="292">
        <v>0.1</v>
      </c>
      <c r="H5" s="293">
        <v>124.06</v>
      </c>
      <c r="I5" s="262"/>
      <c r="J5" s="307"/>
      <c r="K5" s="308"/>
    </row>
    <row r="6" spans="1:11">
      <c r="A6" s="255">
        <v>43924</v>
      </c>
      <c r="B6" s="256">
        <v>44290</v>
      </c>
      <c r="C6" s="412" t="s">
        <v>1332</v>
      </c>
      <c r="D6" s="258" t="s">
        <v>209</v>
      </c>
      <c r="E6" s="381" t="s">
        <v>143</v>
      </c>
      <c r="F6" s="416">
        <v>2839.1</v>
      </c>
      <c r="G6" s="415">
        <v>0.1</v>
      </c>
      <c r="H6" s="261">
        <v>261.19</v>
      </c>
      <c r="I6" s="262"/>
      <c r="J6" s="307"/>
      <c r="K6" s="308"/>
    </row>
    <row r="7" spans="1:11">
      <c r="A7" s="90">
        <v>43924</v>
      </c>
      <c r="B7" s="91">
        <v>44289</v>
      </c>
      <c r="C7" s="168" t="s">
        <v>1333</v>
      </c>
      <c r="D7" s="93" t="s">
        <v>9</v>
      </c>
      <c r="E7" s="92" t="s">
        <v>10</v>
      </c>
      <c r="F7" s="322">
        <v>2072.9699999999998</v>
      </c>
      <c r="G7" s="94">
        <v>0.1</v>
      </c>
      <c r="H7" s="95">
        <v>190.71</v>
      </c>
      <c r="I7" s="159"/>
      <c r="J7" s="108"/>
      <c r="K7" s="109"/>
    </row>
    <row r="8" spans="1:11">
      <c r="A8" s="90">
        <v>43928</v>
      </c>
      <c r="B8" s="91">
        <v>44298</v>
      </c>
      <c r="C8" s="168" t="s">
        <v>696</v>
      </c>
      <c r="D8" s="93" t="s">
        <v>14</v>
      </c>
      <c r="E8" s="92" t="s">
        <v>19</v>
      </c>
      <c r="F8" s="322">
        <v>1265.8499999999999</v>
      </c>
      <c r="G8" s="94">
        <v>0.15</v>
      </c>
      <c r="H8" s="95">
        <v>116.45</v>
      </c>
      <c r="I8" s="159"/>
      <c r="J8" s="108"/>
      <c r="K8" s="109"/>
    </row>
    <row r="9" spans="1:11">
      <c r="A9" s="287">
        <v>43928</v>
      </c>
      <c r="B9" s="288">
        <v>44293</v>
      </c>
      <c r="C9" s="566" t="s">
        <v>1334</v>
      </c>
      <c r="D9" s="289" t="s">
        <v>9</v>
      </c>
      <c r="E9" s="290" t="s">
        <v>10</v>
      </c>
      <c r="F9" s="337">
        <v>2036.86</v>
      </c>
      <c r="G9" s="292">
        <v>0.1</v>
      </c>
      <c r="H9" s="293">
        <v>187.39</v>
      </c>
      <c r="I9" s="294">
        <v>93.69</v>
      </c>
      <c r="J9" s="699" t="s">
        <v>1335</v>
      </c>
      <c r="K9" s="700"/>
    </row>
    <row r="10" spans="1:11">
      <c r="A10" s="207">
        <v>43929</v>
      </c>
      <c r="B10" s="208">
        <v>44294</v>
      </c>
      <c r="C10" s="168" t="s">
        <v>1336</v>
      </c>
      <c r="D10" s="209" t="s">
        <v>14</v>
      </c>
      <c r="E10" s="169" t="s">
        <v>945</v>
      </c>
      <c r="F10" s="320">
        <v>1384.7</v>
      </c>
      <c r="G10" s="211">
        <v>0.14000000000000001</v>
      </c>
      <c r="H10" s="212">
        <v>178.34</v>
      </c>
      <c r="I10" s="371">
        <v>89.17</v>
      </c>
      <c r="J10" s="452" t="s">
        <v>1337</v>
      </c>
      <c r="K10" s="452"/>
    </row>
    <row r="11" spans="1:11">
      <c r="A11" s="207">
        <v>43929</v>
      </c>
      <c r="B11" s="208">
        <v>44295</v>
      </c>
      <c r="C11" s="168" t="s">
        <v>1338</v>
      </c>
      <c r="D11" s="209" t="s">
        <v>448</v>
      </c>
      <c r="E11" s="169" t="s">
        <v>19</v>
      </c>
      <c r="F11" s="320">
        <v>1903.41</v>
      </c>
      <c r="G11" s="211">
        <v>0.1</v>
      </c>
      <c r="H11" s="212">
        <v>175.11</v>
      </c>
      <c r="I11" s="213">
        <v>87.55</v>
      </c>
      <c r="J11" s="408" t="s">
        <v>1339</v>
      </c>
      <c r="K11" s="409"/>
    </row>
    <row r="12" spans="1:11">
      <c r="A12" s="207">
        <v>43930</v>
      </c>
      <c r="B12" s="208">
        <v>44295</v>
      </c>
      <c r="C12" s="414" t="s">
        <v>1340</v>
      </c>
      <c r="D12" s="209" t="s">
        <v>448</v>
      </c>
      <c r="E12" s="169" t="s">
        <v>19</v>
      </c>
      <c r="F12" s="320">
        <v>2667.3</v>
      </c>
      <c r="G12" s="211">
        <v>0.1</v>
      </c>
      <c r="H12" s="212">
        <v>245.39</v>
      </c>
      <c r="I12" s="213"/>
      <c r="J12" s="223"/>
      <c r="K12" s="224"/>
    </row>
    <row r="13" spans="1:11">
      <c r="A13" s="287">
        <v>43934</v>
      </c>
      <c r="B13" s="288">
        <v>44296</v>
      </c>
      <c r="C13" s="566" t="s">
        <v>695</v>
      </c>
      <c r="D13" s="289" t="s">
        <v>9</v>
      </c>
      <c r="E13" s="290" t="s">
        <v>10</v>
      </c>
      <c r="F13" s="337">
        <v>1839.68</v>
      </c>
      <c r="G13" s="292">
        <v>0.1</v>
      </c>
      <c r="H13" s="293">
        <v>169.25</v>
      </c>
      <c r="I13" s="294"/>
      <c r="J13" s="443"/>
      <c r="K13" s="444"/>
    </row>
    <row r="14" spans="1:11">
      <c r="A14" s="207">
        <v>43934</v>
      </c>
      <c r="B14" s="208">
        <v>44300</v>
      </c>
      <c r="C14" s="168" t="s">
        <v>904</v>
      </c>
      <c r="D14" s="209" t="s">
        <v>61</v>
      </c>
      <c r="E14" s="169" t="s">
        <v>22</v>
      </c>
      <c r="F14" s="320">
        <v>930.85</v>
      </c>
      <c r="G14" s="211">
        <v>0.1</v>
      </c>
      <c r="H14" s="212">
        <v>85.63</v>
      </c>
      <c r="I14" s="213"/>
      <c r="J14" s="223"/>
      <c r="K14" s="224"/>
    </row>
    <row r="15" spans="1:11">
      <c r="A15" s="255">
        <v>43934</v>
      </c>
      <c r="B15" s="256">
        <v>44299</v>
      </c>
      <c r="C15" s="412" t="s">
        <v>1341</v>
      </c>
      <c r="D15" s="258" t="s">
        <v>33</v>
      </c>
      <c r="E15" s="257" t="s">
        <v>10</v>
      </c>
      <c r="F15" s="321">
        <v>1618.49</v>
      </c>
      <c r="G15" s="260">
        <v>0.1</v>
      </c>
      <c r="H15" s="261">
        <v>148.9</v>
      </c>
      <c r="I15" s="262"/>
      <c r="J15" s="307"/>
      <c r="K15" s="308"/>
    </row>
    <row r="16" spans="1:11">
      <c r="A16" s="287">
        <v>43934</v>
      </c>
      <c r="B16" s="288">
        <v>44306</v>
      </c>
      <c r="C16" s="290" t="s">
        <v>1342</v>
      </c>
      <c r="D16" s="289" t="s">
        <v>9</v>
      </c>
      <c r="E16" s="290" t="s">
        <v>15</v>
      </c>
      <c r="F16" s="337">
        <v>4790.45</v>
      </c>
      <c r="G16" s="292">
        <v>0.1</v>
      </c>
      <c r="H16" s="293">
        <v>440.72</v>
      </c>
      <c r="I16" s="294"/>
      <c r="J16" s="443"/>
      <c r="K16" s="444"/>
    </row>
    <row r="17" spans="1:11">
      <c r="A17" s="359">
        <v>43934</v>
      </c>
      <c r="B17" s="345">
        <v>44299</v>
      </c>
      <c r="C17" s="585" t="s">
        <v>1343</v>
      </c>
      <c r="D17" s="347" t="s">
        <v>25</v>
      </c>
      <c r="E17" s="346" t="s">
        <v>29</v>
      </c>
      <c r="F17" s="348">
        <v>2685.3</v>
      </c>
      <c r="G17" s="349">
        <v>0.1</v>
      </c>
      <c r="H17" s="350">
        <v>247.04</v>
      </c>
      <c r="I17" s="351">
        <v>123.52</v>
      </c>
      <c r="J17" s="410" t="s">
        <v>1337</v>
      </c>
      <c r="K17" s="411"/>
    </row>
    <row r="18" spans="1:11">
      <c r="A18" s="90">
        <v>43934</v>
      </c>
      <c r="B18" s="91">
        <v>44291</v>
      </c>
      <c r="C18" s="353" t="s">
        <v>1344</v>
      </c>
      <c r="D18" s="93" t="s">
        <v>61</v>
      </c>
      <c r="E18" s="92" t="s">
        <v>10</v>
      </c>
      <c r="F18" s="322">
        <v>1282.58</v>
      </c>
      <c r="G18" s="94">
        <v>0.15</v>
      </c>
      <c r="H18" s="95">
        <v>176.99</v>
      </c>
      <c r="I18" s="159"/>
      <c r="J18" s="108"/>
      <c r="K18" s="109"/>
    </row>
    <row r="19" spans="1:11">
      <c r="A19" s="297">
        <v>43935</v>
      </c>
      <c r="B19" s="298">
        <v>43829</v>
      </c>
      <c r="C19" s="101" t="s">
        <v>1345</v>
      </c>
      <c r="D19" s="299" t="s">
        <v>25</v>
      </c>
      <c r="E19" s="101" t="s">
        <v>22</v>
      </c>
      <c r="F19" s="340">
        <v>-995.81</v>
      </c>
      <c r="G19" s="301">
        <v>0.1</v>
      </c>
      <c r="H19" s="302">
        <v>-91.61</v>
      </c>
      <c r="I19" s="303"/>
      <c r="J19" s="295"/>
      <c r="K19" s="296"/>
    </row>
    <row r="20" spans="1:11">
      <c r="A20" s="90">
        <v>43935</v>
      </c>
      <c r="B20" s="91">
        <v>44300</v>
      </c>
      <c r="C20" s="387" t="s">
        <v>1346</v>
      </c>
      <c r="D20" s="93" t="s">
        <v>448</v>
      </c>
      <c r="E20" s="92" t="s">
        <v>45</v>
      </c>
      <c r="F20" s="322">
        <v>2584.8200000000002</v>
      </c>
      <c r="G20" s="94">
        <v>0.1</v>
      </c>
      <c r="H20" s="95">
        <v>237.8</v>
      </c>
      <c r="I20" s="159"/>
      <c r="J20" s="108"/>
      <c r="K20" s="109"/>
    </row>
    <row r="21" spans="1:11">
      <c r="A21" s="238">
        <v>43937</v>
      </c>
      <c r="B21" s="445">
        <v>44302</v>
      </c>
      <c r="C21" s="298" t="s">
        <v>1347</v>
      </c>
      <c r="D21" s="241" t="s">
        <v>25</v>
      </c>
      <c r="E21" s="240" t="s">
        <v>90</v>
      </c>
      <c r="F21" s="323">
        <v>1409.24</v>
      </c>
      <c r="G21" s="243">
        <v>0.1</v>
      </c>
      <c r="H21" s="244">
        <v>129.65</v>
      </c>
      <c r="I21" s="245"/>
      <c r="J21" s="263"/>
      <c r="K21" s="264"/>
    </row>
    <row r="22" spans="1:11">
      <c r="A22" s="359">
        <v>43937</v>
      </c>
      <c r="B22" s="345">
        <v>44302</v>
      </c>
      <c r="C22" s="566" t="s">
        <v>1348</v>
      </c>
      <c r="D22" s="347" t="s">
        <v>25</v>
      </c>
      <c r="E22" s="346" t="s">
        <v>1161</v>
      </c>
      <c r="F22" s="348">
        <v>564.83000000000004</v>
      </c>
      <c r="G22" s="349">
        <v>0.1</v>
      </c>
      <c r="H22" s="350">
        <v>51.96</v>
      </c>
      <c r="I22" s="351"/>
      <c r="J22" s="433"/>
      <c r="K22" s="434"/>
    </row>
    <row r="23" spans="1:11">
      <c r="A23" s="90">
        <v>43937</v>
      </c>
      <c r="B23" s="91">
        <v>44308</v>
      </c>
      <c r="C23" s="566" t="s">
        <v>1349</v>
      </c>
      <c r="D23" s="93" t="s">
        <v>9</v>
      </c>
      <c r="E23" s="92" t="s">
        <v>22</v>
      </c>
      <c r="F23" s="322">
        <v>1851.34</v>
      </c>
      <c r="G23" s="94">
        <v>0.1</v>
      </c>
      <c r="H23" s="95">
        <v>170.32</v>
      </c>
      <c r="I23" s="159"/>
      <c r="J23" s="406"/>
      <c r="K23" s="407"/>
    </row>
    <row r="24" spans="1:11">
      <c r="A24" s="238">
        <v>43938</v>
      </c>
      <c r="B24" s="239">
        <v>44304</v>
      </c>
      <c r="C24" s="412" t="s">
        <v>1350</v>
      </c>
      <c r="D24" s="241" t="s">
        <v>14</v>
      </c>
      <c r="E24" s="240" t="s">
        <v>10</v>
      </c>
      <c r="F24" s="323">
        <v>1302.48</v>
      </c>
      <c r="G24" s="243">
        <v>0.1</v>
      </c>
      <c r="H24" s="244">
        <v>119.82</v>
      </c>
      <c r="I24" s="245"/>
      <c r="J24" s="273"/>
      <c r="K24" s="274"/>
    </row>
    <row r="25" spans="1:11">
      <c r="A25" s="459">
        <v>43938</v>
      </c>
      <c r="B25" s="459">
        <v>44305</v>
      </c>
      <c r="C25" s="585" t="s">
        <v>1351</v>
      </c>
      <c r="D25" s="1546" t="s">
        <v>448</v>
      </c>
      <c r="E25" s="458" t="s">
        <v>19</v>
      </c>
      <c r="F25" s="460">
        <v>3626.4</v>
      </c>
      <c r="G25" s="461">
        <v>0.1</v>
      </c>
      <c r="H25" s="462">
        <v>333.62</v>
      </c>
      <c r="I25" s="463"/>
      <c r="J25" s="433"/>
      <c r="K25" s="434"/>
    </row>
    <row r="26" spans="1:11">
      <c r="A26" s="418">
        <v>43938</v>
      </c>
      <c r="B26" s="419">
        <v>44310</v>
      </c>
      <c r="C26" s="353" t="s">
        <v>1352</v>
      </c>
      <c r="D26" s="420" t="s">
        <v>21</v>
      </c>
      <c r="E26" s="286" t="s">
        <v>945</v>
      </c>
      <c r="F26" s="421">
        <v>1640.47</v>
      </c>
      <c r="G26" s="422">
        <v>0.18</v>
      </c>
      <c r="H26" s="423">
        <v>271.66000000000003</v>
      </c>
      <c r="I26" s="424"/>
      <c r="J26" s="425"/>
      <c r="K26" s="426"/>
    </row>
    <row r="27" spans="1:11">
      <c r="A27" s="90">
        <v>43941</v>
      </c>
      <c r="B27" s="91">
        <v>44305</v>
      </c>
      <c r="C27" s="358" t="s">
        <v>700</v>
      </c>
      <c r="D27" s="93" t="s">
        <v>70</v>
      </c>
      <c r="E27" s="92" t="s">
        <v>362</v>
      </c>
      <c r="F27" s="322">
        <v>1064.8499999999999</v>
      </c>
      <c r="G27" s="94">
        <v>0.25</v>
      </c>
      <c r="H27" s="95">
        <v>244.91</v>
      </c>
      <c r="I27" s="159"/>
      <c r="J27" s="108"/>
      <c r="K27" s="109"/>
    </row>
    <row r="28" spans="1:11">
      <c r="A28" s="90">
        <v>43941</v>
      </c>
      <c r="B28" s="91">
        <v>44314</v>
      </c>
      <c r="C28" s="745" t="s">
        <v>1353</v>
      </c>
      <c r="D28" s="93" t="s">
        <v>9</v>
      </c>
      <c r="E28" s="92" t="s">
        <v>10</v>
      </c>
      <c r="F28" s="322">
        <v>1769.99</v>
      </c>
      <c r="G28" s="94">
        <v>0.15</v>
      </c>
      <c r="H28" s="95">
        <v>244.25</v>
      </c>
      <c r="I28" s="351"/>
      <c r="J28" s="433"/>
      <c r="K28" s="434"/>
    </row>
    <row r="29" spans="1:11">
      <c r="A29" s="90">
        <v>43941</v>
      </c>
      <c r="B29" s="91">
        <v>44306</v>
      </c>
      <c r="C29" s="168" t="s">
        <v>1354</v>
      </c>
      <c r="D29" s="93" t="s">
        <v>61</v>
      </c>
      <c r="E29" s="92" t="s">
        <v>438</v>
      </c>
      <c r="F29" s="322">
        <v>1689.85</v>
      </c>
      <c r="G29" s="94">
        <v>0.1</v>
      </c>
      <c r="H29" s="95">
        <v>155.46</v>
      </c>
      <c r="I29" s="159">
        <v>77.73</v>
      </c>
      <c r="J29" s="406" t="s">
        <v>1337</v>
      </c>
      <c r="K29" s="407"/>
    </row>
    <row r="30" spans="1:11">
      <c r="A30" s="359">
        <v>43943</v>
      </c>
      <c r="B30" s="345">
        <v>44308</v>
      </c>
      <c r="C30" s="566" t="s">
        <v>1355</v>
      </c>
      <c r="D30" s="347" t="s">
        <v>25</v>
      </c>
      <c r="E30" s="346" t="s">
        <v>10</v>
      </c>
      <c r="F30" s="348">
        <v>1096.03</v>
      </c>
      <c r="G30" s="349">
        <v>0.1</v>
      </c>
      <c r="H30" s="350">
        <v>100.83</v>
      </c>
      <c r="I30" s="245"/>
      <c r="J30" s="263"/>
      <c r="K30" s="264"/>
    </row>
    <row r="31" spans="1:11">
      <c r="A31" s="287">
        <v>43945</v>
      </c>
      <c r="B31" s="288">
        <v>44311</v>
      </c>
      <c r="C31" s="566" t="s">
        <v>1356</v>
      </c>
      <c r="D31" s="289" t="s">
        <v>25</v>
      </c>
      <c r="E31" s="290" t="s">
        <v>10</v>
      </c>
      <c r="F31" s="337">
        <v>787.79</v>
      </c>
      <c r="G31" s="292">
        <v>0.1</v>
      </c>
      <c r="H31" s="293">
        <v>72.47</v>
      </c>
      <c r="I31" s="294"/>
      <c r="J31" s="443"/>
      <c r="K31" s="444"/>
    </row>
    <row r="32" spans="1:11">
      <c r="A32" s="90">
        <v>43945</v>
      </c>
      <c r="B32" s="91">
        <v>44316</v>
      </c>
      <c r="C32" s="168" t="s">
        <v>1357</v>
      </c>
      <c r="D32" s="93" t="s">
        <v>9</v>
      </c>
      <c r="E32" s="92" t="s">
        <v>22</v>
      </c>
      <c r="F32" s="322">
        <v>1763.28</v>
      </c>
      <c r="G32" s="94">
        <v>0.1</v>
      </c>
      <c r="H32" s="95">
        <v>162.22</v>
      </c>
      <c r="I32" s="159"/>
      <c r="J32" s="108"/>
      <c r="K32" s="109"/>
    </row>
    <row r="33" spans="1:11">
      <c r="A33" s="312">
        <v>43949</v>
      </c>
      <c r="B33" s="313" t="s">
        <v>1358</v>
      </c>
      <c r="C33" s="551" t="s">
        <v>1359</v>
      </c>
      <c r="D33" s="315" t="s">
        <v>61</v>
      </c>
      <c r="E33" s="314" t="s">
        <v>1151</v>
      </c>
      <c r="F33" s="324">
        <v>1829.28</v>
      </c>
      <c r="G33" s="316">
        <v>0.1</v>
      </c>
      <c r="H33" s="317">
        <v>168.29</v>
      </c>
      <c r="I33" s="318"/>
      <c r="J33" s="410"/>
      <c r="K33" s="411"/>
    </row>
    <row r="34" spans="1:11">
      <c r="A34" s="238">
        <v>43950</v>
      </c>
      <c r="B34" s="239">
        <v>44312</v>
      </c>
      <c r="C34" s="742" t="s">
        <v>1360</v>
      </c>
      <c r="D34" s="241" t="s">
        <v>33</v>
      </c>
      <c r="E34" s="240" t="s">
        <v>22</v>
      </c>
      <c r="F34" s="323">
        <v>1684.41</v>
      </c>
      <c r="G34" s="243">
        <v>0.15</v>
      </c>
      <c r="H34" s="244">
        <v>232.44</v>
      </c>
      <c r="I34" s="245"/>
      <c r="J34" s="273"/>
      <c r="K34" s="274"/>
    </row>
    <row r="35" spans="1:11">
      <c r="A35" s="90">
        <v>43949</v>
      </c>
      <c r="B35" s="91">
        <v>44311</v>
      </c>
      <c r="C35" s="168" t="s">
        <v>1361</v>
      </c>
      <c r="D35" s="93" t="s">
        <v>33</v>
      </c>
      <c r="E35" s="92" t="s">
        <v>10</v>
      </c>
      <c r="F35" s="322">
        <v>1316.81</v>
      </c>
      <c r="G35" s="94">
        <v>0.1</v>
      </c>
      <c r="H35" s="95">
        <v>121.14</v>
      </c>
      <c r="I35" s="159">
        <v>60.58</v>
      </c>
      <c r="J35" s="406" t="s">
        <v>1337</v>
      </c>
      <c r="K35" s="407"/>
    </row>
    <row r="36" spans="1:11">
      <c r="A36" s="427"/>
      <c r="B36" s="427"/>
      <c r="C36" s="363"/>
      <c r="D36" s="428"/>
      <c r="E36" s="363"/>
      <c r="F36" s="429"/>
      <c r="G36" s="430"/>
      <c r="H36" s="431"/>
      <c r="I36" s="447"/>
      <c r="J36" s="263"/>
      <c r="K36" s="264"/>
    </row>
    <row r="37" spans="1:11">
      <c r="A37" s="451"/>
      <c r="B37" s="451"/>
      <c r="C37" s="13"/>
      <c r="D37" s="452"/>
      <c r="E37" s="453"/>
      <c r="F37" s="454"/>
      <c r="G37" s="455"/>
      <c r="H37" s="454"/>
      <c r="I37" s="448"/>
      <c r="J37" s="108"/>
      <c r="K37" s="109"/>
    </row>
    <row r="38" spans="1:11">
      <c r="A38" s="329"/>
      <c r="B38" s="329"/>
      <c r="C38" s="329"/>
      <c r="D38" s="162"/>
      <c r="E38" s="329"/>
      <c r="F38" s="449"/>
      <c r="G38" s="450"/>
      <c r="H38" s="449"/>
      <c r="I38" s="448"/>
      <c r="J38" s="108"/>
      <c r="K38" s="109"/>
    </row>
    <row r="39" spans="1:11">
      <c r="A39" s="329"/>
      <c r="B39" s="329"/>
      <c r="C39" s="329"/>
      <c r="D39" s="162"/>
      <c r="E39" s="329"/>
      <c r="F39" s="329"/>
      <c r="G39" s="329"/>
      <c r="H39" s="329"/>
      <c r="I39" s="448"/>
      <c r="J39" s="108"/>
      <c r="K39" s="109"/>
    </row>
    <row r="40" spans="1:11">
      <c r="A40" s="90"/>
      <c r="B40" s="91"/>
      <c r="C40" s="92"/>
      <c r="D40" s="93"/>
      <c r="E40" s="92"/>
      <c r="F40" s="322"/>
      <c r="G40" s="94"/>
      <c r="H40" s="95"/>
      <c r="I40" s="159"/>
      <c r="J40" s="406"/>
      <c r="K40" s="407"/>
    </row>
    <row r="41" spans="1:11">
      <c r="A41" s="90"/>
      <c r="B41" s="91"/>
      <c r="C41" s="92"/>
      <c r="D41" s="93"/>
      <c r="E41" s="92"/>
      <c r="F41" s="322"/>
      <c r="G41" s="94"/>
      <c r="H41" s="95"/>
      <c r="I41" s="159"/>
      <c r="J41" s="108"/>
      <c r="K41" s="109"/>
    </row>
    <row r="42" spans="1:11">
      <c r="A42" s="90"/>
      <c r="B42" s="91"/>
      <c r="C42" s="92"/>
      <c r="D42" s="93"/>
      <c r="E42" s="92"/>
      <c r="F42" s="322"/>
      <c r="G42" s="94"/>
      <c r="H42" s="95"/>
      <c r="I42" s="159"/>
      <c r="J42" s="108"/>
      <c r="K42" s="109"/>
    </row>
    <row r="43" spans="1:11">
      <c r="A43" s="238"/>
      <c r="B43" s="239"/>
      <c r="C43" s="240"/>
      <c r="D43" s="241"/>
      <c r="E43" s="240"/>
      <c r="F43" s="323"/>
      <c r="G43" s="243"/>
      <c r="H43" s="244"/>
      <c r="I43" s="245"/>
      <c r="J43" s="263"/>
      <c r="K43" s="264"/>
    </row>
    <row r="44" spans="1:11">
      <c r="A44" s="90"/>
      <c r="B44" s="91"/>
      <c r="C44" s="92"/>
      <c r="D44" s="93"/>
      <c r="E44" s="92"/>
      <c r="F44" s="322"/>
      <c r="G44" s="94"/>
      <c r="H44" s="95"/>
      <c r="I44" s="159"/>
      <c r="J44" s="108"/>
      <c r="K44" s="109"/>
    </row>
    <row r="45" spans="1:11">
      <c r="A45" s="359"/>
      <c r="B45" s="345"/>
      <c r="C45" s="346"/>
      <c r="D45" s="347"/>
      <c r="E45" s="346"/>
      <c r="F45" s="348"/>
      <c r="G45" s="349"/>
      <c r="H45" s="350"/>
      <c r="I45" s="351"/>
      <c r="J45" s="433"/>
      <c r="K45" s="434"/>
    </row>
    <row r="46" spans="1:11">
      <c r="A46" s="90"/>
      <c r="B46" s="91"/>
      <c r="C46" s="92"/>
      <c r="D46" s="93"/>
      <c r="E46" s="92"/>
      <c r="F46" s="322"/>
      <c r="G46" s="94"/>
      <c r="H46" s="95"/>
      <c r="I46" s="159"/>
      <c r="J46" s="108"/>
      <c r="K46" s="109"/>
    </row>
    <row r="47" spans="1:11">
      <c r="A47" s="359"/>
      <c r="B47" s="345"/>
      <c r="C47" s="346"/>
      <c r="D47" s="347"/>
      <c r="E47" s="346"/>
      <c r="F47" s="348"/>
      <c r="G47" s="349"/>
      <c r="H47" s="350"/>
      <c r="I47" s="351"/>
      <c r="J47" s="433"/>
      <c r="K47" s="434"/>
    </row>
    <row r="48" spans="1:11">
      <c r="A48" s="90"/>
      <c r="B48" s="91"/>
      <c r="C48" s="92"/>
      <c r="D48" s="93"/>
      <c r="E48" s="92"/>
      <c r="F48" s="322"/>
      <c r="G48" s="94"/>
      <c r="H48" s="95"/>
      <c r="I48" s="159"/>
      <c r="J48" s="108"/>
      <c r="K48" s="109"/>
    </row>
    <row r="49" spans="1:11">
      <c r="A49" s="90"/>
      <c r="B49" s="91"/>
      <c r="C49" s="92"/>
      <c r="D49" s="93"/>
      <c r="E49" s="92"/>
      <c r="F49" s="322"/>
      <c r="G49" s="94"/>
      <c r="H49" s="95"/>
      <c r="I49" s="159"/>
      <c r="J49" s="108"/>
      <c r="K49" s="109"/>
    </row>
    <row r="50" spans="1:11">
      <c r="A50" s="90"/>
      <c r="B50" s="91"/>
      <c r="C50" s="92"/>
      <c r="D50" s="93"/>
      <c r="E50" s="92"/>
      <c r="F50" s="322"/>
      <c r="G50" s="94"/>
      <c r="H50" s="95"/>
      <c r="I50" s="159"/>
      <c r="J50" s="108"/>
      <c r="K50" s="109"/>
    </row>
    <row r="51" spans="1:11">
      <c r="A51" s="238"/>
      <c r="B51" s="239"/>
      <c r="C51" s="240"/>
      <c r="D51" s="241"/>
      <c r="E51" s="240"/>
      <c r="F51" s="323"/>
      <c r="G51" s="243"/>
      <c r="H51" s="244"/>
      <c r="I51" s="245"/>
      <c r="J51" s="263"/>
      <c r="K51" s="264"/>
    </row>
    <row r="52" spans="1:11">
      <c r="A52" s="90"/>
      <c r="B52" s="91"/>
      <c r="C52" s="92"/>
      <c r="D52" s="93"/>
      <c r="E52" s="92"/>
      <c r="F52" s="322"/>
      <c r="G52" s="94"/>
      <c r="H52" s="95"/>
      <c r="I52" s="159"/>
      <c r="J52" s="108"/>
      <c r="K52" s="109"/>
    </row>
    <row r="53" spans="1:11">
      <c r="A53" s="90"/>
      <c r="B53" s="91"/>
      <c r="C53" s="92"/>
      <c r="D53" s="93"/>
      <c r="E53" s="92"/>
      <c r="F53" s="322"/>
      <c r="G53" s="94"/>
      <c r="H53" s="95"/>
      <c r="I53" s="159"/>
      <c r="J53" s="108"/>
      <c r="K53" s="109"/>
    </row>
    <row r="54" spans="1:11" ht="19.5">
      <c r="A54" s="673"/>
      <c r="B54" s="674"/>
      <c r="C54" s="674"/>
      <c r="D54" s="674"/>
      <c r="E54" s="674"/>
      <c r="F54" s="338">
        <f>SUM(F2:F53)</f>
        <v>59164.25</v>
      </c>
      <c r="G54" s="143"/>
      <c r="H54" s="129">
        <f>SUM(H2:H53)</f>
        <v>6055.3200000000006</v>
      </c>
      <c r="I54" s="107">
        <f>SUM(I2:I53)</f>
        <v>532.24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K54"/>
  <sheetViews>
    <sheetView topLeftCell="A16" zoomScale="85" zoomScaleNormal="85" workbookViewId="0">
      <selection activeCell="C40" sqref="C40"/>
    </sheetView>
  </sheetViews>
  <sheetFormatPr defaultRowHeight="15"/>
  <cols>
    <col min="1" max="1" width="16.42578125" bestFit="1" customWidth="1"/>
    <col min="2" max="2" width="11.5703125" bestFit="1" customWidth="1"/>
    <col min="3" max="3" width="42.5703125" bestFit="1" customWidth="1"/>
    <col min="6" max="6" width="20.42578125" bestFit="1" customWidth="1"/>
    <col min="8" max="8" width="22.5703125" bestFit="1" customWidth="1"/>
    <col min="9" max="9" width="21" bestFit="1" customWidth="1"/>
  </cols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90">
        <v>43949</v>
      </c>
      <c r="B2" s="91">
        <v>44321</v>
      </c>
      <c r="C2" s="168" t="s">
        <v>1362</v>
      </c>
      <c r="D2" s="93" t="s">
        <v>9</v>
      </c>
      <c r="E2" s="92" t="s">
        <v>19</v>
      </c>
      <c r="F2" s="322">
        <v>819.95</v>
      </c>
      <c r="G2" s="94">
        <v>0.15</v>
      </c>
      <c r="H2" s="95">
        <v>113.15</v>
      </c>
      <c r="I2" s="159"/>
      <c r="J2" s="108"/>
      <c r="K2" s="109"/>
    </row>
    <row r="3" spans="1:11">
      <c r="A3" s="216">
        <v>43955</v>
      </c>
      <c r="B3" s="221">
        <v>44320</v>
      </c>
      <c r="C3" s="172" t="s">
        <v>1363</v>
      </c>
      <c r="D3" s="218" t="s">
        <v>9</v>
      </c>
      <c r="E3" s="217" t="s">
        <v>22</v>
      </c>
      <c r="F3" s="310">
        <v>1446.91</v>
      </c>
      <c r="G3" s="220">
        <v>0.1</v>
      </c>
      <c r="H3" s="214">
        <v>133.11000000000001</v>
      </c>
      <c r="I3" s="215"/>
      <c r="J3" s="223"/>
      <c r="K3" s="224"/>
    </row>
    <row r="4" spans="1:11">
      <c r="A4" s="287">
        <v>43955</v>
      </c>
      <c r="B4" s="288">
        <v>44322</v>
      </c>
      <c r="C4" s="566" t="s">
        <v>542</v>
      </c>
      <c r="D4" s="289" t="s">
        <v>9</v>
      </c>
      <c r="E4" s="290" t="s">
        <v>22</v>
      </c>
      <c r="F4" s="337">
        <v>1203.17</v>
      </c>
      <c r="G4" s="292">
        <v>0.1</v>
      </c>
      <c r="H4" s="293">
        <v>110.69</v>
      </c>
      <c r="I4" s="294"/>
      <c r="J4" s="443"/>
      <c r="K4" s="444"/>
    </row>
    <row r="5" spans="1:11" s="731" customFormat="1">
      <c r="A5" s="255">
        <v>43955</v>
      </c>
      <c r="B5" s="256" t="s">
        <v>510</v>
      </c>
      <c r="C5" s="257" t="s">
        <v>239</v>
      </c>
      <c r="D5" s="258" t="s">
        <v>70</v>
      </c>
      <c r="E5" s="257" t="s">
        <v>22</v>
      </c>
      <c r="F5" s="321">
        <v>121.34</v>
      </c>
      <c r="G5" s="260">
        <v>0.1</v>
      </c>
      <c r="H5" s="261">
        <v>11.16</v>
      </c>
      <c r="I5" s="262"/>
      <c r="J5" s="307"/>
      <c r="K5" s="308"/>
    </row>
    <row r="6" spans="1:11">
      <c r="A6" s="287">
        <v>43955</v>
      </c>
      <c r="B6" s="288">
        <v>44326</v>
      </c>
      <c r="C6" s="566" t="s">
        <v>1364</v>
      </c>
      <c r="D6" s="289" t="s">
        <v>376</v>
      </c>
      <c r="E6" s="436" t="s">
        <v>22</v>
      </c>
      <c r="F6" s="437">
        <v>1305.68</v>
      </c>
      <c r="G6" s="438">
        <v>0.1</v>
      </c>
      <c r="H6" s="293">
        <v>120.12</v>
      </c>
      <c r="I6" s="294"/>
      <c r="J6" s="443"/>
      <c r="K6" s="444"/>
    </row>
    <row r="7" spans="1:11">
      <c r="A7" s="90">
        <v>43955</v>
      </c>
      <c r="B7" s="91">
        <v>44318</v>
      </c>
      <c r="C7" s="168" t="s">
        <v>1365</v>
      </c>
      <c r="D7" s="93" t="s">
        <v>9</v>
      </c>
      <c r="E7" s="92" t="s">
        <v>10</v>
      </c>
      <c r="F7" s="322">
        <v>1282.67</v>
      </c>
      <c r="G7" s="94">
        <v>0.1</v>
      </c>
      <c r="H7" s="95">
        <v>118</v>
      </c>
      <c r="I7" s="159"/>
      <c r="J7" s="108"/>
      <c r="K7" s="109"/>
    </row>
    <row r="8" spans="1:11">
      <c r="A8" s="465">
        <v>43956</v>
      </c>
      <c r="B8" s="466">
        <v>44321</v>
      </c>
      <c r="C8" s="778" t="s">
        <v>1366</v>
      </c>
      <c r="D8" s="467" t="s">
        <v>9</v>
      </c>
      <c r="E8" s="464" t="s">
        <v>57</v>
      </c>
      <c r="F8" s="468">
        <v>2033.32</v>
      </c>
      <c r="G8" s="469">
        <v>0.1</v>
      </c>
      <c r="H8" s="470">
        <v>187.06</v>
      </c>
      <c r="I8" s="471"/>
      <c r="J8" s="701"/>
      <c r="K8" s="702"/>
    </row>
    <row r="9" spans="1:11">
      <c r="A9" s="287">
        <v>43956</v>
      </c>
      <c r="B9" s="288">
        <v>44325</v>
      </c>
      <c r="C9" s="566" t="s">
        <v>1367</v>
      </c>
      <c r="D9" s="289" t="s">
        <v>61</v>
      </c>
      <c r="E9" s="290" t="s">
        <v>90</v>
      </c>
      <c r="F9" s="337">
        <v>1040.3499999999999</v>
      </c>
      <c r="G9" s="292">
        <v>0.15</v>
      </c>
      <c r="H9" s="293">
        <v>143.53</v>
      </c>
      <c r="I9" s="294"/>
      <c r="J9" s="699"/>
      <c r="K9" s="700"/>
    </row>
    <row r="10" spans="1:11">
      <c r="A10" s="207">
        <v>43958</v>
      </c>
      <c r="B10" s="208">
        <v>44323</v>
      </c>
      <c r="C10" s="168" t="s">
        <v>1368</v>
      </c>
      <c r="D10" s="209" t="s">
        <v>9</v>
      </c>
      <c r="E10" s="169" t="s">
        <v>22</v>
      </c>
      <c r="F10" s="320">
        <v>923.21</v>
      </c>
      <c r="G10" s="211">
        <v>0.1</v>
      </c>
      <c r="H10" s="212">
        <v>84.93</v>
      </c>
      <c r="I10" s="371"/>
      <c r="J10" s="452"/>
      <c r="K10" s="452"/>
    </row>
    <row r="11" spans="1:11">
      <c r="A11" s="207">
        <v>43958</v>
      </c>
      <c r="B11" s="208">
        <v>44323</v>
      </c>
      <c r="C11" s="168" t="s">
        <v>1316</v>
      </c>
      <c r="D11" s="209" t="s">
        <v>9</v>
      </c>
      <c r="E11" s="169" t="s">
        <v>948</v>
      </c>
      <c r="F11" s="320">
        <v>1645.2</v>
      </c>
      <c r="G11" s="211">
        <v>0.1</v>
      </c>
      <c r="H11" s="212">
        <v>151.35</v>
      </c>
      <c r="I11" s="213"/>
      <c r="J11" s="408"/>
      <c r="K11" s="409"/>
    </row>
    <row r="12" spans="1:11">
      <c r="A12" s="207">
        <v>43958</v>
      </c>
      <c r="B12" s="208">
        <v>44323</v>
      </c>
      <c r="C12" s="414" t="s">
        <v>810</v>
      </c>
      <c r="D12" s="209" t="s">
        <v>61</v>
      </c>
      <c r="E12" s="169" t="s">
        <v>19</v>
      </c>
      <c r="F12" s="320">
        <v>2544.35</v>
      </c>
      <c r="G12" s="211">
        <v>0.1</v>
      </c>
      <c r="H12" s="212">
        <v>234.08</v>
      </c>
      <c r="I12" s="213"/>
      <c r="J12" s="223"/>
      <c r="K12" s="224"/>
    </row>
    <row r="13" spans="1:11">
      <c r="A13" s="287">
        <v>43962</v>
      </c>
      <c r="B13" s="288">
        <v>44320</v>
      </c>
      <c r="C13" s="566" t="s">
        <v>1369</v>
      </c>
      <c r="D13" s="289" t="s">
        <v>9</v>
      </c>
      <c r="E13" s="290" t="s">
        <v>948</v>
      </c>
      <c r="F13" s="337">
        <v>1974.16</v>
      </c>
      <c r="G13" s="292">
        <v>0.1</v>
      </c>
      <c r="H13" s="293">
        <v>181.62</v>
      </c>
      <c r="I13" s="294"/>
      <c r="J13" s="443"/>
      <c r="K13" s="444"/>
    </row>
    <row r="14" spans="1:11">
      <c r="A14" s="255">
        <v>43962</v>
      </c>
      <c r="B14" s="256">
        <v>44327</v>
      </c>
      <c r="C14" s="414" t="s">
        <v>916</v>
      </c>
      <c r="D14" s="258" t="s">
        <v>9</v>
      </c>
      <c r="E14" s="257" t="s">
        <v>90</v>
      </c>
      <c r="F14" s="321">
        <v>1746.23</v>
      </c>
      <c r="G14" s="260">
        <v>0.1</v>
      </c>
      <c r="H14" s="261">
        <v>160.65</v>
      </c>
      <c r="I14" s="262"/>
      <c r="J14" s="307"/>
      <c r="K14" s="308"/>
    </row>
    <row r="15" spans="1:11">
      <c r="A15" s="287">
        <v>43962</v>
      </c>
      <c r="B15" s="288">
        <v>44331</v>
      </c>
      <c r="C15" s="566" t="s">
        <v>1370</v>
      </c>
      <c r="D15" s="289" t="s">
        <v>9</v>
      </c>
      <c r="E15" s="290" t="s">
        <v>22</v>
      </c>
      <c r="F15" s="337">
        <v>1388.28</v>
      </c>
      <c r="G15" s="292">
        <v>0.1</v>
      </c>
      <c r="H15" s="293">
        <v>127.72</v>
      </c>
      <c r="I15" s="294"/>
      <c r="J15" s="443"/>
      <c r="K15" s="444"/>
    </row>
    <row r="16" spans="1:11">
      <c r="A16" s="287">
        <v>43962</v>
      </c>
      <c r="B16" s="288">
        <v>44330</v>
      </c>
      <c r="C16" s="566" t="s">
        <v>1371</v>
      </c>
      <c r="D16" s="289" t="s">
        <v>25</v>
      </c>
      <c r="E16" s="290" t="s">
        <v>22</v>
      </c>
      <c r="F16" s="337">
        <v>1340.06</v>
      </c>
      <c r="G16" s="292">
        <v>0.1</v>
      </c>
      <c r="H16" s="293">
        <v>123.28</v>
      </c>
      <c r="I16" s="294"/>
      <c r="J16" s="443"/>
      <c r="K16" s="444"/>
    </row>
    <row r="17" spans="1:11">
      <c r="A17" s="359">
        <v>43963</v>
      </c>
      <c r="B17" s="345">
        <v>44157</v>
      </c>
      <c r="C17" s="135" t="s">
        <v>1372</v>
      </c>
      <c r="D17" s="347" t="s">
        <v>25</v>
      </c>
      <c r="E17" s="346" t="s">
        <v>22</v>
      </c>
      <c r="F17" s="348">
        <v>134.21</v>
      </c>
      <c r="G17" s="349">
        <v>0.1</v>
      </c>
      <c r="H17" s="350">
        <v>12.34</v>
      </c>
      <c r="I17" s="351"/>
      <c r="J17" s="410"/>
      <c r="K17" s="411"/>
    </row>
    <row r="18" spans="1:11">
      <c r="A18" s="465">
        <v>43963</v>
      </c>
      <c r="B18" s="466">
        <v>44330</v>
      </c>
      <c r="C18" s="779" t="s">
        <v>1373</v>
      </c>
      <c r="D18" s="467" t="s">
        <v>14</v>
      </c>
      <c r="E18" s="464" t="s">
        <v>945</v>
      </c>
      <c r="F18" s="468">
        <v>1630.07</v>
      </c>
      <c r="G18" s="469">
        <v>0.1</v>
      </c>
      <c r="H18" s="470">
        <v>149.96</v>
      </c>
      <c r="I18" s="471">
        <v>74.98</v>
      </c>
      <c r="J18" s="705" t="s">
        <v>1374</v>
      </c>
      <c r="K18" s="706"/>
    </row>
    <row r="19" spans="1:11">
      <c r="A19" s="359">
        <v>43964</v>
      </c>
      <c r="B19" s="345">
        <v>44332</v>
      </c>
      <c r="C19" s="566" t="s">
        <v>1375</v>
      </c>
      <c r="D19" s="347" t="s">
        <v>9</v>
      </c>
      <c r="E19" s="346" t="s">
        <v>22</v>
      </c>
      <c r="F19" s="348">
        <v>1244.28</v>
      </c>
      <c r="G19" s="349">
        <v>0.1</v>
      </c>
      <c r="H19" s="350">
        <v>114.47</v>
      </c>
      <c r="I19" s="351"/>
      <c r="J19" s="433"/>
      <c r="K19" s="434"/>
    </row>
    <row r="20" spans="1:11">
      <c r="A20" s="90">
        <v>43964</v>
      </c>
      <c r="B20" s="26">
        <v>44337</v>
      </c>
      <c r="C20" s="387" t="s">
        <v>1375</v>
      </c>
      <c r="D20" s="93" t="s">
        <v>9</v>
      </c>
      <c r="E20" s="92" t="s">
        <v>1310</v>
      </c>
      <c r="F20" s="322">
        <v>869.83</v>
      </c>
      <c r="G20" s="94">
        <v>0.1</v>
      </c>
      <c r="H20" s="95">
        <v>80.02</v>
      </c>
      <c r="I20" s="159"/>
      <c r="J20" s="108"/>
      <c r="K20" s="109"/>
    </row>
    <row r="21" spans="1:11">
      <c r="A21" s="465">
        <v>43964</v>
      </c>
      <c r="B21" s="472">
        <v>44328</v>
      </c>
      <c r="C21" s="780" t="s">
        <v>1376</v>
      </c>
      <c r="D21" s="467" t="s">
        <v>448</v>
      </c>
      <c r="E21" s="464" t="s">
        <v>1377</v>
      </c>
      <c r="F21" s="468">
        <v>1566.6</v>
      </c>
      <c r="G21" s="469">
        <v>0.1</v>
      </c>
      <c r="H21" s="470">
        <v>144.12</v>
      </c>
      <c r="I21" s="471">
        <v>72.06</v>
      </c>
      <c r="J21" s="705" t="s">
        <v>1011</v>
      </c>
      <c r="K21" s="706"/>
    </row>
    <row r="22" spans="1:11">
      <c r="A22" s="359">
        <v>43965</v>
      </c>
      <c r="B22" s="345">
        <v>44326</v>
      </c>
      <c r="C22" s="566" t="s">
        <v>1378</v>
      </c>
      <c r="D22" s="347" t="s">
        <v>9</v>
      </c>
      <c r="E22" s="346" t="s">
        <v>10</v>
      </c>
      <c r="F22" s="348">
        <v>2400.94</v>
      </c>
      <c r="G22" s="349">
        <v>0.1</v>
      </c>
      <c r="H22" s="350">
        <v>220.88</v>
      </c>
      <c r="I22" s="351"/>
      <c r="J22" s="433"/>
      <c r="K22" s="434"/>
    </row>
    <row r="23" spans="1:11">
      <c r="A23" s="90">
        <v>43965</v>
      </c>
      <c r="B23" s="91">
        <v>44325</v>
      </c>
      <c r="C23" s="566" t="s">
        <v>1379</v>
      </c>
      <c r="D23" s="93" t="s">
        <v>21</v>
      </c>
      <c r="E23" s="92" t="s">
        <v>10</v>
      </c>
      <c r="F23" s="322">
        <v>833.8</v>
      </c>
      <c r="G23" s="94">
        <v>0.1</v>
      </c>
      <c r="H23" s="95">
        <v>76.7</v>
      </c>
      <c r="I23" s="159"/>
      <c r="J23" s="406"/>
      <c r="K23" s="407"/>
    </row>
    <row r="24" spans="1:11">
      <c r="A24" s="359">
        <v>43965</v>
      </c>
      <c r="B24" s="345">
        <v>44332</v>
      </c>
      <c r="C24" s="566" t="s">
        <v>1380</v>
      </c>
      <c r="D24" s="347" t="s">
        <v>448</v>
      </c>
      <c r="E24" s="346" t="s">
        <v>1377</v>
      </c>
      <c r="F24" s="348">
        <v>1917.77</v>
      </c>
      <c r="G24" s="349">
        <v>0.1</v>
      </c>
      <c r="H24" s="350">
        <v>176.43</v>
      </c>
      <c r="I24" s="351"/>
      <c r="J24" s="410"/>
      <c r="K24" s="411"/>
    </row>
    <row r="25" spans="1:11">
      <c r="A25" s="459">
        <v>43966</v>
      </c>
      <c r="B25" s="459">
        <v>44339</v>
      </c>
      <c r="C25" s="585" t="s">
        <v>1381</v>
      </c>
      <c r="D25" s="1546" t="s">
        <v>61</v>
      </c>
      <c r="E25" s="458" t="s">
        <v>10</v>
      </c>
      <c r="F25" s="460">
        <v>1317.21</v>
      </c>
      <c r="G25" s="461">
        <v>0.1</v>
      </c>
      <c r="H25" s="462">
        <v>121.18</v>
      </c>
      <c r="I25" s="463"/>
      <c r="J25" s="433"/>
      <c r="K25" s="434"/>
    </row>
    <row r="26" spans="1:11">
      <c r="A26" s="418">
        <v>43966</v>
      </c>
      <c r="B26" s="419">
        <v>44333</v>
      </c>
      <c r="C26" s="743" t="s">
        <v>1382</v>
      </c>
      <c r="D26" s="420" t="s">
        <v>448</v>
      </c>
      <c r="E26" s="286" t="s">
        <v>19</v>
      </c>
      <c r="F26" s="421">
        <v>1933.06</v>
      </c>
      <c r="G26" s="422">
        <v>0.1</v>
      </c>
      <c r="H26" s="423">
        <v>177.84</v>
      </c>
      <c r="I26" s="424"/>
      <c r="J26" s="425"/>
      <c r="K26" s="426"/>
    </row>
    <row r="27" spans="1:11">
      <c r="A27" s="90">
        <v>43969</v>
      </c>
      <c r="B27" s="91">
        <v>44340</v>
      </c>
      <c r="C27" s="358" t="s">
        <v>715</v>
      </c>
      <c r="D27" s="93" t="s">
        <v>9</v>
      </c>
      <c r="E27" s="92" t="s">
        <v>948</v>
      </c>
      <c r="F27" s="322">
        <v>986.21</v>
      </c>
      <c r="G27" s="94">
        <v>0.13</v>
      </c>
      <c r="H27" s="473">
        <v>117.95</v>
      </c>
      <c r="I27" s="159"/>
      <c r="J27" s="108"/>
      <c r="K27" s="109"/>
    </row>
    <row r="28" spans="1:11">
      <c r="A28" s="465">
        <v>43969</v>
      </c>
      <c r="B28" s="466">
        <v>44334</v>
      </c>
      <c r="C28" s="781" t="s">
        <v>1383</v>
      </c>
      <c r="D28" s="467" t="s">
        <v>9</v>
      </c>
      <c r="E28" s="464" t="s">
        <v>29</v>
      </c>
      <c r="F28" s="468">
        <v>2940.68</v>
      </c>
      <c r="G28" s="469">
        <v>0.15</v>
      </c>
      <c r="H28" s="470">
        <v>405.81</v>
      </c>
      <c r="I28" s="471"/>
      <c r="J28" s="701"/>
      <c r="K28" s="702"/>
    </row>
    <row r="29" spans="1:11">
      <c r="A29" s="90">
        <v>43970</v>
      </c>
      <c r="B29" s="91">
        <v>44338</v>
      </c>
      <c r="C29" s="168" t="s">
        <v>1384</v>
      </c>
      <c r="D29" s="93" t="s">
        <v>9</v>
      </c>
      <c r="E29" s="92" t="s">
        <v>22</v>
      </c>
      <c r="F29" s="322">
        <v>1620.26</v>
      </c>
      <c r="G29" s="94">
        <v>0.15</v>
      </c>
      <c r="H29" s="95">
        <v>223.59</v>
      </c>
      <c r="I29" s="159">
        <v>111.79</v>
      </c>
      <c r="J29" s="406" t="s">
        <v>1305</v>
      </c>
      <c r="K29" s="407"/>
    </row>
    <row r="30" spans="1:11">
      <c r="A30" s="238">
        <v>43971</v>
      </c>
      <c r="B30" s="239">
        <v>44338</v>
      </c>
      <c r="C30" s="240" t="s">
        <v>1385</v>
      </c>
      <c r="D30" s="241" t="s">
        <v>14</v>
      </c>
      <c r="E30" s="240" t="s">
        <v>57</v>
      </c>
      <c r="F30" s="323">
        <v>3113.14</v>
      </c>
      <c r="G30" s="243">
        <v>0.15</v>
      </c>
      <c r="H30" s="244">
        <v>429.61</v>
      </c>
      <c r="I30" s="245"/>
      <c r="J30" s="263"/>
      <c r="K30" s="264"/>
    </row>
    <row r="31" spans="1:11">
      <c r="A31" s="287">
        <v>43971</v>
      </c>
      <c r="B31" s="288">
        <v>44337</v>
      </c>
      <c r="C31" s="566" t="s">
        <v>1386</v>
      </c>
      <c r="D31" s="289" t="s">
        <v>9</v>
      </c>
      <c r="E31" s="290" t="s">
        <v>948</v>
      </c>
      <c r="F31" s="337">
        <v>1079.3599999999999</v>
      </c>
      <c r="G31" s="292">
        <v>0.1</v>
      </c>
      <c r="H31" s="293">
        <v>99.3</v>
      </c>
      <c r="I31" s="294"/>
      <c r="J31" s="443"/>
      <c r="K31" s="444"/>
    </row>
    <row r="32" spans="1:11">
      <c r="A32" s="90">
        <v>43976</v>
      </c>
      <c r="B32" s="91">
        <v>44344</v>
      </c>
      <c r="C32" s="168" t="s">
        <v>1387</v>
      </c>
      <c r="D32" s="93" t="s">
        <v>25</v>
      </c>
      <c r="E32" s="92" t="s">
        <v>10</v>
      </c>
      <c r="F32" s="322">
        <v>1718.3</v>
      </c>
      <c r="G32" s="94">
        <v>0.15</v>
      </c>
      <c r="H32" s="95">
        <v>237.12</v>
      </c>
      <c r="I32" s="159"/>
      <c r="J32" s="108"/>
      <c r="K32" s="109"/>
    </row>
    <row r="33" spans="1:11" s="730" customFormat="1">
      <c r="A33" s="782">
        <v>43977</v>
      </c>
      <c r="B33" s="783">
        <v>160.34</v>
      </c>
      <c r="C33" s="441" t="s">
        <v>1388</v>
      </c>
      <c r="D33" s="784" t="s">
        <v>25</v>
      </c>
      <c r="E33" s="441" t="s">
        <v>279</v>
      </c>
      <c r="F33" s="785">
        <v>160.34</v>
      </c>
      <c r="G33" s="786">
        <v>0.1</v>
      </c>
      <c r="H33" s="787">
        <v>14.75</v>
      </c>
      <c r="I33" s="788"/>
      <c r="J33" s="587"/>
      <c r="K33" s="588"/>
    </row>
    <row r="34" spans="1:11">
      <c r="A34" s="359">
        <v>43978</v>
      </c>
      <c r="B34" s="345">
        <v>44248</v>
      </c>
      <c r="C34" s="781" t="s">
        <v>1283</v>
      </c>
      <c r="D34" s="347" t="s">
        <v>61</v>
      </c>
      <c r="E34" s="346" t="s">
        <v>19</v>
      </c>
      <c r="F34" s="348">
        <v>1007.57</v>
      </c>
      <c r="G34" s="349">
        <v>0.2</v>
      </c>
      <c r="H34" s="350">
        <v>185.39</v>
      </c>
      <c r="I34" s="159"/>
      <c r="J34" s="406"/>
      <c r="K34" s="407"/>
    </row>
    <row r="35" spans="1:11">
      <c r="A35" s="474">
        <v>43978</v>
      </c>
      <c r="B35" s="475">
        <v>43978</v>
      </c>
      <c r="C35" s="789" t="s">
        <v>1389</v>
      </c>
      <c r="D35" s="477" t="s">
        <v>25</v>
      </c>
      <c r="E35" s="476" t="s">
        <v>19</v>
      </c>
      <c r="F35" s="478">
        <v>1796.6</v>
      </c>
      <c r="G35" s="479">
        <v>0.15</v>
      </c>
      <c r="H35" s="480">
        <v>247.93</v>
      </c>
      <c r="I35" s="481">
        <v>123.96</v>
      </c>
      <c r="J35" s="703" t="s">
        <v>1374</v>
      </c>
      <c r="K35" s="704"/>
    </row>
    <row r="36" spans="1:11">
      <c r="A36" s="459">
        <v>43978</v>
      </c>
      <c r="B36" s="459">
        <v>44343</v>
      </c>
      <c r="C36" s="585" t="s">
        <v>1390</v>
      </c>
      <c r="D36" s="1546" t="s">
        <v>9</v>
      </c>
      <c r="E36" s="458" t="s">
        <v>29</v>
      </c>
      <c r="F36" s="460">
        <f>1419.14+97.8</f>
        <v>1516.94</v>
      </c>
      <c r="G36" s="461">
        <v>0.1</v>
      </c>
      <c r="H36" s="462">
        <v>139.55000000000001</v>
      </c>
      <c r="I36" s="482">
        <v>69.77</v>
      </c>
      <c r="J36" s="433" t="s">
        <v>1391</v>
      </c>
      <c r="K36" s="434"/>
    </row>
    <row r="37" spans="1:11">
      <c r="A37" s="451">
        <v>43980</v>
      </c>
      <c r="B37" s="451">
        <v>44346</v>
      </c>
      <c r="C37" s="172" t="s">
        <v>1392</v>
      </c>
      <c r="D37" s="452" t="s">
        <v>14</v>
      </c>
      <c r="E37" s="453" t="s">
        <v>19</v>
      </c>
      <c r="F37" s="454">
        <v>1617.16</v>
      </c>
      <c r="G37" s="455">
        <v>0.1</v>
      </c>
      <c r="H37" s="454">
        <v>148.77000000000001</v>
      </c>
      <c r="I37" s="448"/>
      <c r="J37" s="108"/>
      <c r="K37" s="109"/>
    </row>
    <row r="38" spans="1:11">
      <c r="A38" s="26">
        <v>43980</v>
      </c>
      <c r="B38" s="26">
        <v>44345</v>
      </c>
      <c r="C38" s="172" t="s">
        <v>1393</v>
      </c>
      <c r="D38" s="14" t="s">
        <v>61</v>
      </c>
      <c r="E38" s="13" t="s">
        <v>438</v>
      </c>
      <c r="F38" s="145">
        <v>1178.82</v>
      </c>
      <c r="G38" s="56">
        <v>0.1</v>
      </c>
      <c r="H38" s="145">
        <v>108.45</v>
      </c>
      <c r="I38" s="448"/>
      <c r="J38" s="682"/>
      <c r="K38" s="660"/>
    </row>
    <row r="39" spans="1:11">
      <c r="A39" s="329"/>
      <c r="B39" s="329"/>
      <c r="C39" s="329"/>
      <c r="D39" s="162"/>
      <c r="E39" s="329"/>
      <c r="F39" s="329"/>
      <c r="G39" s="329"/>
      <c r="H39" s="329"/>
      <c r="I39" s="448"/>
      <c r="J39" s="108"/>
      <c r="K39" s="109"/>
    </row>
    <row r="40" spans="1:11">
      <c r="A40" s="90"/>
      <c r="B40" s="91"/>
      <c r="C40" s="92"/>
      <c r="D40" s="93"/>
      <c r="E40" s="92"/>
      <c r="F40" s="322"/>
      <c r="G40" s="94"/>
      <c r="H40" s="95"/>
      <c r="I40" s="159"/>
      <c r="J40" s="406"/>
      <c r="K40" s="407"/>
    </row>
    <row r="41" spans="1:11">
      <c r="A41" s="90"/>
      <c r="B41" s="91"/>
      <c r="C41" s="92"/>
      <c r="D41" s="93"/>
      <c r="E41" s="92"/>
      <c r="F41" s="322"/>
      <c r="G41" s="94"/>
      <c r="H41" s="95"/>
      <c r="I41" s="159"/>
      <c r="J41" s="108"/>
      <c r="K41" s="109"/>
    </row>
    <row r="42" spans="1:11">
      <c r="A42" s="90"/>
      <c r="B42" s="91"/>
      <c r="C42" s="92"/>
      <c r="D42" s="93"/>
      <c r="E42" s="92"/>
      <c r="F42" s="322"/>
      <c r="G42" s="94"/>
      <c r="H42" s="95"/>
      <c r="I42" s="159"/>
      <c r="J42" s="108"/>
      <c r="K42" s="109"/>
    </row>
    <row r="43" spans="1:11">
      <c r="A43" s="238"/>
      <c r="B43" s="239"/>
      <c r="C43" s="240"/>
      <c r="D43" s="241"/>
      <c r="E43" s="240"/>
      <c r="F43" s="323"/>
      <c r="G43" s="243"/>
      <c r="H43" s="244"/>
      <c r="I43" s="245"/>
      <c r="J43" s="263"/>
      <c r="K43" s="264"/>
    </row>
    <row r="44" spans="1:11">
      <c r="A44" s="90"/>
      <c r="B44" s="91"/>
      <c r="C44" s="92"/>
      <c r="D44" s="93"/>
      <c r="E44" s="92"/>
      <c r="F44" s="322"/>
      <c r="G44" s="94"/>
      <c r="H44" s="95"/>
      <c r="I44" s="159"/>
      <c r="J44" s="108"/>
      <c r="K44" s="109"/>
    </row>
    <row r="45" spans="1:11">
      <c r="A45" s="359"/>
      <c r="B45" s="345"/>
      <c r="C45" s="346"/>
      <c r="D45" s="347"/>
      <c r="E45" s="346"/>
      <c r="F45" s="348"/>
      <c r="G45" s="349"/>
      <c r="H45" s="350"/>
      <c r="I45" s="351"/>
      <c r="J45" s="433"/>
      <c r="K45" s="434"/>
    </row>
    <row r="46" spans="1:11">
      <c r="A46" s="90"/>
      <c r="B46" s="91"/>
      <c r="C46" s="92"/>
      <c r="D46" s="93"/>
      <c r="E46" s="92"/>
      <c r="F46" s="322"/>
      <c r="G46" s="94"/>
      <c r="H46" s="95"/>
      <c r="I46" s="159"/>
      <c r="J46" s="108"/>
      <c r="K46" s="109"/>
    </row>
    <row r="47" spans="1:11">
      <c r="A47" s="359"/>
      <c r="B47" s="345"/>
      <c r="C47" s="346"/>
      <c r="D47" s="347"/>
      <c r="E47" s="346"/>
      <c r="F47" s="348"/>
      <c r="G47" s="349"/>
      <c r="H47" s="350"/>
      <c r="I47" s="351"/>
      <c r="J47" s="433"/>
      <c r="K47" s="434"/>
    </row>
    <row r="48" spans="1:11">
      <c r="A48" s="90"/>
      <c r="B48" s="91"/>
      <c r="C48" s="92"/>
      <c r="D48" s="93"/>
      <c r="E48" s="92"/>
      <c r="F48" s="322"/>
      <c r="G48" s="94"/>
      <c r="H48" s="95"/>
      <c r="I48" s="159"/>
      <c r="J48" s="108"/>
      <c r="K48" s="109"/>
    </row>
    <row r="49" spans="1:11">
      <c r="A49" s="90"/>
      <c r="B49" s="91"/>
      <c r="C49" s="92"/>
      <c r="D49" s="93"/>
      <c r="E49" s="92"/>
      <c r="F49" s="322"/>
      <c r="G49" s="94"/>
      <c r="H49" s="95"/>
      <c r="I49" s="159"/>
      <c r="J49" s="108"/>
      <c r="K49" s="109"/>
    </row>
    <row r="50" spans="1:11">
      <c r="A50" s="90"/>
      <c r="B50" s="91"/>
      <c r="C50" s="92"/>
      <c r="D50" s="93"/>
      <c r="E50" s="92"/>
      <c r="F50" s="322"/>
      <c r="G50" s="94"/>
      <c r="H50" s="95"/>
      <c r="I50" s="159"/>
      <c r="J50" s="108"/>
      <c r="K50" s="109"/>
    </row>
    <row r="51" spans="1:11">
      <c r="A51" s="238"/>
      <c r="B51" s="239"/>
      <c r="C51" s="240"/>
      <c r="D51" s="241"/>
      <c r="E51" s="240"/>
      <c r="F51" s="323"/>
      <c r="G51" s="243"/>
      <c r="H51" s="244"/>
      <c r="I51" s="245"/>
      <c r="J51" s="263"/>
      <c r="K51" s="264"/>
    </row>
    <row r="52" spans="1:11">
      <c r="A52" s="90"/>
      <c r="B52" s="91"/>
      <c r="C52" s="92"/>
      <c r="D52" s="93"/>
      <c r="E52" s="92"/>
      <c r="F52" s="322"/>
      <c r="G52" s="94"/>
      <c r="H52" s="95"/>
      <c r="I52" s="159"/>
      <c r="J52" s="108"/>
      <c r="K52" s="109"/>
    </row>
    <row r="53" spans="1:11">
      <c r="A53" s="90"/>
      <c r="B53" s="91"/>
      <c r="C53" s="92" t="s">
        <v>1394</v>
      </c>
      <c r="D53" s="93"/>
      <c r="E53" s="92"/>
      <c r="F53" s="322"/>
      <c r="G53" s="94"/>
      <c r="H53" s="95"/>
      <c r="I53" s="159"/>
      <c r="J53" s="108"/>
      <c r="K53" s="109"/>
    </row>
    <row r="54" spans="1:11" ht="19.5">
      <c r="A54" s="673"/>
      <c r="B54" s="674"/>
      <c r="C54" s="674"/>
      <c r="D54" s="674"/>
      <c r="E54" s="674"/>
      <c r="F54" s="338">
        <f>SUM(F2:F38)</f>
        <v>53398.030000000006</v>
      </c>
      <c r="G54" s="143"/>
      <c r="H54" s="129">
        <f>SUM(H2:H53)</f>
        <v>5632.61</v>
      </c>
      <c r="I54" s="107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K54"/>
  <sheetViews>
    <sheetView topLeftCell="A4" zoomScale="85" zoomScaleNormal="85" workbookViewId="0">
      <selection activeCell="C11" sqref="C11"/>
    </sheetView>
  </sheetViews>
  <sheetFormatPr defaultRowHeight="15"/>
  <cols>
    <col min="1" max="1" width="16.42578125" bestFit="1" customWidth="1"/>
    <col min="2" max="2" width="11.5703125" bestFit="1" customWidth="1"/>
    <col min="3" max="3" width="42.42578125" bestFit="1" customWidth="1"/>
    <col min="4" max="4" width="18.28515625" bestFit="1" customWidth="1"/>
    <col min="5" max="5" width="14.140625" bestFit="1" customWidth="1"/>
    <col min="6" max="6" width="19.28515625" bestFit="1" customWidth="1"/>
    <col min="8" max="8" width="22.5703125" bestFit="1" customWidth="1"/>
    <col min="9" max="9" width="21" bestFit="1" customWidth="1"/>
  </cols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359">
        <v>43980</v>
      </c>
      <c r="B2" s="345">
        <v>44348</v>
      </c>
      <c r="C2" s="566" t="s">
        <v>1395</v>
      </c>
      <c r="D2" s="347" t="s">
        <v>21</v>
      </c>
      <c r="E2" s="346" t="s">
        <v>1310</v>
      </c>
      <c r="F2" s="348">
        <v>932.35</v>
      </c>
      <c r="G2" s="349">
        <v>0.1</v>
      </c>
      <c r="H2" s="350">
        <v>85.77</v>
      </c>
      <c r="I2" s="351">
        <v>42.88</v>
      </c>
      <c r="J2" s="433" t="s">
        <v>1396</v>
      </c>
      <c r="K2" s="434"/>
    </row>
    <row r="3" spans="1:11">
      <c r="A3" s="483">
        <v>43984</v>
      </c>
      <c r="B3" s="484">
        <v>43986</v>
      </c>
      <c r="C3" s="585" t="s">
        <v>1397</v>
      </c>
      <c r="D3" s="1547" t="s">
        <v>376</v>
      </c>
      <c r="E3" s="436" t="s">
        <v>10</v>
      </c>
      <c r="F3" s="485">
        <v>861.58</v>
      </c>
      <c r="G3" s="486">
        <v>0.1</v>
      </c>
      <c r="H3" s="487">
        <v>79.260000000000005</v>
      </c>
      <c r="I3" s="488"/>
      <c r="J3" s="443"/>
      <c r="K3" s="444"/>
    </row>
    <row r="4" spans="1:11">
      <c r="A4" s="287">
        <v>43985</v>
      </c>
      <c r="B4" s="288">
        <v>44355</v>
      </c>
      <c r="C4" s="414" t="s">
        <v>1398</v>
      </c>
      <c r="D4" s="289" t="s">
        <v>9</v>
      </c>
      <c r="E4" s="290" t="s">
        <v>1080</v>
      </c>
      <c r="F4" s="337">
        <v>1409.14</v>
      </c>
      <c r="G4" s="292">
        <v>0.1</v>
      </c>
      <c r="H4" s="293">
        <v>129.63999999999999</v>
      </c>
      <c r="I4" s="294"/>
      <c r="J4" s="443"/>
      <c r="K4" s="444"/>
    </row>
    <row r="5" spans="1:11">
      <c r="A5" s="510">
        <v>43985</v>
      </c>
      <c r="B5" s="511">
        <v>44350</v>
      </c>
      <c r="C5" s="778" t="s">
        <v>1399</v>
      </c>
      <c r="D5" s="513" t="s">
        <v>448</v>
      </c>
      <c r="E5" s="512" t="s">
        <v>19</v>
      </c>
      <c r="F5" s="514">
        <v>1212.72</v>
      </c>
      <c r="G5" s="515">
        <v>0.1</v>
      </c>
      <c r="H5" s="516">
        <v>111.57</v>
      </c>
      <c r="I5" s="517">
        <v>55.78</v>
      </c>
      <c r="J5" s="707" t="s">
        <v>491</v>
      </c>
      <c r="K5" s="708"/>
    </row>
    <row r="6" spans="1:11">
      <c r="A6" s="510">
        <v>43986</v>
      </c>
      <c r="B6" s="511">
        <v>44351</v>
      </c>
      <c r="C6" s="414" t="s">
        <v>1400</v>
      </c>
      <c r="D6" s="513" t="s">
        <v>448</v>
      </c>
      <c r="E6" s="518" t="s">
        <v>1080</v>
      </c>
      <c r="F6" s="519">
        <v>863.38</v>
      </c>
      <c r="G6" s="520">
        <v>0.15</v>
      </c>
      <c r="H6" s="516">
        <v>119.14</v>
      </c>
      <c r="I6" s="517">
        <v>59.57</v>
      </c>
      <c r="J6" s="707" t="s">
        <v>491</v>
      </c>
      <c r="K6" s="708"/>
    </row>
    <row r="7" spans="1:11">
      <c r="A7" s="359">
        <v>43987</v>
      </c>
      <c r="B7" s="345">
        <v>44361</v>
      </c>
      <c r="C7" s="566" t="s">
        <v>1401</v>
      </c>
      <c r="D7" s="347" t="s">
        <v>25</v>
      </c>
      <c r="E7" s="346" t="s">
        <v>19</v>
      </c>
      <c r="F7" s="348">
        <v>1183.55</v>
      </c>
      <c r="G7" s="349">
        <v>0.1</v>
      </c>
      <c r="H7" s="350">
        <v>108.88</v>
      </c>
      <c r="I7" s="351"/>
      <c r="J7" s="433"/>
      <c r="K7" s="434"/>
    </row>
    <row r="8" spans="1:11">
      <c r="A8" s="359">
        <v>43987</v>
      </c>
      <c r="B8" s="345">
        <v>44354</v>
      </c>
      <c r="C8" s="566" t="s">
        <v>1402</v>
      </c>
      <c r="D8" s="347" t="s">
        <v>9</v>
      </c>
      <c r="E8" s="346" t="s">
        <v>19</v>
      </c>
      <c r="F8" s="348">
        <v>2065.5300000000002</v>
      </c>
      <c r="G8" s="349">
        <v>0.1</v>
      </c>
      <c r="H8" s="350">
        <v>190.02</v>
      </c>
      <c r="I8" s="351"/>
      <c r="J8" s="433"/>
      <c r="K8" s="434"/>
    </row>
    <row r="9" spans="1:11">
      <c r="A9" s="287">
        <v>43990</v>
      </c>
      <c r="B9" s="288"/>
      <c r="C9" s="290" t="s">
        <v>1294</v>
      </c>
      <c r="D9" s="289" t="s">
        <v>70</v>
      </c>
      <c r="E9" s="290" t="s">
        <v>1080</v>
      </c>
      <c r="F9" s="337">
        <v>126.28</v>
      </c>
      <c r="G9" s="292">
        <v>0.1</v>
      </c>
      <c r="H9" s="293">
        <v>11.61</v>
      </c>
      <c r="I9" s="294"/>
      <c r="J9" s="699"/>
      <c r="K9" s="700"/>
    </row>
    <row r="10" spans="1:11">
      <c r="A10" s="287">
        <v>43991</v>
      </c>
      <c r="B10" s="288">
        <v>44360</v>
      </c>
      <c r="C10" s="566" t="s">
        <v>1403</v>
      </c>
      <c r="D10" s="289" t="s">
        <v>21</v>
      </c>
      <c r="E10" s="290" t="s">
        <v>362</v>
      </c>
      <c r="F10" s="337">
        <v>1279.6500000000001</v>
      </c>
      <c r="G10" s="292">
        <v>0.1</v>
      </c>
      <c r="H10" s="293">
        <v>117.72</v>
      </c>
      <c r="I10" s="489"/>
      <c r="J10" s="504"/>
      <c r="K10" s="504"/>
    </row>
    <row r="11" spans="1:11">
      <c r="A11" s="287">
        <v>43991</v>
      </c>
      <c r="B11" s="288">
        <v>43998</v>
      </c>
      <c r="C11" s="566" t="s">
        <v>1404</v>
      </c>
      <c r="D11" s="289" t="s">
        <v>25</v>
      </c>
      <c r="E11" s="290" t="s">
        <v>19</v>
      </c>
      <c r="F11" s="337">
        <v>1870.4</v>
      </c>
      <c r="G11" s="292">
        <v>0.1</v>
      </c>
      <c r="H11" s="293">
        <v>172.07</v>
      </c>
      <c r="I11" s="294"/>
      <c r="J11" s="699"/>
      <c r="K11" s="700"/>
    </row>
    <row r="12" spans="1:11">
      <c r="A12" s="287">
        <v>43994</v>
      </c>
      <c r="B12" s="288">
        <v>44356</v>
      </c>
      <c r="C12" s="566" t="s">
        <v>1405</v>
      </c>
      <c r="D12" s="289" t="s">
        <v>14</v>
      </c>
      <c r="E12" s="290" t="s">
        <v>362</v>
      </c>
      <c r="F12" s="337">
        <v>831</v>
      </c>
      <c r="G12" s="292">
        <v>0.1</v>
      </c>
      <c r="H12" s="293">
        <v>76.45</v>
      </c>
      <c r="I12" s="294"/>
      <c r="J12" s="443"/>
      <c r="K12" s="444"/>
    </row>
    <row r="13" spans="1:11">
      <c r="A13" s="287">
        <v>43997</v>
      </c>
      <c r="B13" s="288">
        <v>44362</v>
      </c>
      <c r="C13" s="566" t="s">
        <v>939</v>
      </c>
      <c r="D13" s="289" t="s">
        <v>14</v>
      </c>
      <c r="E13" s="290" t="s">
        <v>22</v>
      </c>
      <c r="F13" s="337">
        <v>1128.92</v>
      </c>
      <c r="G13" s="292">
        <v>0.1</v>
      </c>
      <c r="H13" s="293">
        <v>103.86</v>
      </c>
      <c r="I13" s="294"/>
      <c r="J13" s="443"/>
      <c r="K13" s="444"/>
    </row>
    <row r="14" spans="1:11">
      <c r="A14" s="523">
        <v>43997</v>
      </c>
      <c r="B14" s="524">
        <v>44362</v>
      </c>
      <c r="C14" s="565" t="s">
        <v>1406</v>
      </c>
      <c r="D14" s="526" t="s">
        <v>376</v>
      </c>
      <c r="E14" s="525" t="s">
        <v>10</v>
      </c>
      <c r="F14" s="527">
        <v>1456.86</v>
      </c>
      <c r="G14" s="528">
        <v>0.15</v>
      </c>
      <c r="H14" s="529">
        <v>201.04</v>
      </c>
      <c r="I14" s="530">
        <v>100.52</v>
      </c>
      <c r="J14" s="709" t="s">
        <v>491</v>
      </c>
      <c r="K14" s="710"/>
    </row>
    <row r="15" spans="1:11">
      <c r="A15" s="287">
        <v>43997</v>
      </c>
      <c r="B15" s="288">
        <v>44362</v>
      </c>
      <c r="C15" s="566" t="s">
        <v>1407</v>
      </c>
      <c r="D15" s="289" t="s">
        <v>9</v>
      </c>
      <c r="E15" s="290" t="s">
        <v>10</v>
      </c>
      <c r="F15" s="337">
        <v>1353.05</v>
      </c>
      <c r="G15" s="292">
        <v>0.16</v>
      </c>
      <c r="H15" s="293">
        <v>199.16</v>
      </c>
      <c r="I15" s="294">
        <v>99.58</v>
      </c>
      <c r="J15" s="443" t="s">
        <v>491</v>
      </c>
      <c r="K15" s="444"/>
    </row>
    <row r="16" spans="1:11">
      <c r="A16" s="255">
        <v>43997</v>
      </c>
      <c r="B16" s="256">
        <v>44364</v>
      </c>
      <c r="C16" s="412" t="s">
        <v>1408</v>
      </c>
      <c r="D16" s="258" t="s">
        <v>9</v>
      </c>
      <c r="E16" s="257" t="s">
        <v>29</v>
      </c>
      <c r="F16" s="321">
        <v>1132.9000000000001</v>
      </c>
      <c r="G16" s="260">
        <v>0.1</v>
      </c>
      <c r="H16" s="261">
        <v>104.22</v>
      </c>
      <c r="I16" s="262" t="s">
        <v>1409</v>
      </c>
      <c r="J16" s="307"/>
      <c r="K16" s="308"/>
    </row>
    <row r="17" spans="1:11">
      <c r="A17" s="359">
        <v>43998</v>
      </c>
      <c r="B17" s="345">
        <v>44363</v>
      </c>
      <c r="C17" s="135" t="s">
        <v>1410</v>
      </c>
      <c r="D17" s="347" t="s">
        <v>9</v>
      </c>
      <c r="E17" s="346" t="s">
        <v>143</v>
      </c>
      <c r="F17" s="348">
        <v>3718.52</v>
      </c>
      <c r="G17" s="349">
        <v>0.1</v>
      </c>
      <c r="H17" s="350">
        <v>342.1</v>
      </c>
      <c r="I17" s="549" t="s">
        <v>1411</v>
      </c>
      <c r="J17" s="410"/>
      <c r="K17" s="411"/>
    </row>
    <row r="18" spans="1:11">
      <c r="A18" s="238">
        <v>44000</v>
      </c>
      <c r="B18" s="239">
        <v>44373</v>
      </c>
      <c r="C18" s="794" t="s">
        <v>1412</v>
      </c>
      <c r="D18" s="241" t="s">
        <v>21</v>
      </c>
      <c r="E18" s="240" t="s">
        <v>10</v>
      </c>
      <c r="F18" s="323">
        <v>1288.44</v>
      </c>
      <c r="G18" s="243">
        <v>0.1</v>
      </c>
      <c r="H18" s="244">
        <v>118.53</v>
      </c>
      <c r="I18" s="245" t="s">
        <v>1409</v>
      </c>
      <c r="J18" s="273"/>
      <c r="K18" s="274"/>
    </row>
    <row r="19" spans="1:11">
      <c r="A19" s="359">
        <v>44000</v>
      </c>
      <c r="B19" s="345">
        <v>44370</v>
      </c>
      <c r="C19" s="566" t="s">
        <v>1413</v>
      </c>
      <c r="D19" s="347" t="s">
        <v>9</v>
      </c>
      <c r="E19" s="346" t="s">
        <v>22</v>
      </c>
      <c r="F19" s="348">
        <v>1679.84</v>
      </c>
      <c r="G19" s="349">
        <v>0.1</v>
      </c>
      <c r="H19" s="350">
        <v>154.54</v>
      </c>
      <c r="I19" s="351"/>
      <c r="J19" s="433"/>
      <c r="K19" s="434"/>
    </row>
    <row r="20" spans="1:11">
      <c r="A20" s="359">
        <v>44001</v>
      </c>
      <c r="B20" s="459">
        <v>44368</v>
      </c>
      <c r="C20" s="795" t="s">
        <v>949</v>
      </c>
      <c r="D20" s="347" t="s">
        <v>9</v>
      </c>
      <c r="E20" s="346" t="s">
        <v>1310</v>
      </c>
      <c r="F20" s="348">
        <v>1616.95</v>
      </c>
      <c r="G20" s="349">
        <v>0.1</v>
      </c>
      <c r="H20" s="350">
        <v>148.75</v>
      </c>
      <c r="I20" s="351"/>
      <c r="J20" s="433"/>
      <c r="K20" s="434"/>
    </row>
    <row r="21" spans="1:11">
      <c r="A21" s="359">
        <v>44001</v>
      </c>
      <c r="B21" s="490">
        <v>44367</v>
      </c>
      <c r="C21" s="446" t="s">
        <v>941</v>
      </c>
      <c r="D21" s="347" t="s">
        <v>9</v>
      </c>
      <c r="E21" s="346" t="s">
        <v>10</v>
      </c>
      <c r="F21" s="348">
        <v>764.68</v>
      </c>
      <c r="G21" s="349">
        <v>0.15</v>
      </c>
      <c r="H21" s="350">
        <v>105.52</v>
      </c>
      <c r="I21" s="351"/>
      <c r="J21" s="410"/>
      <c r="K21" s="411"/>
    </row>
    <row r="22" spans="1:11">
      <c r="A22" s="238">
        <v>44001</v>
      </c>
      <c r="B22" s="239">
        <v>44366</v>
      </c>
      <c r="C22" s="412" t="s">
        <v>1414</v>
      </c>
      <c r="D22" s="241" t="s">
        <v>70</v>
      </c>
      <c r="E22" s="240" t="s">
        <v>1080</v>
      </c>
      <c r="F22" s="323">
        <v>687.5</v>
      </c>
      <c r="G22" s="243">
        <v>0.1</v>
      </c>
      <c r="H22" s="244">
        <v>63.25</v>
      </c>
      <c r="I22" s="245" t="s">
        <v>1409</v>
      </c>
      <c r="J22" s="263"/>
      <c r="K22" s="264"/>
    </row>
    <row r="23" spans="1:11">
      <c r="A23" s="238">
        <v>44001</v>
      </c>
      <c r="B23" s="239">
        <v>44368</v>
      </c>
      <c r="C23" s="412" t="s">
        <v>1415</v>
      </c>
      <c r="D23" s="241" t="s">
        <v>198</v>
      </c>
      <c r="E23" s="240" t="s">
        <v>22</v>
      </c>
      <c r="F23" s="323">
        <v>1537.93</v>
      </c>
      <c r="G23" s="243">
        <v>0.15</v>
      </c>
      <c r="H23" s="244">
        <v>212.23</v>
      </c>
      <c r="I23" s="245" t="s">
        <v>1409</v>
      </c>
      <c r="J23" s="273"/>
      <c r="K23" s="274"/>
    </row>
    <row r="24" spans="1:11">
      <c r="A24" s="359">
        <v>44004</v>
      </c>
      <c r="B24" s="345">
        <v>44369</v>
      </c>
      <c r="C24" s="566" t="s">
        <v>947</v>
      </c>
      <c r="D24" s="347" t="s">
        <v>25</v>
      </c>
      <c r="E24" s="346" t="s">
        <v>438</v>
      </c>
      <c r="F24" s="348">
        <v>1625.35</v>
      </c>
      <c r="G24" s="349">
        <v>0.1</v>
      </c>
      <c r="H24" s="350">
        <v>149.53</v>
      </c>
      <c r="I24" s="351"/>
      <c r="J24" s="410"/>
      <c r="K24" s="411"/>
    </row>
    <row r="25" spans="1:11">
      <c r="A25" s="427">
        <v>44005</v>
      </c>
      <c r="B25" s="427">
        <v>44371</v>
      </c>
      <c r="C25" s="440" t="s">
        <v>1416</v>
      </c>
      <c r="D25" s="428" t="s">
        <v>21</v>
      </c>
      <c r="E25" s="363" t="s">
        <v>22</v>
      </c>
      <c r="F25" s="429">
        <v>1805.06</v>
      </c>
      <c r="G25" s="430">
        <v>0.1</v>
      </c>
      <c r="H25" s="431">
        <v>166.06</v>
      </c>
      <c r="I25" s="432" t="s">
        <v>1409</v>
      </c>
      <c r="J25" s="263"/>
      <c r="K25" s="264"/>
    </row>
    <row r="26" spans="1:11">
      <c r="A26" s="491">
        <v>44006</v>
      </c>
      <c r="B26" s="492">
        <v>44375</v>
      </c>
      <c r="C26" s="796" t="s">
        <v>1417</v>
      </c>
      <c r="D26" s="494" t="s">
        <v>9</v>
      </c>
      <c r="E26" s="493" t="s">
        <v>19</v>
      </c>
      <c r="F26" s="495">
        <v>835.13</v>
      </c>
      <c r="G26" s="496">
        <v>0.1</v>
      </c>
      <c r="H26" s="497">
        <v>76.83</v>
      </c>
      <c r="I26" s="498"/>
      <c r="J26" s="499"/>
      <c r="K26" s="500"/>
    </row>
    <row r="27" spans="1:11">
      <c r="A27" s="359">
        <v>44004</v>
      </c>
      <c r="B27" s="345">
        <v>44369</v>
      </c>
      <c r="C27" s="584" t="s">
        <v>733</v>
      </c>
      <c r="D27" s="347" t="s">
        <v>61</v>
      </c>
      <c r="E27" s="346" t="s">
        <v>75</v>
      </c>
      <c r="F27" s="348">
        <v>610.48</v>
      </c>
      <c r="G27" s="349">
        <v>0.1</v>
      </c>
      <c r="H27" s="502">
        <v>56.16</v>
      </c>
      <c r="I27" s="351"/>
      <c r="J27" s="433"/>
      <c r="K27" s="434"/>
    </row>
    <row r="28" spans="1:11">
      <c r="A28" s="359">
        <v>44006</v>
      </c>
      <c r="B28" s="345">
        <v>44230</v>
      </c>
      <c r="C28" s="746" t="s">
        <v>1418</v>
      </c>
      <c r="D28" s="347" t="s">
        <v>25</v>
      </c>
      <c r="E28" s="346" t="s">
        <v>1310</v>
      </c>
      <c r="F28" s="348">
        <v>85.61</v>
      </c>
      <c r="G28" s="349">
        <v>0.1</v>
      </c>
      <c r="H28" s="350">
        <v>7.87</v>
      </c>
      <c r="I28" s="351"/>
      <c r="J28" s="433"/>
      <c r="K28" s="434"/>
    </row>
    <row r="29" spans="1:11">
      <c r="A29" s="359">
        <v>44007</v>
      </c>
      <c r="B29" s="345">
        <v>44372</v>
      </c>
      <c r="C29" s="414" t="s">
        <v>1419</v>
      </c>
      <c r="D29" s="347" t="s">
        <v>9</v>
      </c>
      <c r="E29" s="346" t="s">
        <v>945</v>
      </c>
      <c r="F29" s="348">
        <v>1467.4</v>
      </c>
      <c r="G29" s="349">
        <v>0.1</v>
      </c>
      <c r="H29" s="350">
        <v>135</v>
      </c>
      <c r="I29" s="351"/>
      <c r="J29" s="410"/>
      <c r="K29" s="411"/>
    </row>
    <row r="30" spans="1:11">
      <c r="A30" s="359">
        <v>44007</v>
      </c>
      <c r="B30" s="345">
        <v>44373</v>
      </c>
      <c r="C30" s="566" t="s">
        <v>1420</v>
      </c>
      <c r="D30" s="347" t="s">
        <v>9</v>
      </c>
      <c r="E30" s="346" t="s">
        <v>945</v>
      </c>
      <c r="F30" s="348">
        <v>1153.07</v>
      </c>
      <c r="G30" s="349">
        <v>0.1</v>
      </c>
      <c r="H30" s="350">
        <v>106.08</v>
      </c>
      <c r="I30" s="351"/>
      <c r="J30" s="433"/>
      <c r="K30" s="434"/>
    </row>
    <row r="31" spans="1:11">
      <c r="A31" s="532">
        <v>44008</v>
      </c>
      <c r="B31" s="533">
        <v>44374</v>
      </c>
      <c r="C31" s="414" t="s">
        <v>951</v>
      </c>
      <c r="D31" s="534"/>
      <c r="E31" s="414"/>
      <c r="F31" s="535"/>
      <c r="G31" s="536"/>
      <c r="H31" s="537"/>
      <c r="I31" s="538"/>
      <c r="J31" s="711"/>
      <c r="K31" s="712"/>
    </row>
    <row r="32" spans="1:11">
      <c r="A32" s="359">
        <v>44011</v>
      </c>
      <c r="B32" s="345">
        <v>44376</v>
      </c>
      <c r="C32" s="566" t="s">
        <v>953</v>
      </c>
      <c r="D32" s="347" t="s">
        <v>21</v>
      </c>
      <c r="E32" s="346" t="s">
        <v>391</v>
      </c>
      <c r="F32" s="348">
        <v>1434.65</v>
      </c>
      <c r="G32" s="349">
        <v>0.15</v>
      </c>
      <c r="H32" s="350">
        <v>197.98</v>
      </c>
      <c r="I32" s="351"/>
      <c r="J32" s="433"/>
      <c r="K32" s="434"/>
    </row>
    <row r="33" spans="1:11">
      <c r="A33" s="312">
        <v>44011</v>
      </c>
      <c r="B33" s="313">
        <v>44376</v>
      </c>
      <c r="C33" s="797" t="s">
        <v>952</v>
      </c>
      <c r="D33" s="315" t="s">
        <v>14</v>
      </c>
      <c r="E33" s="314" t="s">
        <v>391</v>
      </c>
      <c r="F33" s="324">
        <v>1111.3699999999999</v>
      </c>
      <c r="G33" s="316">
        <v>0.25</v>
      </c>
      <c r="H33" s="317">
        <v>255.61</v>
      </c>
      <c r="I33" s="318"/>
      <c r="J33" s="410"/>
      <c r="K33" s="411"/>
    </row>
    <row r="34" spans="1:11">
      <c r="A34" s="465">
        <v>44012</v>
      </c>
      <c r="B34" s="466">
        <v>44377</v>
      </c>
      <c r="C34" s="781" t="s">
        <v>1421</v>
      </c>
      <c r="D34" s="467" t="s">
        <v>14</v>
      </c>
      <c r="E34" s="464" t="s">
        <v>90</v>
      </c>
      <c r="F34" s="468">
        <v>3425.74</v>
      </c>
      <c r="G34" s="469">
        <v>0.15</v>
      </c>
      <c r="H34" s="470">
        <v>472.75</v>
      </c>
      <c r="I34" s="471">
        <v>236.37</v>
      </c>
      <c r="J34" s="705" t="s">
        <v>1422</v>
      </c>
      <c r="K34" s="706"/>
    </row>
    <row r="35" spans="1:11">
      <c r="A35" s="359"/>
      <c r="B35" s="345"/>
      <c r="C35" s="346"/>
      <c r="D35" s="347"/>
      <c r="E35" s="346"/>
      <c r="F35" s="348"/>
      <c r="G35" s="349"/>
      <c r="H35" s="350"/>
      <c r="I35" s="351"/>
      <c r="J35" s="410"/>
      <c r="K35" s="411"/>
    </row>
    <row r="36" spans="1:11">
      <c r="A36" s="459"/>
      <c r="B36" s="459"/>
      <c r="C36" s="458"/>
      <c r="D36" s="1546"/>
      <c r="E36" s="458"/>
      <c r="F36" s="460"/>
      <c r="G36" s="461"/>
      <c r="H36" s="462"/>
      <c r="I36" s="482"/>
      <c r="J36" s="433"/>
      <c r="K36" s="434"/>
    </row>
    <row r="37" spans="1:11">
      <c r="A37" s="503"/>
      <c r="B37" s="503"/>
      <c r="C37" s="458"/>
      <c r="D37" s="504"/>
      <c r="E37" s="505"/>
      <c r="F37" s="506"/>
      <c r="G37" s="507"/>
      <c r="H37" s="506"/>
      <c r="I37" s="482"/>
      <c r="J37" s="433"/>
      <c r="K37" s="434"/>
    </row>
    <row r="38" spans="1:11">
      <c r="A38" s="459"/>
      <c r="B38" s="459"/>
      <c r="C38" s="458"/>
      <c r="D38" s="1546"/>
      <c r="E38" s="458"/>
      <c r="F38" s="508"/>
      <c r="G38" s="461"/>
      <c r="H38" s="508"/>
      <c r="I38" s="482"/>
      <c r="J38" s="1528"/>
      <c r="K38" s="1529"/>
    </row>
    <row r="39" spans="1:11">
      <c r="A39" s="329"/>
      <c r="B39" s="329"/>
      <c r="C39" s="329"/>
      <c r="D39" s="162"/>
      <c r="E39" s="329"/>
      <c r="F39" s="329"/>
      <c r="G39" s="329"/>
      <c r="H39" s="329"/>
      <c r="I39" s="448"/>
      <c r="J39" s="108"/>
      <c r="K39" s="109"/>
    </row>
    <row r="40" spans="1:11">
      <c r="A40" s="90"/>
      <c r="B40" s="91"/>
      <c r="C40" s="92"/>
      <c r="D40" s="93"/>
      <c r="E40" s="92"/>
      <c r="F40" s="322"/>
      <c r="G40" s="94"/>
      <c r="H40" s="95"/>
      <c r="I40" s="159"/>
      <c r="J40" s="406"/>
      <c r="K40" s="407"/>
    </row>
    <row r="41" spans="1:11">
      <c r="A41" s="90"/>
      <c r="B41" s="91"/>
      <c r="C41" s="92"/>
      <c r="D41" s="93"/>
      <c r="E41" s="92"/>
      <c r="F41" s="322"/>
      <c r="G41" s="94"/>
      <c r="H41" s="95"/>
      <c r="I41" s="159"/>
      <c r="J41" s="108"/>
      <c r="K41" s="109"/>
    </row>
    <row r="42" spans="1:11">
      <c r="A42" s="90"/>
      <c r="B42" s="91"/>
      <c r="C42" s="92"/>
      <c r="D42" s="93"/>
      <c r="E42" s="92"/>
      <c r="F42" s="322"/>
      <c r="G42" s="94"/>
      <c r="H42" s="95"/>
      <c r="I42" s="159"/>
      <c r="J42" s="108"/>
      <c r="K42" s="109"/>
    </row>
    <row r="43" spans="1:11">
      <c r="A43" s="238"/>
      <c r="B43" s="239"/>
      <c r="C43" s="240"/>
      <c r="D43" s="241"/>
      <c r="E43" s="240"/>
      <c r="F43" s="323"/>
      <c r="G43" s="243"/>
      <c r="H43" s="244"/>
      <c r="I43" s="245"/>
      <c r="J43" s="263"/>
      <c r="K43" s="264"/>
    </row>
    <row r="44" spans="1:11">
      <c r="A44" s="90"/>
      <c r="B44" s="91"/>
      <c r="C44" s="92"/>
      <c r="D44" s="93"/>
      <c r="E44" s="92"/>
      <c r="F44" s="322"/>
      <c r="G44" s="94"/>
      <c r="H44" s="95"/>
      <c r="I44" s="159"/>
      <c r="J44" s="108"/>
      <c r="K44" s="109"/>
    </row>
    <row r="45" spans="1:11">
      <c r="A45" s="359"/>
      <c r="B45" s="345"/>
      <c r="C45" s="346"/>
      <c r="D45" s="347"/>
      <c r="E45" s="346"/>
      <c r="F45" s="348"/>
      <c r="G45" s="349"/>
      <c r="H45" s="350"/>
      <c r="I45" s="351"/>
      <c r="J45" s="433"/>
      <c r="K45" s="434"/>
    </row>
    <row r="46" spans="1:11">
      <c r="A46" s="90"/>
      <c r="B46" s="91"/>
      <c r="C46" s="92"/>
      <c r="D46" s="93"/>
      <c r="E46" s="92"/>
      <c r="F46" s="322"/>
      <c r="G46" s="94"/>
      <c r="H46" s="95"/>
      <c r="I46" s="159"/>
      <c r="J46" s="108"/>
      <c r="K46" s="109"/>
    </row>
    <row r="47" spans="1:11">
      <c r="A47" s="359"/>
      <c r="B47" s="345"/>
      <c r="C47" s="346"/>
      <c r="D47" s="347"/>
      <c r="E47" s="346"/>
      <c r="F47" s="348"/>
      <c r="G47" s="349"/>
      <c r="H47" s="350"/>
      <c r="I47" s="351"/>
      <c r="J47" s="433"/>
      <c r="K47" s="434"/>
    </row>
    <row r="48" spans="1:11">
      <c r="A48" s="90"/>
      <c r="B48" s="91"/>
      <c r="C48" s="92"/>
      <c r="D48" s="93"/>
      <c r="E48" s="92"/>
      <c r="F48" s="322"/>
      <c r="G48" s="94"/>
      <c r="H48" s="95"/>
      <c r="I48" s="159"/>
      <c r="J48" s="108"/>
      <c r="K48" s="109"/>
    </row>
    <row r="49" spans="1:11">
      <c r="A49" s="90"/>
      <c r="B49" s="91"/>
      <c r="C49" s="92"/>
      <c r="D49" s="93"/>
      <c r="E49" s="92"/>
      <c r="F49" s="322"/>
      <c r="G49" s="94"/>
      <c r="H49" s="95"/>
      <c r="I49" s="159"/>
      <c r="J49" s="108"/>
      <c r="K49" s="109"/>
    </row>
    <row r="50" spans="1:11">
      <c r="A50" s="90"/>
      <c r="B50" s="91"/>
      <c r="C50" s="92"/>
      <c r="D50" s="93"/>
      <c r="E50" s="92"/>
      <c r="F50" s="322"/>
      <c r="G50" s="94"/>
      <c r="H50" s="95"/>
      <c r="I50" s="159"/>
      <c r="J50" s="108"/>
      <c r="K50" s="109"/>
    </row>
    <row r="51" spans="1:11">
      <c r="A51" s="238"/>
      <c r="B51" s="239"/>
      <c r="C51" s="240"/>
      <c r="D51" s="241"/>
      <c r="E51" s="240"/>
      <c r="F51" s="323"/>
      <c r="G51" s="243"/>
      <c r="H51" s="244"/>
      <c r="I51" s="245"/>
      <c r="J51" s="263"/>
      <c r="K51" s="264"/>
    </row>
    <row r="52" spans="1:11">
      <c r="A52" s="90"/>
      <c r="B52" s="91"/>
      <c r="C52" s="92"/>
      <c r="D52" s="93"/>
      <c r="E52" s="92"/>
      <c r="F52" s="322"/>
      <c r="G52" s="94"/>
      <c r="H52" s="95"/>
      <c r="I52" s="159"/>
      <c r="J52" s="108"/>
      <c r="K52" s="109"/>
    </row>
    <row r="53" spans="1:11">
      <c r="A53" s="90"/>
      <c r="B53" s="91"/>
      <c r="C53" s="92"/>
      <c r="D53" s="93"/>
      <c r="E53" s="92"/>
      <c r="F53" s="322"/>
      <c r="G53" s="94"/>
      <c r="H53" s="95"/>
      <c r="I53" s="159"/>
      <c r="J53" s="108"/>
      <c r="K53" s="109"/>
    </row>
    <row r="54" spans="1:11" ht="19.5">
      <c r="A54" s="673"/>
      <c r="B54" s="674"/>
      <c r="C54" s="674"/>
      <c r="D54" s="674"/>
      <c r="E54" s="674"/>
      <c r="F54" s="338">
        <f>SUM(F2:F34)</f>
        <v>42555.030000000006</v>
      </c>
      <c r="G54" s="143"/>
      <c r="H54" s="129">
        <f>SUM(H2:H53)</f>
        <v>4579.2</v>
      </c>
      <c r="I54" s="107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K54"/>
  <sheetViews>
    <sheetView topLeftCell="A22" zoomScale="85" zoomScaleNormal="85" workbookViewId="0">
      <selection activeCell="C46" sqref="C46"/>
    </sheetView>
  </sheetViews>
  <sheetFormatPr defaultRowHeight="15"/>
  <cols>
    <col min="1" max="2" width="11.5703125" bestFit="1" customWidth="1"/>
    <col min="3" max="3" width="48.85546875" bestFit="1" customWidth="1"/>
    <col min="4" max="4" width="18.28515625" bestFit="1" customWidth="1"/>
    <col min="5" max="5" width="14.140625" bestFit="1" customWidth="1"/>
    <col min="6" max="6" width="11.140625" bestFit="1" customWidth="1"/>
    <col min="7" max="7" width="9.28515625" bestFit="1" customWidth="1"/>
    <col min="8" max="9" width="10.140625" bestFit="1" customWidth="1"/>
  </cols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359">
        <v>44008</v>
      </c>
      <c r="B2" s="345">
        <v>44382</v>
      </c>
      <c r="C2" s="566" t="s">
        <v>1423</v>
      </c>
      <c r="D2" s="347" t="s">
        <v>9</v>
      </c>
      <c r="E2" s="346" t="s">
        <v>22</v>
      </c>
      <c r="F2" s="348">
        <v>3229.4</v>
      </c>
      <c r="G2" s="349">
        <v>0.25</v>
      </c>
      <c r="H2" s="350">
        <v>724.76</v>
      </c>
      <c r="I2" s="351"/>
      <c r="J2" s="433"/>
      <c r="K2" s="434"/>
    </row>
    <row r="3" spans="1:11">
      <c r="A3" s="483">
        <v>44011</v>
      </c>
      <c r="B3" s="484">
        <v>44014</v>
      </c>
      <c r="C3" s="585" t="s">
        <v>1424</v>
      </c>
      <c r="D3" s="1547" t="s">
        <v>9</v>
      </c>
      <c r="E3" s="436" t="s">
        <v>22</v>
      </c>
      <c r="F3" s="485">
        <v>1071.05</v>
      </c>
      <c r="G3" s="486">
        <v>0.25</v>
      </c>
      <c r="H3" s="487">
        <v>246.34</v>
      </c>
      <c r="I3" s="488"/>
      <c r="J3" s="443"/>
      <c r="K3" s="444"/>
    </row>
    <row r="4" spans="1:11">
      <c r="A4" s="255">
        <v>44011</v>
      </c>
      <c r="B4" s="256">
        <v>44382</v>
      </c>
      <c r="C4" s="412" t="s">
        <v>1425</v>
      </c>
      <c r="D4" s="258" t="s">
        <v>9</v>
      </c>
      <c r="E4" s="257" t="s">
        <v>90</v>
      </c>
      <c r="F4" s="321">
        <v>1306.8699999999999</v>
      </c>
      <c r="G4" s="260">
        <v>0.1</v>
      </c>
      <c r="H4" s="261">
        <v>120.23</v>
      </c>
      <c r="I4" s="262">
        <v>12.02</v>
      </c>
      <c r="J4" s="716" t="s">
        <v>1426</v>
      </c>
      <c r="K4" s="717"/>
    </row>
    <row r="5" spans="1:11">
      <c r="A5" s="510">
        <v>44013</v>
      </c>
      <c r="B5" s="511">
        <v>44380</v>
      </c>
      <c r="C5" s="778" t="s">
        <v>393</v>
      </c>
      <c r="D5" s="513" t="s">
        <v>9</v>
      </c>
      <c r="E5" s="512" t="s">
        <v>19</v>
      </c>
      <c r="F5" s="514">
        <v>686.2</v>
      </c>
      <c r="G5" s="515">
        <v>0.1</v>
      </c>
      <c r="H5" s="516">
        <v>63.13</v>
      </c>
      <c r="I5" s="553" t="s">
        <v>1427</v>
      </c>
      <c r="J5" s="555"/>
      <c r="K5" s="556"/>
    </row>
    <row r="6" spans="1:11">
      <c r="A6" s="255">
        <v>44022</v>
      </c>
      <c r="B6" s="256">
        <v>44387</v>
      </c>
      <c r="C6" s="412" t="s">
        <v>1385</v>
      </c>
      <c r="D6" s="258" t="s">
        <v>9</v>
      </c>
      <c r="E6" s="381" t="s">
        <v>57</v>
      </c>
      <c r="F6" s="416">
        <v>9620.33</v>
      </c>
      <c r="G6" s="415">
        <v>0.1</v>
      </c>
      <c r="H6" s="261">
        <v>885.07</v>
      </c>
      <c r="I6" s="262">
        <v>88.5</v>
      </c>
      <c r="J6" s="716" t="s">
        <v>1426</v>
      </c>
      <c r="K6" s="717"/>
    </row>
    <row r="7" spans="1:11">
      <c r="A7" s="359">
        <v>44015</v>
      </c>
      <c r="B7" s="345">
        <v>44380</v>
      </c>
      <c r="C7" s="566" t="s">
        <v>957</v>
      </c>
      <c r="D7" s="347" t="s">
        <v>21</v>
      </c>
      <c r="E7" s="346" t="s">
        <v>391</v>
      </c>
      <c r="F7" s="348">
        <v>946.92</v>
      </c>
      <c r="G7" s="349">
        <v>0.1</v>
      </c>
      <c r="H7" s="350">
        <v>87.11</v>
      </c>
      <c r="I7" s="351"/>
      <c r="J7" s="563"/>
      <c r="K7" s="564"/>
    </row>
    <row r="8" spans="1:11">
      <c r="A8" s="359">
        <v>44015</v>
      </c>
      <c r="B8" s="345">
        <v>44380</v>
      </c>
      <c r="C8" s="346" t="s">
        <v>1428</v>
      </c>
      <c r="D8" s="347" t="s">
        <v>9</v>
      </c>
      <c r="E8" s="346" t="s">
        <v>10</v>
      </c>
      <c r="F8" s="348">
        <v>1289.83</v>
      </c>
      <c r="G8" s="349">
        <v>0.1</v>
      </c>
      <c r="H8" s="350">
        <v>118.66</v>
      </c>
      <c r="I8" s="351">
        <v>6</v>
      </c>
      <c r="J8" s="563" t="s">
        <v>1429</v>
      </c>
      <c r="K8" s="564"/>
    </row>
    <row r="9" spans="1:11">
      <c r="A9" s="287">
        <v>44015</v>
      </c>
      <c r="B9" s="288">
        <v>44383</v>
      </c>
      <c r="C9" s="566" t="s">
        <v>1430</v>
      </c>
      <c r="D9" s="289" t="s">
        <v>448</v>
      </c>
      <c r="E9" s="290" t="s">
        <v>945</v>
      </c>
      <c r="F9" s="337">
        <v>1295.3599999999999</v>
      </c>
      <c r="G9" s="292">
        <v>0.1</v>
      </c>
      <c r="H9" s="293">
        <v>119.17</v>
      </c>
      <c r="I9" s="294"/>
      <c r="J9" s="1532"/>
      <c r="K9" s="1533"/>
    </row>
    <row r="10" spans="1:11">
      <c r="A10" s="510">
        <v>44015</v>
      </c>
      <c r="B10" s="511">
        <v>44380</v>
      </c>
      <c r="C10" s="778" t="s">
        <v>1431</v>
      </c>
      <c r="D10" s="513" t="s">
        <v>9</v>
      </c>
      <c r="E10" s="512" t="s">
        <v>57</v>
      </c>
      <c r="F10" s="514">
        <v>1541.54</v>
      </c>
      <c r="G10" s="515">
        <v>0.1</v>
      </c>
      <c r="H10" s="516">
        <v>141.82</v>
      </c>
      <c r="I10" s="554" t="s">
        <v>1427</v>
      </c>
      <c r="J10" s="715"/>
      <c r="K10" s="715"/>
    </row>
    <row r="11" spans="1:11">
      <c r="A11" s="287">
        <v>44018</v>
      </c>
      <c r="B11" s="288">
        <v>44382</v>
      </c>
      <c r="C11" s="566" t="s">
        <v>1398</v>
      </c>
      <c r="D11" s="289" t="s">
        <v>9</v>
      </c>
      <c r="E11" s="290" t="s">
        <v>22</v>
      </c>
      <c r="F11" s="337">
        <v>1922.96</v>
      </c>
      <c r="G11" s="292">
        <v>0.1</v>
      </c>
      <c r="H11" s="293">
        <v>176.91</v>
      </c>
      <c r="I11" s="294"/>
      <c r="J11" s="1532"/>
      <c r="K11" s="1533"/>
    </row>
    <row r="12" spans="1:11">
      <c r="A12" s="510">
        <v>44018</v>
      </c>
      <c r="B12" s="511">
        <v>44380</v>
      </c>
      <c r="C12" s="811" t="s">
        <v>1432</v>
      </c>
      <c r="D12" s="513" t="s">
        <v>9</v>
      </c>
      <c r="E12" s="512" t="s">
        <v>1433</v>
      </c>
      <c r="F12" s="514">
        <v>940.72</v>
      </c>
      <c r="G12" s="515">
        <v>0.1</v>
      </c>
      <c r="H12" s="516">
        <v>86.54</v>
      </c>
      <c r="I12" s="553" t="s">
        <v>1427</v>
      </c>
      <c r="J12" s="555"/>
      <c r="K12" s="556"/>
    </row>
    <row r="13" spans="1:11">
      <c r="A13" s="287">
        <v>44018</v>
      </c>
      <c r="B13" s="288">
        <v>44385</v>
      </c>
      <c r="C13" s="566" t="s">
        <v>960</v>
      </c>
      <c r="D13" s="289" t="s">
        <v>9</v>
      </c>
      <c r="E13" s="290" t="s">
        <v>22</v>
      </c>
      <c r="F13" s="337">
        <v>1450.7</v>
      </c>
      <c r="G13" s="292">
        <v>0.1</v>
      </c>
      <c r="H13" s="293">
        <v>133.46</v>
      </c>
      <c r="I13" s="294"/>
      <c r="J13" s="557"/>
      <c r="K13" s="558"/>
    </row>
    <row r="14" spans="1:11">
      <c r="A14" s="255">
        <v>44020</v>
      </c>
      <c r="B14" s="256">
        <v>44385</v>
      </c>
      <c r="C14" s="412" t="s">
        <v>1434</v>
      </c>
      <c r="D14" s="258" t="s">
        <v>14</v>
      </c>
      <c r="E14" s="257" t="s">
        <v>10</v>
      </c>
      <c r="F14" s="321">
        <v>1008.41</v>
      </c>
      <c r="G14" s="260">
        <v>0.15</v>
      </c>
      <c r="H14" s="261">
        <v>139.16</v>
      </c>
      <c r="I14" s="262">
        <v>13.91</v>
      </c>
      <c r="J14" s="716" t="s">
        <v>1426</v>
      </c>
      <c r="K14" s="717"/>
    </row>
    <row r="15" spans="1:11">
      <c r="A15" s="287">
        <v>44020</v>
      </c>
      <c r="B15" s="288">
        <v>44385</v>
      </c>
      <c r="C15" s="566" t="s">
        <v>1435</v>
      </c>
      <c r="D15" s="289" t="s">
        <v>198</v>
      </c>
      <c r="E15" s="290" t="s">
        <v>22</v>
      </c>
      <c r="F15" s="337">
        <v>1728.29</v>
      </c>
      <c r="G15" s="292">
        <v>0.1</v>
      </c>
      <c r="H15" s="293">
        <v>159</v>
      </c>
      <c r="I15" s="294"/>
      <c r="J15" s="557"/>
      <c r="K15" s="558"/>
    </row>
    <row r="16" spans="1:11">
      <c r="A16" s="255">
        <v>44020</v>
      </c>
      <c r="B16" s="256">
        <v>44384</v>
      </c>
      <c r="C16" s="412" t="s">
        <v>1056</v>
      </c>
      <c r="D16" s="258" t="s">
        <v>21</v>
      </c>
      <c r="E16" s="257" t="s">
        <v>1436</v>
      </c>
      <c r="F16" s="321">
        <v>1297.19</v>
      </c>
      <c r="G16" s="260">
        <v>0.1</v>
      </c>
      <c r="H16" s="261">
        <v>119.34</v>
      </c>
      <c r="I16" s="262">
        <v>11.93</v>
      </c>
      <c r="J16" s="716" t="s">
        <v>1426</v>
      </c>
      <c r="K16" s="717"/>
    </row>
    <row r="17" spans="1:11">
      <c r="A17" s="359">
        <v>44020</v>
      </c>
      <c r="B17" s="345">
        <v>44392</v>
      </c>
      <c r="C17" s="585" t="s">
        <v>1437</v>
      </c>
      <c r="D17" s="347" t="s">
        <v>21</v>
      </c>
      <c r="E17" s="346" t="s">
        <v>945</v>
      </c>
      <c r="F17" s="348">
        <v>951.98</v>
      </c>
      <c r="G17" s="349">
        <v>0.2</v>
      </c>
      <c r="H17" s="350">
        <v>175.16</v>
      </c>
      <c r="I17" s="522"/>
      <c r="J17" s="1528"/>
      <c r="K17" s="1529"/>
    </row>
    <row r="18" spans="1:11">
      <c r="A18" s="359">
        <v>44021</v>
      </c>
      <c r="B18" s="345">
        <v>44029</v>
      </c>
      <c r="C18" s="796" t="s">
        <v>1438</v>
      </c>
      <c r="D18" s="347" t="s">
        <v>25</v>
      </c>
      <c r="E18" s="346" t="s">
        <v>19</v>
      </c>
      <c r="F18" s="348">
        <v>908.03</v>
      </c>
      <c r="G18" s="349">
        <v>0.1</v>
      </c>
      <c r="H18" s="350">
        <v>83.53</v>
      </c>
      <c r="I18" s="351"/>
      <c r="J18" s="1528"/>
      <c r="K18" s="1529"/>
    </row>
    <row r="19" spans="1:11">
      <c r="A19" s="359">
        <v>44022</v>
      </c>
      <c r="B19" s="345">
        <v>44387</v>
      </c>
      <c r="C19" s="566" t="s">
        <v>1439</v>
      </c>
      <c r="D19" s="347" t="s">
        <v>9</v>
      </c>
      <c r="E19" s="346" t="s">
        <v>362</v>
      </c>
      <c r="F19" s="348">
        <v>799</v>
      </c>
      <c r="G19" s="349">
        <v>0.25</v>
      </c>
      <c r="H19" s="350">
        <v>183.77</v>
      </c>
      <c r="I19" s="351"/>
      <c r="J19" s="563"/>
      <c r="K19" s="564"/>
    </row>
    <row r="20" spans="1:11">
      <c r="A20" s="359">
        <v>44022</v>
      </c>
      <c r="B20" s="459">
        <v>44389</v>
      </c>
      <c r="C20" s="795" t="s">
        <v>1440</v>
      </c>
      <c r="D20" s="347" t="s">
        <v>448</v>
      </c>
      <c r="E20" s="346" t="s">
        <v>279</v>
      </c>
      <c r="F20" s="348">
        <v>1880.62</v>
      </c>
      <c r="G20" s="349">
        <v>0.1</v>
      </c>
      <c r="H20" s="350">
        <v>173.01</v>
      </c>
      <c r="I20" s="351"/>
      <c r="J20" s="563"/>
      <c r="K20" s="564"/>
    </row>
    <row r="21" spans="1:11">
      <c r="A21" s="359">
        <v>44025</v>
      </c>
      <c r="B21" s="490">
        <v>44390</v>
      </c>
      <c r="C21" s="446" t="s">
        <v>1441</v>
      </c>
      <c r="D21" s="347" t="s">
        <v>61</v>
      </c>
      <c r="E21" s="346" t="s">
        <v>90</v>
      </c>
      <c r="F21" s="348">
        <v>1392.66</v>
      </c>
      <c r="G21" s="349">
        <v>0.18</v>
      </c>
      <c r="H21" s="350">
        <v>230.62</v>
      </c>
      <c r="I21" s="351"/>
      <c r="J21" s="1528"/>
      <c r="K21" s="1529"/>
    </row>
    <row r="22" spans="1:11">
      <c r="A22" s="359">
        <v>44025</v>
      </c>
      <c r="B22" s="345">
        <v>44390</v>
      </c>
      <c r="C22" s="566" t="s">
        <v>1442</v>
      </c>
      <c r="D22" s="347" t="s">
        <v>14</v>
      </c>
      <c r="E22" s="346" t="s">
        <v>22</v>
      </c>
      <c r="F22" s="348">
        <v>1331.3</v>
      </c>
      <c r="G22" s="349">
        <v>0.1</v>
      </c>
      <c r="H22" s="350">
        <v>122.47</v>
      </c>
      <c r="I22" s="351"/>
      <c r="J22" s="563"/>
      <c r="K22" s="564"/>
    </row>
    <row r="23" spans="1:11">
      <c r="A23" s="238">
        <v>44026</v>
      </c>
      <c r="B23" s="239">
        <v>44391</v>
      </c>
      <c r="C23" s="412" t="s">
        <v>1443</v>
      </c>
      <c r="D23" s="241" t="s">
        <v>9</v>
      </c>
      <c r="E23" s="240" t="s">
        <v>29</v>
      </c>
      <c r="F23" s="323">
        <v>3117.19</v>
      </c>
      <c r="G23" s="243">
        <v>0.1</v>
      </c>
      <c r="H23" s="244">
        <v>286.77999999999997</v>
      </c>
      <c r="I23" s="245">
        <v>28.67</v>
      </c>
      <c r="J23" s="1530" t="s">
        <v>1426</v>
      </c>
      <c r="K23" s="1531"/>
    </row>
    <row r="24" spans="1:11">
      <c r="A24" s="359">
        <v>44026</v>
      </c>
      <c r="B24" s="345">
        <v>44394</v>
      </c>
      <c r="C24" s="566" t="s">
        <v>1444</v>
      </c>
      <c r="D24" s="347" t="s">
        <v>9</v>
      </c>
      <c r="E24" s="346" t="s">
        <v>10</v>
      </c>
      <c r="F24" s="348">
        <v>700.02</v>
      </c>
      <c r="G24" s="349">
        <v>0.1</v>
      </c>
      <c r="H24" s="350">
        <v>64.400000000000006</v>
      </c>
      <c r="I24" s="351">
        <v>6</v>
      </c>
      <c r="J24" s="1528" t="s">
        <v>1429</v>
      </c>
      <c r="K24" s="1529"/>
    </row>
    <row r="25" spans="1:11">
      <c r="A25" s="459">
        <v>44027</v>
      </c>
      <c r="B25" s="459">
        <v>44390</v>
      </c>
      <c r="C25" s="585" t="s">
        <v>967</v>
      </c>
      <c r="D25" s="1546" t="s">
        <v>25</v>
      </c>
      <c r="E25" s="458" t="s">
        <v>10</v>
      </c>
      <c r="F25" s="460">
        <v>904.5</v>
      </c>
      <c r="G25" s="461">
        <v>0.1</v>
      </c>
      <c r="H25" s="462">
        <v>83.21</v>
      </c>
      <c r="I25" s="463"/>
      <c r="J25" s="563"/>
      <c r="K25" s="564"/>
    </row>
    <row r="26" spans="1:11">
      <c r="A26" s="491">
        <v>44027</v>
      </c>
      <c r="B26" s="492">
        <v>44385</v>
      </c>
      <c r="C26" s="796" t="s">
        <v>1445</v>
      </c>
      <c r="D26" s="494" t="s">
        <v>14</v>
      </c>
      <c r="E26" s="493" t="s">
        <v>10</v>
      </c>
      <c r="F26" s="495">
        <v>549.66999999999996</v>
      </c>
      <c r="G26" s="496">
        <v>0.1</v>
      </c>
      <c r="H26" s="497">
        <v>50.56</v>
      </c>
      <c r="I26" s="498"/>
      <c r="J26" s="559"/>
      <c r="K26" s="560"/>
    </row>
    <row r="27" spans="1:11">
      <c r="A27" s="359">
        <v>44027</v>
      </c>
      <c r="B27" s="345">
        <v>44392</v>
      </c>
      <c r="C27" s="584" t="s">
        <v>1446</v>
      </c>
      <c r="D27" s="347" t="s">
        <v>9</v>
      </c>
      <c r="E27" s="346" t="s">
        <v>22</v>
      </c>
      <c r="F27" s="348">
        <v>1265.95</v>
      </c>
      <c r="G27" s="349">
        <v>0.1</v>
      </c>
      <c r="H27" s="502">
        <v>116.46</v>
      </c>
      <c r="I27" s="351"/>
      <c r="J27" s="563"/>
      <c r="K27" s="564"/>
    </row>
    <row r="28" spans="1:11">
      <c r="A28" s="359">
        <v>44027</v>
      </c>
      <c r="B28" s="345" t="s">
        <v>510</v>
      </c>
      <c r="C28" s="396" t="s">
        <v>1447</v>
      </c>
      <c r="D28" s="347" t="s">
        <v>25</v>
      </c>
      <c r="E28" s="346" t="s">
        <v>22</v>
      </c>
      <c r="F28" s="348">
        <v>97.33</v>
      </c>
      <c r="G28" s="349">
        <v>0.25</v>
      </c>
      <c r="H28" s="350">
        <v>22.38</v>
      </c>
      <c r="I28" s="351"/>
      <c r="J28" s="563"/>
      <c r="K28" s="564"/>
    </row>
    <row r="29" spans="1:11">
      <c r="A29" s="297">
        <v>44028</v>
      </c>
      <c r="B29" s="298" t="s">
        <v>1448</v>
      </c>
      <c r="C29" s="101" t="s">
        <v>1449</v>
      </c>
      <c r="D29" s="299" t="s">
        <v>25</v>
      </c>
      <c r="E29" s="101" t="s">
        <v>10</v>
      </c>
      <c r="F29" s="340">
        <v>-206.41</v>
      </c>
      <c r="G29" s="301">
        <v>0.1</v>
      </c>
      <c r="H29" s="302">
        <v>-20.64</v>
      </c>
      <c r="I29" s="552" t="s">
        <v>1450</v>
      </c>
      <c r="J29" s="1538"/>
      <c r="K29" s="1539"/>
    </row>
    <row r="30" spans="1:11">
      <c r="A30" s="465">
        <v>44028</v>
      </c>
      <c r="B30" s="466">
        <v>44393</v>
      </c>
      <c r="C30" s="778" t="s">
        <v>1451</v>
      </c>
      <c r="D30" s="467" t="s">
        <v>448</v>
      </c>
      <c r="E30" s="464" t="s">
        <v>10</v>
      </c>
      <c r="F30" s="468">
        <v>2545.3200000000002</v>
      </c>
      <c r="G30" s="469">
        <v>0.1</v>
      </c>
      <c r="H30" s="470">
        <v>234.16</v>
      </c>
      <c r="I30" s="471">
        <f>117.18+30</f>
        <v>147.18</v>
      </c>
      <c r="J30" s="713" t="s">
        <v>1452</v>
      </c>
      <c r="K30" s="714"/>
    </row>
    <row r="31" spans="1:11">
      <c r="A31" s="287">
        <v>44029</v>
      </c>
      <c r="B31" s="288">
        <v>44031</v>
      </c>
      <c r="C31" s="566" t="s">
        <v>1453</v>
      </c>
      <c r="D31" s="289" t="s">
        <v>9</v>
      </c>
      <c r="E31" s="290" t="s">
        <v>57</v>
      </c>
      <c r="F31" s="337">
        <v>1783.71</v>
      </c>
      <c r="G31" s="292">
        <v>0.1</v>
      </c>
      <c r="H31" s="293">
        <v>164.1</v>
      </c>
      <c r="I31" s="294"/>
      <c r="J31" s="557"/>
      <c r="K31" s="558"/>
    </row>
    <row r="32" spans="1:11">
      <c r="A32" s="359">
        <v>44029</v>
      </c>
      <c r="B32" s="345">
        <v>44399</v>
      </c>
      <c r="C32" s="566" t="s">
        <v>1454</v>
      </c>
      <c r="D32" s="347" t="s">
        <v>448</v>
      </c>
      <c r="E32" s="346" t="s">
        <v>10</v>
      </c>
      <c r="F32" s="348">
        <v>2030.08</v>
      </c>
      <c r="G32" s="349">
        <v>0.1</v>
      </c>
      <c r="H32" s="350">
        <v>186.76</v>
      </c>
      <c r="I32" s="351"/>
      <c r="J32" s="563"/>
      <c r="K32" s="564"/>
    </row>
    <row r="33" spans="1:11">
      <c r="A33" s="359">
        <v>44032</v>
      </c>
      <c r="B33" s="345">
        <v>44396</v>
      </c>
      <c r="C33" s="746" t="s">
        <v>1455</v>
      </c>
      <c r="D33" s="347" t="s">
        <v>9</v>
      </c>
      <c r="E33" s="346" t="s">
        <v>57</v>
      </c>
      <c r="F33" s="348">
        <v>2604.41</v>
      </c>
      <c r="G33" s="349">
        <v>0.1</v>
      </c>
      <c r="H33" s="350">
        <v>239.6</v>
      </c>
      <c r="I33" s="351"/>
      <c r="J33" s="1528"/>
      <c r="K33" s="1529"/>
    </row>
    <row r="34" spans="1:11">
      <c r="A34" s="359">
        <v>44033</v>
      </c>
      <c r="B34" s="345">
        <v>44403</v>
      </c>
      <c r="C34" s="566" t="s">
        <v>980</v>
      </c>
      <c r="D34" s="347" t="s">
        <v>14</v>
      </c>
      <c r="E34" s="346" t="s">
        <v>945</v>
      </c>
      <c r="F34" s="348">
        <v>831.24</v>
      </c>
      <c r="G34" s="349">
        <v>0.2</v>
      </c>
      <c r="H34" s="350">
        <v>152.94</v>
      </c>
      <c r="I34" s="351"/>
      <c r="J34" s="1528"/>
      <c r="K34" s="1529"/>
    </row>
    <row r="35" spans="1:11">
      <c r="A35" s="459">
        <v>44033</v>
      </c>
      <c r="B35" s="459">
        <v>44399</v>
      </c>
      <c r="C35" s="585" t="s">
        <v>972</v>
      </c>
      <c r="D35" s="1546" t="s">
        <v>61</v>
      </c>
      <c r="E35" s="458" t="s">
        <v>22</v>
      </c>
      <c r="F35" s="460">
        <v>976.31</v>
      </c>
      <c r="G35" s="461">
        <v>0.1</v>
      </c>
      <c r="H35" s="462">
        <v>89.82</v>
      </c>
      <c r="I35" s="482"/>
      <c r="J35" s="563"/>
      <c r="K35" s="564"/>
    </row>
    <row r="36" spans="1:11">
      <c r="A36" s="503">
        <v>44034</v>
      </c>
      <c r="B36" s="503">
        <v>44399</v>
      </c>
      <c r="C36" s="135" t="s">
        <v>977</v>
      </c>
      <c r="D36" s="504" t="s">
        <v>448</v>
      </c>
      <c r="E36" s="505" t="s">
        <v>22</v>
      </c>
      <c r="F36" s="506">
        <v>1953.94</v>
      </c>
      <c r="G36" s="507">
        <v>0.1</v>
      </c>
      <c r="H36" s="506">
        <v>179.76</v>
      </c>
      <c r="I36" s="482"/>
      <c r="J36" s="563"/>
      <c r="K36" s="564"/>
    </row>
    <row r="37" spans="1:11">
      <c r="A37" s="459">
        <v>44034</v>
      </c>
      <c r="B37" s="459">
        <v>44399</v>
      </c>
      <c r="C37" s="585" t="s">
        <v>976</v>
      </c>
      <c r="D37" s="1546" t="s">
        <v>14</v>
      </c>
      <c r="E37" s="458" t="s">
        <v>22</v>
      </c>
      <c r="F37" s="508">
        <v>1933.87</v>
      </c>
      <c r="G37" s="461">
        <v>0.1</v>
      </c>
      <c r="H37" s="508">
        <v>177.91</v>
      </c>
      <c r="I37" s="482"/>
      <c r="J37" s="1528"/>
      <c r="K37" s="1529"/>
    </row>
    <row r="38" spans="1:11">
      <c r="A38" s="26">
        <v>44039</v>
      </c>
      <c r="B38" s="26">
        <v>44404</v>
      </c>
      <c r="C38" s="172" t="s">
        <v>982</v>
      </c>
      <c r="D38" s="14" t="s">
        <v>21</v>
      </c>
      <c r="E38" s="13" t="s">
        <v>22</v>
      </c>
      <c r="F38" s="145">
        <v>1342.57</v>
      </c>
      <c r="G38" s="56">
        <v>0.1</v>
      </c>
      <c r="H38" s="145">
        <v>123.51</v>
      </c>
      <c r="I38" s="448"/>
      <c r="J38" s="682"/>
      <c r="K38" s="660"/>
    </row>
    <row r="39" spans="1:11">
      <c r="A39" s="90">
        <v>44040</v>
      </c>
      <c r="B39" s="91">
        <v>44405</v>
      </c>
      <c r="C39" s="92" t="s">
        <v>1456</v>
      </c>
      <c r="D39" s="93" t="s">
        <v>61</v>
      </c>
      <c r="E39" s="92" t="s">
        <v>22</v>
      </c>
      <c r="F39" s="322">
        <v>1000.55</v>
      </c>
      <c r="G39" s="94">
        <v>0.15</v>
      </c>
      <c r="H39" s="95">
        <v>138.07</v>
      </c>
      <c r="I39" s="159"/>
      <c r="J39" s="682"/>
      <c r="K39" s="660"/>
    </row>
    <row r="40" spans="1:11">
      <c r="A40" s="90">
        <v>44041</v>
      </c>
      <c r="B40" s="91">
        <v>44406</v>
      </c>
      <c r="C40" s="101" t="s">
        <v>1291</v>
      </c>
      <c r="D40" s="93" t="s">
        <v>9</v>
      </c>
      <c r="E40" s="92" t="s">
        <v>279</v>
      </c>
      <c r="F40" s="322">
        <v>972.28</v>
      </c>
      <c r="G40" s="94">
        <v>0.1</v>
      </c>
      <c r="H40" s="95">
        <v>89.44</v>
      </c>
      <c r="I40" s="159"/>
      <c r="J40" s="561"/>
      <c r="K40" s="562"/>
    </row>
    <row r="41" spans="1:11" s="730" customFormat="1">
      <c r="A41" s="297">
        <v>44035</v>
      </c>
      <c r="B41" s="298" t="s">
        <v>1457</v>
      </c>
      <c r="C41" s="101" t="s">
        <v>1458</v>
      </c>
      <c r="D41" s="299" t="s">
        <v>25</v>
      </c>
      <c r="E41" s="101" t="s">
        <v>90</v>
      </c>
      <c r="F41" s="340">
        <v>524.46</v>
      </c>
      <c r="G41" s="301">
        <v>0.15</v>
      </c>
      <c r="H41" s="302">
        <v>72.37</v>
      </c>
      <c r="I41" s="303">
        <v>36.18</v>
      </c>
      <c r="J41" s="724" t="s">
        <v>1459</v>
      </c>
      <c r="K41" s="725"/>
    </row>
    <row r="42" spans="1:11">
      <c r="A42" s="359">
        <v>44042</v>
      </c>
      <c r="B42" s="345">
        <v>44407</v>
      </c>
      <c r="C42" s="566" t="s">
        <v>1460</v>
      </c>
      <c r="D42" s="347" t="s">
        <v>70</v>
      </c>
      <c r="E42" s="346" t="s">
        <v>279</v>
      </c>
      <c r="F42" s="348">
        <v>2117.5500000000002</v>
      </c>
      <c r="G42" s="349">
        <v>0.1</v>
      </c>
      <c r="H42" s="350">
        <v>194.81</v>
      </c>
      <c r="I42" s="351"/>
      <c r="J42" s="563"/>
      <c r="K42" s="564"/>
    </row>
    <row r="43" spans="1:11">
      <c r="A43" s="90"/>
      <c r="B43" s="91"/>
      <c r="C43" s="92"/>
      <c r="D43" s="93"/>
      <c r="E43" s="92"/>
      <c r="F43" s="322"/>
      <c r="G43" s="94"/>
      <c r="H43" s="95"/>
      <c r="I43" s="159"/>
      <c r="J43" s="561"/>
      <c r="K43" s="562"/>
    </row>
    <row r="44" spans="1:11">
      <c r="A44" s="359"/>
      <c r="B44" s="345"/>
      <c r="C44" s="346"/>
      <c r="D44" s="347"/>
      <c r="E44" s="346"/>
      <c r="F44" s="348"/>
      <c r="G44" s="349"/>
      <c r="H44" s="350"/>
      <c r="I44" s="351"/>
      <c r="J44" s="563"/>
      <c r="K44" s="564"/>
    </row>
    <row r="45" spans="1:11">
      <c r="A45" s="90"/>
      <c r="B45" s="91"/>
      <c r="C45" s="92"/>
      <c r="D45" s="93"/>
      <c r="E45" s="92"/>
      <c r="F45" s="322"/>
      <c r="G45" s="94"/>
      <c r="H45" s="95"/>
      <c r="I45" s="159"/>
      <c r="J45" s="561"/>
      <c r="K45" s="562"/>
    </row>
    <row r="46" spans="1:11">
      <c r="A46" s="359"/>
      <c r="B46" s="345"/>
      <c r="C46" s="346"/>
      <c r="D46" s="347"/>
      <c r="E46" s="346"/>
      <c r="F46" s="348"/>
      <c r="G46" s="349"/>
      <c r="H46" s="350"/>
      <c r="I46" s="351"/>
      <c r="J46" s="563"/>
      <c r="K46" s="564"/>
    </row>
    <row r="47" spans="1:11">
      <c r="A47" s="90"/>
      <c r="B47" s="91"/>
      <c r="C47" s="92"/>
      <c r="D47" s="93"/>
      <c r="E47" s="92"/>
      <c r="F47" s="322"/>
      <c r="G47" s="94"/>
      <c r="H47" s="95"/>
      <c r="I47" s="159"/>
      <c r="J47" s="108"/>
      <c r="K47" s="109"/>
    </row>
    <row r="48" spans="1:11">
      <c r="A48" s="90"/>
      <c r="B48" s="91"/>
      <c r="C48" s="92"/>
      <c r="D48" s="93"/>
      <c r="E48" s="92"/>
      <c r="F48" s="322"/>
      <c r="G48" s="94"/>
      <c r="H48" s="95"/>
      <c r="I48" s="159"/>
      <c r="J48" s="108"/>
      <c r="K48" s="109"/>
    </row>
    <row r="49" spans="1:11">
      <c r="A49" s="90"/>
      <c r="B49" s="91"/>
      <c r="C49" s="92"/>
      <c r="D49" s="93"/>
      <c r="E49" s="92"/>
      <c r="F49" s="322"/>
      <c r="G49" s="94"/>
      <c r="H49" s="95"/>
      <c r="I49" s="159"/>
      <c r="J49" s="108"/>
      <c r="K49" s="109"/>
    </row>
    <row r="50" spans="1:11">
      <c r="A50" s="238"/>
      <c r="B50" s="239"/>
      <c r="C50" s="240"/>
      <c r="D50" s="241"/>
      <c r="E50" s="240"/>
      <c r="F50" s="323"/>
      <c r="G50" s="243"/>
      <c r="H50" s="244"/>
      <c r="I50" s="245"/>
      <c r="J50" s="263"/>
      <c r="K50" s="264"/>
    </row>
    <row r="51" spans="1:11">
      <c r="A51" s="90"/>
      <c r="B51" s="91"/>
      <c r="C51" s="92"/>
      <c r="D51" s="93"/>
      <c r="E51" s="92"/>
      <c r="F51" s="322"/>
      <c r="G51" s="94"/>
      <c r="H51" s="95"/>
      <c r="I51" s="159"/>
      <c r="J51" s="108"/>
      <c r="K51" s="109"/>
    </row>
    <row r="52" spans="1:11">
      <c r="A52" s="90"/>
      <c r="B52" s="91"/>
      <c r="C52" s="92"/>
      <c r="D52" s="93"/>
      <c r="E52" s="92"/>
      <c r="F52" s="322"/>
      <c r="G52" s="94"/>
      <c r="H52" s="95"/>
      <c r="I52" s="159"/>
      <c r="J52" s="108"/>
      <c r="K52" s="109"/>
    </row>
    <row r="53" spans="1:11" ht="19.5">
      <c r="A53" s="673"/>
      <c r="B53" s="674"/>
      <c r="C53" s="674"/>
      <c r="D53" s="674"/>
      <c r="E53" s="674"/>
      <c r="F53" s="338">
        <f>SUM(F2:F52)</f>
        <v>63643.900000000009</v>
      </c>
      <c r="G53" s="143"/>
      <c r="H53" s="129">
        <f>SUM(H2:H52)</f>
        <v>6935.66</v>
      </c>
      <c r="I53" s="107">
        <f>SUM(I2:I41)</f>
        <v>350.39</v>
      </c>
    </row>
    <row r="54" spans="1:11">
      <c r="F54" s="142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K58"/>
  <sheetViews>
    <sheetView topLeftCell="A49" zoomScale="85" zoomScaleNormal="85" workbookViewId="0">
      <selection activeCell="C18" sqref="C18"/>
    </sheetView>
  </sheetViews>
  <sheetFormatPr defaultRowHeight="15"/>
  <cols>
    <col min="1" max="1" width="16" customWidth="1"/>
    <col min="2" max="2" width="11.5703125" bestFit="1" customWidth="1"/>
    <col min="3" max="3" width="44.140625" bestFit="1" customWidth="1"/>
  </cols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359">
        <v>44043</v>
      </c>
      <c r="B2" s="345">
        <v>44409</v>
      </c>
      <c r="C2" s="827" t="s">
        <v>1461</v>
      </c>
      <c r="D2" s="347" t="s">
        <v>61</v>
      </c>
      <c r="E2" s="346" t="s">
        <v>10</v>
      </c>
      <c r="F2" s="348">
        <v>1073.51</v>
      </c>
      <c r="G2" s="349">
        <v>0.1</v>
      </c>
      <c r="H2" s="350">
        <v>98.76</v>
      </c>
      <c r="I2" s="351"/>
      <c r="J2" s="433"/>
      <c r="K2" s="434"/>
    </row>
    <row r="3" spans="1:11">
      <c r="A3" s="379">
        <v>44043</v>
      </c>
      <c r="B3" s="567">
        <v>44413</v>
      </c>
      <c r="C3" s="828" t="s">
        <v>1462</v>
      </c>
      <c r="D3" s="382" t="s">
        <v>14</v>
      </c>
      <c r="E3" s="381" t="s">
        <v>500</v>
      </c>
      <c r="F3" s="386">
        <v>2012.35</v>
      </c>
      <c r="G3" s="383">
        <v>0.1</v>
      </c>
      <c r="H3" s="384">
        <v>185.13</v>
      </c>
      <c r="I3" s="385">
        <v>18.510000000000002</v>
      </c>
      <c r="J3" s="307" t="s">
        <v>1463</v>
      </c>
      <c r="K3" s="308"/>
    </row>
    <row r="4" spans="1:11">
      <c r="A4" s="287">
        <v>44046</v>
      </c>
      <c r="B4" s="288">
        <v>44415</v>
      </c>
      <c r="C4" s="827" t="s">
        <v>1464</v>
      </c>
      <c r="D4" s="289" t="s">
        <v>25</v>
      </c>
      <c r="E4" s="290" t="s">
        <v>10</v>
      </c>
      <c r="F4" s="337">
        <v>1273.46</v>
      </c>
      <c r="G4" s="292">
        <v>0.1</v>
      </c>
      <c r="H4" s="293">
        <v>117.15</v>
      </c>
      <c r="I4" s="294"/>
      <c r="J4" s="557"/>
      <c r="K4" s="558"/>
    </row>
    <row r="5" spans="1:11">
      <c r="A5" s="572">
        <v>44047</v>
      </c>
      <c r="B5" s="573">
        <v>44430</v>
      </c>
      <c r="C5" s="574" t="s">
        <v>1465</v>
      </c>
      <c r="D5" s="575" t="s">
        <v>21</v>
      </c>
      <c r="E5" s="574" t="s">
        <v>667</v>
      </c>
      <c r="F5" s="576">
        <v>742.87</v>
      </c>
      <c r="G5" s="577">
        <v>0.19</v>
      </c>
      <c r="H5" s="578">
        <v>129.85</v>
      </c>
      <c r="I5" s="579">
        <v>64.92</v>
      </c>
      <c r="J5" s="722" t="s">
        <v>1466</v>
      </c>
      <c r="K5" s="723"/>
    </row>
    <row r="6" spans="1:11">
      <c r="A6" s="287">
        <v>44047</v>
      </c>
      <c r="B6" s="288">
        <v>44413</v>
      </c>
      <c r="C6" s="827" t="s">
        <v>997</v>
      </c>
      <c r="D6" s="289" t="s">
        <v>61</v>
      </c>
      <c r="E6" s="436" t="s">
        <v>10</v>
      </c>
      <c r="F6" s="437">
        <v>935.39</v>
      </c>
      <c r="G6" s="438">
        <v>0.1</v>
      </c>
      <c r="H6" s="293">
        <v>86.05</v>
      </c>
      <c r="I6" s="294"/>
      <c r="J6" s="557"/>
      <c r="K6" s="558"/>
    </row>
    <row r="7" spans="1:11">
      <c r="A7" s="359">
        <v>44048</v>
      </c>
      <c r="B7" s="345">
        <v>44413</v>
      </c>
      <c r="C7" s="827" t="s">
        <v>1467</v>
      </c>
      <c r="D7" s="347" t="s">
        <v>9</v>
      </c>
      <c r="E7" s="346" t="s">
        <v>500</v>
      </c>
      <c r="F7" s="348">
        <v>1056.99</v>
      </c>
      <c r="G7" s="349">
        <v>0.1</v>
      </c>
      <c r="H7" s="350">
        <v>97.24</v>
      </c>
      <c r="I7" s="351"/>
      <c r="J7" s="563"/>
      <c r="K7" s="564"/>
    </row>
    <row r="8" spans="1:11">
      <c r="A8" s="359">
        <v>44048</v>
      </c>
      <c r="B8" s="345" t="s">
        <v>510</v>
      </c>
      <c r="C8" s="101" t="s">
        <v>1468</v>
      </c>
      <c r="D8" s="347" t="s">
        <v>149</v>
      </c>
      <c r="E8" s="346" t="s">
        <v>10</v>
      </c>
      <c r="F8" s="348">
        <v>136.63999999999999</v>
      </c>
      <c r="G8" s="349">
        <v>0.1</v>
      </c>
      <c r="H8" s="350">
        <v>12.57</v>
      </c>
      <c r="I8" s="351"/>
      <c r="J8" s="563"/>
      <c r="K8" s="564"/>
    </row>
    <row r="9" spans="1:11">
      <c r="A9" s="287">
        <v>44048</v>
      </c>
      <c r="B9" s="288">
        <v>44051</v>
      </c>
      <c r="C9" s="827" t="s">
        <v>1469</v>
      </c>
      <c r="D9" s="289" t="s">
        <v>33</v>
      </c>
      <c r="E9" s="290" t="s">
        <v>10</v>
      </c>
      <c r="F9" s="337">
        <v>1568.24</v>
      </c>
      <c r="G9" s="292">
        <v>0.1</v>
      </c>
      <c r="H9" s="293">
        <v>144.27000000000001</v>
      </c>
      <c r="I9" s="294"/>
      <c r="J9" s="1532"/>
      <c r="K9" s="1533"/>
    </row>
    <row r="10" spans="1:11">
      <c r="A10" s="255">
        <v>44048</v>
      </c>
      <c r="B10" s="256">
        <v>44417</v>
      </c>
      <c r="C10" s="827" t="s">
        <v>993</v>
      </c>
      <c r="D10" s="258" t="s">
        <v>448</v>
      </c>
      <c r="E10" s="257" t="s">
        <v>10</v>
      </c>
      <c r="F10" s="321">
        <v>1035.8399999999999</v>
      </c>
      <c r="G10" s="260">
        <v>0.25</v>
      </c>
      <c r="H10" s="261">
        <v>238.24</v>
      </c>
      <c r="I10" s="568">
        <v>23.82</v>
      </c>
      <c r="J10" s="428" t="s">
        <v>1470</v>
      </c>
      <c r="K10" s="428"/>
    </row>
    <row r="11" spans="1:11">
      <c r="A11" s="287">
        <v>44049</v>
      </c>
      <c r="B11" s="288">
        <v>44414</v>
      </c>
      <c r="C11" s="827" t="s">
        <v>989</v>
      </c>
      <c r="D11" s="289" t="s">
        <v>9</v>
      </c>
      <c r="E11" s="290" t="s">
        <v>15</v>
      </c>
      <c r="F11" s="337">
        <v>1435.88</v>
      </c>
      <c r="G11" s="292">
        <v>0.1</v>
      </c>
      <c r="H11" s="293">
        <v>132.1</v>
      </c>
      <c r="I11" s="294"/>
      <c r="J11" s="1532"/>
      <c r="K11" s="1533"/>
    </row>
    <row r="12" spans="1:11">
      <c r="A12" s="510">
        <v>44049</v>
      </c>
      <c r="B12" s="511">
        <v>44414</v>
      </c>
      <c r="C12" s="135" t="s">
        <v>1471</v>
      </c>
      <c r="D12" s="513" t="s">
        <v>9</v>
      </c>
      <c r="E12" s="512" t="s">
        <v>500</v>
      </c>
      <c r="F12" s="514">
        <v>1972.65</v>
      </c>
      <c r="G12" s="515">
        <v>0.1</v>
      </c>
      <c r="H12" s="516">
        <v>181.75</v>
      </c>
      <c r="I12" s="553" t="s">
        <v>1472</v>
      </c>
      <c r="J12" s="555"/>
      <c r="K12" s="556"/>
    </row>
    <row r="13" spans="1:11">
      <c r="A13" s="510">
        <v>44049</v>
      </c>
      <c r="B13" s="511">
        <v>44414</v>
      </c>
      <c r="C13" s="778" t="s">
        <v>1473</v>
      </c>
      <c r="D13" s="513" t="s">
        <v>448</v>
      </c>
      <c r="E13" s="512" t="s">
        <v>22</v>
      </c>
      <c r="F13" s="514">
        <v>3156.72</v>
      </c>
      <c r="G13" s="515">
        <v>0.1</v>
      </c>
      <c r="H13" s="516">
        <v>290.41000000000003</v>
      </c>
      <c r="I13" s="553">
        <v>6</v>
      </c>
      <c r="J13" s="555" t="s">
        <v>1474</v>
      </c>
      <c r="K13" s="556"/>
    </row>
    <row r="14" spans="1:11">
      <c r="A14" s="287">
        <v>44049</v>
      </c>
      <c r="B14" s="288">
        <v>44417</v>
      </c>
      <c r="C14" s="827" t="s">
        <v>1475</v>
      </c>
      <c r="D14" s="289" t="s">
        <v>70</v>
      </c>
      <c r="E14" s="290" t="s">
        <v>10</v>
      </c>
      <c r="F14" s="337">
        <v>999.79</v>
      </c>
      <c r="G14" s="292">
        <v>0.1</v>
      </c>
      <c r="H14" s="293">
        <v>91.98</v>
      </c>
      <c r="I14" s="294">
        <v>6</v>
      </c>
      <c r="J14" s="557" t="s">
        <v>1476</v>
      </c>
      <c r="K14" s="558"/>
    </row>
    <row r="15" spans="1:11">
      <c r="A15" s="287">
        <v>44050</v>
      </c>
      <c r="B15" s="288">
        <v>44415</v>
      </c>
      <c r="C15" s="566" t="s">
        <v>990</v>
      </c>
      <c r="D15" s="289" t="s">
        <v>70</v>
      </c>
      <c r="E15" s="290" t="s">
        <v>279</v>
      </c>
      <c r="F15" s="337">
        <v>646.62</v>
      </c>
      <c r="G15" s="292">
        <v>0.33</v>
      </c>
      <c r="H15" s="293">
        <v>196.31</v>
      </c>
      <c r="I15" s="294"/>
      <c r="J15" s="557"/>
      <c r="K15" s="558"/>
    </row>
    <row r="16" spans="1:11">
      <c r="A16" s="287">
        <v>44050</v>
      </c>
      <c r="B16" s="288">
        <v>44416</v>
      </c>
      <c r="C16" s="827" t="s">
        <v>953</v>
      </c>
      <c r="D16" s="289" t="s">
        <v>9</v>
      </c>
      <c r="E16" s="290" t="s">
        <v>29</v>
      </c>
      <c r="F16" s="337">
        <v>2802.39</v>
      </c>
      <c r="G16" s="292">
        <v>0.1</v>
      </c>
      <c r="H16" s="293">
        <v>257.81</v>
      </c>
      <c r="I16" s="294"/>
      <c r="J16" s="557"/>
      <c r="K16" s="558"/>
    </row>
    <row r="17" spans="1:11">
      <c r="A17" s="359">
        <v>44050</v>
      </c>
      <c r="B17" s="345">
        <v>44423</v>
      </c>
      <c r="C17" s="828" t="s">
        <v>1477</v>
      </c>
      <c r="D17" s="347" t="s">
        <v>61</v>
      </c>
      <c r="E17" s="346" t="s">
        <v>10</v>
      </c>
      <c r="F17" s="348">
        <v>1957.93</v>
      </c>
      <c r="G17" s="349">
        <v>0.1</v>
      </c>
      <c r="H17" s="350">
        <v>180.12</v>
      </c>
      <c r="I17" s="522">
        <v>6</v>
      </c>
      <c r="J17" s="1528" t="s">
        <v>1478</v>
      </c>
      <c r="K17" s="1529"/>
    </row>
    <row r="18" spans="1:11">
      <c r="A18" s="238">
        <v>44050</v>
      </c>
      <c r="B18" s="239" t="s">
        <v>510</v>
      </c>
      <c r="C18" s="397" t="s">
        <v>1479</v>
      </c>
      <c r="D18" s="241" t="s">
        <v>25</v>
      </c>
      <c r="E18" s="240" t="s">
        <v>90</v>
      </c>
      <c r="F18" s="323">
        <v>240.02</v>
      </c>
      <c r="G18" s="243">
        <v>0.1</v>
      </c>
      <c r="H18" s="244">
        <v>22.08</v>
      </c>
      <c r="I18" s="245">
        <v>2.2000000000000002</v>
      </c>
      <c r="J18" s="1530" t="s">
        <v>1463</v>
      </c>
      <c r="K18" s="1531"/>
    </row>
    <row r="19" spans="1:11">
      <c r="A19" s="359">
        <v>44053</v>
      </c>
      <c r="B19" s="345">
        <v>44418</v>
      </c>
      <c r="C19" s="827" t="s">
        <v>1480</v>
      </c>
      <c r="D19" s="347" t="s">
        <v>9</v>
      </c>
      <c r="E19" s="346" t="s">
        <v>500</v>
      </c>
      <c r="F19" s="348">
        <v>1726.01</v>
      </c>
      <c r="G19" s="349">
        <v>0.13</v>
      </c>
      <c r="H19" s="350">
        <v>206.43</v>
      </c>
      <c r="I19" s="351"/>
      <c r="J19" s="563"/>
      <c r="K19" s="564"/>
    </row>
    <row r="20" spans="1:11">
      <c r="A20" s="474">
        <v>44053</v>
      </c>
      <c r="B20" s="570">
        <v>44420</v>
      </c>
      <c r="C20" s="829" t="s">
        <v>1481</v>
      </c>
      <c r="D20" s="477" t="s">
        <v>9</v>
      </c>
      <c r="E20" s="476" t="s">
        <v>10</v>
      </c>
      <c r="F20" s="478">
        <v>1268.8</v>
      </c>
      <c r="G20" s="479">
        <v>0.1</v>
      </c>
      <c r="H20" s="480">
        <v>116.72</v>
      </c>
      <c r="I20" s="481">
        <v>6</v>
      </c>
      <c r="J20" s="718" t="s">
        <v>1474</v>
      </c>
      <c r="K20" s="719"/>
    </row>
    <row r="21" spans="1:11">
      <c r="A21" s="359">
        <v>44053</v>
      </c>
      <c r="B21" s="490">
        <v>44420</v>
      </c>
      <c r="C21" s="831" t="s">
        <v>1186</v>
      </c>
      <c r="D21" s="347" t="s">
        <v>14</v>
      </c>
      <c r="E21" s="346" t="s">
        <v>10</v>
      </c>
      <c r="F21" s="348">
        <v>851.89</v>
      </c>
      <c r="G21" s="349">
        <v>0.15</v>
      </c>
      <c r="H21" s="350">
        <v>117.56</v>
      </c>
      <c r="I21" s="351"/>
      <c r="J21" s="1528"/>
      <c r="K21" s="1529"/>
    </row>
    <row r="22" spans="1:11">
      <c r="A22" s="359">
        <v>44054</v>
      </c>
      <c r="B22" s="345">
        <v>44419</v>
      </c>
      <c r="C22" s="827" t="s">
        <v>991</v>
      </c>
      <c r="D22" s="347" t="s">
        <v>9</v>
      </c>
      <c r="E22" s="346" t="s">
        <v>500</v>
      </c>
      <c r="F22" s="348">
        <v>2102.48</v>
      </c>
      <c r="G22" s="349">
        <v>0.1</v>
      </c>
      <c r="H22" s="350">
        <v>193.42</v>
      </c>
      <c r="I22" s="351">
        <v>96.71</v>
      </c>
      <c r="J22" s="563" t="s">
        <v>1482</v>
      </c>
      <c r="K22" s="564"/>
    </row>
    <row r="23" spans="1:11">
      <c r="A23" s="465">
        <v>44055</v>
      </c>
      <c r="B23" s="466">
        <v>44418</v>
      </c>
      <c r="C23" s="827" t="s">
        <v>1483</v>
      </c>
      <c r="D23" s="467" t="s">
        <v>9</v>
      </c>
      <c r="E23" s="464" t="s">
        <v>667</v>
      </c>
      <c r="F23" s="468">
        <v>1276.94</v>
      </c>
      <c r="G23" s="469">
        <v>0.1</v>
      </c>
      <c r="H23" s="470">
        <v>117.47</v>
      </c>
      <c r="I23" s="471">
        <v>58.73</v>
      </c>
      <c r="J23" s="713" t="s">
        <v>1484</v>
      </c>
      <c r="K23" s="714"/>
    </row>
    <row r="24" spans="1:11">
      <c r="A24" s="359">
        <v>44055</v>
      </c>
      <c r="B24" s="345">
        <v>44420</v>
      </c>
      <c r="C24" s="566" t="s">
        <v>1485</v>
      </c>
      <c r="D24" s="347" t="s">
        <v>448</v>
      </c>
      <c r="E24" s="346" t="s">
        <v>279</v>
      </c>
      <c r="F24" s="348">
        <v>959.29</v>
      </c>
      <c r="G24" s="349">
        <v>0.1</v>
      </c>
      <c r="H24" s="350">
        <v>88.25</v>
      </c>
      <c r="I24" s="351"/>
      <c r="J24" s="1528"/>
      <c r="K24" s="1529"/>
    </row>
    <row r="25" spans="1:11">
      <c r="A25" s="459">
        <v>44055</v>
      </c>
      <c r="B25" s="459">
        <v>44426</v>
      </c>
      <c r="C25" s="458" t="s">
        <v>1353</v>
      </c>
      <c r="D25" s="1546" t="s">
        <v>9</v>
      </c>
      <c r="E25" s="458" t="s">
        <v>1119</v>
      </c>
      <c r="F25" s="460">
        <v>1113.1500000000001</v>
      </c>
      <c r="G25" s="461">
        <v>0.1</v>
      </c>
      <c r="H25" s="462">
        <v>102.4</v>
      </c>
      <c r="I25" s="463"/>
      <c r="J25" s="563"/>
      <c r="K25" s="564"/>
    </row>
    <row r="26" spans="1:11">
      <c r="A26" s="491">
        <v>44056</v>
      </c>
      <c r="B26" s="492">
        <v>44423</v>
      </c>
      <c r="C26" s="796" t="s">
        <v>1004</v>
      </c>
      <c r="D26" s="494" t="s">
        <v>25</v>
      </c>
      <c r="E26" s="493" t="s">
        <v>10</v>
      </c>
      <c r="F26" s="495">
        <v>894.76</v>
      </c>
      <c r="G26" s="496">
        <v>0.15</v>
      </c>
      <c r="H26" s="497">
        <v>123.47</v>
      </c>
      <c r="I26" s="498"/>
      <c r="J26" s="559"/>
      <c r="K26" s="560"/>
    </row>
    <row r="27" spans="1:11">
      <c r="A27" s="359">
        <v>44056</v>
      </c>
      <c r="B27" s="345">
        <v>44421</v>
      </c>
      <c r="C27" s="830" t="s">
        <v>1486</v>
      </c>
      <c r="D27" s="347" t="s">
        <v>25</v>
      </c>
      <c r="E27" s="346" t="s">
        <v>10</v>
      </c>
      <c r="F27" s="348">
        <v>1472.49</v>
      </c>
      <c r="G27" s="349">
        <v>0.1</v>
      </c>
      <c r="H27" s="502">
        <v>135.46</v>
      </c>
      <c r="I27" s="351"/>
      <c r="J27" s="563"/>
      <c r="K27" s="564"/>
    </row>
    <row r="28" spans="1:11">
      <c r="A28" s="359">
        <v>44056</v>
      </c>
      <c r="B28" s="345">
        <v>44423</v>
      </c>
      <c r="C28" s="746" t="s">
        <v>1487</v>
      </c>
      <c r="D28" s="347" t="s">
        <v>21</v>
      </c>
      <c r="E28" s="346" t="s">
        <v>667</v>
      </c>
      <c r="F28" s="348">
        <v>2072.21</v>
      </c>
      <c r="G28" s="349">
        <v>0.15</v>
      </c>
      <c r="H28" s="350">
        <v>285.95999999999998</v>
      </c>
      <c r="I28" s="351"/>
      <c r="J28" s="563"/>
      <c r="K28" s="564"/>
    </row>
    <row r="29" spans="1:11">
      <c r="A29" s="359">
        <v>44056</v>
      </c>
      <c r="B29" s="345">
        <v>44421</v>
      </c>
      <c r="C29" s="566" t="s">
        <v>1488</v>
      </c>
      <c r="D29" s="347" t="s">
        <v>61</v>
      </c>
      <c r="E29" s="346" t="s">
        <v>22</v>
      </c>
      <c r="F29" s="348">
        <v>1777.42</v>
      </c>
      <c r="G29" s="349">
        <v>0.1</v>
      </c>
      <c r="H29" s="350">
        <v>163.52000000000001</v>
      </c>
      <c r="I29" s="522"/>
      <c r="J29" s="1528"/>
      <c r="K29" s="1529"/>
    </row>
    <row r="30" spans="1:11">
      <c r="A30" s="359">
        <v>44056</v>
      </c>
      <c r="B30" s="345">
        <v>44421</v>
      </c>
      <c r="C30" s="566" t="s">
        <v>1001</v>
      </c>
      <c r="D30" s="347" t="s">
        <v>9</v>
      </c>
      <c r="E30" s="346" t="s">
        <v>10</v>
      </c>
      <c r="F30" s="348">
        <v>921.95</v>
      </c>
      <c r="G30" s="349">
        <v>0.1</v>
      </c>
      <c r="H30" s="350">
        <v>84.81</v>
      </c>
      <c r="I30" s="351">
        <v>42.4</v>
      </c>
      <c r="J30" s="1528" t="s">
        <v>1303</v>
      </c>
      <c r="K30" s="1529"/>
    </row>
    <row r="31" spans="1:11">
      <c r="A31" s="287">
        <v>44057</v>
      </c>
      <c r="B31" s="288">
        <v>44423</v>
      </c>
      <c r="C31" s="566" t="s">
        <v>1012</v>
      </c>
      <c r="D31" s="289" t="s">
        <v>61</v>
      </c>
      <c r="E31" s="290" t="s">
        <v>29</v>
      </c>
      <c r="F31" s="337">
        <f>2852.22+71.56</f>
        <v>2923.7799999999997</v>
      </c>
      <c r="G31" s="292">
        <v>0.1</v>
      </c>
      <c r="H31" s="293">
        <v>268.98</v>
      </c>
      <c r="I31" s="294"/>
      <c r="J31" s="557"/>
      <c r="K31" s="558"/>
    </row>
    <row r="32" spans="1:11">
      <c r="A32" s="359">
        <v>44057</v>
      </c>
      <c r="B32" s="345">
        <v>44424</v>
      </c>
      <c r="C32" s="458" t="s">
        <v>760</v>
      </c>
      <c r="D32" s="347" t="s">
        <v>9</v>
      </c>
      <c r="E32" s="346" t="s">
        <v>29</v>
      </c>
      <c r="F32" s="348">
        <f>1923.2+88.26</f>
        <v>2011.46</v>
      </c>
      <c r="G32" s="349">
        <v>0.1</v>
      </c>
      <c r="H32" s="350">
        <v>185.05</v>
      </c>
      <c r="I32" s="351"/>
      <c r="J32" s="563"/>
      <c r="K32" s="564"/>
    </row>
    <row r="33" spans="1:11">
      <c r="A33" s="359">
        <v>44057</v>
      </c>
      <c r="B33" s="345">
        <v>44424</v>
      </c>
      <c r="C33" s="571" t="s">
        <v>1014</v>
      </c>
      <c r="D33" s="347" t="s">
        <v>198</v>
      </c>
      <c r="E33" s="346" t="s">
        <v>438</v>
      </c>
      <c r="F33" s="348">
        <v>1765.84</v>
      </c>
      <c r="G33" s="349">
        <v>0.35</v>
      </c>
      <c r="H33" s="350">
        <v>568.6</v>
      </c>
      <c r="I33" s="351"/>
      <c r="J33" s="1528"/>
      <c r="K33" s="1529"/>
    </row>
    <row r="34" spans="1:11">
      <c r="A34" s="359">
        <v>44060</v>
      </c>
      <c r="B34" s="345">
        <v>44424</v>
      </c>
      <c r="C34" s="827" t="s">
        <v>1489</v>
      </c>
      <c r="D34" s="347" t="s">
        <v>9</v>
      </c>
      <c r="E34" s="346" t="s">
        <v>10</v>
      </c>
      <c r="F34" s="348">
        <v>1166.25</v>
      </c>
      <c r="G34" s="349">
        <v>0.1</v>
      </c>
      <c r="H34" s="350">
        <v>107.29</v>
      </c>
      <c r="I34" s="351"/>
      <c r="J34" s="1528"/>
      <c r="K34" s="1529"/>
    </row>
    <row r="35" spans="1:11">
      <c r="A35" s="459">
        <v>44060</v>
      </c>
      <c r="B35" s="459">
        <v>44426</v>
      </c>
      <c r="C35" s="458" t="s">
        <v>1010</v>
      </c>
      <c r="D35" s="1546" t="s">
        <v>21</v>
      </c>
      <c r="E35" s="458" t="s">
        <v>29</v>
      </c>
      <c r="F35" s="460">
        <f>1044.01+51.83</f>
        <v>1095.8399999999999</v>
      </c>
      <c r="G35" s="461">
        <v>0.13</v>
      </c>
      <c r="H35" s="462">
        <v>131.06</v>
      </c>
      <c r="I35" s="482">
        <v>65.53</v>
      </c>
      <c r="J35" s="1528" t="s">
        <v>1490</v>
      </c>
      <c r="K35" s="1529"/>
    </row>
    <row r="36" spans="1:11">
      <c r="A36" s="503">
        <v>44061</v>
      </c>
      <c r="B36" s="503">
        <v>44428</v>
      </c>
      <c r="C36" s="458" t="s">
        <v>1018</v>
      </c>
      <c r="D36" s="504" t="s">
        <v>14</v>
      </c>
      <c r="E36" s="505" t="s">
        <v>10</v>
      </c>
      <c r="F36" s="506">
        <v>1208.9100000000001</v>
      </c>
      <c r="G36" s="507">
        <v>0.25</v>
      </c>
      <c r="H36" s="506">
        <v>278.04000000000002</v>
      </c>
      <c r="I36" s="482"/>
      <c r="J36" s="563"/>
      <c r="K36" s="564"/>
    </row>
    <row r="37" spans="1:11">
      <c r="A37" s="459">
        <v>44057</v>
      </c>
      <c r="B37" s="459">
        <v>44432</v>
      </c>
      <c r="C37" s="458" t="s">
        <v>1491</v>
      </c>
      <c r="D37" s="1546" t="s">
        <v>61</v>
      </c>
      <c r="E37" s="458" t="s">
        <v>10</v>
      </c>
      <c r="F37" s="508">
        <v>1360</v>
      </c>
      <c r="G37" s="461">
        <v>0.15</v>
      </c>
      <c r="H37" s="508">
        <v>187.68</v>
      </c>
      <c r="I37" s="482">
        <v>6</v>
      </c>
      <c r="J37" s="1528" t="s">
        <v>1492</v>
      </c>
      <c r="K37" s="1529"/>
    </row>
    <row r="38" spans="1:11">
      <c r="A38" s="26">
        <v>44061</v>
      </c>
      <c r="B38" s="26">
        <v>44426</v>
      </c>
      <c r="C38" s="13" t="s">
        <v>1493</v>
      </c>
      <c r="D38" s="14" t="s">
        <v>448</v>
      </c>
      <c r="E38" s="13" t="s">
        <v>279</v>
      </c>
      <c r="F38" s="145">
        <v>641.91</v>
      </c>
      <c r="G38" s="56">
        <v>0.1</v>
      </c>
      <c r="H38" s="145">
        <v>59.05</v>
      </c>
      <c r="I38" s="448"/>
      <c r="J38" s="682"/>
      <c r="K38" s="660"/>
    </row>
    <row r="39" spans="1:11">
      <c r="A39" s="90">
        <v>44062</v>
      </c>
      <c r="B39" s="91">
        <v>44428</v>
      </c>
      <c r="C39" s="92" t="s">
        <v>1015</v>
      </c>
      <c r="D39" s="93" t="s">
        <v>448</v>
      </c>
      <c r="E39" s="92" t="s">
        <v>10</v>
      </c>
      <c r="F39" s="322">
        <v>1293.22</v>
      </c>
      <c r="G39" s="94">
        <v>0.1</v>
      </c>
      <c r="H39" s="95">
        <v>118.97</v>
      </c>
      <c r="I39" s="159">
        <v>59.48</v>
      </c>
      <c r="J39" s="682" t="s">
        <v>1484</v>
      </c>
      <c r="K39" s="660"/>
    </row>
    <row r="40" spans="1:11">
      <c r="A40" s="90">
        <v>44062</v>
      </c>
      <c r="B40" s="91" t="s">
        <v>1457</v>
      </c>
      <c r="C40" s="92" t="s">
        <v>1494</v>
      </c>
      <c r="D40" s="93" t="s">
        <v>14</v>
      </c>
      <c r="E40" s="92" t="s">
        <v>90</v>
      </c>
      <c r="F40" s="322">
        <v>100.02</v>
      </c>
      <c r="G40" s="94">
        <v>0.2</v>
      </c>
      <c r="H40" s="95">
        <v>18.399999999999999</v>
      </c>
      <c r="I40" s="159"/>
      <c r="J40" s="561"/>
      <c r="K40" s="562"/>
    </row>
    <row r="41" spans="1:11">
      <c r="A41" s="474">
        <v>44063</v>
      </c>
      <c r="B41" s="475">
        <v>44428</v>
      </c>
      <c r="C41" s="827" t="s">
        <v>1495</v>
      </c>
      <c r="D41" s="477" t="s">
        <v>61</v>
      </c>
      <c r="E41" s="476" t="s">
        <v>10</v>
      </c>
      <c r="F41" s="478">
        <v>1120.5</v>
      </c>
      <c r="G41" s="479">
        <v>0.1</v>
      </c>
      <c r="H41" s="480">
        <v>103.08</v>
      </c>
      <c r="I41" s="481" t="s">
        <v>1496</v>
      </c>
      <c r="J41" s="718"/>
      <c r="K41" s="719"/>
    </row>
    <row r="42" spans="1:11">
      <c r="A42" s="359">
        <v>44063</v>
      </c>
      <c r="B42" s="345">
        <v>44428</v>
      </c>
      <c r="C42" s="346" t="s">
        <v>1007</v>
      </c>
      <c r="D42" s="347" t="s">
        <v>14</v>
      </c>
      <c r="E42" s="346" t="s">
        <v>438</v>
      </c>
      <c r="F42" s="348">
        <v>1033.2</v>
      </c>
      <c r="G42" s="349">
        <v>0.1</v>
      </c>
      <c r="H42" s="350">
        <v>95.05</v>
      </c>
      <c r="I42" s="351"/>
      <c r="J42" s="563"/>
      <c r="K42" s="564"/>
    </row>
    <row r="43" spans="1:11">
      <c r="A43" s="90">
        <v>44062</v>
      </c>
      <c r="B43" s="91">
        <v>44432</v>
      </c>
      <c r="C43" s="92" t="s">
        <v>1497</v>
      </c>
      <c r="D43" s="93" t="s">
        <v>448</v>
      </c>
      <c r="E43" s="92" t="s">
        <v>10</v>
      </c>
      <c r="F43" s="322">
        <v>1895.71</v>
      </c>
      <c r="G43" s="94">
        <v>0.1</v>
      </c>
      <c r="H43" s="95">
        <v>174.4</v>
      </c>
      <c r="I43" s="159"/>
      <c r="J43" s="561"/>
      <c r="K43" s="562"/>
    </row>
    <row r="44" spans="1:11">
      <c r="A44" s="90">
        <v>44068</v>
      </c>
      <c r="B44" s="91">
        <v>44432</v>
      </c>
      <c r="C44" s="92" t="s">
        <v>1489</v>
      </c>
      <c r="D44" s="93" t="s">
        <v>448</v>
      </c>
      <c r="E44" s="92" t="s">
        <v>667</v>
      </c>
      <c r="F44" s="322">
        <v>1866.96</v>
      </c>
      <c r="G44" s="94">
        <v>0.1</v>
      </c>
      <c r="H44" s="95">
        <v>171.76</v>
      </c>
      <c r="I44" s="159"/>
      <c r="J44" s="561"/>
      <c r="K44" s="562"/>
    </row>
    <row r="45" spans="1:11">
      <c r="A45" s="238">
        <v>44068</v>
      </c>
      <c r="B45" s="239">
        <v>44435</v>
      </c>
      <c r="C45" s="240" t="s">
        <v>1498</v>
      </c>
      <c r="D45" s="241" t="s">
        <v>448</v>
      </c>
      <c r="E45" s="240" t="s">
        <v>10</v>
      </c>
      <c r="F45" s="323">
        <v>3412.43</v>
      </c>
      <c r="G45" s="243">
        <v>0.1</v>
      </c>
      <c r="H45" s="244">
        <v>313.94</v>
      </c>
      <c r="I45" s="245">
        <v>31.39</v>
      </c>
      <c r="J45" s="720" t="s">
        <v>1470</v>
      </c>
      <c r="K45" s="721"/>
    </row>
    <row r="46" spans="1:11">
      <c r="A46" s="90">
        <v>44069</v>
      </c>
      <c r="B46" s="91">
        <v>44434</v>
      </c>
      <c r="C46" s="92" t="s">
        <v>109</v>
      </c>
      <c r="D46" s="93" t="s">
        <v>14</v>
      </c>
      <c r="E46" s="92" t="s">
        <v>10</v>
      </c>
      <c r="F46" s="322">
        <v>782.62</v>
      </c>
      <c r="G46" s="94">
        <v>0.1</v>
      </c>
      <c r="H46" s="95">
        <v>72</v>
      </c>
      <c r="I46" s="159"/>
      <c r="J46" s="108"/>
      <c r="K46" s="109"/>
    </row>
    <row r="47" spans="1:11">
      <c r="A47" s="90">
        <v>44069</v>
      </c>
      <c r="B47" s="91">
        <v>44434</v>
      </c>
      <c r="C47" s="92" t="s">
        <v>1499</v>
      </c>
      <c r="D47" s="93" t="s">
        <v>9</v>
      </c>
      <c r="E47" s="92" t="s">
        <v>279</v>
      </c>
      <c r="F47" s="322">
        <v>698.68</v>
      </c>
      <c r="G47" s="94">
        <v>0.2</v>
      </c>
      <c r="H47" s="95">
        <v>128.55000000000001</v>
      </c>
      <c r="I47" s="159"/>
      <c r="J47" s="108"/>
      <c r="K47" s="109"/>
    </row>
    <row r="48" spans="1:11">
      <c r="A48" s="238">
        <v>44069</v>
      </c>
      <c r="B48" s="239">
        <v>44434</v>
      </c>
      <c r="C48" s="240" t="s">
        <v>1498</v>
      </c>
      <c r="D48" s="241" t="s">
        <v>448</v>
      </c>
      <c r="E48" s="240" t="s">
        <v>10</v>
      </c>
      <c r="F48" s="323">
        <v>1594.46</v>
      </c>
      <c r="G48" s="243">
        <v>0.1</v>
      </c>
      <c r="H48" s="244">
        <v>146.69</v>
      </c>
      <c r="I48" s="245">
        <v>14.66</v>
      </c>
      <c r="J48" s="263" t="s">
        <v>1463</v>
      </c>
      <c r="K48" s="264"/>
    </row>
    <row r="49" spans="1:11">
      <c r="A49" s="359">
        <v>44070</v>
      </c>
      <c r="B49" s="345">
        <v>44435</v>
      </c>
      <c r="C49" s="346" t="s">
        <v>1500</v>
      </c>
      <c r="D49" s="347" t="s">
        <v>448</v>
      </c>
      <c r="E49" s="346" t="s">
        <v>279</v>
      </c>
      <c r="F49" s="348">
        <v>2113.84</v>
      </c>
      <c r="G49" s="349">
        <v>0.1</v>
      </c>
      <c r="H49" s="350">
        <v>194.47</v>
      </c>
      <c r="I49" s="351"/>
      <c r="J49" s="433"/>
      <c r="K49" s="434"/>
    </row>
    <row r="50" spans="1:11">
      <c r="A50" s="90">
        <v>44070</v>
      </c>
      <c r="B50" s="91">
        <v>44435</v>
      </c>
      <c r="C50" s="92" t="s">
        <v>1501</v>
      </c>
      <c r="D50" s="93" t="s">
        <v>9</v>
      </c>
      <c r="E50" s="92" t="s">
        <v>10</v>
      </c>
      <c r="F50" s="322">
        <v>1230.7</v>
      </c>
      <c r="G50" s="94">
        <v>0.12</v>
      </c>
      <c r="H50" s="95">
        <v>135.86000000000001</v>
      </c>
      <c r="I50" s="159"/>
      <c r="J50" s="108"/>
      <c r="K50" s="109"/>
    </row>
    <row r="51" spans="1:11">
      <c r="A51" s="90">
        <v>44071</v>
      </c>
      <c r="B51" s="91">
        <v>44436</v>
      </c>
      <c r="C51" s="92" t="s">
        <v>1502</v>
      </c>
      <c r="D51" s="93" t="s">
        <v>14</v>
      </c>
      <c r="E51" s="92" t="s">
        <v>22</v>
      </c>
      <c r="F51" s="322">
        <v>708.3</v>
      </c>
      <c r="G51" s="94">
        <v>0.1</v>
      </c>
      <c r="H51" s="95">
        <v>65.16</v>
      </c>
      <c r="I51" s="159"/>
      <c r="J51" s="108"/>
      <c r="K51" s="109"/>
    </row>
    <row r="52" spans="1:11">
      <c r="A52" s="297">
        <v>44071</v>
      </c>
      <c r="B52" s="298">
        <v>44438</v>
      </c>
      <c r="C52" s="101" t="s">
        <v>1503</v>
      </c>
      <c r="D52" s="299" t="s">
        <v>61</v>
      </c>
      <c r="E52" s="101" t="s">
        <v>667</v>
      </c>
      <c r="F52" s="340">
        <v>4289.99</v>
      </c>
      <c r="G52" s="301">
        <v>0.1</v>
      </c>
      <c r="H52" s="302">
        <v>394.67</v>
      </c>
      <c r="I52" s="303">
        <v>39.46</v>
      </c>
      <c r="J52" s="295" t="s">
        <v>1463</v>
      </c>
      <c r="K52" s="296"/>
    </row>
    <row r="53" spans="1:11">
      <c r="A53" s="90">
        <v>44071</v>
      </c>
      <c r="B53" s="91">
        <v>44437</v>
      </c>
      <c r="C53" s="92" t="s">
        <v>46</v>
      </c>
      <c r="D53" s="93" t="s">
        <v>14</v>
      </c>
      <c r="E53" s="92" t="s">
        <v>1310</v>
      </c>
      <c r="F53" s="322">
        <v>3090.08</v>
      </c>
      <c r="G53" s="94">
        <v>0.1</v>
      </c>
      <c r="H53" s="95">
        <v>284.27999999999997</v>
      </c>
      <c r="I53" s="159"/>
      <c r="J53" s="108"/>
      <c r="K53" s="109"/>
    </row>
    <row r="54" spans="1:11">
      <c r="A54" s="90">
        <v>44074</v>
      </c>
      <c r="B54" s="91">
        <v>44439</v>
      </c>
      <c r="C54" s="92" t="s">
        <v>1504</v>
      </c>
      <c r="D54" s="93" t="s">
        <v>9</v>
      </c>
      <c r="E54" s="92" t="s">
        <v>90</v>
      </c>
      <c r="F54" s="322">
        <v>982.61</v>
      </c>
      <c r="G54" s="94">
        <v>0.16</v>
      </c>
      <c r="H54" s="95">
        <v>144.63999999999999</v>
      </c>
      <c r="I54" s="159"/>
      <c r="J54" s="108"/>
      <c r="K54" s="109"/>
    </row>
    <row r="55" spans="1:11">
      <c r="A55" s="90">
        <v>44057</v>
      </c>
      <c r="B55" s="91">
        <v>44432</v>
      </c>
      <c r="C55" s="92" t="s">
        <v>1505</v>
      </c>
      <c r="D55" s="93" t="s">
        <v>61</v>
      </c>
      <c r="E55" s="92" t="s">
        <v>10</v>
      </c>
      <c r="F55" s="322">
        <v>1360</v>
      </c>
      <c r="G55" s="94">
        <v>0.15</v>
      </c>
      <c r="H55" s="95">
        <v>187.68</v>
      </c>
      <c r="I55" s="159"/>
      <c r="J55" s="561"/>
      <c r="K55" s="562"/>
    </row>
    <row r="56" spans="1:11">
      <c r="A56" s="90"/>
      <c r="B56" s="91"/>
      <c r="C56" s="92"/>
      <c r="D56" s="93"/>
      <c r="E56" s="92"/>
      <c r="F56" s="322"/>
      <c r="G56" s="94"/>
      <c r="H56" s="95"/>
      <c r="I56" s="159"/>
      <c r="J56" s="108"/>
      <c r="K56" s="109"/>
    </row>
    <row r="57" spans="1:11">
      <c r="A57" s="90"/>
      <c r="B57" s="91"/>
      <c r="C57" s="92"/>
      <c r="D57" s="93"/>
      <c r="E57" s="92"/>
      <c r="F57" s="322"/>
      <c r="G57" s="94"/>
      <c r="H57" s="95"/>
      <c r="I57" s="159"/>
      <c r="J57" s="108"/>
      <c r="K57" s="109"/>
    </row>
    <row r="58" spans="1:11" ht="19.5">
      <c r="A58" s="673"/>
      <c r="B58" s="674"/>
      <c r="C58" s="674"/>
      <c r="D58" s="674"/>
      <c r="E58" s="674"/>
      <c r="F58" s="338">
        <f>SUM(F2:F57)</f>
        <v>79231.989999999991</v>
      </c>
      <c r="G58" s="143"/>
      <c r="H58" s="129">
        <f>SUM(H2:H57)</f>
        <v>8732.6400000000012</v>
      </c>
      <c r="I58" s="107">
        <f>SUM(I2:I57)</f>
        <v>547.80999999999995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K56"/>
  <sheetViews>
    <sheetView topLeftCell="A16" zoomScale="85" zoomScaleNormal="85" workbookViewId="0">
      <selection activeCell="C29" sqref="C29"/>
    </sheetView>
  </sheetViews>
  <sheetFormatPr defaultRowHeight="15"/>
  <cols>
    <col min="1" max="1" width="16.42578125" bestFit="1" customWidth="1"/>
    <col min="2" max="2" width="11.5703125" bestFit="1" customWidth="1"/>
    <col min="3" max="3" width="39.7109375" bestFit="1" customWidth="1"/>
    <col min="5" max="5" width="14.140625" bestFit="1" customWidth="1"/>
    <col min="6" max="6" width="19.28515625" bestFit="1" customWidth="1"/>
    <col min="8" max="8" width="22.5703125" bestFit="1" customWidth="1"/>
    <col min="9" max="9" width="21" bestFit="1" customWidth="1"/>
    <col min="10" max="10" width="13.42578125" bestFit="1" customWidth="1"/>
  </cols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359">
        <v>44074</v>
      </c>
      <c r="B2" s="345">
        <v>44440</v>
      </c>
      <c r="C2" s="101" t="s">
        <v>1059</v>
      </c>
      <c r="D2" s="347" t="s">
        <v>198</v>
      </c>
      <c r="E2" s="346" t="s">
        <v>29</v>
      </c>
      <c r="F2" s="348">
        <v>1760.04</v>
      </c>
      <c r="G2" s="349">
        <v>0.11</v>
      </c>
      <c r="H2" s="350">
        <v>178.11</v>
      </c>
      <c r="I2" s="351">
        <v>89.05</v>
      </c>
      <c r="J2" s="433" t="s">
        <v>1482</v>
      </c>
      <c r="K2" s="434"/>
    </row>
    <row r="3" spans="1:11">
      <c r="A3" s="216">
        <v>44076</v>
      </c>
      <c r="B3" s="221">
        <v>44442</v>
      </c>
      <c r="C3" s="833" t="s">
        <v>119</v>
      </c>
      <c r="D3" s="218" t="s">
        <v>713</v>
      </c>
      <c r="E3" s="217" t="s">
        <v>10</v>
      </c>
      <c r="F3" s="310">
        <v>1663.89</v>
      </c>
      <c r="G3" s="220">
        <v>0.1</v>
      </c>
      <c r="H3" s="214">
        <v>153.07</v>
      </c>
      <c r="I3" s="215"/>
      <c r="J3" s="223"/>
      <c r="K3" s="224"/>
    </row>
    <row r="4" spans="1:11">
      <c r="A4" s="287">
        <v>44078</v>
      </c>
      <c r="B4" s="288">
        <v>44443</v>
      </c>
      <c r="C4" s="834" t="s">
        <v>1506</v>
      </c>
      <c r="D4" s="289" t="s">
        <v>70</v>
      </c>
      <c r="E4" s="290" t="s">
        <v>279</v>
      </c>
      <c r="F4" s="337">
        <v>2500.81</v>
      </c>
      <c r="G4" s="292">
        <v>0.1</v>
      </c>
      <c r="H4" s="293">
        <v>230.07</v>
      </c>
      <c r="I4" s="294"/>
      <c r="J4" s="557"/>
      <c r="K4" s="558"/>
    </row>
    <row r="5" spans="1:11">
      <c r="A5" s="287">
        <v>44082</v>
      </c>
      <c r="B5" s="288">
        <v>44448</v>
      </c>
      <c r="C5" s="834" t="s">
        <v>169</v>
      </c>
      <c r="D5" s="289" t="s">
        <v>448</v>
      </c>
      <c r="E5" s="290" t="s">
        <v>19</v>
      </c>
      <c r="F5" s="337">
        <v>1757.98</v>
      </c>
      <c r="G5" s="292">
        <v>0.1</v>
      </c>
      <c r="H5" s="293">
        <v>161.72999999999999</v>
      </c>
      <c r="I5" s="580"/>
      <c r="J5" s="722"/>
      <c r="K5" s="723"/>
    </row>
    <row r="6" spans="1:11">
      <c r="A6" s="287">
        <v>44082</v>
      </c>
      <c r="B6" s="288">
        <v>44447</v>
      </c>
      <c r="C6" s="834" t="s">
        <v>437</v>
      </c>
      <c r="D6" s="289" t="s">
        <v>61</v>
      </c>
      <c r="E6" s="436" t="s">
        <v>19</v>
      </c>
      <c r="F6" s="437">
        <v>1369.24</v>
      </c>
      <c r="G6" s="438">
        <v>0.1</v>
      </c>
      <c r="H6" s="293">
        <v>125.95</v>
      </c>
      <c r="I6" s="294"/>
      <c r="J6" s="557"/>
      <c r="K6" s="558"/>
    </row>
    <row r="7" spans="1:11">
      <c r="A7" s="359">
        <v>44082</v>
      </c>
      <c r="B7" s="345">
        <v>44447</v>
      </c>
      <c r="C7" s="834" t="s">
        <v>1507</v>
      </c>
      <c r="D7" s="347" t="s">
        <v>1508</v>
      </c>
      <c r="E7" s="346" t="s">
        <v>29</v>
      </c>
      <c r="F7" s="348">
        <v>1193.49</v>
      </c>
      <c r="G7" s="349">
        <v>0.1</v>
      </c>
      <c r="H7" s="350">
        <v>109.8</v>
      </c>
      <c r="I7" s="351">
        <v>54.9</v>
      </c>
      <c r="J7" s="563" t="s">
        <v>1509</v>
      </c>
      <c r="K7" s="564"/>
    </row>
    <row r="8" spans="1:11">
      <c r="A8" s="297">
        <v>44083</v>
      </c>
      <c r="B8" s="298">
        <v>44448</v>
      </c>
      <c r="C8" s="101" t="s">
        <v>1510</v>
      </c>
      <c r="D8" s="299" t="s">
        <v>9</v>
      </c>
      <c r="E8" s="101" t="s">
        <v>15</v>
      </c>
      <c r="F8" s="340"/>
      <c r="G8" s="301"/>
      <c r="H8" s="302"/>
      <c r="I8" s="303"/>
      <c r="J8" s="724"/>
      <c r="K8" s="725"/>
    </row>
    <row r="9" spans="1:11">
      <c r="A9" s="287">
        <v>44083</v>
      </c>
      <c r="B9" s="288">
        <v>44448</v>
      </c>
      <c r="C9" s="566" t="s">
        <v>1039</v>
      </c>
      <c r="D9" s="289" t="s">
        <v>9</v>
      </c>
      <c r="E9" s="290" t="s">
        <v>17</v>
      </c>
      <c r="F9" s="337">
        <v>1250.1600000000001</v>
      </c>
      <c r="G9" s="292">
        <v>0.2</v>
      </c>
      <c r="H9" s="293">
        <v>230.02</v>
      </c>
      <c r="I9" s="294"/>
      <c r="J9" s="1532"/>
      <c r="K9" s="1533"/>
    </row>
    <row r="10" spans="1:11">
      <c r="A10" s="287">
        <v>44084</v>
      </c>
      <c r="B10" s="288">
        <v>44466</v>
      </c>
      <c r="C10" s="834" t="s">
        <v>1511</v>
      </c>
      <c r="D10" s="289" t="s">
        <v>149</v>
      </c>
      <c r="E10" s="290" t="s">
        <v>816</v>
      </c>
      <c r="F10" s="337">
        <v>3164.4</v>
      </c>
      <c r="G10" s="292">
        <v>0.1</v>
      </c>
      <c r="H10" s="293">
        <v>291.12</v>
      </c>
      <c r="I10" s="581"/>
      <c r="J10" s="1546"/>
      <c r="K10" s="1546"/>
    </row>
    <row r="11" spans="1:11">
      <c r="A11" s="287">
        <v>44084</v>
      </c>
      <c r="B11" s="288">
        <v>44451</v>
      </c>
      <c r="C11" s="566" t="s">
        <v>126</v>
      </c>
      <c r="D11" s="289" t="s">
        <v>61</v>
      </c>
      <c r="E11" s="290" t="s">
        <v>29</v>
      </c>
      <c r="F11" s="337">
        <v>823.3</v>
      </c>
      <c r="G11" s="292">
        <v>0.1</v>
      </c>
      <c r="H11" s="293">
        <v>75.739999999999995</v>
      </c>
      <c r="I11" s="294"/>
      <c r="J11" s="1532"/>
      <c r="K11" s="1533"/>
    </row>
    <row r="12" spans="1:11">
      <c r="A12" s="287">
        <v>44084</v>
      </c>
      <c r="B12" s="288">
        <v>44453</v>
      </c>
      <c r="C12" s="835" t="s">
        <v>1512</v>
      </c>
      <c r="D12" s="289" t="s">
        <v>25</v>
      </c>
      <c r="E12" s="290" t="s">
        <v>10</v>
      </c>
      <c r="F12" s="337">
        <v>1286.01</v>
      </c>
      <c r="G12" s="292">
        <v>0.1</v>
      </c>
      <c r="H12" s="293">
        <v>118.31</v>
      </c>
      <c r="I12" s="580"/>
      <c r="J12" s="557"/>
      <c r="K12" s="558"/>
    </row>
    <row r="13" spans="1:11">
      <c r="A13" s="255">
        <v>44084</v>
      </c>
      <c r="B13" s="256">
        <v>44451</v>
      </c>
      <c r="C13" s="836" t="s">
        <v>1326</v>
      </c>
      <c r="D13" s="258" t="s">
        <v>25</v>
      </c>
      <c r="E13" s="257" t="s">
        <v>22</v>
      </c>
      <c r="F13" s="321">
        <v>2487.31</v>
      </c>
      <c r="G13" s="260">
        <v>0.1</v>
      </c>
      <c r="H13" s="261">
        <v>228.83</v>
      </c>
      <c r="I13" s="582">
        <v>22.88</v>
      </c>
      <c r="J13" s="716" t="s">
        <v>1513</v>
      </c>
      <c r="K13" s="717"/>
    </row>
    <row r="14" spans="1:11">
      <c r="A14" s="287">
        <v>44084</v>
      </c>
      <c r="B14" s="288">
        <v>44454</v>
      </c>
      <c r="C14" s="834" t="s">
        <v>1041</v>
      </c>
      <c r="D14" s="289" t="s">
        <v>198</v>
      </c>
      <c r="E14" s="290" t="s">
        <v>10</v>
      </c>
      <c r="F14" s="337">
        <v>921.09</v>
      </c>
      <c r="G14" s="292">
        <v>0.1</v>
      </c>
      <c r="H14" s="293">
        <v>84.74</v>
      </c>
      <c r="I14" s="294"/>
      <c r="J14" s="557"/>
      <c r="K14" s="558"/>
    </row>
    <row r="15" spans="1:11">
      <c r="A15" s="287">
        <v>44085</v>
      </c>
      <c r="B15" s="288">
        <v>44456</v>
      </c>
      <c r="C15" s="834" t="s">
        <v>1514</v>
      </c>
      <c r="D15" s="289" t="s">
        <v>25</v>
      </c>
      <c r="E15" s="290" t="s">
        <v>10</v>
      </c>
      <c r="F15" s="337">
        <v>1133.01</v>
      </c>
      <c r="G15" s="292">
        <v>0.15</v>
      </c>
      <c r="H15" s="293">
        <v>156.35</v>
      </c>
      <c r="I15" s="294"/>
      <c r="J15" s="557"/>
      <c r="K15" s="558"/>
    </row>
    <row r="16" spans="1:11">
      <c r="A16" s="287">
        <v>44085</v>
      </c>
      <c r="B16" s="288">
        <v>44451</v>
      </c>
      <c r="C16" s="834" t="s">
        <v>596</v>
      </c>
      <c r="D16" s="289" t="s">
        <v>448</v>
      </c>
      <c r="E16" s="290" t="s">
        <v>438</v>
      </c>
      <c r="F16" s="337">
        <v>1303.5999999999999</v>
      </c>
      <c r="G16" s="292">
        <v>0.15</v>
      </c>
      <c r="H16" s="293">
        <v>179.89</v>
      </c>
      <c r="I16" s="294"/>
      <c r="J16" s="557"/>
      <c r="K16" s="558"/>
    </row>
    <row r="17" spans="1:11">
      <c r="A17" s="359">
        <v>44085</v>
      </c>
      <c r="B17" s="345">
        <v>44450</v>
      </c>
      <c r="C17" s="585" t="s">
        <v>1053</v>
      </c>
      <c r="D17" s="347" t="s">
        <v>448</v>
      </c>
      <c r="E17" s="346" t="s">
        <v>945</v>
      </c>
      <c r="F17" s="348">
        <v>887.15</v>
      </c>
      <c r="G17" s="349">
        <v>0.1</v>
      </c>
      <c r="H17" s="350">
        <v>81.61</v>
      </c>
      <c r="I17" s="522"/>
      <c r="J17" s="1528"/>
      <c r="K17" s="1529"/>
    </row>
    <row r="18" spans="1:11">
      <c r="A18" s="238">
        <v>44088</v>
      </c>
      <c r="B18" s="239">
        <v>44460</v>
      </c>
      <c r="C18" s="796" t="s">
        <v>1515</v>
      </c>
      <c r="D18" s="241" t="s">
        <v>61</v>
      </c>
      <c r="E18" s="240" t="s">
        <v>19</v>
      </c>
      <c r="F18" s="323">
        <v>1146.9100000000001</v>
      </c>
      <c r="G18" s="243">
        <v>0.1</v>
      </c>
      <c r="H18" s="244">
        <v>105.51</v>
      </c>
      <c r="I18" s="245"/>
      <c r="J18" s="1530"/>
      <c r="K18" s="1531"/>
    </row>
    <row r="19" spans="1:11">
      <c r="A19" s="359">
        <v>44088</v>
      </c>
      <c r="B19" s="345">
        <v>44453</v>
      </c>
      <c r="C19" s="834" t="s">
        <v>1516</v>
      </c>
      <c r="D19" s="347" t="s">
        <v>61</v>
      </c>
      <c r="E19" s="346" t="s">
        <v>22</v>
      </c>
      <c r="F19" s="348">
        <v>661.42</v>
      </c>
      <c r="G19" s="349">
        <v>0.1</v>
      </c>
      <c r="H19" s="350">
        <v>60.84</v>
      </c>
      <c r="I19" s="351">
        <v>6</v>
      </c>
      <c r="J19" s="563" t="s">
        <v>1517</v>
      </c>
      <c r="K19" s="564"/>
    </row>
    <row r="20" spans="1:11">
      <c r="A20" s="238">
        <v>44088</v>
      </c>
      <c r="B20" s="427">
        <v>44449</v>
      </c>
      <c r="C20" s="840" t="s">
        <v>1518</v>
      </c>
      <c r="D20" s="241" t="s">
        <v>112</v>
      </c>
      <c r="E20" s="240" t="s">
        <v>22</v>
      </c>
      <c r="F20" s="323">
        <v>1313.15</v>
      </c>
      <c r="G20" s="243">
        <v>0.1</v>
      </c>
      <c r="H20" s="244">
        <v>120.8</v>
      </c>
      <c r="I20" s="245">
        <v>12.08</v>
      </c>
      <c r="J20" s="720" t="s">
        <v>1513</v>
      </c>
      <c r="K20" s="721"/>
    </row>
    <row r="21" spans="1:11">
      <c r="A21" s="599">
        <v>44088</v>
      </c>
      <c r="B21" s="607">
        <v>44453</v>
      </c>
      <c r="C21" s="837" t="s">
        <v>1519</v>
      </c>
      <c r="D21" s="602" t="s">
        <v>9</v>
      </c>
      <c r="E21" s="601" t="s">
        <v>1310</v>
      </c>
      <c r="F21" s="603">
        <v>1702.82</v>
      </c>
      <c r="G21" s="604">
        <v>0.12</v>
      </c>
      <c r="H21" s="605">
        <v>187.99</v>
      </c>
      <c r="I21" s="606">
        <v>93.99</v>
      </c>
      <c r="J21" s="1542" t="s">
        <v>491</v>
      </c>
      <c r="K21" s="1543"/>
    </row>
    <row r="22" spans="1:11">
      <c r="A22" s="359">
        <v>44088</v>
      </c>
      <c r="B22" s="345">
        <v>44085</v>
      </c>
      <c r="C22" s="101" t="s">
        <v>1048</v>
      </c>
      <c r="D22" s="347" t="s">
        <v>533</v>
      </c>
      <c r="E22" s="346" t="s">
        <v>10</v>
      </c>
      <c r="F22" s="348">
        <v>2782.92</v>
      </c>
      <c r="G22" s="349">
        <v>0.1</v>
      </c>
      <c r="H22" s="350">
        <v>256.02</v>
      </c>
      <c r="I22" s="351"/>
      <c r="J22" s="563"/>
      <c r="K22" s="564"/>
    </row>
    <row r="23" spans="1:11">
      <c r="A23" s="238">
        <v>44089</v>
      </c>
      <c r="B23" s="239">
        <v>44455</v>
      </c>
      <c r="C23" s="834" t="s">
        <v>1385</v>
      </c>
      <c r="D23" s="241" t="s">
        <v>61</v>
      </c>
      <c r="E23" s="240" t="s">
        <v>945</v>
      </c>
      <c r="F23" s="323">
        <v>5378.72</v>
      </c>
      <c r="G23" s="243">
        <v>0.1</v>
      </c>
      <c r="H23" s="244">
        <v>494.84</v>
      </c>
      <c r="I23" s="245">
        <v>49.48</v>
      </c>
      <c r="J23" s="1530" t="s">
        <v>1470</v>
      </c>
      <c r="K23" s="1531"/>
    </row>
    <row r="24" spans="1:11">
      <c r="A24" s="599">
        <v>44089</v>
      </c>
      <c r="B24" s="600">
        <v>44454</v>
      </c>
      <c r="C24" s="838" t="s">
        <v>1520</v>
      </c>
      <c r="D24" s="602" t="s">
        <v>70</v>
      </c>
      <c r="E24" s="601" t="s">
        <v>279</v>
      </c>
      <c r="F24" s="603">
        <v>2325.7399999999998</v>
      </c>
      <c r="G24" s="604">
        <v>0.13</v>
      </c>
      <c r="H24" s="605">
        <v>278.14999999999998</v>
      </c>
      <c r="I24" s="606">
        <v>139.07</v>
      </c>
      <c r="J24" s="1542" t="s">
        <v>491</v>
      </c>
      <c r="K24" s="1543"/>
    </row>
    <row r="25" spans="1:11">
      <c r="A25" s="459">
        <v>44089</v>
      </c>
      <c r="B25" s="459">
        <v>44454</v>
      </c>
      <c r="C25" s="835" t="s">
        <v>1049</v>
      </c>
      <c r="D25" s="1546" t="s">
        <v>9</v>
      </c>
      <c r="E25" s="458" t="s">
        <v>22</v>
      </c>
      <c r="F25" s="460">
        <v>1001.81</v>
      </c>
      <c r="G25" s="461">
        <v>0.15</v>
      </c>
      <c r="H25" s="462">
        <v>138.24</v>
      </c>
      <c r="I25" s="463"/>
      <c r="J25" s="563"/>
      <c r="K25" s="564"/>
    </row>
    <row r="26" spans="1:11">
      <c r="A26" s="491">
        <v>44090</v>
      </c>
      <c r="B26" s="492">
        <v>44455</v>
      </c>
      <c r="C26" s="839" t="s">
        <v>1521</v>
      </c>
      <c r="D26" s="494" t="s">
        <v>14</v>
      </c>
      <c r="E26" s="493" t="s">
        <v>15</v>
      </c>
      <c r="F26" s="495">
        <v>1874.96</v>
      </c>
      <c r="G26" s="496">
        <v>0.3</v>
      </c>
      <c r="H26" s="497">
        <v>517.48</v>
      </c>
      <c r="I26" s="498">
        <v>258.74</v>
      </c>
      <c r="J26" s="557" t="s">
        <v>1482</v>
      </c>
      <c r="K26" s="558"/>
    </row>
    <row r="27" spans="1:11">
      <c r="A27" s="359">
        <v>44090</v>
      </c>
      <c r="B27" s="345">
        <v>44456</v>
      </c>
      <c r="C27" s="584" t="s">
        <v>1522</v>
      </c>
      <c r="D27" s="347" t="s">
        <v>9</v>
      </c>
      <c r="E27" s="346" t="s">
        <v>1310</v>
      </c>
      <c r="F27" s="348">
        <v>1559.44</v>
      </c>
      <c r="G27" s="349">
        <v>0.1</v>
      </c>
      <c r="H27" s="502">
        <v>143.45599999999999</v>
      </c>
      <c r="I27" s="351"/>
      <c r="J27" s="563"/>
      <c r="K27" s="564"/>
    </row>
    <row r="28" spans="1:11">
      <c r="A28" s="359">
        <v>44090</v>
      </c>
      <c r="B28" s="345">
        <v>44459</v>
      </c>
      <c r="C28" s="746" t="s">
        <v>1523</v>
      </c>
      <c r="D28" s="347" t="s">
        <v>25</v>
      </c>
      <c r="E28" s="346" t="s">
        <v>15</v>
      </c>
      <c r="F28" s="348">
        <v>1739.42</v>
      </c>
      <c r="G28" s="349">
        <v>0.1</v>
      </c>
      <c r="H28" s="350">
        <v>160.02000000000001</v>
      </c>
      <c r="I28" s="351"/>
      <c r="J28" s="563"/>
      <c r="K28" s="564"/>
    </row>
    <row r="29" spans="1:11">
      <c r="A29" s="238">
        <v>44091</v>
      </c>
      <c r="B29" s="239">
        <v>44460</v>
      </c>
      <c r="C29" s="521" t="s">
        <v>1524</v>
      </c>
      <c r="D29" s="241" t="s">
        <v>14</v>
      </c>
      <c r="E29" s="240" t="s">
        <v>438</v>
      </c>
      <c r="F29" s="323">
        <v>1803.39</v>
      </c>
      <c r="G29" s="243">
        <v>0.35</v>
      </c>
      <c r="H29" s="244">
        <v>580.69000000000005</v>
      </c>
      <c r="I29" s="586">
        <v>58.06</v>
      </c>
      <c r="J29" s="1530" t="s">
        <v>1470</v>
      </c>
      <c r="K29" s="1531"/>
    </row>
    <row r="30" spans="1:11">
      <c r="A30" s="359">
        <v>44092</v>
      </c>
      <c r="B30" s="345">
        <v>44457</v>
      </c>
      <c r="C30" s="566" t="s">
        <v>773</v>
      </c>
      <c r="D30" s="347" t="s">
        <v>9</v>
      </c>
      <c r="E30" s="346" t="s">
        <v>10</v>
      </c>
      <c r="F30" s="348">
        <v>982.77</v>
      </c>
      <c r="G30" s="349">
        <v>0.2</v>
      </c>
      <c r="H30" s="350">
        <v>180.82</v>
      </c>
      <c r="I30" s="351"/>
      <c r="J30" s="1528"/>
      <c r="K30" s="1529"/>
    </row>
    <row r="31" spans="1:11">
      <c r="A31" s="255">
        <v>44092</v>
      </c>
      <c r="B31" s="256">
        <v>44469</v>
      </c>
      <c r="C31" s="412" t="s">
        <v>1525</v>
      </c>
      <c r="D31" s="258" t="s">
        <v>61</v>
      </c>
      <c r="E31" s="257" t="s">
        <v>438</v>
      </c>
      <c r="F31" s="321">
        <v>2316.7399999999998</v>
      </c>
      <c r="G31" s="260">
        <v>0.3</v>
      </c>
      <c r="H31" s="261">
        <v>639.41999999999996</v>
      </c>
      <c r="I31" s="262">
        <v>63.94</v>
      </c>
      <c r="J31" s="716" t="s">
        <v>1513</v>
      </c>
      <c r="K31" s="717"/>
    </row>
    <row r="32" spans="1:11">
      <c r="A32" s="359">
        <v>44095</v>
      </c>
      <c r="B32" s="345">
        <v>44465</v>
      </c>
      <c r="C32" s="585" t="s">
        <v>1526</v>
      </c>
      <c r="D32" s="347" t="s">
        <v>448</v>
      </c>
      <c r="E32" s="346" t="s">
        <v>279</v>
      </c>
      <c r="F32" s="348">
        <v>1035.02</v>
      </c>
      <c r="G32" s="349">
        <v>0.1</v>
      </c>
      <c r="H32" s="350">
        <v>103.5</v>
      </c>
      <c r="I32" s="351">
        <v>51.75</v>
      </c>
      <c r="J32" s="563" t="s">
        <v>1482</v>
      </c>
      <c r="K32" s="564"/>
    </row>
    <row r="33" spans="1:11">
      <c r="A33" s="359">
        <v>44095</v>
      </c>
      <c r="B33" s="345">
        <v>44460</v>
      </c>
      <c r="C33" s="832" t="s">
        <v>1057</v>
      </c>
      <c r="D33" s="347" t="s">
        <v>14</v>
      </c>
      <c r="E33" s="346" t="s">
        <v>10</v>
      </c>
      <c r="F33" s="348">
        <v>1138.46</v>
      </c>
      <c r="G33" s="349">
        <v>0.1</v>
      </c>
      <c r="H33" s="350">
        <v>104.73</v>
      </c>
      <c r="I33" s="351"/>
      <c r="J33" s="1528"/>
      <c r="K33" s="1529"/>
    </row>
    <row r="34" spans="1:11">
      <c r="A34" s="459">
        <v>44095</v>
      </c>
      <c r="B34" s="459">
        <v>44460</v>
      </c>
      <c r="C34" s="585" t="s">
        <v>1162</v>
      </c>
      <c r="D34" s="1546" t="s">
        <v>448</v>
      </c>
      <c r="E34" s="458" t="s">
        <v>279</v>
      </c>
      <c r="F34" s="460">
        <v>1695.45</v>
      </c>
      <c r="G34" s="461">
        <v>0.1</v>
      </c>
      <c r="H34" s="462">
        <v>155.97999999999999</v>
      </c>
      <c r="I34" s="482"/>
      <c r="J34" s="1528"/>
      <c r="K34" s="1529"/>
    </row>
    <row r="35" spans="1:11">
      <c r="A35" s="503">
        <v>44097</v>
      </c>
      <c r="B35" s="503">
        <v>44468</v>
      </c>
      <c r="C35" s="585" t="s">
        <v>133</v>
      </c>
      <c r="D35" s="504" t="s">
        <v>9</v>
      </c>
      <c r="E35" s="505" t="s">
        <v>22</v>
      </c>
      <c r="F35" s="506">
        <v>1463.07</v>
      </c>
      <c r="G35" s="507">
        <v>0.1</v>
      </c>
      <c r="H35" s="506">
        <v>134.6</v>
      </c>
      <c r="I35" s="482"/>
      <c r="J35" s="563"/>
      <c r="K35" s="564"/>
    </row>
    <row r="36" spans="1:11">
      <c r="A36" s="459">
        <v>44098</v>
      </c>
      <c r="B36" s="459">
        <v>44463</v>
      </c>
      <c r="C36" s="585" t="s">
        <v>1527</v>
      </c>
      <c r="D36" s="1546" t="s">
        <v>448</v>
      </c>
      <c r="E36" s="458" t="s">
        <v>279</v>
      </c>
      <c r="F36" s="508">
        <v>2183.8200000000002</v>
      </c>
      <c r="G36" s="461">
        <v>0.15</v>
      </c>
      <c r="H36" s="508">
        <v>301.36</v>
      </c>
      <c r="I36" s="482">
        <v>150.68</v>
      </c>
      <c r="J36" s="1528" t="s">
        <v>1482</v>
      </c>
      <c r="K36" s="1529"/>
    </row>
    <row r="37" spans="1:11">
      <c r="A37" s="459">
        <v>44098</v>
      </c>
      <c r="B37" s="459">
        <v>44463</v>
      </c>
      <c r="C37" s="585" t="s">
        <v>1528</v>
      </c>
      <c r="D37" s="1546" t="s">
        <v>9</v>
      </c>
      <c r="E37" s="458" t="s">
        <v>1529</v>
      </c>
      <c r="F37" s="508">
        <v>1142.19</v>
      </c>
      <c r="G37" s="461">
        <v>0.1</v>
      </c>
      <c r="H37" s="508">
        <v>105.08</v>
      </c>
      <c r="I37" s="482"/>
      <c r="J37" s="1528"/>
      <c r="K37" s="1529"/>
    </row>
    <row r="38" spans="1:11">
      <c r="A38" s="359">
        <v>44098</v>
      </c>
      <c r="B38" s="345">
        <v>44463</v>
      </c>
      <c r="C38" s="566" t="s">
        <v>1530</v>
      </c>
      <c r="D38" s="347" t="s">
        <v>9</v>
      </c>
      <c r="E38" s="346" t="s">
        <v>29</v>
      </c>
      <c r="F38" s="348">
        <v>1893.1</v>
      </c>
      <c r="G38" s="349">
        <v>0.1</v>
      </c>
      <c r="H38" s="350">
        <v>174.16</v>
      </c>
      <c r="I38" s="351"/>
      <c r="J38" s="1528"/>
      <c r="K38" s="1529"/>
    </row>
    <row r="39" spans="1:11">
      <c r="A39" s="359">
        <v>44099</v>
      </c>
      <c r="B39" s="345">
        <v>44466</v>
      </c>
      <c r="C39" s="566" t="s">
        <v>1067</v>
      </c>
      <c r="D39" s="347" t="s">
        <v>14</v>
      </c>
      <c r="E39" s="346" t="s">
        <v>945</v>
      </c>
      <c r="F39" s="348">
        <v>1982.16</v>
      </c>
      <c r="G39" s="349">
        <v>0.1</v>
      </c>
      <c r="H39" s="350">
        <v>182.35</v>
      </c>
      <c r="I39" s="351"/>
      <c r="J39" s="563"/>
      <c r="K39" s="564"/>
    </row>
    <row r="40" spans="1:11">
      <c r="A40" s="359">
        <v>44103</v>
      </c>
      <c r="B40" s="345">
        <v>44468</v>
      </c>
      <c r="C40" s="566" t="s">
        <v>1531</v>
      </c>
      <c r="D40" s="347" t="s">
        <v>14</v>
      </c>
      <c r="E40" s="346" t="s">
        <v>10</v>
      </c>
      <c r="F40" s="348">
        <v>1081.94</v>
      </c>
      <c r="G40" s="349">
        <v>0.1</v>
      </c>
      <c r="H40" s="350">
        <v>99.53</v>
      </c>
      <c r="I40" s="351"/>
      <c r="J40" s="563"/>
      <c r="K40" s="564"/>
    </row>
    <row r="41" spans="1:11">
      <c r="A41" s="238">
        <v>44103</v>
      </c>
      <c r="B41" s="239">
        <v>44469</v>
      </c>
      <c r="C41" s="412" t="s">
        <v>1532</v>
      </c>
      <c r="D41" s="241" t="s">
        <v>9</v>
      </c>
      <c r="E41" s="240" t="s">
        <v>1310</v>
      </c>
      <c r="F41" s="323">
        <v>5183.0600000000004</v>
      </c>
      <c r="G41" s="243">
        <v>0.1</v>
      </c>
      <c r="H41" s="244">
        <v>476.84</v>
      </c>
      <c r="I41" s="245">
        <v>47.68</v>
      </c>
      <c r="J41" s="720" t="s">
        <v>1470</v>
      </c>
      <c r="K41" s="721"/>
    </row>
    <row r="42" spans="1:11">
      <c r="A42" s="359">
        <v>44101</v>
      </c>
      <c r="B42" s="345">
        <v>44466</v>
      </c>
      <c r="C42" s="346" t="s">
        <v>1533</v>
      </c>
      <c r="D42" s="347" t="s">
        <v>448</v>
      </c>
      <c r="E42" s="346" t="s">
        <v>545</v>
      </c>
      <c r="F42" s="348" t="s">
        <v>1534</v>
      </c>
      <c r="G42" s="349" t="s">
        <v>454</v>
      </c>
      <c r="H42" s="350">
        <v>150</v>
      </c>
      <c r="I42" s="351"/>
      <c r="J42" s="563"/>
      <c r="K42" s="564"/>
    </row>
    <row r="43" spans="1:11">
      <c r="A43" s="238">
        <v>44078</v>
      </c>
      <c r="B43" s="239">
        <v>44443</v>
      </c>
      <c r="C43" s="240" t="s">
        <v>1535</v>
      </c>
      <c r="D43" s="241" t="s">
        <v>448</v>
      </c>
      <c r="E43" s="240" t="s">
        <v>545</v>
      </c>
      <c r="F43" s="323">
        <v>3420.6</v>
      </c>
      <c r="G43" s="243" t="s">
        <v>454</v>
      </c>
      <c r="H43" s="244"/>
      <c r="I43" s="245"/>
      <c r="J43" s="720"/>
      <c r="K43" s="721"/>
    </row>
    <row r="44" spans="1:11">
      <c r="A44" s="359">
        <v>44091</v>
      </c>
      <c r="B44" s="345">
        <v>44456</v>
      </c>
      <c r="C44" s="566" t="s">
        <v>1036</v>
      </c>
      <c r="D44" s="347" t="s">
        <v>448</v>
      </c>
      <c r="E44" s="346" t="s">
        <v>545</v>
      </c>
      <c r="F44" s="348" t="s">
        <v>1534</v>
      </c>
      <c r="G44" s="349" t="s">
        <v>454</v>
      </c>
      <c r="H44" s="350">
        <v>100</v>
      </c>
      <c r="I44" s="351">
        <v>50</v>
      </c>
      <c r="J44" s="433" t="s">
        <v>1509</v>
      </c>
      <c r="K44" s="434"/>
    </row>
    <row r="45" spans="1:11">
      <c r="A45" s="359">
        <v>44105</v>
      </c>
      <c r="B45" s="345">
        <v>44467</v>
      </c>
      <c r="C45" s="566" t="s">
        <v>1536</v>
      </c>
      <c r="D45" s="347" t="s">
        <v>14</v>
      </c>
      <c r="E45" s="346" t="s">
        <v>22</v>
      </c>
      <c r="F45" s="348">
        <v>1353.91</v>
      </c>
      <c r="G45" s="349">
        <v>0.1</v>
      </c>
      <c r="H45" s="350">
        <v>124.55</v>
      </c>
      <c r="I45" s="351"/>
      <c r="J45" s="433"/>
      <c r="K45" s="434"/>
    </row>
    <row r="46" spans="1:11">
      <c r="A46" s="359">
        <v>44109</v>
      </c>
      <c r="B46" s="345">
        <v>44469</v>
      </c>
      <c r="C46" s="566" t="s">
        <v>1537</v>
      </c>
      <c r="D46" s="347" t="s">
        <v>9</v>
      </c>
      <c r="E46" s="346" t="s">
        <v>1529</v>
      </c>
      <c r="F46" s="348">
        <v>2011.97</v>
      </c>
      <c r="G46" s="349">
        <v>0.1</v>
      </c>
      <c r="H46" s="350">
        <v>185.1</v>
      </c>
      <c r="I46" s="351"/>
      <c r="J46" s="433"/>
      <c r="K46" s="434"/>
    </row>
    <row r="47" spans="1:11">
      <c r="A47" s="359"/>
      <c r="B47" s="345"/>
      <c r="C47" s="346"/>
      <c r="D47" s="347"/>
      <c r="E47" s="346"/>
      <c r="F47" s="348"/>
      <c r="G47" s="349"/>
      <c r="H47" s="350"/>
      <c r="I47" s="351"/>
      <c r="J47" s="433"/>
      <c r="K47" s="434"/>
    </row>
    <row r="48" spans="1:11">
      <c r="A48" s="359"/>
      <c r="B48" s="345"/>
      <c r="C48" s="346"/>
      <c r="D48" s="347"/>
      <c r="E48" s="346"/>
      <c r="F48" s="348"/>
      <c r="G48" s="349"/>
      <c r="H48" s="350"/>
      <c r="I48" s="351"/>
      <c r="J48" s="433"/>
      <c r="K48" s="434"/>
    </row>
    <row r="49" spans="1:11">
      <c r="A49" s="359"/>
      <c r="B49" s="345"/>
      <c r="C49" s="346"/>
      <c r="D49" s="347"/>
      <c r="E49" s="346"/>
      <c r="F49" s="348"/>
      <c r="G49" s="349"/>
      <c r="H49" s="350"/>
      <c r="I49" s="351"/>
      <c r="J49" s="433"/>
      <c r="K49" s="434"/>
    </row>
    <row r="50" spans="1:11">
      <c r="A50" s="359"/>
      <c r="B50" s="345"/>
      <c r="C50" s="346"/>
      <c r="D50" s="347"/>
      <c r="E50" s="346"/>
      <c r="F50" s="348"/>
      <c r="G50" s="349"/>
      <c r="H50" s="350"/>
      <c r="I50" s="351"/>
      <c r="J50" s="433"/>
      <c r="K50" s="434"/>
    </row>
    <row r="51" spans="1:11">
      <c r="A51" s="359"/>
      <c r="B51" s="345"/>
      <c r="C51" s="346"/>
      <c r="D51" s="347"/>
      <c r="E51" s="346"/>
      <c r="F51" s="348"/>
      <c r="G51" s="349"/>
      <c r="H51" s="350"/>
      <c r="I51" s="351"/>
      <c r="J51" s="433"/>
      <c r="K51" s="434"/>
    </row>
    <row r="52" spans="1:11">
      <c r="A52" s="359"/>
      <c r="B52" s="345"/>
      <c r="C52" s="346"/>
      <c r="D52" s="347"/>
      <c r="E52" s="346"/>
      <c r="F52" s="348"/>
      <c r="G52" s="349"/>
      <c r="H52" s="350"/>
      <c r="I52" s="351"/>
      <c r="J52" s="433"/>
      <c r="K52" s="434"/>
    </row>
    <row r="53" spans="1:11">
      <c r="A53" s="359"/>
      <c r="B53" s="345"/>
      <c r="C53" s="346"/>
      <c r="D53" s="347"/>
      <c r="E53" s="346"/>
      <c r="F53" s="348"/>
      <c r="G53" s="349"/>
      <c r="H53" s="350"/>
      <c r="I53" s="351"/>
      <c r="J53" s="433"/>
      <c r="K53" s="434"/>
    </row>
    <row r="54" spans="1:11">
      <c r="A54" s="359"/>
      <c r="B54" s="345"/>
      <c r="C54" s="346"/>
      <c r="D54" s="347"/>
      <c r="E54" s="346"/>
      <c r="F54" s="348"/>
      <c r="G54" s="349"/>
      <c r="H54" s="350"/>
      <c r="I54" s="351"/>
      <c r="J54" s="433"/>
      <c r="K54" s="434"/>
    </row>
    <row r="55" spans="1:11">
      <c r="A55" s="359"/>
      <c r="B55" s="345"/>
      <c r="C55" s="346"/>
      <c r="D55" s="347"/>
      <c r="E55" s="346"/>
      <c r="F55" s="348"/>
      <c r="G55" s="349"/>
      <c r="H55" s="350"/>
      <c r="I55" s="351"/>
      <c r="J55" s="433"/>
      <c r="K55" s="434"/>
    </row>
    <row r="56" spans="1:11" ht="19.5">
      <c r="A56" s="673"/>
      <c r="B56" s="674"/>
      <c r="C56" s="674"/>
      <c r="D56" s="674"/>
      <c r="E56" s="674"/>
      <c r="F56" s="338">
        <f>SUM(F2:F55)</f>
        <v>75676.44</v>
      </c>
      <c r="G56" s="143"/>
      <c r="H56" s="129">
        <f>SUM(H2:H55)</f>
        <v>8667.3960000000006</v>
      </c>
      <c r="I56" s="107">
        <f>SUM(I2:I55)</f>
        <v>1148.3000000000002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K55"/>
  <sheetViews>
    <sheetView topLeftCell="A31" zoomScale="85" zoomScaleNormal="85" workbookViewId="0">
      <selection activeCell="C51" sqref="C51"/>
    </sheetView>
  </sheetViews>
  <sheetFormatPr defaultRowHeight="15"/>
  <cols>
    <col min="1" max="1" width="16.42578125" bestFit="1" customWidth="1"/>
    <col min="2" max="2" width="14.5703125" bestFit="1" customWidth="1"/>
    <col min="3" max="3" width="41.28515625" bestFit="1" customWidth="1"/>
    <col min="5" max="5" width="15" bestFit="1" customWidth="1"/>
    <col min="6" max="6" width="19.28515625" bestFit="1" customWidth="1"/>
    <col min="8" max="8" width="22.5703125" bestFit="1" customWidth="1"/>
    <col min="9" max="9" width="21" bestFit="1" customWidth="1"/>
    <col min="10" max="10" width="18" bestFit="1" customWidth="1"/>
  </cols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>
      <c r="A2" s="238">
        <v>44104</v>
      </c>
      <c r="B2" s="239">
        <v>44470</v>
      </c>
      <c r="C2" s="412" t="s">
        <v>1538</v>
      </c>
      <c r="D2" s="241" t="s">
        <v>9</v>
      </c>
      <c r="E2" s="240" t="s">
        <v>45</v>
      </c>
      <c r="F2" s="323">
        <v>2114.6</v>
      </c>
      <c r="G2" s="243">
        <v>0.1</v>
      </c>
      <c r="H2" s="244">
        <v>194.54</v>
      </c>
      <c r="I2" s="245" t="s">
        <v>1539</v>
      </c>
      <c r="J2" s="263" t="s">
        <v>1470</v>
      </c>
      <c r="K2" s="264"/>
    </row>
    <row r="3" spans="1:11">
      <c r="A3" s="379">
        <v>44106</v>
      </c>
      <c r="B3" s="567">
        <v>44471</v>
      </c>
      <c r="C3" s="440" t="s">
        <v>1540</v>
      </c>
      <c r="D3" s="382" t="s">
        <v>9</v>
      </c>
      <c r="E3" s="381" t="s">
        <v>500</v>
      </c>
      <c r="F3" s="386">
        <v>5556.47</v>
      </c>
      <c r="G3" s="383">
        <v>0.1</v>
      </c>
      <c r="H3" s="384">
        <v>511.19</v>
      </c>
      <c r="I3" s="385" t="s">
        <v>1539</v>
      </c>
      <c r="J3" s="307" t="s">
        <v>1470</v>
      </c>
      <c r="K3" s="308"/>
    </row>
    <row r="4" spans="1:11">
      <c r="A4" s="287">
        <v>44106</v>
      </c>
      <c r="B4" s="288">
        <v>44473</v>
      </c>
      <c r="C4" s="566" t="s">
        <v>1079</v>
      </c>
      <c r="D4" s="289" t="s">
        <v>70</v>
      </c>
      <c r="E4" s="290" t="s">
        <v>279</v>
      </c>
      <c r="F4" s="337">
        <v>1420.75</v>
      </c>
      <c r="G4" s="292">
        <v>0.1</v>
      </c>
      <c r="H4" s="293">
        <v>130.69999999999999</v>
      </c>
      <c r="I4" s="580"/>
      <c r="J4" s="722"/>
      <c r="K4" s="723"/>
    </row>
    <row r="5" spans="1:11">
      <c r="A5" s="287">
        <v>44109</v>
      </c>
      <c r="B5" s="288">
        <v>44474</v>
      </c>
      <c r="C5" s="566" t="s">
        <v>138</v>
      </c>
      <c r="D5" s="289" t="s">
        <v>14</v>
      </c>
      <c r="E5" s="436" t="s">
        <v>10</v>
      </c>
      <c r="F5" s="437">
        <v>1129.46</v>
      </c>
      <c r="G5" s="438">
        <v>0.1</v>
      </c>
      <c r="H5" s="293">
        <v>103.91</v>
      </c>
      <c r="I5" s="294"/>
      <c r="J5" s="557"/>
      <c r="K5" s="558"/>
    </row>
    <row r="6" spans="1:11">
      <c r="A6" s="359">
        <v>44109</v>
      </c>
      <c r="B6" s="345">
        <v>44474</v>
      </c>
      <c r="C6" s="566" t="s">
        <v>1541</v>
      </c>
      <c r="D6" s="347" t="s">
        <v>61</v>
      </c>
      <c r="E6" s="346" t="s">
        <v>438</v>
      </c>
      <c r="F6" s="348">
        <v>4347.96</v>
      </c>
      <c r="G6" s="349">
        <v>0.15</v>
      </c>
      <c r="H6" s="350">
        <v>600.01</v>
      </c>
      <c r="I6" s="351"/>
      <c r="J6" s="563"/>
      <c r="K6" s="564"/>
    </row>
    <row r="7" spans="1:11">
      <c r="A7" s="359">
        <v>44099</v>
      </c>
      <c r="B7" s="345">
        <v>44465</v>
      </c>
      <c r="C7" s="566" t="s">
        <v>1542</v>
      </c>
      <c r="D7" s="347" t="s">
        <v>61</v>
      </c>
      <c r="E7" s="346" t="s">
        <v>1310</v>
      </c>
      <c r="F7" s="348">
        <v>1561.69</v>
      </c>
      <c r="G7" s="349">
        <v>0.1</v>
      </c>
      <c r="H7" s="350">
        <v>143.66999999999999</v>
      </c>
      <c r="I7" s="351"/>
      <c r="J7" s="563"/>
      <c r="K7" s="564"/>
    </row>
    <row r="8" spans="1:11">
      <c r="A8" s="255">
        <v>44110</v>
      </c>
      <c r="B8" s="256">
        <v>44474</v>
      </c>
      <c r="C8" s="412" t="s">
        <v>1543</v>
      </c>
      <c r="D8" s="258" t="s">
        <v>9</v>
      </c>
      <c r="E8" s="257" t="s">
        <v>1119</v>
      </c>
      <c r="F8" s="321">
        <v>2575.94</v>
      </c>
      <c r="G8" s="260">
        <v>0.1</v>
      </c>
      <c r="H8" s="261">
        <v>236.98</v>
      </c>
      <c r="I8" s="262" t="s">
        <v>1539</v>
      </c>
      <c r="J8" s="1534" t="s">
        <v>1470</v>
      </c>
      <c r="K8" s="1535"/>
    </row>
    <row r="9" spans="1:11">
      <c r="A9" s="287">
        <v>44110</v>
      </c>
      <c r="B9" s="288">
        <v>44475</v>
      </c>
      <c r="C9" s="414" t="s">
        <v>1544</v>
      </c>
      <c r="D9" s="289" t="s">
        <v>9</v>
      </c>
      <c r="E9" s="290" t="s">
        <v>500</v>
      </c>
      <c r="F9" s="337">
        <v>2391.66</v>
      </c>
      <c r="G9" s="292">
        <v>0.1</v>
      </c>
      <c r="H9" s="293">
        <v>220.03</v>
      </c>
      <c r="I9" s="581"/>
      <c r="J9" s="1546"/>
      <c r="K9" s="1546"/>
    </row>
    <row r="10" spans="1:11">
      <c r="A10" s="287">
        <v>44110</v>
      </c>
      <c r="B10" s="288">
        <v>44480</v>
      </c>
      <c r="C10" s="566" t="s">
        <v>1545</v>
      </c>
      <c r="D10" s="289" t="s">
        <v>9</v>
      </c>
      <c r="E10" s="290" t="s">
        <v>143</v>
      </c>
      <c r="F10" s="337">
        <v>1069.47</v>
      </c>
      <c r="G10" s="292">
        <v>0.1</v>
      </c>
      <c r="H10" s="293">
        <v>98.39</v>
      </c>
      <c r="I10" s="294"/>
      <c r="J10" s="1532"/>
      <c r="K10" s="1533"/>
    </row>
    <row r="11" spans="1:11">
      <c r="A11" s="287">
        <v>44111</v>
      </c>
      <c r="B11" s="288">
        <v>44475</v>
      </c>
      <c r="C11" s="585" t="s">
        <v>1546</v>
      </c>
      <c r="D11" s="289" t="s">
        <v>9</v>
      </c>
      <c r="E11" s="290" t="s">
        <v>948</v>
      </c>
      <c r="F11" s="337">
        <v>2782.63</v>
      </c>
      <c r="G11" s="292">
        <v>0.1</v>
      </c>
      <c r="H11" s="293">
        <v>256</v>
      </c>
      <c r="I11" s="580"/>
      <c r="J11" s="557"/>
      <c r="K11" s="558"/>
    </row>
    <row r="12" spans="1:11">
      <c r="A12" s="532">
        <v>44111</v>
      </c>
      <c r="B12" s="533" t="s">
        <v>1547</v>
      </c>
      <c r="C12" s="414" t="s">
        <v>1548</v>
      </c>
      <c r="D12" s="534" t="s">
        <v>25</v>
      </c>
      <c r="E12" s="414" t="s">
        <v>362</v>
      </c>
      <c r="F12" s="535">
        <v>-724.59</v>
      </c>
      <c r="G12" s="536">
        <v>0.1</v>
      </c>
      <c r="H12" s="537">
        <v>-72.45</v>
      </c>
      <c r="I12" s="608"/>
      <c r="J12" s="726"/>
      <c r="K12" s="727"/>
    </row>
    <row r="13" spans="1:11">
      <c r="A13" s="255">
        <v>44112</v>
      </c>
      <c r="B13" s="256">
        <v>44477</v>
      </c>
      <c r="C13" s="412" t="s">
        <v>1549</v>
      </c>
      <c r="D13" s="258" t="s">
        <v>61</v>
      </c>
      <c r="E13" s="257" t="s">
        <v>438</v>
      </c>
      <c r="F13" s="321">
        <v>1672.62</v>
      </c>
      <c r="G13" s="260">
        <v>0.1</v>
      </c>
      <c r="H13" s="261">
        <v>153.88</v>
      </c>
      <c r="I13" s="262" t="s">
        <v>1539</v>
      </c>
      <c r="J13" s="716" t="s">
        <v>1470</v>
      </c>
      <c r="K13" s="717"/>
    </row>
    <row r="14" spans="1:11">
      <c r="A14" s="287">
        <v>44112</v>
      </c>
      <c r="B14" s="288">
        <v>44479</v>
      </c>
      <c r="C14" s="414" t="s">
        <v>1550</v>
      </c>
      <c r="D14" s="289" t="s">
        <v>9</v>
      </c>
      <c r="E14" s="290" t="s">
        <v>1310</v>
      </c>
      <c r="F14" s="337">
        <v>1157.32</v>
      </c>
      <c r="G14" s="292">
        <v>0.21</v>
      </c>
      <c r="H14" s="293">
        <v>223.59</v>
      </c>
      <c r="I14" s="294"/>
      <c r="J14" s="557"/>
      <c r="K14" s="558"/>
    </row>
    <row r="15" spans="1:11">
      <c r="A15" s="287">
        <v>44112</v>
      </c>
      <c r="B15" s="288">
        <v>44478</v>
      </c>
      <c r="C15" s="566" t="s">
        <v>1082</v>
      </c>
      <c r="D15" s="289" t="s">
        <v>9</v>
      </c>
      <c r="E15" s="290" t="s">
        <v>1310</v>
      </c>
      <c r="F15" s="337">
        <v>1184.44</v>
      </c>
      <c r="G15" s="292">
        <v>0.15</v>
      </c>
      <c r="H15" s="293">
        <v>163.44999999999999</v>
      </c>
      <c r="I15" s="294"/>
      <c r="J15" s="557"/>
      <c r="K15" s="558"/>
    </row>
    <row r="16" spans="1:11">
      <c r="A16" s="359">
        <v>44112</v>
      </c>
      <c r="B16" s="345">
        <v>44481</v>
      </c>
      <c r="C16" s="585" t="s">
        <v>1082</v>
      </c>
      <c r="D16" s="347" t="s">
        <v>9</v>
      </c>
      <c r="E16" s="346" t="s">
        <v>1310</v>
      </c>
      <c r="F16" s="348">
        <v>970.68</v>
      </c>
      <c r="G16" s="349">
        <v>0.15</v>
      </c>
      <c r="H16" s="350">
        <v>133.94999999999999</v>
      </c>
      <c r="I16" s="522"/>
      <c r="J16" s="1528"/>
      <c r="K16" s="1529"/>
    </row>
    <row r="17" spans="1:11" s="730" customFormat="1">
      <c r="A17" s="297">
        <v>44113</v>
      </c>
      <c r="B17" s="298">
        <v>44480</v>
      </c>
      <c r="C17" s="397" t="s">
        <v>145</v>
      </c>
      <c r="D17" s="299" t="s">
        <v>21</v>
      </c>
      <c r="E17" s="101" t="s">
        <v>667</v>
      </c>
      <c r="F17" s="340">
        <v>1247.8699999999999</v>
      </c>
      <c r="G17" s="301">
        <v>0.1</v>
      </c>
      <c r="H17" s="302">
        <v>114.8</v>
      </c>
      <c r="I17" s="303"/>
      <c r="J17" s="1538"/>
      <c r="K17" s="1539"/>
    </row>
    <row r="18" spans="1:11">
      <c r="A18" s="359">
        <v>44117</v>
      </c>
      <c r="B18" s="345">
        <v>44485</v>
      </c>
      <c r="C18" s="566" t="s">
        <v>1551</v>
      </c>
      <c r="D18" s="347" t="s">
        <v>9</v>
      </c>
      <c r="E18" s="346" t="s">
        <v>1552</v>
      </c>
      <c r="F18" s="348">
        <v>1453.67</v>
      </c>
      <c r="G18" s="349">
        <v>0.2</v>
      </c>
      <c r="H18" s="350">
        <v>267.47000000000003</v>
      </c>
      <c r="I18" s="351"/>
      <c r="J18" s="433"/>
      <c r="K18" s="434"/>
    </row>
    <row r="19" spans="1:11">
      <c r="A19" s="359">
        <v>44117</v>
      </c>
      <c r="B19" s="490">
        <v>44482</v>
      </c>
      <c r="C19" s="446" t="s">
        <v>1455</v>
      </c>
      <c r="D19" s="347" t="s">
        <v>25</v>
      </c>
      <c r="E19" s="346" t="s">
        <v>1119</v>
      </c>
      <c r="F19" s="348">
        <v>1701.17</v>
      </c>
      <c r="G19" s="349">
        <v>0.1</v>
      </c>
      <c r="H19" s="350">
        <v>156.5</v>
      </c>
      <c r="I19" s="351"/>
      <c r="J19" s="1528"/>
      <c r="K19" s="1529"/>
    </row>
    <row r="20" spans="1:11">
      <c r="A20" s="359">
        <v>44118</v>
      </c>
      <c r="B20" s="345">
        <v>44483</v>
      </c>
      <c r="C20" s="566" t="s">
        <v>1553</v>
      </c>
      <c r="D20" s="347" t="s">
        <v>61</v>
      </c>
      <c r="E20" s="346" t="s">
        <v>438</v>
      </c>
      <c r="F20" s="348">
        <v>1246.03</v>
      </c>
      <c r="G20" s="349">
        <v>0.1</v>
      </c>
      <c r="H20" s="350">
        <v>114.63</v>
      </c>
      <c r="I20" s="351"/>
      <c r="J20" s="563"/>
      <c r="K20" s="564"/>
    </row>
    <row r="21" spans="1:11">
      <c r="A21" s="359">
        <v>44119</v>
      </c>
      <c r="B21" s="345">
        <v>44486</v>
      </c>
      <c r="C21" s="566" t="s">
        <v>1090</v>
      </c>
      <c r="D21" s="347" t="s">
        <v>70</v>
      </c>
      <c r="E21" s="346" t="s">
        <v>1080</v>
      </c>
      <c r="F21" s="348">
        <v>2204.96</v>
      </c>
      <c r="G21" s="349">
        <v>0.1</v>
      </c>
      <c r="H21" s="350">
        <v>202.85</v>
      </c>
      <c r="I21" s="351"/>
      <c r="J21" s="1528"/>
      <c r="K21" s="1529"/>
    </row>
    <row r="22" spans="1:11">
      <c r="A22" s="359">
        <v>44120</v>
      </c>
      <c r="B22" s="345">
        <v>44487</v>
      </c>
      <c r="C22" s="566" t="s">
        <v>1554</v>
      </c>
      <c r="D22" s="347" t="s">
        <v>14</v>
      </c>
      <c r="E22" s="346" t="s">
        <v>948</v>
      </c>
      <c r="F22" s="348">
        <v>1658.25</v>
      </c>
      <c r="G22" s="349">
        <v>0.1</v>
      </c>
      <c r="H22" s="350">
        <v>152.55000000000001</v>
      </c>
      <c r="I22" s="351"/>
      <c r="J22" s="1528"/>
      <c r="K22" s="1529"/>
    </row>
    <row r="23" spans="1:11">
      <c r="A23" s="459">
        <v>44120</v>
      </c>
      <c r="B23" s="459">
        <v>44482</v>
      </c>
      <c r="C23" s="585" t="s">
        <v>1555</v>
      </c>
      <c r="D23" s="1546" t="s">
        <v>9</v>
      </c>
      <c r="E23" s="458" t="s">
        <v>1556</v>
      </c>
      <c r="F23" s="460">
        <v>1067.1500000000001</v>
      </c>
      <c r="G23" s="461">
        <v>0.16</v>
      </c>
      <c r="H23" s="462">
        <v>157.08000000000001</v>
      </c>
      <c r="I23" s="463"/>
      <c r="J23" s="563"/>
      <c r="K23" s="564"/>
    </row>
    <row r="24" spans="1:11">
      <c r="A24" s="491">
        <v>44120</v>
      </c>
      <c r="B24" s="492">
        <v>44493</v>
      </c>
      <c r="C24" s="796" t="s">
        <v>1541</v>
      </c>
      <c r="D24" s="494" t="s">
        <v>61</v>
      </c>
      <c r="E24" s="493" t="s">
        <v>500</v>
      </c>
      <c r="F24" s="495">
        <v>704.9</v>
      </c>
      <c r="G24" s="496">
        <v>0.1</v>
      </c>
      <c r="H24" s="497">
        <v>64.849999999999994</v>
      </c>
      <c r="I24" s="498"/>
      <c r="J24" s="557"/>
      <c r="K24" s="558"/>
    </row>
    <row r="25" spans="1:11">
      <c r="A25" s="238">
        <v>44120</v>
      </c>
      <c r="B25" s="239">
        <v>44494</v>
      </c>
      <c r="C25" s="304" t="s">
        <v>1557</v>
      </c>
      <c r="D25" s="241" t="s">
        <v>448</v>
      </c>
      <c r="E25" s="240" t="s">
        <v>438</v>
      </c>
      <c r="F25" s="323">
        <v>2394.08</v>
      </c>
      <c r="G25" s="243">
        <v>0.1</v>
      </c>
      <c r="H25" s="610">
        <v>220.25</v>
      </c>
      <c r="I25" s="245" t="s">
        <v>1539</v>
      </c>
      <c r="J25" s="720" t="s">
        <v>1470</v>
      </c>
      <c r="K25" s="721"/>
    </row>
    <row r="26" spans="1:11" s="730" customFormat="1">
      <c r="A26" s="297">
        <v>44120</v>
      </c>
      <c r="B26" s="298">
        <v>44486</v>
      </c>
      <c r="C26" s="101" t="s">
        <v>1260</v>
      </c>
      <c r="D26" s="299" t="s">
        <v>9</v>
      </c>
      <c r="E26" s="101" t="s">
        <v>1552</v>
      </c>
      <c r="F26" s="340">
        <v>1291.71</v>
      </c>
      <c r="G26" s="301">
        <v>0.1</v>
      </c>
      <c r="H26" s="302">
        <v>118.83</v>
      </c>
      <c r="I26" s="303" t="s">
        <v>1558</v>
      </c>
      <c r="J26" s="724" t="s">
        <v>1470</v>
      </c>
      <c r="K26" s="725"/>
    </row>
    <row r="27" spans="1:11">
      <c r="A27" s="359">
        <v>44124</v>
      </c>
      <c r="B27" s="345">
        <v>44489</v>
      </c>
      <c r="C27" s="566" t="s">
        <v>1559</v>
      </c>
      <c r="D27" s="347" t="s">
        <v>9</v>
      </c>
      <c r="E27" s="346" t="s">
        <v>500</v>
      </c>
      <c r="F27" s="348">
        <v>2704.16</v>
      </c>
      <c r="G27" s="349">
        <v>0.1</v>
      </c>
      <c r="H27" s="350">
        <v>248.78</v>
      </c>
      <c r="I27" s="522"/>
      <c r="J27" s="1528"/>
      <c r="K27" s="1529"/>
    </row>
    <row r="28" spans="1:11">
      <c r="A28" s="359">
        <v>44124</v>
      </c>
      <c r="B28" s="345">
        <v>44494</v>
      </c>
      <c r="C28" s="566" t="s">
        <v>1560</v>
      </c>
      <c r="D28" s="347" t="s">
        <v>25</v>
      </c>
      <c r="E28" s="346" t="s">
        <v>1310</v>
      </c>
      <c r="F28" s="348">
        <v>1651.01</v>
      </c>
      <c r="G28" s="349">
        <v>0.15</v>
      </c>
      <c r="H28" s="350">
        <v>227.83</v>
      </c>
      <c r="I28" s="351">
        <v>113.91</v>
      </c>
      <c r="J28" s="1528" t="s">
        <v>1561</v>
      </c>
      <c r="K28" s="1529"/>
    </row>
    <row r="29" spans="1:11">
      <c r="A29" s="287">
        <v>44125</v>
      </c>
      <c r="B29" s="288">
        <v>44491</v>
      </c>
      <c r="C29" s="566" t="s">
        <v>1140</v>
      </c>
      <c r="D29" s="289" t="s">
        <v>61</v>
      </c>
      <c r="E29" s="290" t="s">
        <v>438</v>
      </c>
      <c r="F29" s="337">
        <v>1162.79</v>
      </c>
      <c r="G29" s="292">
        <v>0.1</v>
      </c>
      <c r="H29" s="293">
        <v>106.97</v>
      </c>
      <c r="I29" s="294"/>
      <c r="J29" s="557"/>
      <c r="K29" s="558"/>
    </row>
    <row r="30" spans="1:11">
      <c r="A30" s="599">
        <v>44126</v>
      </c>
      <c r="B30" s="600" t="s">
        <v>1457</v>
      </c>
      <c r="C30" s="611" t="s">
        <v>1562</v>
      </c>
      <c r="D30" s="602" t="s">
        <v>33</v>
      </c>
      <c r="E30" s="601" t="s">
        <v>279</v>
      </c>
      <c r="F30" s="603">
        <v>242.44</v>
      </c>
      <c r="G30" s="604">
        <v>0.15</v>
      </c>
      <c r="H30" s="605">
        <v>33.450000000000003</v>
      </c>
      <c r="I30" s="606">
        <v>16.72</v>
      </c>
      <c r="J30" s="728" t="s">
        <v>1563</v>
      </c>
      <c r="K30" s="729"/>
    </row>
    <row r="31" spans="1:11">
      <c r="A31" s="359">
        <v>44126</v>
      </c>
      <c r="B31" s="345">
        <v>44493</v>
      </c>
      <c r="C31" s="832" t="s">
        <v>1564</v>
      </c>
      <c r="D31" s="347" t="s">
        <v>448</v>
      </c>
      <c r="E31" s="346" t="s">
        <v>10</v>
      </c>
      <c r="F31" s="348">
        <v>2172.58</v>
      </c>
      <c r="G31" s="349">
        <v>0.2</v>
      </c>
      <c r="H31" s="350">
        <v>399.75</v>
      </c>
      <c r="I31" s="351">
        <v>199.87</v>
      </c>
      <c r="J31" s="1528" t="s">
        <v>1108</v>
      </c>
      <c r="K31" s="1529"/>
    </row>
    <row r="32" spans="1:11">
      <c r="A32" s="459">
        <v>44126</v>
      </c>
      <c r="B32" s="459" t="s">
        <v>1457</v>
      </c>
      <c r="C32" s="585" t="s">
        <v>272</v>
      </c>
      <c r="D32" s="1546" t="s">
        <v>25</v>
      </c>
      <c r="E32" s="458" t="s">
        <v>10</v>
      </c>
      <c r="F32" s="460">
        <v>207.27</v>
      </c>
      <c r="G32" s="461">
        <v>0.1</v>
      </c>
      <c r="H32" s="462">
        <v>19.059999999999999</v>
      </c>
      <c r="I32" s="482"/>
      <c r="J32" s="1528"/>
      <c r="K32" s="1529"/>
    </row>
    <row r="33" spans="1:11">
      <c r="A33" s="503">
        <v>44126</v>
      </c>
      <c r="B33" s="503">
        <v>44498</v>
      </c>
      <c r="C33" s="585" t="s">
        <v>1565</v>
      </c>
      <c r="D33" s="504" t="s">
        <v>9</v>
      </c>
      <c r="E33" s="505" t="s">
        <v>438</v>
      </c>
      <c r="F33" s="506">
        <v>1112.17</v>
      </c>
      <c r="G33" s="507">
        <v>0.2</v>
      </c>
      <c r="H33" s="506">
        <v>204.63</v>
      </c>
      <c r="I33" s="482"/>
      <c r="J33" s="563"/>
      <c r="K33" s="564"/>
    </row>
    <row r="34" spans="1:11" s="730" customFormat="1">
      <c r="A34" s="148">
        <v>44124</v>
      </c>
      <c r="B34" s="148" t="s">
        <v>1457</v>
      </c>
      <c r="C34" s="135" t="s">
        <v>1566</v>
      </c>
      <c r="D34" s="149" t="s">
        <v>14</v>
      </c>
      <c r="E34" s="135" t="s">
        <v>667</v>
      </c>
      <c r="F34" s="150">
        <v>821.19</v>
      </c>
      <c r="G34" s="151">
        <v>0.19</v>
      </c>
      <c r="H34" s="150">
        <v>143.54</v>
      </c>
      <c r="I34" s="343">
        <v>71.77</v>
      </c>
      <c r="J34" s="1538" t="s">
        <v>1563</v>
      </c>
      <c r="K34" s="1539"/>
    </row>
    <row r="35" spans="1:11" s="730" customFormat="1">
      <c r="A35" s="148">
        <v>44127</v>
      </c>
      <c r="B35" s="148">
        <v>44492</v>
      </c>
      <c r="C35" s="135" t="s">
        <v>1101</v>
      </c>
      <c r="D35" s="149" t="s">
        <v>198</v>
      </c>
      <c r="E35" s="135" t="s">
        <v>279</v>
      </c>
      <c r="F35" s="150">
        <v>757.66</v>
      </c>
      <c r="G35" s="151">
        <v>0.2</v>
      </c>
      <c r="H35" s="150">
        <v>139.4</v>
      </c>
      <c r="I35" s="343"/>
      <c r="J35" s="1538"/>
      <c r="K35" s="1539"/>
    </row>
    <row r="36" spans="1:11">
      <c r="A36" s="359">
        <v>44127</v>
      </c>
      <c r="B36" s="345">
        <v>44492</v>
      </c>
      <c r="C36" s="566" t="s">
        <v>1567</v>
      </c>
      <c r="D36" s="347" t="s">
        <v>149</v>
      </c>
      <c r="E36" s="346" t="s">
        <v>10</v>
      </c>
      <c r="F36" s="348">
        <v>1214.27</v>
      </c>
      <c r="G36" s="349">
        <v>0.1</v>
      </c>
      <c r="H36" s="350">
        <v>111.71</v>
      </c>
      <c r="I36" s="351"/>
      <c r="J36" s="1528"/>
      <c r="K36" s="1529"/>
    </row>
    <row r="37" spans="1:11">
      <c r="A37" s="599">
        <v>44118</v>
      </c>
      <c r="B37" s="600">
        <v>44483</v>
      </c>
      <c r="C37" s="841" t="s">
        <v>1568</v>
      </c>
      <c r="D37" s="602" t="s">
        <v>61</v>
      </c>
      <c r="E37" s="601" t="s">
        <v>667</v>
      </c>
      <c r="F37" s="603">
        <v>1476.35</v>
      </c>
      <c r="G37" s="604">
        <v>0.1</v>
      </c>
      <c r="H37" s="605">
        <v>135.82</v>
      </c>
      <c r="I37" s="606">
        <v>67.91</v>
      </c>
      <c r="J37" s="728" t="s">
        <v>1563</v>
      </c>
      <c r="K37" s="729"/>
    </row>
    <row r="38" spans="1:11">
      <c r="A38" s="359">
        <v>44127</v>
      </c>
      <c r="B38" s="345">
        <v>44497</v>
      </c>
      <c r="C38" s="566" t="s">
        <v>1569</v>
      </c>
      <c r="D38" s="347" t="s">
        <v>9</v>
      </c>
      <c r="E38" s="346" t="s">
        <v>10</v>
      </c>
      <c r="F38" s="348">
        <v>1154.24</v>
      </c>
      <c r="G38" s="349">
        <v>0.1</v>
      </c>
      <c r="H38" s="350">
        <v>106.19</v>
      </c>
      <c r="I38" s="351"/>
      <c r="J38" s="563"/>
      <c r="K38" s="564"/>
    </row>
    <row r="39" spans="1:11">
      <c r="A39" s="238">
        <v>44127</v>
      </c>
      <c r="B39" s="239">
        <v>44492</v>
      </c>
      <c r="C39" s="412" t="s">
        <v>1570</v>
      </c>
      <c r="D39" s="241" t="s">
        <v>70</v>
      </c>
      <c r="E39" s="240" t="s">
        <v>1080</v>
      </c>
      <c r="F39" s="323">
        <v>2119.6799999999998</v>
      </c>
      <c r="G39" s="243">
        <v>0.1</v>
      </c>
      <c r="H39" s="244">
        <v>195.01</v>
      </c>
      <c r="I39" s="245">
        <v>19.5</v>
      </c>
      <c r="J39" s="720" t="s">
        <v>1470</v>
      </c>
      <c r="K39" s="721"/>
    </row>
    <row r="40" spans="1:11">
      <c r="A40" s="359">
        <v>44130</v>
      </c>
      <c r="B40" s="345">
        <v>44488</v>
      </c>
      <c r="C40" s="566" t="s">
        <v>1571</v>
      </c>
      <c r="D40" s="347" t="s">
        <v>448</v>
      </c>
      <c r="E40" s="346" t="s">
        <v>10</v>
      </c>
      <c r="F40" s="348">
        <v>2188.14</v>
      </c>
      <c r="G40" s="349">
        <v>0.1</v>
      </c>
      <c r="H40" s="350">
        <v>201.3</v>
      </c>
      <c r="I40" s="351"/>
      <c r="J40" s="563"/>
      <c r="K40" s="564"/>
    </row>
    <row r="41" spans="1:11">
      <c r="A41" s="359">
        <v>44130</v>
      </c>
      <c r="B41" s="345">
        <v>44495</v>
      </c>
      <c r="C41" s="566" t="s">
        <v>1106</v>
      </c>
      <c r="D41" s="347" t="s">
        <v>9</v>
      </c>
      <c r="E41" s="346" t="s">
        <v>10</v>
      </c>
      <c r="F41" s="348">
        <v>975.91</v>
      </c>
      <c r="G41" s="349">
        <v>0.15</v>
      </c>
      <c r="H41" s="350">
        <v>134.66999999999999</v>
      </c>
      <c r="I41" s="351"/>
      <c r="J41" s="563"/>
      <c r="K41" s="564"/>
    </row>
    <row r="42" spans="1:11">
      <c r="A42" s="359">
        <v>44130</v>
      </c>
      <c r="B42" s="345">
        <v>44499</v>
      </c>
      <c r="C42" s="566" t="s">
        <v>1572</v>
      </c>
      <c r="D42" s="347" t="s">
        <v>448</v>
      </c>
      <c r="E42" s="346" t="s">
        <v>10</v>
      </c>
      <c r="F42" s="348">
        <v>3012.79</v>
      </c>
      <c r="G42" s="349">
        <v>0.1</v>
      </c>
      <c r="H42" s="350">
        <v>277.17</v>
      </c>
      <c r="I42" s="351">
        <v>138.58000000000001</v>
      </c>
      <c r="J42" s="563" t="s">
        <v>1482</v>
      </c>
      <c r="K42" s="564"/>
    </row>
    <row r="43" spans="1:11">
      <c r="A43" s="359">
        <v>44130</v>
      </c>
      <c r="B43" s="345">
        <v>44499</v>
      </c>
      <c r="C43" s="566" t="s">
        <v>1573</v>
      </c>
      <c r="D43" s="347" t="s">
        <v>25</v>
      </c>
      <c r="E43" s="346" t="s">
        <v>10</v>
      </c>
      <c r="F43" s="348">
        <v>1322.7</v>
      </c>
      <c r="G43" s="349">
        <v>0.15</v>
      </c>
      <c r="H43" s="350">
        <v>182.53</v>
      </c>
      <c r="I43" s="351"/>
      <c r="J43" s="433"/>
      <c r="K43" s="434"/>
    </row>
    <row r="44" spans="1:11">
      <c r="A44" s="359">
        <v>44131</v>
      </c>
      <c r="B44" s="345">
        <v>44500</v>
      </c>
      <c r="C44" s="566" t="s">
        <v>1115</v>
      </c>
      <c r="D44" s="347" t="s">
        <v>198</v>
      </c>
      <c r="E44" s="346" t="s">
        <v>22</v>
      </c>
      <c r="F44" s="348">
        <v>1686.26</v>
      </c>
      <c r="G44" s="349">
        <v>0.15</v>
      </c>
      <c r="H44" s="350">
        <v>224.5</v>
      </c>
      <c r="I44" s="351">
        <v>112.25</v>
      </c>
      <c r="J44" s="433" t="s">
        <v>1561</v>
      </c>
      <c r="K44" s="434"/>
    </row>
    <row r="45" spans="1:11">
      <c r="A45" s="359">
        <v>44131</v>
      </c>
      <c r="B45" s="345">
        <v>44490</v>
      </c>
      <c r="C45" s="566" t="s">
        <v>1105</v>
      </c>
      <c r="D45" s="347" t="s">
        <v>198</v>
      </c>
      <c r="E45" s="346" t="s">
        <v>948</v>
      </c>
      <c r="F45" s="348">
        <v>2025.48</v>
      </c>
      <c r="G45" s="349">
        <v>0.1</v>
      </c>
      <c r="H45" s="350">
        <v>186.34</v>
      </c>
      <c r="I45" s="351"/>
      <c r="J45" s="433"/>
      <c r="K45" s="434"/>
    </row>
    <row r="46" spans="1:11">
      <c r="A46" s="359">
        <v>44131</v>
      </c>
      <c r="B46" s="345">
        <v>44499</v>
      </c>
      <c r="C46" s="101" t="s">
        <v>1100</v>
      </c>
      <c r="D46" s="347" t="s">
        <v>149</v>
      </c>
      <c r="E46" s="346" t="s">
        <v>10</v>
      </c>
      <c r="F46" s="348">
        <v>1171.83</v>
      </c>
      <c r="G46" s="349">
        <v>0.13</v>
      </c>
      <c r="H46" s="350">
        <v>140.15</v>
      </c>
      <c r="I46" s="351"/>
      <c r="J46" s="433"/>
      <c r="K46" s="434"/>
    </row>
    <row r="47" spans="1:11">
      <c r="A47" s="359">
        <v>44132</v>
      </c>
      <c r="B47" s="345">
        <v>44497</v>
      </c>
      <c r="C47" s="566" t="s">
        <v>151</v>
      </c>
      <c r="D47" s="347" t="s">
        <v>14</v>
      </c>
      <c r="E47" s="346" t="s">
        <v>22</v>
      </c>
      <c r="F47" s="348">
        <v>1187.82</v>
      </c>
      <c r="G47" s="349">
        <v>0.1</v>
      </c>
      <c r="H47" s="350">
        <v>109.27</v>
      </c>
      <c r="I47" s="351"/>
      <c r="J47" s="433"/>
      <c r="K47" s="434"/>
    </row>
    <row r="48" spans="1:11">
      <c r="A48" s="359">
        <v>44132</v>
      </c>
      <c r="B48" s="345">
        <v>44497</v>
      </c>
      <c r="C48" s="566" t="s">
        <v>1574</v>
      </c>
      <c r="D48" s="347" t="s">
        <v>448</v>
      </c>
      <c r="E48" s="346" t="s">
        <v>1080</v>
      </c>
      <c r="F48" s="348">
        <v>1622.98</v>
      </c>
      <c r="G48" s="349">
        <v>0.1</v>
      </c>
      <c r="H48" s="350">
        <v>149.31</v>
      </c>
      <c r="I48" s="351"/>
      <c r="J48" s="433"/>
      <c r="K48" s="434"/>
    </row>
    <row r="49" spans="1:11">
      <c r="A49" s="238">
        <v>44132</v>
      </c>
      <c r="B49" s="239">
        <v>44500</v>
      </c>
      <c r="C49" s="412" t="s">
        <v>1447</v>
      </c>
      <c r="D49" s="241" t="s">
        <v>149</v>
      </c>
      <c r="E49" s="240" t="s">
        <v>438</v>
      </c>
      <c r="F49" s="323">
        <v>1316.49</v>
      </c>
      <c r="G49" s="243">
        <v>0.15</v>
      </c>
      <c r="H49" s="244">
        <v>181.67</v>
      </c>
      <c r="I49" s="245">
        <v>18.16</v>
      </c>
      <c r="J49" s="263" t="s">
        <v>1575</v>
      </c>
      <c r="K49" s="264"/>
    </row>
    <row r="50" spans="1:11" s="730" customFormat="1">
      <c r="A50" s="297">
        <v>44133</v>
      </c>
      <c r="B50" s="298">
        <v>44496</v>
      </c>
      <c r="C50" s="101" t="s">
        <v>1576</v>
      </c>
      <c r="D50" s="299" t="s">
        <v>448</v>
      </c>
      <c r="E50" s="101" t="s">
        <v>667</v>
      </c>
      <c r="F50" s="340">
        <v>2581.54</v>
      </c>
      <c r="G50" s="301">
        <v>0.1</v>
      </c>
      <c r="H50" s="302">
        <v>237.5</v>
      </c>
      <c r="I50" s="303">
        <v>118.75</v>
      </c>
      <c r="J50" s="295" t="s">
        <v>1577</v>
      </c>
      <c r="K50" s="296"/>
    </row>
    <row r="51" spans="1:11" s="730" customFormat="1">
      <c r="A51" s="297">
        <v>44133</v>
      </c>
      <c r="B51" s="298">
        <v>44498</v>
      </c>
      <c r="C51" s="101" t="s">
        <v>983</v>
      </c>
      <c r="D51" s="299" t="s">
        <v>9</v>
      </c>
      <c r="E51" s="101" t="s">
        <v>500</v>
      </c>
      <c r="F51" s="340">
        <v>4532.5600000000004</v>
      </c>
      <c r="G51" s="301">
        <v>0.1</v>
      </c>
      <c r="H51" s="302">
        <v>416.99</v>
      </c>
      <c r="I51" s="303"/>
      <c r="J51" s="295"/>
      <c r="K51" s="296"/>
    </row>
    <row r="52" spans="1:11">
      <c r="A52" s="255">
        <v>44141</v>
      </c>
      <c r="B52" s="256">
        <v>44499</v>
      </c>
      <c r="C52" s="257" t="s">
        <v>1578</v>
      </c>
      <c r="D52" s="258" t="s">
        <v>61</v>
      </c>
      <c r="E52" s="257" t="s">
        <v>10</v>
      </c>
      <c r="F52" s="321">
        <v>1356.71</v>
      </c>
      <c r="G52" s="260">
        <v>0.1</v>
      </c>
      <c r="H52" s="261">
        <v>124.81</v>
      </c>
      <c r="I52" s="262">
        <v>12.48</v>
      </c>
      <c r="J52" s="307" t="s">
        <v>1575</v>
      </c>
      <c r="K52" s="308"/>
    </row>
    <row r="53" spans="1:11">
      <c r="A53" s="359"/>
      <c r="B53" s="345"/>
      <c r="C53" s="346"/>
      <c r="D53" s="347"/>
      <c r="E53" s="346"/>
      <c r="F53" s="348"/>
      <c r="G53" s="349"/>
      <c r="H53" s="350"/>
      <c r="I53" s="351"/>
      <c r="J53" s="433"/>
      <c r="K53" s="434"/>
    </row>
    <row r="54" spans="1:11">
      <c r="A54" s="359"/>
      <c r="B54" s="345"/>
      <c r="C54" s="346"/>
      <c r="D54" s="347"/>
      <c r="E54" s="346"/>
      <c r="F54" s="348"/>
      <c r="G54" s="349"/>
      <c r="H54" s="350"/>
      <c r="I54" s="351"/>
      <c r="J54" s="433"/>
      <c r="K54" s="434"/>
    </row>
    <row r="55" spans="1:11" ht="19.5">
      <c r="A55" s="673"/>
      <c r="B55" s="674"/>
      <c r="C55" s="674"/>
      <c r="D55" s="674"/>
      <c r="E55" s="674"/>
      <c r="F55" s="338">
        <f>SUM(F2:F54)</f>
        <v>85957.91</v>
      </c>
      <c r="G55" s="143"/>
      <c r="H55" s="129">
        <f>SUM(H2:H54)</f>
        <v>9305.9999999999982</v>
      </c>
      <c r="I55" s="107">
        <f>SUM(I2:I54)</f>
        <v>889.9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K57"/>
  <sheetViews>
    <sheetView zoomScale="85" zoomScaleNormal="85" workbookViewId="0">
      <selection activeCell="C48" sqref="C48"/>
    </sheetView>
  </sheetViews>
  <sheetFormatPr defaultRowHeight="15"/>
  <cols>
    <col min="1" max="1" width="16.42578125" bestFit="1" customWidth="1"/>
    <col min="2" max="2" width="11.5703125" bestFit="1" customWidth="1"/>
    <col min="3" max="3" width="38.28515625" bestFit="1" customWidth="1"/>
    <col min="4" max="4" width="18.28515625" bestFit="1" customWidth="1"/>
    <col min="5" max="5" width="14.140625" bestFit="1" customWidth="1"/>
    <col min="6" max="6" width="19.28515625" bestFit="1" customWidth="1"/>
    <col min="8" max="8" width="22.5703125" bestFit="1" customWidth="1"/>
    <col min="9" max="9" width="21" bestFit="1" customWidth="1"/>
  </cols>
  <sheetData>
    <row r="1" spans="1:1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676" t="s">
        <v>370</v>
      </c>
      <c r="K1" s="110"/>
    </row>
    <row r="2" spans="1:11" s="730" customFormat="1">
      <c r="A2" s="297">
        <v>44133</v>
      </c>
      <c r="B2" s="298">
        <v>44503</v>
      </c>
      <c r="C2" s="101" t="s">
        <v>1579</v>
      </c>
      <c r="D2" s="299" t="s">
        <v>14</v>
      </c>
      <c r="E2" s="101" t="s">
        <v>10</v>
      </c>
      <c r="F2" s="340">
        <v>907.67</v>
      </c>
      <c r="G2" s="301">
        <v>0.15</v>
      </c>
      <c r="H2" s="302">
        <v>125.25</v>
      </c>
      <c r="I2" s="303"/>
      <c r="J2" s="1538"/>
      <c r="K2" s="1539"/>
    </row>
    <row r="3" spans="1:11" s="862" customFormat="1">
      <c r="A3" s="855">
        <v>44133</v>
      </c>
      <c r="B3" s="856">
        <v>44501</v>
      </c>
      <c r="C3" s="828" t="s">
        <v>1580</v>
      </c>
      <c r="D3" s="857" t="s">
        <v>9</v>
      </c>
      <c r="E3" s="828" t="s">
        <v>10</v>
      </c>
      <c r="F3" s="858">
        <v>1476.41</v>
      </c>
      <c r="G3" s="859">
        <v>0.19</v>
      </c>
      <c r="H3" s="860">
        <v>258.07</v>
      </c>
      <c r="I3" s="861"/>
      <c r="J3" s="1536"/>
      <c r="K3" s="1537"/>
    </row>
    <row r="4" spans="1:11" s="862" customFormat="1">
      <c r="A4" s="863">
        <v>44133</v>
      </c>
      <c r="B4" s="831">
        <v>44501</v>
      </c>
      <c r="C4" s="827" t="s">
        <v>1126</v>
      </c>
      <c r="D4" s="864" t="s">
        <v>448</v>
      </c>
      <c r="E4" s="827" t="s">
        <v>22</v>
      </c>
      <c r="F4" s="865">
        <v>1374.16</v>
      </c>
      <c r="G4" s="866">
        <v>0.1</v>
      </c>
      <c r="H4" s="867">
        <v>126.42</v>
      </c>
      <c r="I4" s="871"/>
      <c r="J4" s="1536"/>
      <c r="K4" s="1537"/>
    </row>
    <row r="5" spans="1:11" s="862" customFormat="1">
      <c r="A5" s="863">
        <v>44134</v>
      </c>
      <c r="B5" s="831">
        <v>44505</v>
      </c>
      <c r="C5" s="827" t="s">
        <v>1581</v>
      </c>
      <c r="D5" s="864" t="s">
        <v>25</v>
      </c>
      <c r="E5" s="827" t="s">
        <v>1582</v>
      </c>
      <c r="F5" s="865">
        <v>1089.43</v>
      </c>
      <c r="G5" s="866">
        <v>0.1</v>
      </c>
      <c r="H5" s="867">
        <v>100.22</v>
      </c>
      <c r="I5" s="868"/>
      <c r="J5" s="869"/>
      <c r="K5" s="870"/>
    </row>
    <row r="6" spans="1:11" s="862" customFormat="1">
      <c r="A6" s="863">
        <v>44138</v>
      </c>
      <c r="B6" s="831">
        <v>44509</v>
      </c>
      <c r="C6" s="827" t="s">
        <v>1351</v>
      </c>
      <c r="D6" s="864" t="s">
        <v>14</v>
      </c>
      <c r="E6" s="828" t="s">
        <v>22</v>
      </c>
      <c r="F6" s="873">
        <v>3589.82</v>
      </c>
      <c r="G6" s="874">
        <v>0.15</v>
      </c>
      <c r="H6" s="867">
        <v>495.39</v>
      </c>
      <c r="I6" s="871"/>
      <c r="J6" s="1536"/>
      <c r="K6" s="1537"/>
    </row>
    <row r="7" spans="1:11" s="730" customFormat="1">
      <c r="A7" s="297">
        <v>44139</v>
      </c>
      <c r="B7" s="298">
        <v>44505</v>
      </c>
      <c r="C7" s="101" t="s">
        <v>120</v>
      </c>
      <c r="D7" s="299" t="s">
        <v>61</v>
      </c>
      <c r="E7" s="101" t="s">
        <v>22</v>
      </c>
      <c r="F7" s="340">
        <v>4302.72</v>
      </c>
      <c r="G7" s="301">
        <v>0.1</v>
      </c>
      <c r="H7" s="302">
        <v>395.85</v>
      </c>
      <c r="I7" s="303"/>
      <c r="J7" s="1538"/>
      <c r="K7" s="1539"/>
    </row>
    <row r="8" spans="1:11" s="875" customFormat="1">
      <c r="A8" s="863">
        <v>44139</v>
      </c>
      <c r="B8" s="831">
        <v>44510</v>
      </c>
      <c r="C8" s="827" t="s">
        <v>1583</v>
      </c>
      <c r="D8" s="864" t="s">
        <v>25</v>
      </c>
      <c r="E8" s="827" t="s">
        <v>945</v>
      </c>
      <c r="F8" s="865">
        <v>753.75</v>
      </c>
      <c r="G8" s="866">
        <v>0.17</v>
      </c>
      <c r="H8" s="867">
        <v>117.88</v>
      </c>
      <c r="I8" s="871">
        <v>11.78</v>
      </c>
      <c r="J8" s="1536" t="s">
        <v>1575</v>
      </c>
      <c r="K8" s="1537"/>
    </row>
    <row r="9" spans="1:11" s="862" customFormat="1">
      <c r="A9" s="863">
        <v>44140</v>
      </c>
      <c r="B9" s="831">
        <v>44512</v>
      </c>
      <c r="C9" s="827" t="s">
        <v>1142</v>
      </c>
      <c r="D9" s="864" t="s">
        <v>61</v>
      </c>
      <c r="E9" s="827" t="s">
        <v>10</v>
      </c>
      <c r="F9" s="865">
        <v>1488.29</v>
      </c>
      <c r="G9" s="866">
        <v>0.1</v>
      </c>
      <c r="H9" s="867">
        <v>136.91999999999999</v>
      </c>
      <c r="I9" s="871"/>
      <c r="J9" s="1536"/>
      <c r="K9" s="1537"/>
    </row>
    <row r="10" spans="1:11" s="862" customFormat="1">
      <c r="A10" s="863">
        <v>44140</v>
      </c>
      <c r="B10" s="831">
        <v>44501</v>
      </c>
      <c r="C10" s="827" t="s">
        <v>1584</v>
      </c>
      <c r="D10" s="864" t="s">
        <v>21</v>
      </c>
      <c r="E10" s="827" t="s">
        <v>10</v>
      </c>
      <c r="F10" s="865">
        <v>881.83</v>
      </c>
      <c r="G10" s="866">
        <v>0.1</v>
      </c>
      <c r="H10" s="867">
        <v>81.12</v>
      </c>
      <c r="I10" s="872"/>
      <c r="J10" s="857"/>
      <c r="K10" s="857"/>
    </row>
    <row r="11" spans="1:11" s="730" customFormat="1">
      <c r="A11" s="532">
        <v>44141</v>
      </c>
      <c r="B11" s="533">
        <v>44507</v>
      </c>
      <c r="C11" s="414" t="s">
        <v>1585</v>
      </c>
      <c r="D11" s="534" t="s">
        <v>9</v>
      </c>
      <c r="E11" s="414" t="s">
        <v>10</v>
      </c>
      <c r="F11" s="535">
        <v>1110.17</v>
      </c>
      <c r="G11" s="536">
        <v>0.1</v>
      </c>
      <c r="H11" s="537">
        <v>102.13</v>
      </c>
      <c r="I11" s="538"/>
      <c r="J11" s="1540"/>
      <c r="K11" s="1541"/>
    </row>
    <row r="12" spans="1:11" s="862" customFormat="1">
      <c r="A12" s="863">
        <v>44141</v>
      </c>
      <c r="B12" s="831">
        <v>44507</v>
      </c>
      <c r="C12" s="828" t="s">
        <v>1133</v>
      </c>
      <c r="D12" s="864" t="s">
        <v>9</v>
      </c>
      <c r="E12" s="827" t="s">
        <v>90</v>
      </c>
      <c r="F12" s="865">
        <v>1975.37</v>
      </c>
      <c r="G12" s="866">
        <v>0.1</v>
      </c>
      <c r="H12" s="867">
        <v>181.73</v>
      </c>
      <c r="I12" s="868"/>
      <c r="J12" s="1536"/>
      <c r="K12" s="1537"/>
    </row>
    <row r="13" spans="1:11">
      <c r="A13" s="255">
        <v>44141</v>
      </c>
      <c r="B13" s="256">
        <v>44162</v>
      </c>
      <c r="C13" s="257" t="s">
        <v>1586</v>
      </c>
      <c r="D13" s="258" t="s">
        <v>9</v>
      </c>
      <c r="E13" s="257" t="s">
        <v>500</v>
      </c>
      <c r="F13" s="321">
        <v>4984.3900000000003</v>
      </c>
      <c r="G13" s="260">
        <v>0.1</v>
      </c>
      <c r="H13" s="261">
        <v>458.56</v>
      </c>
      <c r="I13" s="582">
        <v>45.85</v>
      </c>
      <c r="J13" s="1534" t="s">
        <v>1575</v>
      </c>
      <c r="K13" s="1535"/>
    </row>
    <row r="14" spans="1:11" s="862" customFormat="1">
      <c r="A14" s="863">
        <v>44144</v>
      </c>
      <c r="B14" s="831">
        <v>44510</v>
      </c>
      <c r="C14" s="827" t="s">
        <v>1587</v>
      </c>
      <c r="D14" s="864" t="s">
        <v>61</v>
      </c>
      <c r="E14" s="827" t="s">
        <v>10</v>
      </c>
      <c r="F14" s="865">
        <v>1379.94</v>
      </c>
      <c r="G14" s="866">
        <v>0.15</v>
      </c>
      <c r="H14" s="867">
        <v>190.43</v>
      </c>
      <c r="I14" s="871">
        <v>95.21</v>
      </c>
      <c r="J14" s="1536" t="s">
        <v>1588</v>
      </c>
      <c r="K14" s="1537"/>
    </row>
    <row r="15" spans="1:11" s="862" customFormat="1">
      <c r="A15" s="863">
        <v>44144</v>
      </c>
      <c r="B15" s="831" t="s">
        <v>1457</v>
      </c>
      <c r="C15" s="827" t="s">
        <v>1126</v>
      </c>
      <c r="D15" s="864" t="s">
        <v>448</v>
      </c>
      <c r="E15" s="827" t="s">
        <v>22</v>
      </c>
      <c r="F15" s="865">
        <v>484.3</v>
      </c>
      <c r="G15" s="866">
        <v>0.1</v>
      </c>
      <c r="H15" s="867">
        <v>44.55</v>
      </c>
      <c r="I15" s="871"/>
      <c r="J15" s="1536"/>
      <c r="K15" s="1537"/>
    </row>
    <row r="16" spans="1:11" s="862" customFormat="1">
      <c r="A16" s="863">
        <v>44144</v>
      </c>
      <c r="B16" s="831">
        <v>44509</v>
      </c>
      <c r="C16" s="827" t="s">
        <v>1134</v>
      </c>
      <c r="D16" s="864" t="s">
        <v>14</v>
      </c>
      <c r="E16" s="827" t="s">
        <v>438</v>
      </c>
      <c r="F16" s="865">
        <v>1852.17</v>
      </c>
      <c r="G16" s="866">
        <v>0.1</v>
      </c>
      <c r="H16" s="867">
        <v>170.39</v>
      </c>
      <c r="I16" s="871"/>
      <c r="J16" s="1536"/>
      <c r="K16" s="1537"/>
    </row>
    <row r="17" spans="1:11" s="875" customFormat="1">
      <c r="A17" s="863">
        <v>44144</v>
      </c>
      <c r="B17" s="831">
        <v>44512</v>
      </c>
      <c r="C17" s="828" t="s">
        <v>1127</v>
      </c>
      <c r="D17" s="864" t="s">
        <v>25</v>
      </c>
      <c r="E17" s="827" t="s">
        <v>945</v>
      </c>
      <c r="F17" s="865">
        <v>1365.54</v>
      </c>
      <c r="G17" s="866">
        <v>0.1</v>
      </c>
      <c r="H17" s="867">
        <v>125.62</v>
      </c>
      <c r="I17" s="868">
        <v>12.56</v>
      </c>
      <c r="J17" s="1536" t="s">
        <v>1575</v>
      </c>
      <c r="K17" s="1537"/>
    </row>
    <row r="18" spans="1:11" s="862" customFormat="1">
      <c r="A18" s="863">
        <v>44144</v>
      </c>
      <c r="B18" s="831">
        <v>44511</v>
      </c>
      <c r="C18" s="876" t="s">
        <v>164</v>
      </c>
      <c r="D18" s="864" t="s">
        <v>448</v>
      </c>
      <c r="E18" s="827" t="s">
        <v>10</v>
      </c>
      <c r="F18" s="865">
        <v>866.97</v>
      </c>
      <c r="G18" s="866">
        <v>0.15</v>
      </c>
      <c r="H18" s="867">
        <v>119.64</v>
      </c>
      <c r="I18" s="871"/>
      <c r="J18" s="1536"/>
      <c r="K18" s="1537"/>
    </row>
    <row r="19" spans="1:11" s="862" customFormat="1">
      <c r="A19" s="863">
        <v>44145</v>
      </c>
      <c r="B19" s="831">
        <v>44516</v>
      </c>
      <c r="C19" s="827" t="s">
        <v>1589</v>
      </c>
      <c r="D19" s="864" t="s">
        <v>149</v>
      </c>
      <c r="E19" s="827" t="s">
        <v>22</v>
      </c>
      <c r="F19" s="865">
        <v>1917.64</v>
      </c>
      <c r="G19" s="866">
        <v>0.1</v>
      </c>
      <c r="H19" s="867">
        <v>176.42</v>
      </c>
      <c r="I19" s="871"/>
      <c r="J19" s="1536"/>
      <c r="K19" s="1537"/>
    </row>
    <row r="20" spans="1:11" s="862" customFormat="1">
      <c r="A20" s="863">
        <v>44145</v>
      </c>
      <c r="B20" s="831">
        <v>44513</v>
      </c>
      <c r="C20" s="827" t="s">
        <v>1590</v>
      </c>
      <c r="D20" s="864" t="s">
        <v>70</v>
      </c>
      <c r="E20" s="827" t="s">
        <v>1080</v>
      </c>
      <c r="F20" s="865">
        <v>2776.5</v>
      </c>
      <c r="G20" s="866">
        <v>0.1</v>
      </c>
      <c r="H20" s="867">
        <v>255.43</v>
      </c>
      <c r="I20" s="871"/>
      <c r="J20" s="1536"/>
      <c r="K20" s="1537"/>
    </row>
    <row r="21" spans="1:11" s="862" customFormat="1">
      <c r="A21" s="863">
        <v>44145</v>
      </c>
      <c r="B21" s="877">
        <v>44512</v>
      </c>
      <c r="C21" s="831" t="s">
        <v>1591</v>
      </c>
      <c r="D21" s="864" t="s">
        <v>25</v>
      </c>
      <c r="E21" s="827" t="s">
        <v>10</v>
      </c>
      <c r="F21" s="865">
        <v>753.41</v>
      </c>
      <c r="G21" s="866">
        <v>0.1</v>
      </c>
      <c r="H21" s="867">
        <v>69.31</v>
      </c>
      <c r="I21" s="871"/>
      <c r="J21" s="1536"/>
      <c r="K21" s="1537"/>
    </row>
    <row r="22" spans="1:11" s="862" customFormat="1">
      <c r="A22" s="863">
        <v>44146</v>
      </c>
      <c r="B22" s="831">
        <v>44513</v>
      </c>
      <c r="C22" s="827" t="s">
        <v>1592</v>
      </c>
      <c r="D22" s="864" t="s">
        <v>25</v>
      </c>
      <c r="E22" s="827" t="s">
        <v>1593</v>
      </c>
      <c r="F22" s="865">
        <v>1058.04</v>
      </c>
      <c r="G22" s="866">
        <v>0.1</v>
      </c>
      <c r="H22" s="867">
        <v>97.33</v>
      </c>
      <c r="I22" s="871"/>
      <c r="J22" s="1536"/>
      <c r="K22" s="1537"/>
    </row>
    <row r="23" spans="1:11" s="730" customFormat="1">
      <c r="A23" s="297">
        <v>44146</v>
      </c>
      <c r="B23" s="298" t="s">
        <v>1457</v>
      </c>
      <c r="C23" s="101" t="s">
        <v>882</v>
      </c>
      <c r="D23" s="299" t="s">
        <v>25</v>
      </c>
      <c r="E23" s="101" t="s">
        <v>22</v>
      </c>
      <c r="F23" s="340">
        <v>230.51</v>
      </c>
      <c r="G23" s="301">
        <v>0.1</v>
      </c>
      <c r="H23" s="302">
        <v>21.2</v>
      </c>
      <c r="I23" s="303"/>
      <c r="J23" s="1538"/>
      <c r="K23" s="1539"/>
    </row>
    <row r="24" spans="1:11">
      <c r="A24" s="359">
        <v>44147</v>
      </c>
      <c r="B24" s="345">
        <v>44519</v>
      </c>
      <c r="C24" s="346" t="s">
        <v>1594</v>
      </c>
      <c r="D24" s="347" t="s">
        <v>448</v>
      </c>
      <c r="E24" s="346" t="s">
        <v>10</v>
      </c>
      <c r="F24" s="348">
        <v>1084.33</v>
      </c>
      <c r="G24" s="349">
        <v>0.13</v>
      </c>
      <c r="H24" s="350">
        <v>129.68</v>
      </c>
      <c r="I24" s="351">
        <v>64.84</v>
      </c>
      <c r="J24" s="1528" t="s">
        <v>1561</v>
      </c>
      <c r="K24" s="1529"/>
    </row>
    <row r="25" spans="1:11" s="875" customFormat="1">
      <c r="A25" s="856">
        <v>44147</v>
      </c>
      <c r="B25" s="856">
        <v>44516</v>
      </c>
      <c r="C25" s="828" t="s">
        <v>1595</v>
      </c>
      <c r="D25" s="857" t="s">
        <v>25</v>
      </c>
      <c r="E25" s="828" t="s">
        <v>1310</v>
      </c>
      <c r="F25" s="858">
        <v>1798.7</v>
      </c>
      <c r="G25" s="859">
        <v>0.15</v>
      </c>
      <c r="H25" s="878">
        <v>248.22</v>
      </c>
      <c r="I25" s="879">
        <v>24.82</v>
      </c>
      <c r="J25" s="1536" t="s">
        <v>1575</v>
      </c>
      <c r="K25" s="1537"/>
    </row>
    <row r="26" spans="1:11" s="875" customFormat="1">
      <c r="A26" s="880">
        <v>44148</v>
      </c>
      <c r="B26" s="881">
        <v>44518</v>
      </c>
      <c r="C26" s="876" t="s">
        <v>1596</v>
      </c>
      <c r="D26" s="882" t="s">
        <v>61</v>
      </c>
      <c r="E26" s="876" t="s">
        <v>438</v>
      </c>
      <c r="F26" s="883">
        <v>1095.4000000000001</v>
      </c>
      <c r="G26" s="884">
        <v>0.15</v>
      </c>
      <c r="H26" s="885">
        <v>151.16</v>
      </c>
      <c r="I26" s="886">
        <v>15.11</v>
      </c>
      <c r="J26" s="1536" t="s">
        <v>1575</v>
      </c>
      <c r="K26" s="1537"/>
    </row>
    <row r="27" spans="1:11">
      <c r="A27" s="359">
        <v>44148</v>
      </c>
      <c r="B27" s="345">
        <v>44522</v>
      </c>
      <c r="C27" s="501" t="s">
        <v>1135</v>
      </c>
      <c r="D27" s="347" t="s">
        <v>61</v>
      </c>
      <c r="E27" s="346" t="s">
        <v>945</v>
      </c>
      <c r="F27" s="348">
        <v>1048.57</v>
      </c>
      <c r="G27" s="349">
        <v>0.1</v>
      </c>
      <c r="H27" s="502">
        <v>96.46</v>
      </c>
      <c r="I27" s="351"/>
      <c r="J27" s="1528"/>
      <c r="K27" s="1529"/>
    </row>
    <row r="28" spans="1:11" s="862" customFormat="1">
      <c r="A28" s="863">
        <v>44151</v>
      </c>
      <c r="B28" s="831">
        <v>44518</v>
      </c>
      <c r="C28" s="827" t="s">
        <v>1597</v>
      </c>
      <c r="D28" s="864" t="s">
        <v>448</v>
      </c>
      <c r="E28" s="827" t="s">
        <v>10</v>
      </c>
      <c r="F28" s="865">
        <v>1512.03</v>
      </c>
      <c r="G28" s="866">
        <v>0.1</v>
      </c>
      <c r="H28" s="867">
        <v>139.1</v>
      </c>
      <c r="I28" s="871"/>
      <c r="J28" s="1536"/>
      <c r="K28" s="1537"/>
    </row>
    <row r="29" spans="1:11" s="862" customFormat="1">
      <c r="A29" s="863">
        <v>44141</v>
      </c>
      <c r="B29" s="831">
        <v>44506</v>
      </c>
      <c r="C29" s="827" t="s">
        <v>1598</v>
      </c>
      <c r="D29" s="864" t="s">
        <v>448</v>
      </c>
      <c r="E29" s="827" t="s">
        <v>1599</v>
      </c>
      <c r="F29" s="865">
        <v>1681.56</v>
      </c>
      <c r="G29" s="866">
        <v>0.1</v>
      </c>
      <c r="H29" s="867">
        <v>154.69999999999999</v>
      </c>
      <c r="I29" s="868"/>
      <c r="J29" s="1536"/>
      <c r="K29" s="1537"/>
    </row>
    <row r="30" spans="1:11">
      <c r="A30" s="359">
        <v>44153</v>
      </c>
      <c r="B30" s="345">
        <v>44525</v>
      </c>
      <c r="C30" s="346" t="s">
        <v>1600</v>
      </c>
      <c r="D30" s="347" t="s">
        <v>61</v>
      </c>
      <c r="E30" s="346" t="s">
        <v>945</v>
      </c>
      <c r="F30" s="348">
        <v>1020.3</v>
      </c>
      <c r="G30" s="349">
        <v>0.15</v>
      </c>
      <c r="H30" s="350">
        <v>153.04</v>
      </c>
      <c r="I30" s="351">
        <v>76.52</v>
      </c>
      <c r="J30" s="1528" t="s">
        <v>1561</v>
      </c>
      <c r="K30" s="1529"/>
    </row>
    <row r="31" spans="1:11" s="862" customFormat="1">
      <c r="A31" s="863">
        <v>44153</v>
      </c>
      <c r="B31" s="831">
        <v>44517</v>
      </c>
      <c r="C31" s="827" t="s">
        <v>950</v>
      </c>
      <c r="D31" s="864" t="s">
        <v>448</v>
      </c>
      <c r="E31" s="827" t="s">
        <v>1529</v>
      </c>
      <c r="F31" s="865">
        <v>1936.24</v>
      </c>
      <c r="G31" s="866">
        <v>0.1</v>
      </c>
      <c r="H31" s="867">
        <v>178.13</v>
      </c>
      <c r="I31" s="871"/>
      <c r="J31" s="1536"/>
      <c r="K31" s="1537"/>
    </row>
    <row r="32" spans="1:11">
      <c r="A32" s="359">
        <v>44153</v>
      </c>
      <c r="B32" s="345">
        <v>44522</v>
      </c>
      <c r="C32" s="458" t="s">
        <v>1601</v>
      </c>
      <c r="D32" s="347" t="s">
        <v>448</v>
      </c>
      <c r="E32" s="346" t="s">
        <v>22</v>
      </c>
      <c r="F32" s="348">
        <v>1152.6500000000001</v>
      </c>
      <c r="G32" s="349">
        <v>0.1</v>
      </c>
      <c r="H32" s="350">
        <v>106.04</v>
      </c>
      <c r="I32" s="351"/>
      <c r="J32" s="1528"/>
      <c r="K32" s="1529"/>
    </row>
    <row r="33" spans="1:11">
      <c r="A33" s="359">
        <v>44153</v>
      </c>
      <c r="B33" s="345">
        <v>44525</v>
      </c>
      <c r="C33" s="571" t="s">
        <v>1602</v>
      </c>
      <c r="D33" s="347" t="s">
        <v>448</v>
      </c>
      <c r="E33" s="346" t="s">
        <v>22</v>
      </c>
      <c r="F33" s="348">
        <v>1071.9000000000001</v>
      </c>
      <c r="G33" s="349">
        <v>0.1</v>
      </c>
      <c r="H33" s="350">
        <v>98.61</v>
      </c>
      <c r="I33" s="351"/>
      <c r="J33" s="1528"/>
      <c r="K33" s="1529"/>
    </row>
    <row r="34" spans="1:11" s="862" customFormat="1">
      <c r="A34" s="856">
        <v>44153</v>
      </c>
      <c r="B34" s="856">
        <v>44519</v>
      </c>
      <c r="C34" s="828" t="s">
        <v>1138</v>
      </c>
      <c r="D34" s="857" t="s">
        <v>9</v>
      </c>
      <c r="E34" s="828" t="s">
        <v>90</v>
      </c>
      <c r="F34" s="858">
        <v>1510.68</v>
      </c>
      <c r="G34" s="859">
        <v>0.1</v>
      </c>
      <c r="H34" s="878">
        <v>138.97999999999999</v>
      </c>
      <c r="I34" s="887">
        <v>69.489999999999995</v>
      </c>
      <c r="J34" s="1536" t="s">
        <v>1482</v>
      </c>
      <c r="K34" s="1537"/>
    </row>
    <row r="35" spans="1:11" s="862" customFormat="1">
      <c r="A35" s="888">
        <v>44154</v>
      </c>
      <c r="B35" s="888">
        <v>44516</v>
      </c>
      <c r="C35" s="828" t="s">
        <v>1603</v>
      </c>
      <c r="D35" s="889" t="s">
        <v>1604</v>
      </c>
      <c r="E35" s="890" t="s">
        <v>22</v>
      </c>
      <c r="F35" s="891">
        <v>2239.59</v>
      </c>
      <c r="G35" s="892">
        <v>0.1</v>
      </c>
      <c r="H35" s="891">
        <v>206.04</v>
      </c>
      <c r="I35" s="887"/>
      <c r="J35" s="1536"/>
      <c r="K35" s="1537"/>
    </row>
    <row r="36" spans="1:11">
      <c r="A36" s="427">
        <v>44154</v>
      </c>
      <c r="B36" s="427">
        <v>44526</v>
      </c>
      <c r="C36" s="363" t="s">
        <v>1605</v>
      </c>
      <c r="D36" s="428" t="s">
        <v>61</v>
      </c>
      <c r="E36" s="363" t="s">
        <v>945</v>
      </c>
      <c r="F36" s="634">
        <v>1388.57</v>
      </c>
      <c r="G36" s="430">
        <v>0.13</v>
      </c>
      <c r="H36" s="634">
        <v>166.07</v>
      </c>
      <c r="I36" s="447">
        <v>166.07</v>
      </c>
      <c r="J36" s="1530" t="s">
        <v>1575</v>
      </c>
      <c r="K36" s="1531"/>
    </row>
    <row r="37" spans="1:11">
      <c r="A37" s="459">
        <v>44154</v>
      </c>
      <c r="B37" s="459">
        <v>44521</v>
      </c>
      <c r="C37" s="458" t="s">
        <v>1150</v>
      </c>
      <c r="D37" s="1546" t="s">
        <v>25</v>
      </c>
      <c r="E37" s="458" t="s">
        <v>945</v>
      </c>
      <c r="F37" s="508">
        <v>1115.56</v>
      </c>
      <c r="G37" s="461">
        <v>0.11</v>
      </c>
      <c r="H37" s="508">
        <v>112.89</v>
      </c>
      <c r="I37" s="482">
        <v>56.44</v>
      </c>
      <c r="J37" s="1528" t="s">
        <v>1561</v>
      </c>
      <c r="K37" s="1529"/>
    </row>
    <row r="38" spans="1:11" s="730" customFormat="1">
      <c r="A38" s="297">
        <v>44159</v>
      </c>
      <c r="B38" s="298">
        <v>44523</v>
      </c>
      <c r="C38" s="101" t="s">
        <v>1606</v>
      </c>
      <c r="D38" s="299" t="s">
        <v>9</v>
      </c>
      <c r="E38" s="101" t="s">
        <v>948</v>
      </c>
      <c r="F38" s="340">
        <v>985.38</v>
      </c>
      <c r="G38" s="301">
        <v>0.1</v>
      </c>
      <c r="H38" s="302">
        <v>90.65</v>
      </c>
      <c r="I38" s="303"/>
      <c r="J38" s="1538"/>
      <c r="K38" s="1539"/>
    </row>
    <row r="39" spans="1:11">
      <c r="A39" s="238">
        <v>44160</v>
      </c>
      <c r="B39" s="239">
        <v>44526</v>
      </c>
      <c r="C39" s="240" t="s">
        <v>1607</v>
      </c>
      <c r="D39" s="241" t="s">
        <v>9</v>
      </c>
      <c r="E39" s="240" t="s">
        <v>29</v>
      </c>
      <c r="F39" s="323">
        <v>1563.99</v>
      </c>
      <c r="G39" s="243">
        <v>0.1</v>
      </c>
      <c r="H39" s="244">
        <v>143.88</v>
      </c>
      <c r="I39" s="245"/>
      <c r="J39" s="1530"/>
      <c r="K39" s="1531"/>
    </row>
    <row r="40" spans="1:11">
      <c r="A40" s="359">
        <v>44161</v>
      </c>
      <c r="B40" s="345">
        <v>44526</v>
      </c>
      <c r="C40" s="346" t="s">
        <v>1608</v>
      </c>
      <c r="D40" s="347" t="s">
        <v>448</v>
      </c>
      <c r="E40" s="346" t="s">
        <v>945</v>
      </c>
      <c r="F40" s="348">
        <v>2552.6999999999998</v>
      </c>
      <c r="G40" s="349">
        <v>0.1</v>
      </c>
      <c r="H40" s="350">
        <v>234.84</v>
      </c>
      <c r="I40" s="351"/>
      <c r="J40" s="1528"/>
      <c r="K40" s="1529"/>
    </row>
    <row r="41" spans="1:11">
      <c r="A41" s="359">
        <v>44162</v>
      </c>
      <c r="B41" s="345">
        <v>44528</v>
      </c>
      <c r="C41" s="346" t="s">
        <v>1609</v>
      </c>
      <c r="D41" s="347" t="s">
        <v>25</v>
      </c>
      <c r="E41" s="346" t="s">
        <v>1610</v>
      </c>
      <c r="F41" s="348">
        <v>1515.57</v>
      </c>
      <c r="G41" s="349">
        <v>0.1</v>
      </c>
      <c r="H41" s="350">
        <v>139.43</v>
      </c>
      <c r="I41" s="351"/>
      <c r="J41" s="1528"/>
      <c r="K41" s="1529"/>
    </row>
    <row r="42" spans="1:11">
      <c r="A42" s="359">
        <v>44165</v>
      </c>
      <c r="B42" s="345">
        <v>44530</v>
      </c>
      <c r="C42" s="346" t="s">
        <v>1611</v>
      </c>
      <c r="D42" s="347" t="s">
        <v>14</v>
      </c>
      <c r="E42" s="346" t="s">
        <v>22</v>
      </c>
      <c r="F42" s="348">
        <v>2173.29</v>
      </c>
      <c r="G42" s="349">
        <v>0.1</v>
      </c>
      <c r="H42" s="350">
        <v>199.94</v>
      </c>
      <c r="I42" s="351"/>
      <c r="J42" s="1528"/>
      <c r="K42" s="1529"/>
    </row>
    <row r="43" spans="1:11">
      <c r="A43" s="359">
        <v>44165</v>
      </c>
      <c r="B43" s="345">
        <v>44530</v>
      </c>
      <c r="C43" s="346" t="s">
        <v>818</v>
      </c>
      <c r="D43" s="347" t="s">
        <v>25</v>
      </c>
      <c r="E43" s="346" t="s">
        <v>948</v>
      </c>
      <c r="F43" s="348">
        <v>1213.8599999999999</v>
      </c>
      <c r="G43" s="349">
        <v>0.11</v>
      </c>
      <c r="H43" s="350">
        <v>122.84</v>
      </c>
      <c r="I43" s="351"/>
      <c r="J43" s="1528"/>
      <c r="K43" s="1529"/>
    </row>
    <row r="44" spans="1:11">
      <c r="A44" s="359">
        <v>44165</v>
      </c>
      <c r="B44" s="345">
        <v>44525</v>
      </c>
      <c r="C44" s="346" t="s">
        <v>368</v>
      </c>
      <c r="D44" s="347" t="s">
        <v>14</v>
      </c>
      <c r="E44" s="346" t="s">
        <v>948</v>
      </c>
      <c r="F44" s="348">
        <v>1833.45</v>
      </c>
      <c r="G44" s="349">
        <v>0.1</v>
      </c>
      <c r="H44" s="350">
        <v>168.67</v>
      </c>
      <c r="I44" s="351"/>
      <c r="J44" s="1528"/>
      <c r="K44" s="1529"/>
    </row>
    <row r="45" spans="1:11">
      <c r="A45" s="359">
        <v>44165</v>
      </c>
      <c r="B45" s="345">
        <v>44530</v>
      </c>
      <c r="C45" s="1" t="s">
        <v>1612</v>
      </c>
      <c r="D45" s="347" t="s">
        <v>448</v>
      </c>
      <c r="E45" s="346" t="s">
        <v>1080</v>
      </c>
      <c r="F45" s="348">
        <v>1280.93</v>
      </c>
      <c r="G45" s="349">
        <v>0.1</v>
      </c>
      <c r="H45" s="350">
        <v>117.84</v>
      </c>
      <c r="I45" s="351"/>
      <c r="J45" s="1528"/>
      <c r="K45" s="1529"/>
    </row>
    <row r="46" spans="1:11">
      <c r="A46" s="359"/>
      <c r="B46" s="345"/>
      <c r="C46" s="1"/>
      <c r="D46" s="347"/>
      <c r="E46" s="346"/>
      <c r="F46" s="348"/>
      <c r="G46" s="349"/>
      <c r="H46" s="350"/>
      <c r="I46" s="351"/>
      <c r="J46" s="1963"/>
      <c r="K46" s="1964"/>
    </row>
    <row r="47" spans="1:11">
      <c r="A47" s="359"/>
      <c r="B47" s="345"/>
      <c r="C47" s="346"/>
      <c r="D47" s="347"/>
      <c r="E47" s="346"/>
      <c r="F47" s="348"/>
      <c r="G47" s="349"/>
      <c r="H47" s="350"/>
      <c r="I47" s="351"/>
      <c r="J47" s="1963"/>
      <c r="K47" s="1964"/>
    </row>
    <row r="48" spans="1:11">
      <c r="A48" s="359"/>
      <c r="B48" s="345"/>
      <c r="C48" s="346"/>
      <c r="D48" s="347"/>
      <c r="E48" s="346"/>
      <c r="F48" s="348"/>
      <c r="G48" s="349"/>
      <c r="H48" s="350"/>
      <c r="I48" s="351"/>
      <c r="J48" s="1528"/>
      <c r="K48" s="1529"/>
    </row>
    <row r="49" spans="1:11">
      <c r="A49" s="359"/>
      <c r="B49" s="345"/>
      <c r="C49" s="346"/>
      <c r="D49" s="347"/>
      <c r="E49" s="346"/>
      <c r="F49" s="348"/>
      <c r="G49" s="349"/>
      <c r="H49" s="350"/>
      <c r="I49" s="351"/>
      <c r="J49" s="1528"/>
      <c r="K49" s="1529"/>
    </row>
    <row r="50" spans="1:11">
      <c r="A50" s="359"/>
      <c r="B50" s="345"/>
      <c r="C50" s="346"/>
      <c r="D50" s="347"/>
      <c r="E50" s="346"/>
      <c r="F50" s="348"/>
      <c r="G50" s="349"/>
      <c r="H50" s="350"/>
      <c r="I50" s="351"/>
      <c r="J50" s="1528"/>
      <c r="K50" s="1529"/>
    </row>
    <row r="51" spans="1:11">
      <c r="A51" s="359"/>
      <c r="B51" s="345"/>
      <c r="C51" s="346"/>
      <c r="D51" s="347"/>
      <c r="E51" s="346"/>
      <c r="F51" s="348"/>
      <c r="G51" s="349"/>
      <c r="H51" s="350"/>
      <c r="I51" s="351"/>
      <c r="J51" s="1528"/>
      <c r="K51" s="1529"/>
    </row>
    <row r="52" spans="1:11">
      <c r="A52" s="359"/>
      <c r="B52" s="345"/>
      <c r="C52" s="346"/>
      <c r="D52" s="347"/>
      <c r="E52" s="346"/>
      <c r="F52" s="348"/>
      <c r="G52" s="349"/>
      <c r="H52" s="350"/>
      <c r="I52" s="351"/>
      <c r="J52" s="1528"/>
      <c r="K52" s="1529"/>
    </row>
    <row r="53" spans="1:11">
      <c r="A53" s="359"/>
      <c r="B53" s="345"/>
      <c r="C53" s="346"/>
      <c r="D53" s="347"/>
      <c r="E53" s="346"/>
      <c r="F53" s="348"/>
      <c r="G53" s="349"/>
      <c r="H53" s="350"/>
      <c r="I53" s="351"/>
      <c r="J53" s="1528"/>
      <c r="K53" s="1529"/>
    </row>
    <row r="54" spans="1:11">
      <c r="A54" s="359"/>
      <c r="B54" s="345"/>
      <c r="C54" s="346"/>
      <c r="D54" s="347"/>
      <c r="E54" s="346"/>
      <c r="F54" s="348"/>
      <c r="G54" s="349"/>
      <c r="H54" s="350"/>
      <c r="I54" s="351"/>
      <c r="J54" s="1528"/>
      <c r="K54" s="1529"/>
    </row>
    <row r="55" spans="1:11">
      <c r="A55" s="359"/>
      <c r="B55" s="345"/>
      <c r="C55" s="346"/>
      <c r="D55" s="347"/>
      <c r="E55" s="346"/>
      <c r="F55" s="348"/>
      <c r="G55" s="349"/>
      <c r="H55" s="350"/>
      <c r="I55" s="351"/>
      <c r="J55" s="1528"/>
      <c r="K55" s="1529"/>
    </row>
    <row r="56" spans="1:11">
      <c r="A56" s="359"/>
      <c r="B56" s="345"/>
      <c r="C56" s="346"/>
      <c r="D56" s="347"/>
      <c r="E56" s="346"/>
      <c r="F56" s="348"/>
      <c r="G56" s="349"/>
      <c r="H56" s="350"/>
      <c r="I56" s="351"/>
      <c r="J56" s="1528"/>
      <c r="K56" s="1529"/>
    </row>
    <row r="57" spans="1:11" ht="19.5">
      <c r="A57" s="673"/>
      <c r="B57" s="674"/>
      <c r="C57" s="674"/>
      <c r="D57" s="674"/>
      <c r="E57" s="674"/>
      <c r="F57" s="338">
        <f>SUM(F2:F56)</f>
        <v>69394.279999999984</v>
      </c>
      <c r="G57" s="143"/>
      <c r="H57" s="129">
        <f>SUM(H2:H56)</f>
        <v>7147.0699999999988</v>
      </c>
      <c r="I57" s="107">
        <f>SUM(I2:I56)</f>
        <v>638.69000000000005</v>
      </c>
    </row>
  </sheetData>
  <mergeCells count="2">
    <mergeCell ref="J46:K46"/>
    <mergeCell ref="J47:K47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K56"/>
  <sheetViews>
    <sheetView topLeftCell="A15" zoomScale="85" zoomScaleNormal="85" workbookViewId="0">
      <selection activeCell="I55" sqref="I55"/>
    </sheetView>
  </sheetViews>
  <sheetFormatPr defaultRowHeight="15"/>
  <cols>
    <col min="1" max="1" width="16.42578125" bestFit="1" customWidth="1"/>
    <col min="2" max="2" width="11.5703125" bestFit="1" customWidth="1"/>
    <col min="3" max="3" width="43.5703125" bestFit="1" customWidth="1"/>
    <col min="4" max="4" width="18.28515625" bestFit="1" customWidth="1"/>
    <col min="5" max="5" width="14.140625" bestFit="1" customWidth="1"/>
    <col min="6" max="6" width="20.42578125" bestFit="1" customWidth="1"/>
    <col min="7" max="7" width="13.42578125" bestFit="1" customWidth="1"/>
    <col min="8" max="8" width="22.5703125" bestFit="1" customWidth="1"/>
    <col min="9" max="9" width="21" bestFit="1" customWidth="1"/>
    <col min="10" max="10" width="11" bestFit="1" customWidth="1"/>
  </cols>
  <sheetData>
    <row r="1" spans="1:11" ht="15.75" thickBot="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1969" t="s">
        <v>370</v>
      </c>
      <c r="K1" s="1970"/>
    </row>
    <row r="2" spans="1:11" s="862" customFormat="1">
      <c r="A2" s="863">
        <v>44159</v>
      </c>
      <c r="B2" s="831">
        <v>44531</v>
      </c>
      <c r="C2" s="827" t="s">
        <v>1613</v>
      </c>
      <c r="D2" s="864" t="s">
        <v>25</v>
      </c>
      <c r="E2" s="827" t="s">
        <v>948</v>
      </c>
      <c r="F2" s="865">
        <v>754.39</v>
      </c>
      <c r="G2" s="866">
        <v>0.15</v>
      </c>
      <c r="H2" s="867">
        <v>104.1</v>
      </c>
      <c r="I2" s="871"/>
      <c r="J2" s="1973"/>
      <c r="K2" s="1974"/>
    </row>
    <row r="3" spans="1:11" s="730" customFormat="1">
      <c r="A3" s="591">
        <v>44165</v>
      </c>
      <c r="B3" s="893">
        <v>44532</v>
      </c>
      <c r="C3" s="457" t="s">
        <v>1614</v>
      </c>
      <c r="D3" s="593" t="s">
        <v>9</v>
      </c>
      <c r="E3" s="457" t="s">
        <v>945</v>
      </c>
      <c r="F3" s="594">
        <v>1677.91</v>
      </c>
      <c r="G3" s="595">
        <v>0.1</v>
      </c>
      <c r="H3" s="596">
        <v>154.36000000000001</v>
      </c>
      <c r="I3" s="597"/>
      <c r="J3" s="1540"/>
      <c r="K3" s="1541"/>
    </row>
    <row r="4" spans="1:11" s="862" customFormat="1">
      <c r="A4" s="863">
        <v>44165</v>
      </c>
      <c r="B4" s="831">
        <v>44531</v>
      </c>
      <c r="C4" s="827" t="s">
        <v>1615</v>
      </c>
      <c r="D4" s="864" t="s">
        <v>448</v>
      </c>
      <c r="E4" s="827" t="s">
        <v>945</v>
      </c>
      <c r="F4" s="865">
        <v>952.59</v>
      </c>
      <c r="G4" s="866">
        <v>0.1</v>
      </c>
      <c r="H4" s="867">
        <v>87.63</v>
      </c>
      <c r="I4" s="871"/>
      <c r="J4" s="1536"/>
      <c r="K4" s="1537"/>
    </row>
    <row r="5" spans="1:11" s="730" customFormat="1">
      <c r="A5" s="532">
        <v>44166</v>
      </c>
      <c r="B5" s="533">
        <v>44531</v>
      </c>
      <c r="C5" s="414" t="s">
        <v>1616</v>
      </c>
      <c r="D5" s="534" t="s">
        <v>448</v>
      </c>
      <c r="E5" s="414" t="s">
        <v>948</v>
      </c>
      <c r="F5" s="535">
        <v>2788.35</v>
      </c>
      <c r="G5" s="536">
        <v>0.1</v>
      </c>
      <c r="H5" s="537">
        <v>256.52</v>
      </c>
      <c r="I5" s="608"/>
      <c r="J5" s="1540"/>
      <c r="K5" s="1541"/>
    </row>
    <row r="6" spans="1:11" s="862" customFormat="1">
      <c r="A6" s="863">
        <v>44166</v>
      </c>
      <c r="B6" s="831">
        <v>44537</v>
      </c>
      <c r="C6" s="827" t="s">
        <v>1617</v>
      </c>
      <c r="D6" s="864" t="s">
        <v>61</v>
      </c>
      <c r="E6" s="828" t="s">
        <v>948</v>
      </c>
      <c r="F6" s="873">
        <v>1449.2</v>
      </c>
      <c r="G6" s="874">
        <v>0.15</v>
      </c>
      <c r="H6" s="867">
        <v>199.98</v>
      </c>
      <c r="I6" s="871"/>
      <c r="J6" s="1536"/>
      <c r="K6" s="1537"/>
    </row>
    <row r="7" spans="1:11" s="730" customFormat="1">
      <c r="A7" s="297">
        <v>44167</v>
      </c>
      <c r="B7" s="298">
        <v>44536</v>
      </c>
      <c r="C7" s="135" t="s">
        <v>1618</v>
      </c>
      <c r="D7" s="299" t="s">
        <v>533</v>
      </c>
      <c r="E7" s="101" t="s">
        <v>948</v>
      </c>
      <c r="F7" s="340">
        <v>1720.99</v>
      </c>
      <c r="G7" s="301">
        <v>0.1</v>
      </c>
      <c r="H7" s="302">
        <v>158.33000000000001</v>
      </c>
      <c r="I7" s="303"/>
      <c r="J7" s="1975"/>
      <c r="K7" s="1976"/>
    </row>
    <row r="8" spans="1:11">
      <c r="A8" s="359">
        <v>44167</v>
      </c>
      <c r="B8" s="345">
        <v>44532</v>
      </c>
      <c r="C8" s="346" t="s">
        <v>1619</v>
      </c>
      <c r="D8" s="347" t="s">
        <v>448</v>
      </c>
      <c r="E8" s="346" t="s">
        <v>469</v>
      </c>
      <c r="F8" s="348">
        <v>1618.32</v>
      </c>
      <c r="G8" s="349" t="s">
        <v>1620</v>
      </c>
      <c r="H8" s="350">
        <v>250</v>
      </c>
      <c r="I8" s="351"/>
      <c r="J8" s="1963"/>
      <c r="K8" s="1964"/>
    </row>
    <row r="9" spans="1:11" s="731" customFormat="1">
      <c r="A9" s="255">
        <v>44168</v>
      </c>
      <c r="B9" s="256">
        <v>44539</v>
      </c>
      <c r="C9" s="257" t="s">
        <v>1171</v>
      </c>
      <c r="D9" s="258" t="s">
        <v>448</v>
      </c>
      <c r="E9" s="257" t="s">
        <v>948</v>
      </c>
      <c r="F9" s="321">
        <v>1618.22</v>
      </c>
      <c r="G9" s="260">
        <v>0.1</v>
      </c>
      <c r="H9" s="261">
        <v>148.87</v>
      </c>
      <c r="I9" s="262">
        <v>14.88</v>
      </c>
      <c r="J9" s="1971" t="s">
        <v>1621</v>
      </c>
      <c r="K9" s="1972"/>
    </row>
    <row r="10" spans="1:11">
      <c r="A10" s="287">
        <v>44168</v>
      </c>
      <c r="B10" s="288">
        <v>44536</v>
      </c>
      <c r="C10" s="290" t="s">
        <v>389</v>
      </c>
      <c r="D10" s="289" t="s">
        <v>448</v>
      </c>
      <c r="E10" s="290" t="s">
        <v>948</v>
      </c>
      <c r="F10" s="337">
        <v>1304.1099999999999</v>
      </c>
      <c r="G10" s="292">
        <v>0.15</v>
      </c>
      <c r="H10" s="293">
        <v>179.96</v>
      </c>
      <c r="I10" s="581"/>
      <c r="J10" s="1963"/>
      <c r="K10" s="1964"/>
    </row>
    <row r="11" spans="1:11">
      <c r="A11" s="287">
        <v>44169</v>
      </c>
      <c r="B11" s="288">
        <v>44534</v>
      </c>
      <c r="C11" s="290" t="s">
        <v>1180</v>
      </c>
      <c r="D11" s="289" t="s">
        <v>14</v>
      </c>
      <c r="E11" s="290" t="s">
        <v>945</v>
      </c>
      <c r="F11" s="337">
        <v>1122.24</v>
      </c>
      <c r="G11" s="292">
        <v>0.15</v>
      </c>
      <c r="H11" s="293">
        <v>154.86000000000001</v>
      </c>
      <c r="I11" s="294"/>
      <c r="J11" s="1532"/>
      <c r="K11" s="1533"/>
    </row>
    <row r="12" spans="1:11">
      <c r="A12" s="287">
        <v>44142</v>
      </c>
      <c r="B12" s="288">
        <v>44506</v>
      </c>
      <c r="C12" s="458" t="s">
        <v>1173</v>
      </c>
      <c r="D12" s="289" t="s">
        <v>21</v>
      </c>
      <c r="E12" s="290" t="s">
        <v>22</v>
      </c>
      <c r="F12" s="337">
        <v>1997.09</v>
      </c>
      <c r="G12" s="292">
        <v>0.1</v>
      </c>
      <c r="H12" s="293">
        <v>183.73</v>
      </c>
      <c r="I12" s="580"/>
      <c r="J12" s="1532"/>
      <c r="K12" s="1533"/>
    </row>
    <row r="13" spans="1:11" s="731" customFormat="1">
      <c r="A13" s="255">
        <v>44142</v>
      </c>
      <c r="B13" s="256">
        <v>44509</v>
      </c>
      <c r="C13" s="257" t="s">
        <v>1622</v>
      </c>
      <c r="D13" s="258" t="s">
        <v>304</v>
      </c>
      <c r="E13" s="257" t="s">
        <v>948</v>
      </c>
      <c r="F13" s="321">
        <v>906.57</v>
      </c>
      <c r="G13" s="260">
        <v>0.1</v>
      </c>
      <c r="H13" s="261">
        <v>83.39</v>
      </c>
      <c r="I13" s="582">
        <v>8.33</v>
      </c>
      <c r="J13" s="1971" t="s">
        <v>1621</v>
      </c>
      <c r="K13" s="1972"/>
    </row>
    <row r="14" spans="1:11" s="731" customFormat="1">
      <c r="A14" s="255">
        <v>44172</v>
      </c>
      <c r="B14" s="256">
        <v>44537</v>
      </c>
      <c r="C14" s="257" t="s">
        <v>1623</v>
      </c>
      <c r="D14" s="258" t="s">
        <v>448</v>
      </c>
      <c r="E14" s="257" t="s">
        <v>948</v>
      </c>
      <c r="F14" s="321">
        <v>1637.48</v>
      </c>
      <c r="G14" s="260">
        <v>0.15</v>
      </c>
      <c r="H14" s="261">
        <v>225.97</v>
      </c>
      <c r="I14" s="262">
        <v>22.59</v>
      </c>
      <c r="J14" s="1971" t="s">
        <v>1621</v>
      </c>
      <c r="K14" s="1972"/>
    </row>
    <row r="15" spans="1:11">
      <c r="A15" s="287">
        <v>44174</v>
      </c>
      <c r="B15" s="288">
        <v>44539</v>
      </c>
      <c r="C15" s="290" t="s">
        <v>1624</v>
      </c>
      <c r="D15" s="289" t="s">
        <v>70</v>
      </c>
      <c r="E15" s="290" t="s">
        <v>948</v>
      </c>
      <c r="F15" s="337">
        <v>952.06</v>
      </c>
      <c r="G15" s="292">
        <v>0.15</v>
      </c>
      <c r="H15" s="293">
        <v>131.38</v>
      </c>
      <c r="I15" s="294"/>
      <c r="J15" s="1532"/>
      <c r="K15" s="1533"/>
    </row>
    <row r="16" spans="1:11">
      <c r="A16" s="287">
        <v>44174</v>
      </c>
      <c r="B16" s="288">
        <v>44539</v>
      </c>
      <c r="C16" s="290" t="s">
        <v>1625</v>
      </c>
      <c r="D16" s="289" t="s">
        <v>9</v>
      </c>
      <c r="E16" s="290" t="s">
        <v>143</v>
      </c>
      <c r="F16" s="337">
        <v>1251.94</v>
      </c>
      <c r="G16" s="292">
        <v>0.1</v>
      </c>
      <c r="H16" s="293">
        <v>115.17</v>
      </c>
      <c r="I16" s="294"/>
      <c r="J16" s="1532"/>
      <c r="K16" s="1533"/>
    </row>
    <row r="17" spans="1:11" s="731" customFormat="1">
      <c r="A17" s="238">
        <v>44174</v>
      </c>
      <c r="B17" s="239">
        <v>44543</v>
      </c>
      <c r="C17" s="363" t="s">
        <v>1187</v>
      </c>
      <c r="D17" s="241" t="s">
        <v>9</v>
      </c>
      <c r="E17" s="240" t="s">
        <v>1310</v>
      </c>
      <c r="F17" s="323">
        <v>1588.84</v>
      </c>
      <c r="G17" s="243">
        <v>0.1</v>
      </c>
      <c r="H17" s="244">
        <v>146.16999999999999</v>
      </c>
      <c r="I17" s="586"/>
      <c r="J17" s="1965" t="s">
        <v>1558</v>
      </c>
      <c r="K17" s="1966"/>
    </row>
    <row r="18" spans="1:11" s="731" customFormat="1">
      <c r="A18" s="238">
        <v>44175</v>
      </c>
      <c r="B18" s="239">
        <v>44540</v>
      </c>
      <c r="C18" s="531" t="s">
        <v>1626</v>
      </c>
      <c r="D18" s="241" t="s">
        <v>25</v>
      </c>
      <c r="E18" s="240" t="s">
        <v>948</v>
      </c>
      <c r="F18" s="323">
        <v>1714.31</v>
      </c>
      <c r="G18" s="243">
        <v>0.1</v>
      </c>
      <c r="H18" s="244">
        <v>157.71</v>
      </c>
      <c r="I18" s="245">
        <v>15.77</v>
      </c>
      <c r="J18" s="1965" t="s">
        <v>1621</v>
      </c>
      <c r="K18" s="1966"/>
    </row>
    <row r="19" spans="1:11">
      <c r="A19" s="359">
        <v>44175</v>
      </c>
      <c r="B19" s="345">
        <v>44540</v>
      </c>
      <c r="C19" s="346" t="s">
        <v>1627</v>
      </c>
      <c r="D19" s="347" t="s">
        <v>448</v>
      </c>
      <c r="E19" s="346" t="s">
        <v>22</v>
      </c>
      <c r="F19" s="348">
        <v>1209.47</v>
      </c>
      <c r="G19" s="349">
        <v>0.1</v>
      </c>
      <c r="H19" s="350">
        <v>111.27</v>
      </c>
      <c r="I19" s="351"/>
      <c r="J19" s="1528"/>
      <c r="K19" s="1529"/>
    </row>
    <row r="20" spans="1:11">
      <c r="A20" s="359">
        <v>44175</v>
      </c>
      <c r="B20" s="345">
        <v>44541</v>
      </c>
      <c r="C20" s="346" t="s">
        <v>1628</v>
      </c>
      <c r="D20" s="347" t="s">
        <v>61</v>
      </c>
      <c r="E20" s="346" t="s">
        <v>945</v>
      </c>
      <c r="F20" s="348">
        <v>3022.63</v>
      </c>
      <c r="G20" s="349">
        <v>0.1</v>
      </c>
      <c r="H20" s="350">
        <v>278.08</v>
      </c>
      <c r="I20" s="351"/>
      <c r="J20" s="1528"/>
      <c r="K20" s="1529"/>
    </row>
    <row r="21" spans="1:11">
      <c r="A21" s="359">
        <v>44175</v>
      </c>
      <c r="B21" s="490">
        <v>44544</v>
      </c>
      <c r="C21" s="345" t="s">
        <v>1629</v>
      </c>
      <c r="D21" s="347" t="s">
        <v>33</v>
      </c>
      <c r="E21" s="346" t="s">
        <v>500</v>
      </c>
      <c r="F21" s="348">
        <v>1119.97</v>
      </c>
      <c r="G21" s="349">
        <v>0.15</v>
      </c>
      <c r="H21" s="350">
        <v>154.55000000000001</v>
      </c>
      <c r="I21" s="351"/>
      <c r="J21" s="1528"/>
      <c r="K21" s="1529"/>
    </row>
    <row r="22" spans="1:11">
      <c r="A22" s="359">
        <v>44176</v>
      </c>
      <c r="B22" s="345">
        <v>44545</v>
      </c>
      <c r="C22" s="346" t="s">
        <v>364</v>
      </c>
      <c r="D22" s="347" t="s">
        <v>21</v>
      </c>
      <c r="E22" s="346" t="s">
        <v>948</v>
      </c>
      <c r="F22" s="348">
        <v>976.56</v>
      </c>
      <c r="G22" s="349">
        <v>0.1</v>
      </c>
      <c r="H22" s="350">
        <v>89.84</v>
      </c>
      <c r="I22" s="351"/>
      <c r="J22" s="1528"/>
      <c r="K22" s="1529"/>
    </row>
    <row r="23" spans="1:11" s="731" customFormat="1">
      <c r="A23" s="238">
        <v>44176</v>
      </c>
      <c r="B23" s="239">
        <v>44545</v>
      </c>
      <c r="C23" s="240" t="s">
        <v>1183</v>
      </c>
      <c r="D23" s="241" t="s">
        <v>61</v>
      </c>
      <c r="E23" s="240" t="s">
        <v>945</v>
      </c>
      <c r="F23" s="323">
        <v>1169.1600000000001</v>
      </c>
      <c r="G23" s="243">
        <v>0.15</v>
      </c>
      <c r="H23" s="244">
        <v>161.34</v>
      </c>
      <c r="I23" s="245">
        <v>16.13</v>
      </c>
      <c r="J23" s="1965" t="s">
        <v>1621</v>
      </c>
      <c r="K23" s="1966"/>
    </row>
    <row r="24" spans="1:11" s="731" customFormat="1">
      <c r="A24" s="238">
        <v>44176</v>
      </c>
      <c r="B24" s="239">
        <v>44548</v>
      </c>
      <c r="C24" s="240" t="s">
        <v>1200</v>
      </c>
      <c r="D24" s="241" t="s">
        <v>9</v>
      </c>
      <c r="E24" s="240" t="s">
        <v>22</v>
      </c>
      <c r="F24" s="323">
        <v>1944.4</v>
      </c>
      <c r="G24" s="243">
        <v>0.1</v>
      </c>
      <c r="H24" s="244">
        <v>178.88</v>
      </c>
      <c r="I24" s="245">
        <v>17.88</v>
      </c>
      <c r="J24" s="1965" t="s">
        <v>1621</v>
      </c>
      <c r="K24" s="1966"/>
    </row>
    <row r="25" spans="1:11">
      <c r="A25" s="484">
        <v>44179</v>
      </c>
      <c r="B25" s="484">
        <v>44551</v>
      </c>
      <c r="C25" s="436" t="s">
        <v>1630</v>
      </c>
      <c r="D25" s="1547" t="s">
        <v>9</v>
      </c>
      <c r="E25" s="436" t="s">
        <v>945</v>
      </c>
      <c r="F25" s="485">
        <v>1559.35</v>
      </c>
      <c r="G25" s="486">
        <v>0.1</v>
      </c>
      <c r="H25" s="635">
        <v>143.46</v>
      </c>
      <c r="I25" s="489"/>
      <c r="J25" s="1532"/>
      <c r="K25" s="1533"/>
    </row>
    <row r="26" spans="1:11">
      <c r="A26" s="491">
        <v>44179</v>
      </c>
      <c r="B26" s="492">
        <v>44545</v>
      </c>
      <c r="C26" s="493" t="s">
        <v>87</v>
      </c>
      <c r="D26" s="494" t="s">
        <v>25</v>
      </c>
      <c r="E26" s="493" t="s">
        <v>438</v>
      </c>
      <c r="F26" s="495">
        <v>1280.44</v>
      </c>
      <c r="G26" s="496">
        <v>0.15</v>
      </c>
      <c r="H26" s="497">
        <v>176.7</v>
      </c>
      <c r="I26" s="498"/>
      <c r="J26" s="1532"/>
      <c r="K26" s="1533"/>
    </row>
    <row r="27" spans="1:11" s="730" customFormat="1">
      <c r="A27" s="297">
        <v>44179</v>
      </c>
      <c r="B27" s="298">
        <v>44545</v>
      </c>
      <c r="C27" s="509" t="s">
        <v>589</v>
      </c>
      <c r="D27" s="299" t="s">
        <v>14</v>
      </c>
      <c r="E27" s="101" t="s">
        <v>948</v>
      </c>
      <c r="F27" s="340">
        <v>1832.48</v>
      </c>
      <c r="G27" s="301">
        <v>0.1</v>
      </c>
      <c r="H27" s="894">
        <v>168.58</v>
      </c>
      <c r="I27" s="303"/>
      <c r="J27" s="1538"/>
      <c r="K27" s="1539"/>
    </row>
    <row r="28" spans="1:11">
      <c r="A28" s="359">
        <v>44179</v>
      </c>
      <c r="B28" s="345">
        <v>44543</v>
      </c>
      <c r="C28" s="346" t="s">
        <v>1631</v>
      </c>
      <c r="D28" s="347" t="s">
        <v>9</v>
      </c>
      <c r="E28" s="346" t="s">
        <v>948</v>
      </c>
      <c r="F28" s="348">
        <v>1148.95</v>
      </c>
      <c r="G28" s="349">
        <v>0.1</v>
      </c>
      <c r="H28" s="350">
        <v>105.7</v>
      </c>
      <c r="I28" s="351"/>
      <c r="J28" s="1528"/>
      <c r="K28" s="1529"/>
    </row>
    <row r="29" spans="1:11">
      <c r="A29" s="359">
        <v>44179</v>
      </c>
      <c r="B29" s="345">
        <v>44548</v>
      </c>
      <c r="C29" s="346" t="s">
        <v>826</v>
      </c>
      <c r="D29" s="347" t="s">
        <v>448</v>
      </c>
      <c r="E29" s="346" t="s">
        <v>22</v>
      </c>
      <c r="F29" s="348">
        <v>2230.85</v>
      </c>
      <c r="G29" s="349">
        <v>0.1</v>
      </c>
      <c r="H29" s="350">
        <v>205.23</v>
      </c>
      <c r="I29" s="522"/>
      <c r="J29" s="1528"/>
      <c r="K29" s="1529"/>
    </row>
    <row r="30" spans="1:11">
      <c r="A30" s="359">
        <v>44179</v>
      </c>
      <c r="B30" s="345">
        <v>44550</v>
      </c>
      <c r="C30" s="346" t="s">
        <v>1186</v>
      </c>
      <c r="D30" s="347" t="s">
        <v>25</v>
      </c>
      <c r="E30" s="346" t="s">
        <v>948</v>
      </c>
      <c r="F30" s="348">
        <v>903.89</v>
      </c>
      <c r="G30" s="349">
        <v>0.15</v>
      </c>
      <c r="H30" s="350">
        <v>124.73</v>
      </c>
      <c r="I30" s="351"/>
      <c r="J30" s="1528"/>
      <c r="K30" s="1529"/>
    </row>
    <row r="31" spans="1:11">
      <c r="A31" s="287">
        <v>44169</v>
      </c>
      <c r="B31" s="288">
        <v>44534</v>
      </c>
      <c r="C31" s="290" t="s">
        <v>1632</v>
      </c>
      <c r="D31" s="289" t="s">
        <v>70</v>
      </c>
      <c r="E31" s="290" t="s">
        <v>279</v>
      </c>
      <c r="F31" s="337">
        <v>1049.4100000000001</v>
      </c>
      <c r="G31" s="292">
        <v>0.13</v>
      </c>
      <c r="H31" s="293">
        <v>125.5</v>
      </c>
      <c r="I31" s="294">
        <v>62.75</v>
      </c>
      <c r="J31" s="1967" t="s">
        <v>1466</v>
      </c>
      <c r="K31" s="1968"/>
    </row>
    <row r="32" spans="1:11">
      <c r="A32" s="359">
        <v>44180</v>
      </c>
      <c r="B32" s="345">
        <v>44545</v>
      </c>
      <c r="C32" s="1" t="s">
        <v>1633</v>
      </c>
      <c r="D32" s="347" t="s">
        <v>304</v>
      </c>
      <c r="E32" s="346" t="s">
        <v>90</v>
      </c>
      <c r="F32" s="348">
        <v>3884.45</v>
      </c>
      <c r="G32" s="349">
        <v>0.2</v>
      </c>
      <c r="H32" s="350">
        <v>714.73</v>
      </c>
      <c r="I32" s="351">
        <v>357.36</v>
      </c>
      <c r="J32" s="1963" t="s">
        <v>1561</v>
      </c>
      <c r="K32" s="1964"/>
    </row>
    <row r="33" spans="1:11">
      <c r="A33" s="359">
        <v>44181</v>
      </c>
      <c r="B33" s="345">
        <v>44546</v>
      </c>
      <c r="C33" s="346" t="s">
        <v>1634</v>
      </c>
      <c r="D33" s="347" t="s">
        <v>25</v>
      </c>
      <c r="E33" s="346" t="s">
        <v>1080</v>
      </c>
      <c r="F33" s="348">
        <v>460.32</v>
      </c>
      <c r="G33" s="349">
        <v>0.1</v>
      </c>
      <c r="H33" s="350">
        <v>42.34</v>
      </c>
      <c r="I33" s="351"/>
      <c r="J33" s="1528"/>
      <c r="K33" s="1529"/>
    </row>
    <row r="34" spans="1:11">
      <c r="A34" s="503">
        <v>44181</v>
      </c>
      <c r="B34" s="503">
        <v>44549</v>
      </c>
      <c r="C34" s="458" t="s">
        <v>1205</v>
      </c>
      <c r="D34" s="504" t="s">
        <v>14</v>
      </c>
      <c r="E34" s="505" t="s">
        <v>22</v>
      </c>
      <c r="F34" s="506">
        <v>2343.94</v>
      </c>
      <c r="G34" s="507">
        <v>0.1</v>
      </c>
      <c r="H34" s="506">
        <v>215.64</v>
      </c>
      <c r="I34" s="482"/>
      <c r="J34" s="1528"/>
      <c r="K34" s="1529"/>
    </row>
    <row r="35" spans="1:11">
      <c r="A35" s="459">
        <v>44182</v>
      </c>
      <c r="B35" s="459">
        <v>44547</v>
      </c>
      <c r="C35" s="458" t="s">
        <v>1199</v>
      </c>
      <c r="D35" s="1546" t="s">
        <v>9</v>
      </c>
      <c r="E35" s="458" t="s">
        <v>90</v>
      </c>
      <c r="F35" s="508">
        <v>960.12</v>
      </c>
      <c r="G35" s="461">
        <v>0.15</v>
      </c>
      <c r="H35" s="508">
        <v>132.49</v>
      </c>
      <c r="I35" s="482"/>
      <c r="J35" s="1528"/>
      <c r="K35" s="1529"/>
    </row>
    <row r="36" spans="1:11">
      <c r="A36" s="459">
        <v>44182</v>
      </c>
      <c r="B36" s="459">
        <v>44554</v>
      </c>
      <c r="C36" s="458" t="s">
        <v>1199</v>
      </c>
      <c r="D36" s="1546" t="s">
        <v>9</v>
      </c>
      <c r="E36" s="458" t="s">
        <v>500</v>
      </c>
      <c r="F36" s="508">
        <v>1478.84</v>
      </c>
      <c r="G36" s="461">
        <v>0.1</v>
      </c>
      <c r="H36" s="508">
        <v>136.05000000000001</v>
      </c>
      <c r="I36" s="482"/>
      <c r="J36" s="1528"/>
      <c r="K36" s="1529"/>
    </row>
    <row r="37" spans="1:11">
      <c r="A37" s="359">
        <v>44183</v>
      </c>
      <c r="B37" s="345">
        <v>44553</v>
      </c>
      <c r="C37" s="346" t="s">
        <v>1635</v>
      </c>
      <c r="D37" s="347" t="s">
        <v>14</v>
      </c>
      <c r="E37" s="346" t="s">
        <v>948</v>
      </c>
      <c r="F37" s="348">
        <v>905.19</v>
      </c>
      <c r="G37" s="349">
        <v>0.1</v>
      </c>
      <c r="H37" s="350">
        <v>83.26</v>
      </c>
      <c r="I37" s="351"/>
      <c r="J37" s="1528"/>
      <c r="K37" s="1529"/>
    </row>
    <row r="38" spans="1:11">
      <c r="A38" s="359">
        <v>44183</v>
      </c>
      <c r="B38" s="345">
        <v>44553</v>
      </c>
      <c r="C38" s="346" t="s">
        <v>479</v>
      </c>
      <c r="D38" s="347" t="s">
        <v>70</v>
      </c>
      <c r="E38" s="346" t="s">
        <v>438</v>
      </c>
      <c r="F38" s="348">
        <v>1278.6199999999999</v>
      </c>
      <c r="G38" s="349">
        <v>0.25</v>
      </c>
      <c r="H38" s="350">
        <v>294.08</v>
      </c>
      <c r="I38" s="351"/>
      <c r="J38" s="1528"/>
      <c r="K38" s="1529"/>
    </row>
    <row r="39" spans="1:11">
      <c r="A39" s="359">
        <v>44183</v>
      </c>
      <c r="B39" s="345">
        <v>44548</v>
      </c>
      <c r="C39" s="346" t="s">
        <v>1195</v>
      </c>
      <c r="D39" s="347" t="s">
        <v>448</v>
      </c>
      <c r="E39" s="346" t="s">
        <v>45</v>
      </c>
      <c r="F39" s="348">
        <v>3557.94</v>
      </c>
      <c r="G39" s="349">
        <v>0.1</v>
      </c>
      <c r="H39" s="350">
        <v>327.33</v>
      </c>
      <c r="I39" s="351"/>
      <c r="J39" s="1528"/>
      <c r="K39" s="1529"/>
    </row>
    <row r="40" spans="1:11">
      <c r="A40" s="359">
        <v>44183</v>
      </c>
      <c r="B40" s="345">
        <v>44550</v>
      </c>
      <c r="C40" s="346" t="s">
        <v>1191</v>
      </c>
      <c r="D40" s="347" t="s">
        <v>25</v>
      </c>
      <c r="E40" s="346" t="s">
        <v>945</v>
      </c>
      <c r="F40" s="348">
        <v>856.22</v>
      </c>
      <c r="G40" s="349">
        <v>0.1</v>
      </c>
      <c r="H40" s="350">
        <v>78.77</v>
      </c>
      <c r="I40" s="351">
        <v>39.380000000000003</v>
      </c>
      <c r="J40" s="1963" t="s">
        <v>1588</v>
      </c>
      <c r="K40" s="1964"/>
    </row>
    <row r="41" spans="1:11" s="731" customFormat="1">
      <c r="A41" s="238">
        <v>44183</v>
      </c>
      <c r="B41" s="239">
        <v>44556</v>
      </c>
      <c r="C41" s="240" t="s">
        <v>1636</v>
      </c>
      <c r="D41" s="241" t="s">
        <v>61</v>
      </c>
      <c r="E41" s="240" t="s">
        <v>945</v>
      </c>
      <c r="F41" s="323">
        <v>1881.4</v>
      </c>
      <c r="G41" s="243">
        <v>0.1</v>
      </c>
      <c r="H41" s="244">
        <v>173.08</v>
      </c>
      <c r="I41" s="245">
        <v>17.3</v>
      </c>
      <c r="J41" s="1965" t="s">
        <v>1621</v>
      </c>
      <c r="K41" s="1966"/>
    </row>
    <row r="42" spans="1:11">
      <c r="A42" s="359">
        <v>44186</v>
      </c>
      <c r="B42" s="345">
        <v>44551</v>
      </c>
      <c r="C42" s="346" t="s">
        <v>1637</v>
      </c>
      <c r="D42" s="347" t="s">
        <v>448</v>
      </c>
      <c r="E42" s="346" t="s">
        <v>22</v>
      </c>
      <c r="F42" s="348">
        <v>1605.14</v>
      </c>
      <c r="G42" s="349">
        <v>0.1</v>
      </c>
      <c r="H42" s="350">
        <v>147.66999999999999</v>
      </c>
      <c r="I42" s="351"/>
      <c r="J42" s="1528"/>
      <c r="K42" s="1529"/>
    </row>
    <row r="43" spans="1:11">
      <c r="A43" s="359">
        <v>44186</v>
      </c>
      <c r="B43" s="345">
        <v>44558</v>
      </c>
      <c r="C43" s="346" t="s">
        <v>1208</v>
      </c>
      <c r="D43" s="347" t="s">
        <v>448</v>
      </c>
      <c r="E43" s="346" t="s">
        <v>948</v>
      </c>
      <c r="F43" s="348">
        <v>1769.22</v>
      </c>
      <c r="G43" s="349">
        <v>0.15</v>
      </c>
      <c r="H43" s="350">
        <v>244.15</v>
      </c>
      <c r="I43" s="351"/>
      <c r="J43" s="1528"/>
      <c r="K43" s="1529"/>
    </row>
    <row r="44" spans="1:11">
      <c r="A44" s="359">
        <v>44187</v>
      </c>
      <c r="B44" s="345">
        <v>44557</v>
      </c>
      <c r="C44" s="346" t="s">
        <v>1638</v>
      </c>
      <c r="D44" s="347" t="s">
        <v>9</v>
      </c>
      <c r="E44" s="346" t="s">
        <v>29</v>
      </c>
      <c r="F44" s="348">
        <v>2392.27</v>
      </c>
      <c r="G44" s="349">
        <v>0.1</v>
      </c>
      <c r="H44" s="350">
        <v>220.08</v>
      </c>
      <c r="I44" s="351"/>
      <c r="J44" s="1528"/>
      <c r="K44" s="1529"/>
    </row>
    <row r="45" spans="1:11">
      <c r="A45" s="359">
        <v>44187</v>
      </c>
      <c r="B45" s="345">
        <v>44552</v>
      </c>
      <c r="C45" s="346" t="s">
        <v>1639</v>
      </c>
      <c r="D45" s="347" t="s">
        <v>25</v>
      </c>
      <c r="E45" s="346" t="s">
        <v>22</v>
      </c>
      <c r="F45" s="348">
        <v>2869.54</v>
      </c>
      <c r="G45" s="349">
        <v>0.1</v>
      </c>
      <c r="H45" s="350">
        <v>263.99</v>
      </c>
      <c r="I45" s="351"/>
      <c r="J45" s="1528"/>
      <c r="K45" s="1529"/>
    </row>
    <row r="46" spans="1:11">
      <c r="A46" s="359">
        <v>44188</v>
      </c>
      <c r="B46" s="345">
        <v>44553</v>
      </c>
      <c r="C46" s="346" t="s">
        <v>1082</v>
      </c>
      <c r="D46" s="347" t="s">
        <v>9</v>
      </c>
      <c r="E46" s="346" t="s">
        <v>90</v>
      </c>
      <c r="F46" s="348">
        <v>1386.86</v>
      </c>
      <c r="G46" s="349">
        <v>0.1</v>
      </c>
      <c r="H46" s="350">
        <v>127.59</v>
      </c>
      <c r="I46" s="351"/>
      <c r="J46" s="1528"/>
      <c r="K46" s="1529"/>
    </row>
    <row r="47" spans="1:11">
      <c r="A47" s="359">
        <v>44188</v>
      </c>
      <c r="B47" s="345">
        <v>44560</v>
      </c>
      <c r="C47" s="346" t="s">
        <v>1640</v>
      </c>
      <c r="D47" s="347" t="s">
        <v>9</v>
      </c>
      <c r="E47" s="346" t="s">
        <v>1641</v>
      </c>
      <c r="F47" s="348">
        <v>1494.99</v>
      </c>
      <c r="G47" s="349">
        <v>0.1</v>
      </c>
      <c r="H47" s="350">
        <v>137.53</v>
      </c>
      <c r="I47" s="351"/>
      <c r="J47" s="1528"/>
      <c r="K47" s="1529"/>
    </row>
    <row r="48" spans="1:11">
      <c r="A48" s="359">
        <v>44188</v>
      </c>
      <c r="B48" s="345">
        <v>44556</v>
      </c>
      <c r="C48" s="346" t="s">
        <v>1642</v>
      </c>
      <c r="D48" s="347" t="s">
        <v>25</v>
      </c>
      <c r="E48" s="346" t="s">
        <v>438</v>
      </c>
      <c r="F48" s="348">
        <v>620.87</v>
      </c>
      <c r="G48" s="349">
        <v>0.13</v>
      </c>
      <c r="H48" s="350">
        <v>74.25</v>
      </c>
      <c r="I48" s="351"/>
      <c r="J48" s="1528"/>
      <c r="K48" s="1529"/>
    </row>
    <row r="49" spans="1:11" s="731" customFormat="1">
      <c r="A49" s="238">
        <v>44193</v>
      </c>
      <c r="B49" s="239">
        <v>44557</v>
      </c>
      <c r="C49" s="240" t="s">
        <v>834</v>
      </c>
      <c r="D49" s="241" t="s">
        <v>14</v>
      </c>
      <c r="E49" s="240" t="s">
        <v>948</v>
      </c>
      <c r="F49" s="323">
        <v>1501.7</v>
      </c>
      <c r="G49" s="243">
        <v>0.15</v>
      </c>
      <c r="H49" s="244">
        <v>207.23</v>
      </c>
      <c r="I49" s="245">
        <v>20.72</v>
      </c>
      <c r="J49" s="1965" t="s">
        <v>1621</v>
      </c>
      <c r="K49" s="1966"/>
    </row>
    <row r="50" spans="1:11">
      <c r="A50" s="359">
        <v>44193</v>
      </c>
      <c r="B50" s="345">
        <v>44558</v>
      </c>
      <c r="C50" s="346" t="s">
        <v>1197</v>
      </c>
      <c r="D50" s="347" t="s">
        <v>448</v>
      </c>
      <c r="E50" s="346" t="s">
        <v>438</v>
      </c>
      <c r="F50" s="348">
        <v>1667.18</v>
      </c>
      <c r="G50" s="349">
        <v>0.1</v>
      </c>
      <c r="H50" s="350">
        <v>153.38</v>
      </c>
      <c r="I50" s="351"/>
      <c r="J50" s="1528"/>
      <c r="K50" s="1529"/>
    </row>
    <row r="51" spans="1:11" s="731" customFormat="1">
      <c r="A51" s="238">
        <v>44193</v>
      </c>
      <c r="B51" s="239">
        <v>44558</v>
      </c>
      <c r="C51" s="240" t="s">
        <v>1643</v>
      </c>
      <c r="D51" s="241" t="s">
        <v>21</v>
      </c>
      <c r="E51" s="240" t="s">
        <v>948</v>
      </c>
      <c r="F51" s="323">
        <v>1719.73</v>
      </c>
      <c r="G51" s="243">
        <v>0.15</v>
      </c>
      <c r="H51" s="244">
        <v>237.32</v>
      </c>
      <c r="I51" s="245">
        <v>23.73</v>
      </c>
      <c r="J51" s="1965" t="s">
        <v>1621</v>
      </c>
      <c r="K51" s="1966"/>
    </row>
    <row r="52" spans="1:11">
      <c r="A52" s="359">
        <v>44193</v>
      </c>
      <c r="B52" s="345">
        <v>44557</v>
      </c>
      <c r="C52" s="346" t="s">
        <v>1644</v>
      </c>
      <c r="D52" s="347" t="s">
        <v>448</v>
      </c>
      <c r="E52" s="346" t="s">
        <v>948</v>
      </c>
      <c r="F52" s="348">
        <v>1116.17</v>
      </c>
      <c r="G52" s="349">
        <v>0.15</v>
      </c>
      <c r="H52" s="350">
        <v>154.03</v>
      </c>
      <c r="I52" s="351"/>
      <c r="J52" s="1528"/>
      <c r="K52" s="1529"/>
    </row>
    <row r="53" spans="1:11">
      <c r="A53" s="359">
        <v>44193</v>
      </c>
      <c r="B53" s="345">
        <v>44558</v>
      </c>
      <c r="C53" s="346" t="s">
        <v>1031</v>
      </c>
      <c r="D53" s="347" t="s">
        <v>14</v>
      </c>
      <c r="E53" s="346" t="s">
        <v>1310</v>
      </c>
      <c r="F53" s="348">
        <v>1716.13</v>
      </c>
      <c r="G53" s="349">
        <v>0.19</v>
      </c>
      <c r="H53" s="350">
        <v>299.97000000000003</v>
      </c>
      <c r="I53" s="351"/>
      <c r="J53" s="1528"/>
      <c r="K53" s="1529"/>
    </row>
    <row r="54" spans="1:11">
      <c r="A54" s="359">
        <v>44195</v>
      </c>
      <c r="B54" s="345">
        <v>44560</v>
      </c>
      <c r="C54" s="346" t="s">
        <v>1209</v>
      </c>
      <c r="D54" s="347" t="s">
        <v>448</v>
      </c>
      <c r="E54" s="346" t="s">
        <v>948</v>
      </c>
      <c r="F54" s="348">
        <v>1650.43</v>
      </c>
      <c r="G54" s="349">
        <v>0.123</v>
      </c>
      <c r="H54" s="350">
        <v>186.76</v>
      </c>
      <c r="I54" s="351"/>
      <c r="J54" s="1528"/>
      <c r="K54" s="1529"/>
    </row>
    <row r="55" spans="1:11">
      <c r="A55" s="359">
        <v>44193</v>
      </c>
      <c r="B55" s="345">
        <v>44558</v>
      </c>
      <c r="C55" s="346" t="s">
        <v>1645</v>
      </c>
      <c r="D55" s="347" t="s">
        <v>448</v>
      </c>
      <c r="E55" s="346" t="s">
        <v>945</v>
      </c>
      <c r="F55" s="348">
        <v>1486.21</v>
      </c>
      <c r="G55" s="349">
        <v>0.1</v>
      </c>
      <c r="H55" s="350">
        <v>136.72999999999999</v>
      </c>
      <c r="I55" s="351">
        <v>68.36</v>
      </c>
      <c r="J55" s="1528" t="s">
        <v>1466</v>
      </c>
      <c r="K55" s="1529"/>
    </row>
    <row r="56" spans="1:11" ht="19.5">
      <c r="A56" s="673"/>
      <c r="B56" s="674"/>
      <c r="C56" s="674"/>
      <c r="D56" s="674"/>
      <c r="E56" s="674"/>
      <c r="F56" s="338">
        <f>SUM(F2:F55)</f>
        <v>85105.65</v>
      </c>
      <c r="G56" s="143"/>
      <c r="H56" s="129">
        <f>SUM(H2:H55)</f>
        <v>9550.4399999999987</v>
      </c>
      <c r="I56" s="107">
        <f>SUM(I2:I55)</f>
        <v>685.18000000000006</v>
      </c>
    </row>
  </sheetData>
  <mergeCells count="18">
    <mergeCell ref="J1:K1"/>
    <mergeCell ref="J13:K13"/>
    <mergeCell ref="J9:K9"/>
    <mergeCell ref="J14:K14"/>
    <mergeCell ref="J10:K10"/>
    <mergeCell ref="J2:K2"/>
    <mergeCell ref="J7:K7"/>
    <mergeCell ref="J8:K8"/>
    <mergeCell ref="J51:K51"/>
    <mergeCell ref="J18:K18"/>
    <mergeCell ref="J17:K17"/>
    <mergeCell ref="J24:K24"/>
    <mergeCell ref="J23:K23"/>
    <mergeCell ref="J49:K49"/>
    <mergeCell ref="J41:K41"/>
    <mergeCell ref="J40:K40"/>
    <mergeCell ref="J32:K32"/>
    <mergeCell ref="J31:K3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L54"/>
  <sheetViews>
    <sheetView topLeftCell="A28" zoomScale="85" zoomScaleNormal="85" workbookViewId="0">
      <selection activeCell="C24" sqref="C24"/>
    </sheetView>
  </sheetViews>
  <sheetFormatPr defaultRowHeight="15"/>
  <cols>
    <col min="1" max="1" width="16.42578125" bestFit="1" customWidth="1"/>
    <col min="2" max="2" width="15.28515625" bestFit="1" customWidth="1"/>
    <col min="3" max="3" width="40.140625" customWidth="1"/>
    <col min="4" max="4" width="18.28515625" bestFit="1" customWidth="1"/>
    <col min="5" max="5" width="14.140625" bestFit="1" customWidth="1"/>
    <col min="6" max="6" width="20.42578125" bestFit="1" customWidth="1"/>
    <col min="7" max="7" width="13.42578125" bestFit="1" customWidth="1"/>
    <col min="8" max="8" width="22.5703125" bestFit="1" customWidth="1"/>
    <col min="9" max="9" width="21" bestFit="1" customWidth="1"/>
    <col min="12" max="12" width="10.5703125" bestFit="1" customWidth="1"/>
  </cols>
  <sheetData>
    <row r="1" spans="1:12" ht="15.75" thickBot="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1969" t="s">
        <v>370</v>
      </c>
      <c r="K1" s="1970"/>
    </row>
    <row r="2" spans="1:12">
      <c r="A2" s="359">
        <v>44188</v>
      </c>
      <c r="B2" s="345">
        <v>44564</v>
      </c>
      <c r="C2" s="566" t="s">
        <v>1646</v>
      </c>
      <c r="D2" s="347" t="s">
        <v>25</v>
      </c>
      <c r="E2" s="346" t="s">
        <v>10</v>
      </c>
      <c r="F2" s="348">
        <v>1215.95</v>
      </c>
      <c r="G2" s="349">
        <v>0.1</v>
      </c>
      <c r="H2" s="350">
        <v>111.86</v>
      </c>
      <c r="I2" s="351"/>
      <c r="J2" s="1963"/>
      <c r="K2" s="1964"/>
      <c r="L2" t="s">
        <v>1647</v>
      </c>
    </row>
    <row r="3" spans="1:12">
      <c r="A3" s="483">
        <v>44194</v>
      </c>
      <c r="B3" s="484">
        <v>44566</v>
      </c>
      <c r="C3" s="585" t="s">
        <v>1648</v>
      </c>
      <c r="D3" s="1547" t="s">
        <v>25</v>
      </c>
      <c r="E3" s="436" t="s">
        <v>19</v>
      </c>
      <c r="F3" s="485">
        <v>1443.29</v>
      </c>
      <c r="G3" s="486">
        <v>0.15</v>
      </c>
      <c r="H3" s="487">
        <v>199.17</v>
      </c>
      <c r="I3" s="488"/>
      <c r="J3" s="1532"/>
      <c r="K3" s="1533"/>
      <c r="L3" t="s">
        <v>1647</v>
      </c>
    </row>
    <row r="4" spans="1:12">
      <c r="A4" s="287">
        <v>44195</v>
      </c>
      <c r="B4" s="288">
        <v>44566</v>
      </c>
      <c r="C4" s="566" t="s">
        <v>1649</v>
      </c>
      <c r="D4" s="289" t="s">
        <v>14</v>
      </c>
      <c r="E4" s="290" t="s">
        <v>10</v>
      </c>
      <c r="F4" s="337">
        <v>1191</v>
      </c>
      <c r="G4" s="292">
        <v>0.25</v>
      </c>
      <c r="H4" s="293">
        <v>273.93</v>
      </c>
      <c r="I4" s="294">
        <v>136.96</v>
      </c>
      <c r="J4" s="1967" t="s">
        <v>1650</v>
      </c>
      <c r="K4" s="1968"/>
      <c r="L4" t="s">
        <v>1647</v>
      </c>
    </row>
    <row r="5" spans="1:12">
      <c r="A5" s="287">
        <v>44195</v>
      </c>
      <c r="B5" s="288">
        <v>44565</v>
      </c>
      <c r="C5" s="290" t="s">
        <v>1651</v>
      </c>
      <c r="D5" s="289" t="s">
        <v>448</v>
      </c>
      <c r="E5" s="290" t="s">
        <v>469</v>
      </c>
      <c r="F5" s="337">
        <v>2508</v>
      </c>
      <c r="G5" s="292" t="s">
        <v>1652</v>
      </c>
      <c r="H5" s="293">
        <v>150</v>
      </c>
      <c r="I5" s="580">
        <v>75</v>
      </c>
      <c r="J5" s="1967" t="s">
        <v>1561</v>
      </c>
      <c r="K5" s="1968"/>
    </row>
    <row r="6" spans="1:12" s="731" customFormat="1">
      <c r="A6" s="255">
        <v>44195</v>
      </c>
      <c r="B6" s="256">
        <v>44570</v>
      </c>
      <c r="C6" s="412" t="s">
        <v>1653</v>
      </c>
      <c r="D6" s="258" t="s">
        <v>25</v>
      </c>
      <c r="E6" s="381" t="s">
        <v>10</v>
      </c>
      <c r="F6" s="416">
        <v>1116.5899999999999</v>
      </c>
      <c r="G6" s="415">
        <v>0.1</v>
      </c>
      <c r="H6" s="261">
        <v>102.72</v>
      </c>
      <c r="I6" s="262"/>
      <c r="J6" s="1971" t="s">
        <v>1426</v>
      </c>
      <c r="K6" s="1972"/>
      <c r="L6" s="731" t="s">
        <v>1647</v>
      </c>
    </row>
    <row r="7" spans="1:12" s="731" customFormat="1">
      <c r="A7" s="238">
        <v>44195</v>
      </c>
      <c r="B7" s="239">
        <v>44563</v>
      </c>
      <c r="C7" s="440" t="s">
        <v>1654</v>
      </c>
      <c r="D7" s="241" t="s">
        <v>9</v>
      </c>
      <c r="E7" s="240" t="s">
        <v>19</v>
      </c>
      <c r="F7" s="323">
        <v>1724.68</v>
      </c>
      <c r="G7" s="243">
        <v>0.1</v>
      </c>
      <c r="H7" s="244">
        <v>158.66999999999999</v>
      </c>
      <c r="I7" s="245"/>
      <c r="J7" s="1965" t="s">
        <v>1426</v>
      </c>
      <c r="K7" s="1966"/>
      <c r="L7" s="731" t="s">
        <v>1647</v>
      </c>
    </row>
    <row r="8" spans="1:12">
      <c r="A8" s="359">
        <v>44200</v>
      </c>
      <c r="B8" s="345">
        <v>44569</v>
      </c>
      <c r="C8" s="566" t="s">
        <v>1217</v>
      </c>
      <c r="D8" s="347" t="s">
        <v>61</v>
      </c>
      <c r="E8" s="346" t="s">
        <v>10</v>
      </c>
      <c r="F8" s="348">
        <v>854.13</v>
      </c>
      <c r="G8" s="349">
        <v>0.15</v>
      </c>
      <c r="H8" s="350">
        <v>117.86</v>
      </c>
      <c r="I8" s="351"/>
      <c r="J8" s="1963"/>
      <c r="K8" s="1964"/>
      <c r="L8" t="s">
        <v>1647</v>
      </c>
    </row>
    <row r="9" spans="1:12" s="739" customFormat="1">
      <c r="A9" s="287">
        <v>44200</v>
      </c>
      <c r="B9" s="288">
        <v>44565</v>
      </c>
      <c r="C9" s="566" t="s">
        <v>1655</v>
      </c>
      <c r="D9" s="289" t="s">
        <v>9</v>
      </c>
      <c r="E9" s="290" t="s">
        <v>90</v>
      </c>
      <c r="F9" s="337">
        <v>1049.4100000000001</v>
      </c>
      <c r="G9" s="292">
        <v>0.1</v>
      </c>
      <c r="H9" s="293">
        <v>924.54</v>
      </c>
      <c r="I9" s="294"/>
      <c r="J9" s="1967"/>
      <c r="K9" s="1968"/>
      <c r="L9" s="739" t="s">
        <v>1647</v>
      </c>
    </row>
    <row r="10" spans="1:12">
      <c r="A10" s="287">
        <v>44201</v>
      </c>
      <c r="B10" s="288">
        <v>44569</v>
      </c>
      <c r="C10" s="566" t="s">
        <v>492</v>
      </c>
      <c r="D10" s="289" t="s">
        <v>61</v>
      </c>
      <c r="E10" s="290" t="s">
        <v>438</v>
      </c>
      <c r="F10" s="337">
        <v>1273.55</v>
      </c>
      <c r="G10" s="292">
        <v>0.15</v>
      </c>
      <c r="H10" s="293">
        <v>175.74</v>
      </c>
      <c r="I10" s="581"/>
      <c r="J10" s="1963"/>
      <c r="K10" s="1964"/>
      <c r="L10" t="s">
        <v>1647</v>
      </c>
    </row>
    <row r="11" spans="1:12">
      <c r="A11" s="287">
        <v>44201</v>
      </c>
      <c r="B11" s="288">
        <v>44566</v>
      </c>
      <c r="C11" s="566" t="s">
        <v>1656</v>
      </c>
      <c r="D11" s="289" t="s">
        <v>448</v>
      </c>
      <c r="E11" s="290" t="s">
        <v>19</v>
      </c>
      <c r="F11" s="337">
        <v>1212.19</v>
      </c>
      <c r="G11" s="292">
        <v>0.1</v>
      </c>
      <c r="H11" s="293">
        <v>111.52</v>
      </c>
      <c r="I11" s="294"/>
      <c r="J11" s="1532"/>
      <c r="K11" s="1533"/>
      <c r="L11" t="s">
        <v>1647</v>
      </c>
    </row>
    <row r="12" spans="1:12" s="730" customFormat="1">
      <c r="A12" s="532">
        <v>44202</v>
      </c>
      <c r="B12" s="533">
        <v>44567</v>
      </c>
      <c r="C12" s="135" t="s">
        <v>1222</v>
      </c>
      <c r="D12" s="534" t="s">
        <v>14</v>
      </c>
      <c r="E12" s="414" t="s">
        <v>10</v>
      </c>
      <c r="F12" s="535">
        <v>1372.2</v>
      </c>
      <c r="G12" s="536">
        <v>0.1</v>
      </c>
      <c r="H12" s="537">
        <v>126.24</v>
      </c>
      <c r="I12" s="608"/>
      <c r="J12" s="1540"/>
      <c r="K12" s="1541"/>
      <c r="L12" s="730" t="s">
        <v>1657</v>
      </c>
    </row>
    <row r="13" spans="1:12" s="731" customFormat="1">
      <c r="A13" s="255">
        <v>44202</v>
      </c>
      <c r="B13" s="256">
        <v>44574</v>
      </c>
      <c r="C13" s="257" t="s">
        <v>1658</v>
      </c>
      <c r="D13" s="258" t="s">
        <v>25</v>
      </c>
      <c r="E13" s="257" t="s">
        <v>19</v>
      </c>
      <c r="F13" s="321">
        <v>3218.5</v>
      </c>
      <c r="G13" s="260">
        <v>0.1</v>
      </c>
      <c r="H13" s="261">
        <v>296.10000000000002</v>
      </c>
      <c r="I13" s="582"/>
      <c r="J13" s="1971" t="s">
        <v>1426</v>
      </c>
      <c r="K13" s="1972"/>
      <c r="L13" s="731" t="s">
        <v>1657</v>
      </c>
    </row>
    <row r="14" spans="1:12" s="739" customFormat="1">
      <c r="A14" s="287">
        <v>44203</v>
      </c>
      <c r="B14" s="288">
        <v>44568</v>
      </c>
      <c r="C14" s="566" t="s">
        <v>369</v>
      </c>
      <c r="D14" s="289" t="s">
        <v>448</v>
      </c>
      <c r="E14" s="290" t="s">
        <v>10</v>
      </c>
      <c r="F14" s="337">
        <v>1298.23</v>
      </c>
      <c r="G14" s="292">
        <v>0.22</v>
      </c>
      <c r="H14" s="293">
        <v>262.76</v>
      </c>
      <c r="I14" s="294"/>
      <c r="J14" s="1967"/>
      <c r="K14" s="1968"/>
      <c r="L14" s="739" t="s">
        <v>1647</v>
      </c>
    </row>
    <row r="15" spans="1:12">
      <c r="A15" s="287">
        <v>44203</v>
      </c>
      <c r="B15" s="288">
        <v>44576</v>
      </c>
      <c r="C15" s="566" t="s">
        <v>1232</v>
      </c>
      <c r="D15" s="289" t="s">
        <v>70</v>
      </c>
      <c r="E15" s="290" t="s">
        <v>22</v>
      </c>
      <c r="F15" s="337">
        <v>2093.36</v>
      </c>
      <c r="G15" s="292">
        <v>0.1</v>
      </c>
      <c r="H15" s="293">
        <v>201.33</v>
      </c>
      <c r="I15" s="294"/>
      <c r="J15" s="1532"/>
      <c r="K15" s="1533"/>
      <c r="L15" t="s">
        <v>1647</v>
      </c>
    </row>
    <row r="16" spans="1:12" s="731" customFormat="1">
      <c r="A16" s="255">
        <v>44204</v>
      </c>
      <c r="B16" s="256">
        <v>44576</v>
      </c>
      <c r="C16" s="257" t="s">
        <v>1659</v>
      </c>
      <c r="D16" s="258" t="s">
        <v>61</v>
      </c>
      <c r="E16" s="257" t="s">
        <v>143</v>
      </c>
      <c r="F16" s="321">
        <v>3784.32</v>
      </c>
      <c r="G16" s="260">
        <v>0.1</v>
      </c>
      <c r="H16" s="261">
        <v>348.15</v>
      </c>
      <c r="I16" s="262"/>
      <c r="J16" s="1971" t="s">
        <v>1426</v>
      </c>
      <c r="K16" s="1972"/>
      <c r="L16" s="731" t="s">
        <v>1647</v>
      </c>
    </row>
    <row r="17" spans="1:12" s="739" customFormat="1">
      <c r="A17" s="359">
        <v>44207</v>
      </c>
      <c r="B17" s="345">
        <v>44574</v>
      </c>
      <c r="C17" s="585" t="s">
        <v>1660</v>
      </c>
      <c r="D17" s="347" t="s">
        <v>448</v>
      </c>
      <c r="E17" s="346" t="s">
        <v>19</v>
      </c>
      <c r="F17" s="348">
        <v>1362.15</v>
      </c>
      <c r="G17" s="349">
        <v>0.1</v>
      </c>
      <c r="H17" s="350">
        <v>125.31</v>
      </c>
      <c r="I17" s="522"/>
      <c r="J17" s="1963"/>
      <c r="K17" s="1964"/>
      <c r="L17" s="739" t="s">
        <v>1647</v>
      </c>
    </row>
    <row r="18" spans="1:12" s="739" customFormat="1">
      <c r="A18" s="359">
        <v>44207</v>
      </c>
      <c r="B18" s="345">
        <v>44572</v>
      </c>
      <c r="C18" s="796" t="s">
        <v>1229</v>
      </c>
      <c r="D18" s="347" t="s">
        <v>9</v>
      </c>
      <c r="E18" s="346" t="s">
        <v>22</v>
      </c>
      <c r="F18" s="348">
        <v>1479.26</v>
      </c>
      <c r="G18" s="349">
        <v>0.1</v>
      </c>
      <c r="H18" s="350">
        <v>136.09</v>
      </c>
      <c r="I18" s="351"/>
      <c r="J18" s="1963"/>
      <c r="K18" s="1964"/>
      <c r="L18" s="739" t="s">
        <v>1647</v>
      </c>
    </row>
    <row r="19" spans="1:12" s="730" customFormat="1">
      <c r="A19" s="297">
        <v>44207</v>
      </c>
      <c r="B19" s="298">
        <v>44572</v>
      </c>
      <c r="C19" s="101" t="s">
        <v>1661</v>
      </c>
      <c r="D19" s="299" t="s">
        <v>70</v>
      </c>
      <c r="E19" s="101" t="s">
        <v>1080</v>
      </c>
      <c r="F19" s="340">
        <v>1690.17</v>
      </c>
      <c r="G19" s="301">
        <v>0.17</v>
      </c>
      <c r="H19" s="302">
        <v>264.33999999999997</v>
      </c>
      <c r="I19" s="303"/>
      <c r="J19" s="1538"/>
      <c r="K19" s="1539"/>
      <c r="L19" s="730" t="s">
        <v>1647</v>
      </c>
    </row>
    <row r="20" spans="1:12">
      <c r="A20" s="359">
        <v>44207</v>
      </c>
      <c r="B20" s="345">
        <v>44573</v>
      </c>
      <c r="C20" s="346" t="s">
        <v>1662</v>
      </c>
      <c r="D20" s="347" t="s">
        <v>14</v>
      </c>
      <c r="E20" s="346" t="s">
        <v>438</v>
      </c>
      <c r="F20" s="348">
        <v>976.49</v>
      </c>
      <c r="G20" s="349">
        <v>0.25</v>
      </c>
      <c r="H20" s="350">
        <v>224.59</v>
      </c>
      <c r="I20" s="351"/>
      <c r="J20" s="1528"/>
      <c r="K20" s="1529"/>
      <c r="L20" s="739" t="s">
        <v>1657</v>
      </c>
    </row>
    <row r="21" spans="1:12">
      <c r="A21" s="359">
        <v>44207</v>
      </c>
      <c r="B21" s="490">
        <v>44572</v>
      </c>
      <c r="C21" s="446" t="s">
        <v>1663</v>
      </c>
      <c r="D21" s="347" t="s">
        <v>448</v>
      </c>
      <c r="E21" s="346" t="s">
        <v>10</v>
      </c>
      <c r="F21" s="348">
        <v>1985.39</v>
      </c>
      <c r="G21" s="349">
        <v>0.1</v>
      </c>
      <c r="H21" s="350">
        <v>182.65</v>
      </c>
      <c r="I21" s="351">
        <v>6</v>
      </c>
      <c r="J21" s="1528" t="s">
        <v>1664</v>
      </c>
      <c r="K21" s="1529"/>
      <c r="L21" s="739" t="s">
        <v>1647</v>
      </c>
    </row>
    <row r="22" spans="1:12">
      <c r="A22" s="359">
        <v>44209</v>
      </c>
      <c r="B22" s="345">
        <v>44576</v>
      </c>
      <c r="C22" s="566" t="s">
        <v>756</v>
      </c>
      <c r="D22" s="347" t="s">
        <v>61</v>
      </c>
      <c r="E22" s="346" t="s">
        <v>22</v>
      </c>
      <c r="F22" s="348">
        <v>1185.49</v>
      </c>
      <c r="G22" s="349">
        <v>0.1</v>
      </c>
      <c r="H22" s="350">
        <v>109.06</v>
      </c>
      <c r="I22" s="351">
        <v>54.53</v>
      </c>
      <c r="J22" s="1528" t="s">
        <v>1482</v>
      </c>
      <c r="K22" s="1529"/>
      <c r="L22" s="739" t="s">
        <v>1647</v>
      </c>
    </row>
    <row r="23" spans="1:12" s="739" customFormat="1">
      <c r="A23" s="359">
        <v>44211</v>
      </c>
      <c r="B23" s="345">
        <v>44583</v>
      </c>
      <c r="C23" s="346" t="s">
        <v>1230</v>
      </c>
      <c r="D23" s="347" t="s">
        <v>9</v>
      </c>
      <c r="E23" s="346" t="s">
        <v>10</v>
      </c>
      <c r="F23" s="348">
        <v>974.93</v>
      </c>
      <c r="G23" s="349">
        <v>0.22</v>
      </c>
      <c r="H23" s="350">
        <v>197.32</v>
      </c>
      <c r="I23" s="351"/>
      <c r="J23" s="1963"/>
      <c r="K23" s="1964"/>
      <c r="L23" s="739" t="s">
        <v>1665</v>
      </c>
    </row>
    <row r="24" spans="1:12" s="741" customFormat="1">
      <c r="A24" s="626">
        <v>44211</v>
      </c>
      <c r="B24" s="627">
        <v>44585</v>
      </c>
      <c r="C24" s="628" t="s">
        <v>1666</v>
      </c>
      <c r="D24" s="629" t="s">
        <v>448</v>
      </c>
      <c r="E24" s="628" t="s">
        <v>19</v>
      </c>
      <c r="F24" s="630">
        <v>4590.13</v>
      </c>
      <c r="G24" s="631">
        <v>0.1</v>
      </c>
      <c r="H24" s="632">
        <v>422.29</v>
      </c>
      <c r="I24" s="633"/>
      <c r="J24" s="1534" t="s">
        <v>1426</v>
      </c>
      <c r="K24" s="1535"/>
      <c r="L24" s="741" t="s">
        <v>1667</v>
      </c>
    </row>
    <row r="25" spans="1:12">
      <c r="A25" s="359">
        <v>44211</v>
      </c>
      <c r="B25" s="345">
        <v>44580</v>
      </c>
      <c r="C25" s="501" t="s">
        <v>1234</v>
      </c>
      <c r="D25" s="347" t="s">
        <v>14</v>
      </c>
      <c r="E25" s="346" t="s">
        <v>22</v>
      </c>
      <c r="F25" s="348">
        <v>1003.14</v>
      </c>
      <c r="G25" s="349">
        <v>0.15</v>
      </c>
      <c r="H25" s="502">
        <v>138.43</v>
      </c>
      <c r="I25" s="351"/>
      <c r="J25" s="1528"/>
      <c r="K25" s="1529"/>
      <c r="L25" s="739" t="s">
        <v>1665</v>
      </c>
    </row>
    <row r="26" spans="1:12">
      <c r="A26" s="359">
        <v>44214</v>
      </c>
      <c r="B26" s="345">
        <v>44576</v>
      </c>
      <c r="C26" s="346" t="s">
        <v>1471</v>
      </c>
      <c r="D26" s="347" t="s">
        <v>448</v>
      </c>
      <c r="E26" s="346" t="s">
        <v>10</v>
      </c>
      <c r="F26" s="348">
        <v>1540.58</v>
      </c>
      <c r="G26" s="349">
        <v>0.1</v>
      </c>
      <c r="H26" s="350">
        <v>141.72999999999999</v>
      </c>
      <c r="I26" s="351">
        <v>6</v>
      </c>
      <c r="J26" s="1963" t="s">
        <v>1478</v>
      </c>
      <c r="K26" s="1964"/>
      <c r="L26" t="s">
        <v>1665</v>
      </c>
    </row>
    <row r="27" spans="1:12">
      <c r="A27" s="359">
        <v>44214</v>
      </c>
      <c r="B27" s="345">
        <v>44581</v>
      </c>
      <c r="C27" s="346" t="s">
        <v>845</v>
      </c>
      <c r="D27" s="347" t="s">
        <v>448</v>
      </c>
      <c r="E27" s="346" t="s">
        <v>438</v>
      </c>
      <c r="F27" s="348">
        <v>1283.3699999999999</v>
      </c>
      <c r="G27" s="349">
        <v>0.1</v>
      </c>
      <c r="H27" s="350">
        <v>118.07</v>
      </c>
      <c r="I27" s="522"/>
      <c r="J27" s="1528"/>
      <c r="K27" s="1529"/>
      <c r="L27" s="739" t="s">
        <v>1665</v>
      </c>
    </row>
    <row r="28" spans="1:12" s="731" customFormat="1">
      <c r="A28" s="238">
        <v>44214</v>
      </c>
      <c r="B28" s="239">
        <v>44581</v>
      </c>
      <c r="C28" s="240" t="s">
        <v>1236</v>
      </c>
      <c r="D28" s="241" t="s">
        <v>61</v>
      </c>
      <c r="E28" s="240" t="s">
        <v>22</v>
      </c>
      <c r="F28" s="323">
        <v>958.89</v>
      </c>
      <c r="G28" s="243">
        <v>0.1</v>
      </c>
      <c r="H28" s="244">
        <v>88.21</v>
      </c>
      <c r="I28" s="245"/>
      <c r="J28" s="1965" t="s">
        <v>1426</v>
      </c>
      <c r="K28" s="1966"/>
      <c r="L28" s="731" t="s">
        <v>1665</v>
      </c>
    </row>
    <row r="29" spans="1:12">
      <c r="A29" s="287">
        <v>44215</v>
      </c>
      <c r="B29" s="288">
        <v>44580</v>
      </c>
      <c r="C29" s="290" t="s">
        <v>831</v>
      </c>
      <c r="D29" s="289" t="s">
        <v>70</v>
      </c>
      <c r="E29" s="290" t="s">
        <v>1080</v>
      </c>
      <c r="F29" s="337">
        <v>1622.27</v>
      </c>
      <c r="G29" s="292">
        <v>0.1</v>
      </c>
      <c r="H29" s="293">
        <v>149.24</v>
      </c>
      <c r="I29" s="294"/>
      <c r="J29" s="1967"/>
      <c r="K29" s="1968"/>
      <c r="L29" t="s">
        <v>1665</v>
      </c>
    </row>
    <row r="30" spans="1:12">
      <c r="A30" s="359">
        <v>44215</v>
      </c>
      <c r="B30" s="345">
        <v>44582</v>
      </c>
      <c r="C30" s="1" t="s">
        <v>1668</v>
      </c>
      <c r="D30" s="347" t="s">
        <v>25</v>
      </c>
      <c r="E30" s="346" t="s">
        <v>10</v>
      </c>
      <c r="F30" s="348">
        <v>1266.25</v>
      </c>
      <c r="G30" s="349">
        <v>0.12970000000000001</v>
      </c>
      <c r="H30" s="350">
        <v>139.79</v>
      </c>
      <c r="I30" s="351"/>
      <c r="J30" s="1963"/>
      <c r="K30" s="1964"/>
      <c r="L30" t="s">
        <v>1665</v>
      </c>
    </row>
    <row r="31" spans="1:12">
      <c r="A31" s="359">
        <v>44216</v>
      </c>
      <c r="B31" s="345">
        <v>44584</v>
      </c>
      <c r="C31" s="346" t="s">
        <v>1669</v>
      </c>
      <c r="D31" s="347" t="s">
        <v>9</v>
      </c>
      <c r="E31" s="346" t="s">
        <v>1310</v>
      </c>
      <c r="F31" s="348">
        <v>1429.81</v>
      </c>
      <c r="G31" s="349">
        <v>0.1</v>
      </c>
      <c r="H31" s="350">
        <v>131.54</v>
      </c>
      <c r="I31" s="351"/>
      <c r="J31" s="1528"/>
      <c r="K31" s="1529"/>
      <c r="L31" t="s">
        <v>1665</v>
      </c>
    </row>
    <row r="32" spans="1:12">
      <c r="A32" s="503">
        <v>44215</v>
      </c>
      <c r="B32" s="503">
        <v>44580</v>
      </c>
      <c r="C32" s="458" t="s">
        <v>1670</v>
      </c>
      <c r="D32" s="504" t="s">
        <v>9</v>
      </c>
      <c r="E32" s="505" t="s">
        <v>10</v>
      </c>
      <c r="F32" s="506">
        <v>2169.0500000000002</v>
      </c>
      <c r="G32" s="507">
        <v>0.1</v>
      </c>
      <c r="H32" s="506">
        <v>199.55</v>
      </c>
      <c r="I32" s="482">
        <v>129.77000000000001</v>
      </c>
      <c r="J32" s="1963" t="s">
        <v>1671</v>
      </c>
      <c r="K32" s="1964"/>
      <c r="L32" t="s">
        <v>1665</v>
      </c>
    </row>
    <row r="33" spans="1:12">
      <c r="A33" s="459">
        <v>44216</v>
      </c>
      <c r="B33" s="459">
        <v>44215</v>
      </c>
      <c r="C33" s="458" t="s">
        <v>1672</v>
      </c>
      <c r="D33" s="1546" t="s">
        <v>70</v>
      </c>
      <c r="E33" s="458" t="s">
        <v>1080</v>
      </c>
      <c r="F33" s="508">
        <v>601.29</v>
      </c>
      <c r="G33" s="461">
        <v>0.1</v>
      </c>
      <c r="H33" s="508">
        <v>55.31</v>
      </c>
      <c r="I33" s="482"/>
      <c r="J33" s="1528"/>
      <c r="K33" s="1529"/>
      <c r="L33" t="s">
        <v>1665</v>
      </c>
    </row>
    <row r="34" spans="1:12">
      <c r="A34" s="459">
        <v>44217</v>
      </c>
      <c r="B34" s="459">
        <v>44460</v>
      </c>
      <c r="C34" s="458" t="s">
        <v>1162</v>
      </c>
      <c r="D34" s="1546" t="s">
        <v>25</v>
      </c>
      <c r="E34" s="458" t="s">
        <v>1080</v>
      </c>
      <c r="F34" s="508">
        <v>154.1</v>
      </c>
      <c r="G34" s="461">
        <v>0.1</v>
      </c>
      <c r="H34" s="508">
        <v>14.17</v>
      </c>
      <c r="I34" s="482"/>
      <c r="J34" s="1528"/>
      <c r="K34" s="1529"/>
      <c r="L34" t="s">
        <v>1673</v>
      </c>
    </row>
    <row r="35" spans="1:12">
      <c r="A35" s="359">
        <v>44217</v>
      </c>
      <c r="B35" s="345">
        <v>44582</v>
      </c>
      <c r="C35" s="346" t="s">
        <v>1674</v>
      </c>
      <c r="D35" s="347" t="s">
        <v>14</v>
      </c>
      <c r="E35" s="346" t="s">
        <v>1080</v>
      </c>
      <c r="F35" s="348">
        <v>568.66</v>
      </c>
      <c r="G35" s="349">
        <v>0.1</v>
      </c>
      <c r="H35" s="350">
        <v>52.31</v>
      </c>
      <c r="I35" s="351"/>
      <c r="J35" s="1528"/>
      <c r="K35" s="1529"/>
      <c r="L35" t="s">
        <v>1665</v>
      </c>
    </row>
    <row r="36" spans="1:12">
      <c r="A36" s="359">
        <v>44217</v>
      </c>
      <c r="B36" s="345">
        <v>44581</v>
      </c>
      <c r="C36" s="346" t="s">
        <v>1675</v>
      </c>
      <c r="D36" s="347" t="s">
        <v>9</v>
      </c>
      <c r="E36" s="346" t="s">
        <v>29</v>
      </c>
      <c r="F36" s="348">
        <v>2760.87</v>
      </c>
      <c r="G36" s="349">
        <v>0.1</v>
      </c>
      <c r="H36" s="350">
        <v>254</v>
      </c>
      <c r="I36" s="351"/>
      <c r="J36" s="1528"/>
      <c r="K36" s="1529"/>
      <c r="L36" t="s">
        <v>1665</v>
      </c>
    </row>
    <row r="37" spans="1:12">
      <c r="A37" s="359">
        <v>44218</v>
      </c>
      <c r="B37" s="345">
        <v>44587</v>
      </c>
      <c r="C37" s="346" t="s">
        <v>1676</v>
      </c>
      <c r="D37" s="347" t="s">
        <v>112</v>
      </c>
      <c r="E37" s="346" t="s">
        <v>10</v>
      </c>
      <c r="F37" s="348">
        <v>2139.63</v>
      </c>
      <c r="G37" s="349">
        <v>0.1</v>
      </c>
      <c r="H37" s="350">
        <v>196.84</v>
      </c>
      <c r="I37" s="351"/>
      <c r="J37" s="1528"/>
      <c r="K37" s="1529"/>
      <c r="L37" t="s">
        <v>1665</v>
      </c>
    </row>
    <row r="38" spans="1:12">
      <c r="A38" s="359">
        <v>44221</v>
      </c>
      <c r="B38" s="345">
        <v>44586</v>
      </c>
      <c r="C38" s="346" t="s">
        <v>1677</v>
      </c>
      <c r="D38" s="347" t="s">
        <v>9</v>
      </c>
      <c r="E38" s="346" t="s">
        <v>1552</v>
      </c>
      <c r="F38" s="348">
        <v>1800.43</v>
      </c>
      <c r="G38" s="349">
        <v>0.1</v>
      </c>
      <c r="H38" s="350">
        <v>165.63</v>
      </c>
      <c r="I38" s="351"/>
      <c r="J38" s="1963"/>
      <c r="K38" s="1964"/>
      <c r="L38" t="s">
        <v>1665</v>
      </c>
    </row>
    <row r="39" spans="1:12">
      <c r="A39" s="359">
        <v>44221</v>
      </c>
      <c r="B39" s="345">
        <v>44590</v>
      </c>
      <c r="C39" s="346" t="s">
        <v>1678</v>
      </c>
      <c r="D39" s="347" t="s">
        <v>61</v>
      </c>
      <c r="E39" s="346" t="s">
        <v>10</v>
      </c>
      <c r="F39" s="348">
        <v>1488.09</v>
      </c>
      <c r="G39" s="349">
        <v>0.1</v>
      </c>
      <c r="H39" s="350">
        <v>136.9</v>
      </c>
      <c r="I39" s="351"/>
      <c r="J39" s="1528"/>
      <c r="K39" s="1529"/>
      <c r="L39" t="s">
        <v>1665</v>
      </c>
    </row>
    <row r="40" spans="1:12">
      <c r="A40" s="359">
        <v>44222</v>
      </c>
      <c r="B40" s="345">
        <v>44587</v>
      </c>
      <c r="C40" s="346" t="s">
        <v>168</v>
      </c>
      <c r="D40" s="347" t="s">
        <v>14</v>
      </c>
      <c r="E40" s="346" t="s">
        <v>10</v>
      </c>
      <c r="F40" s="348">
        <v>1114.21</v>
      </c>
      <c r="G40" s="349">
        <v>0.17</v>
      </c>
      <c r="H40" s="350">
        <v>174.26</v>
      </c>
      <c r="I40" s="351"/>
      <c r="J40" s="1528"/>
      <c r="K40" s="1529"/>
      <c r="L40" t="s">
        <v>1665</v>
      </c>
    </row>
    <row r="41" spans="1:12">
      <c r="A41" s="359">
        <v>44224</v>
      </c>
      <c r="B41" s="345">
        <v>44589</v>
      </c>
      <c r="C41" s="346" t="s">
        <v>1679</v>
      </c>
      <c r="D41" s="347" t="s">
        <v>70</v>
      </c>
      <c r="E41" s="346" t="s">
        <v>1080</v>
      </c>
      <c r="F41" s="348">
        <v>1479.05</v>
      </c>
      <c r="G41" s="349">
        <v>0.1</v>
      </c>
      <c r="H41" s="350">
        <v>136.07</v>
      </c>
      <c r="I41" s="351"/>
      <c r="J41" s="1528"/>
      <c r="K41" s="1529"/>
      <c r="L41" t="s">
        <v>1665</v>
      </c>
    </row>
    <row r="42" spans="1:12">
      <c r="A42" s="359">
        <v>44225</v>
      </c>
      <c r="B42" s="345">
        <v>44590</v>
      </c>
      <c r="C42" s="346" t="s">
        <v>1680</v>
      </c>
      <c r="D42" s="347" t="s">
        <v>448</v>
      </c>
      <c r="E42" s="346" t="s">
        <v>10</v>
      </c>
      <c r="F42" s="348">
        <v>1808.05</v>
      </c>
      <c r="G42" s="349">
        <v>0.1</v>
      </c>
      <c r="H42" s="350">
        <v>166.34</v>
      </c>
      <c r="I42" s="351"/>
      <c r="J42" s="1528"/>
      <c r="K42" s="1529"/>
      <c r="L42" t="s">
        <v>1665</v>
      </c>
    </row>
    <row r="43" spans="1:12">
      <c r="A43" s="359">
        <v>44225</v>
      </c>
      <c r="B43" s="345">
        <v>44591</v>
      </c>
      <c r="C43" s="346" t="s">
        <v>1244</v>
      </c>
      <c r="D43" s="347" t="s">
        <v>448</v>
      </c>
      <c r="E43" s="346" t="s">
        <v>19</v>
      </c>
      <c r="F43" s="348">
        <v>1486.04</v>
      </c>
      <c r="G43" s="349">
        <v>0.1487</v>
      </c>
      <c r="H43" s="350">
        <v>205.07</v>
      </c>
      <c r="I43" s="351"/>
      <c r="J43" s="1528"/>
      <c r="K43" s="1529"/>
      <c r="L43" t="s">
        <v>1665</v>
      </c>
    </row>
    <row r="44" spans="1:12">
      <c r="A44" s="359">
        <v>44225</v>
      </c>
      <c r="B44" s="345">
        <v>44591</v>
      </c>
      <c r="C44" s="346" t="s">
        <v>1243</v>
      </c>
      <c r="D44" s="347" t="s">
        <v>9</v>
      </c>
      <c r="E44" s="346" t="s">
        <v>90</v>
      </c>
      <c r="F44" s="348">
        <v>1750.22</v>
      </c>
      <c r="G44" s="349">
        <v>0.15</v>
      </c>
      <c r="H44" s="350">
        <v>241.53</v>
      </c>
      <c r="I44" s="351"/>
      <c r="J44" s="1528"/>
      <c r="K44" s="1529"/>
      <c r="L44" t="s">
        <v>1665</v>
      </c>
    </row>
    <row r="45" spans="1:12">
      <c r="A45" s="359">
        <v>44225</v>
      </c>
      <c r="B45" s="345">
        <v>44590</v>
      </c>
      <c r="C45" s="346" t="s">
        <v>1681</v>
      </c>
      <c r="D45" s="347" t="s">
        <v>448</v>
      </c>
      <c r="E45" s="346" t="s">
        <v>10</v>
      </c>
      <c r="F45" s="348">
        <v>2288.46</v>
      </c>
      <c r="G45" s="349">
        <v>0.1</v>
      </c>
      <c r="H45" s="350">
        <v>210.53</v>
      </c>
      <c r="I45" s="351"/>
      <c r="J45" s="1528"/>
      <c r="K45" s="1529"/>
      <c r="L45" t="s">
        <v>1665</v>
      </c>
    </row>
    <row r="46" spans="1:12">
      <c r="A46" s="359">
        <v>44229</v>
      </c>
      <c r="B46" s="345">
        <v>44592</v>
      </c>
      <c r="C46" s="346" t="s">
        <v>1117</v>
      </c>
      <c r="D46" s="347" t="s">
        <v>61</v>
      </c>
      <c r="E46" s="346" t="s">
        <v>22</v>
      </c>
      <c r="F46" s="348">
        <v>1076.3599999999999</v>
      </c>
      <c r="G46" s="349">
        <v>0.1</v>
      </c>
      <c r="H46" s="350">
        <v>99.02</v>
      </c>
      <c r="I46" s="351"/>
      <c r="J46" s="1528"/>
      <c r="K46" s="1529"/>
      <c r="L46" t="s">
        <v>1665</v>
      </c>
    </row>
    <row r="47" spans="1:12">
      <c r="A47" s="359">
        <v>44230</v>
      </c>
      <c r="B47" s="345">
        <v>44589</v>
      </c>
      <c r="C47" s="346" t="s">
        <v>1682</v>
      </c>
      <c r="D47" s="347" t="s">
        <v>25</v>
      </c>
      <c r="E47" s="346" t="s">
        <v>10</v>
      </c>
      <c r="F47" s="348">
        <v>1767.63</v>
      </c>
      <c r="G47" s="349">
        <v>0.1</v>
      </c>
      <c r="H47" s="350">
        <v>162.62</v>
      </c>
      <c r="I47" s="351"/>
      <c r="J47" s="1528"/>
      <c r="K47" s="1529"/>
      <c r="L47" t="s">
        <v>1665</v>
      </c>
    </row>
    <row r="48" spans="1:12">
      <c r="A48" s="359"/>
      <c r="B48" s="345"/>
      <c r="C48" s="346"/>
      <c r="D48" s="347"/>
      <c r="E48" s="346"/>
      <c r="F48" s="348"/>
      <c r="G48" s="349"/>
      <c r="H48" s="350"/>
      <c r="I48" s="351"/>
      <c r="J48" s="1528"/>
      <c r="K48" s="1529"/>
    </row>
    <row r="49" spans="1:11">
      <c r="A49" s="359"/>
      <c r="B49" s="345"/>
      <c r="C49" s="346"/>
      <c r="D49" s="347"/>
      <c r="E49" s="346"/>
      <c r="F49" s="348"/>
      <c r="G49" s="349"/>
      <c r="H49" s="350"/>
      <c r="I49" s="351"/>
      <c r="J49" s="1528"/>
      <c r="K49" s="1529"/>
    </row>
    <row r="50" spans="1:11">
      <c r="A50" s="359"/>
      <c r="B50" s="345"/>
      <c r="C50" s="346"/>
      <c r="D50" s="347"/>
      <c r="E50" s="346"/>
      <c r="F50" s="348"/>
      <c r="G50" s="349"/>
      <c r="H50" s="350"/>
      <c r="I50" s="351"/>
      <c r="J50" s="1528"/>
      <c r="K50" s="1529"/>
    </row>
    <row r="51" spans="1:11">
      <c r="A51" s="359"/>
      <c r="B51" s="345"/>
      <c r="C51" s="346"/>
      <c r="D51" s="347"/>
      <c r="E51" s="346"/>
      <c r="F51" s="348"/>
      <c r="G51" s="349"/>
      <c r="H51" s="350"/>
      <c r="I51" s="351"/>
      <c r="J51" s="1528"/>
      <c r="K51" s="1529"/>
    </row>
    <row r="52" spans="1:11">
      <c r="A52" s="359"/>
      <c r="B52" s="345"/>
      <c r="C52" s="346"/>
      <c r="D52" s="347"/>
      <c r="E52" s="346"/>
      <c r="F52" s="348"/>
      <c r="G52" s="349"/>
      <c r="H52" s="350"/>
      <c r="I52" s="351"/>
      <c r="J52" s="1528"/>
      <c r="K52" s="1529"/>
    </row>
    <row r="53" spans="1:11" ht="15.75" thickBot="1">
      <c r="A53" s="359"/>
      <c r="B53" s="345"/>
      <c r="C53" s="346"/>
      <c r="D53" s="347"/>
      <c r="E53" s="346"/>
      <c r="F53" s="348"/>
      <c r="G53" s="349"/>
      <c r="H53" s="350"/>
      <c r="I53" s="351"/>
      <c r="J53" s="1528"/>
      <c r="K53" s="1529"/>
    </row>
    <row r="54" spans="1:11" ht="20.25" thickBot="1">
      <c r="A54" s="673"/>
      <c r="B54" s="674"/>
      <c r="C54" s="674"/>
      <c r="D54" s="674"/>
      <c r="E54" s="674"/>
      <c r="F54" s="338">
        <f>SUM(F2:F53)</f>
        <v>73155.860000000015</v>
      </c>
      <c r="G54" s="143"/>
      <c r="H54" s="129">
        <f>SUM(H2:H53)</f>
        <v>8599.4000000000015</v>
      </c>
      <c r="I54" s="107">
        <f>SUM(I2:I53)</f>
        <v>408.26</v>
      </c>
    </row>
  </sheetData>
  <autoFilter ref="A1:I54" xr:uid="{00000000-0009-0000-0000-000050000000}"/>
  <mergeCells count="21">
    <mergeCell ref="J10:K10"/>
    <mergeCell ref="J1:K1"/>
    <mergeCell ref="J2:K2"/>
    <mergeCell ref="J7:K7"/>
    <mergeCell ref="J8:K8"/>
    <mergeCell ref="J9:K9"/>
    <mergeCell ref="J4:K4"/>
    <mergeCell ref="J5:K5"/>
    <mergeCell ref="J6:K6"/>
    <mergeCell ref="J29:K29"/>
    <mergeCell ref="J30:K30"/>
    <mergeCell ref="J38:K38"/>
    <mergeCell ref="J13:K13"/>
    <mergeCell ref="J14:K14"/>
    <mergeCell ref="J17:K17"/>
    <mergeCell ref="J18:K18"/>
    <mergeCell ref="J23:K23"/>
    <mergeCell ref="J16:K16"/>
    <mergeCell ref="J26:K26"/>
    <mergeCell ref="J28:K28"/>
    <mergeCell ref="J32:K3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K56"/>
  <sheetViews>
    <sheetView topLeftCell="B1" zoomScale="85" zoomScaleNormal="85" workbookViewId="0">
      <selection activeCell="C8" sqref="C8"/>
    </sheetView>
  </sheetViews>
  <sheetFormatPr defaultRowHeight="15"/>
  <cols>
    <col min="1" max="1" width="16.42578125" bestFit="1" customWidth="1"/>
    <col min="2" max="2" width="11.5703125" bestFit="1" customWidth="1"/>
    <col min="3" max="3" width="48.85546875" style="929" bestFit="1" customWidth="1"/>
    <col min="4" max="4" width="18.28515625" bestFit="1" customWidth="1"/>
    <col min="5" max="5" width="14.140625" bestFit="1" customWidth="1"/>
    <col min="6" max="6" width="19.28515625" bestFit="1" customWidth="1"/>
    <col min="7" max="7" width="13.42578125" bestFit="1" customWidth="1"/>
    <col min="8" max="8" width="22.5703125" bestFit="1" customWidth="1"/>
    <col min="9" max="9" width="21" bestFit="1" customWidth="1"/>
  </cols>
  <sheetData>
    <row r="1" spans="1:11" ht="15.75" thickBot="1">
      <c r="A1" s="30" t="s">
        <v>1</v>
      </c>
      <c r="B1" s="3" t="s">
        <v>2</v>
      </c>
      <c r="C1" s="926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1969" t="s">
        <v>370</v>
      </c>
      <c r="K1" s="1970"/>
    </row>
    <row r="2" spans="1:11">
      <c r="A2" s="359">
        <v>44228</v>
      </c>
      <c r="B2" s="345">
        <v>44593</v>
      </c>
      <c r="C2" s="290" t="s">
        <v>230</v>
      </c>
      <c r="D2" s="347" t="s">
        <v>9</v>
      </c>
      <c r="E2" s="346" t="s">
        <v>22</v>
      </c>
      <c r="F2" s="348">
        <v>2669.89</v>
      </c>
      <c r="G2" s="349">
        <v>0.1</v>
      </c>
      <c r="H2" s="350">
        <v>245.62</v>
      </c>
      <c r="I2" s="351"/>
      <c r="J2" s="1963"/>
      <c r="K2" s="1964"/>
    </row>
    <row r="3" spans="1:11">
      <c r="A3" s="483">
        <v>44228</v>
      </c>
      <c r="B3" s="484">
        <v>44593</v>
      </c>
      <c r="C3" s="436" t="s">
        <v>1683</v>
      </c>
      <c r="D3" s="1547" t="s">
        <v>448</v>
      </c>
      <c r="E3" s="436" t="s">
        <v>22</v>
      </c>
      <c r="F3" s="485">
        <v>1398.7</v>
      </c>
      <c r="G3" s="486">
        <v>0.1</v>
      </c>
      <c r="H3" s="487">
        <v>128.68</v>
      </c>
      <c r="I3" s="488">
        <v>64.34</v>
      </c>
      <c r="J3" s="1967" t="s">
        <v>1684</v>
      </c>
      <c r="K3" s="1968"/>
    </row>
    <row r="4" spans="1:11">
      <c r="A4" s="287">
        <v>44228</v>
      </c>
      <c r="B4" s="288">
        <v>44593</v>
      </c>
      <c r="C4" s="290" t="s">
        <v>653</v>
      </c>
      <c r="D4" s="289" t="s">
        <v>9</v>
      </c>
      <c r="E4" s="290" t="s">
        <v>10</v>
      </c>
      <c r="F4" s="337">
        <v>884.89</v>
      </c>
      <c r="G4" s="292">
        <v>0.1</v>
      </c>
      <c r="H4" s="293">
        <v>81.400000000000006</v>
      </c>
      <c r="I4" s="294"/>
      <c r="J4" s="1967"/>
      <c r="K4" s="1968"/>
    </row>
    <row r="5" spans="1:11">
      <c r="A5" s="287">
        <v>44228</v>
      </c>
      <c r="B5" s="288">
        <v>44598</v>
      </c>
      <c r="C5" s="290" t="s">
        <v>853</v>
      </c>
      <c r="D5" s="289" t="s">
        <v>25</v>
      </c>
      <c r="E5" s="290" t="s">
        <v>10</v>
      </c>
      <c r="F5" s="337">
        <v>742.09</v>
      </c>
      <c r="G5" s="292">
        <v>0.1</v>
      </c>
      <c r="H5" s="293">
        <v>68.27</v>
      </c>
      <c r="I5" s="580"/>
      <c r="J5" s="1967"/>
      <c r="K5" s="1968"/>
    </row>
    <row r="6" spans="1:11" s="739" customFormat="1">
      <c r="A6" s="484">
        <v>44228</v>
      </c>
      <c r="B6" s="484">
        <v>44593</v>
      </c>
      <c r="C6" s="436" t="s">
        <v>1685</v>
      </c>
      <c r="D6" s="1547" t="s">
        <v>9</v>
      </c>
      <c r="E6" s="436" t="s">
        <v>1593</v>
      </c>
      <c r="F6" s="485">
        <v>587.32000000000005</v>
      </c>
      <c r="G6" s="486">
        <v>0.1</v>
      </c>
      <c r="H6" s="635">
        <v>54.03</v>
      </c>
      <c r="I6" s="489"/>
      <c r="J6" s="1532"/>
      <c r="K6" s="1533"/>
    </row>
    <row r="7" spans="1:11">
      <c r="A7" s="359">
        <v>44228</v>
      </c>
      <c r="B7" s="345">
        <v>44593</v>
      </c>
      <c r="C7" s="436" t="s">
        <v>1250</v>
      </c>
      <c r="D7" s="347" t="s">
        <v>9</v>
      </c>
      <c r="E7" s="346" t="s">
        <v>90</v>
      </c>
      <c r="F7" s="348">
        <v>3009.03</v>
      </c>
      <c r="G7" s="349">
        <v>0.1</v>
      </c>
      <c r="H7" s="350">
        <v>276.83</v>
      </c>
      <c r="I7" s="351"/>
      <c r="J7" s="1963"/>
      <c r="K7" s="1964"/>
    </row>
    <row r="8" spans="1:11">
      <c r="A8" s="359">
        <v>44228</v>
      </c>
      <c r="B8" s="345">
        <v>44593</v>
      </c>
      <c r="C8" s="290" t="s">
        <v>1084</v>
      </c>
      <c r="D8" s="347" t="s">
        <v>448</v>
      </c>
      <c r="E8" s="346" t="s">
        <v>945</v>
      </c>
      <c r="F8" s="348">
        <v>1888.61</v>
      </c>
      <c r="G8" s="349">
        <v>0.15</v>
      </c>
      <c r="H8" s="350">
        <v>260.62</v>
      </c>
      <c r="I8" s="351"/>
      <c r="J8" s="1963"/>
      <c r="K8" s="1964"/>
    </row>
    <row r="9" spans="1:11" s="731" customFormat="1">
      <c r="A9" s="255">
        <v>44229</v>
      </c>
      <c r="B9" s="256">
        <v>44599</v>
      </c>
      <c r="C9" s="257" t="s">
        <v>1261</v>
      </c>
      <c r="D9" s="258" t="s">
        <v>25</v>
      </c>
      <c r="E9" s="257" t="s">
        <v>90</v>
      </c>
      <c r="F9" s="321">
        <v>1281.93</v>
      </c>
      <c r="G9" s="260">
        <v>0.1</v>
      </c>
      <c r="H9" s="261">
        <v>117.93</v>
      </c>
      <c r="I9" s="262"/>
      <c r="J9" s="1971" t="s">
        <v>1558</v>
      </c>
      <c r="K9" s="1972"/>
    </row>
    <row r="10" spans="1:11">
      <c r="A10" s="287">
        <v>44229</v>
      </c>
      <c r="B10" s="288">
        <v>44594</v>
      </c>
      <c r="C10" s="290" t="s">
        <v>1251</v>
      </c>
      <c r="D10" s="289" t="s">
        <v>33</v>
      </c>
      <c r="E10" s="290" t="s">
        <v>90</v>
      </c>
      <c r="F10" s="337">
        <v>1227.21</v>
      </c>
      <c r="G10" s="292">
        <v>0.1</v>
      </c>
      <c r="H10" s="293">
        <v>112.9</v>
      </c>
      <c r="I10" s="581"/>
      <c r="J10" s="1963"/>
      <c r="K10" s="1964"/>
    </row>
    <row r="11" spans="1:11">
      <c r="A11" s="287">
        <v>44229</v>
      </c>
      <c r="B11" s="288">
        <v>44595</v>
      </c>
      <c r="C11" s="290" t="s">
        <v>1257</v>
      </c>
      <c r="D11" s="289" t="s">
        <v>448</v>
      </c>
      <c r="E11" s="290" t="s">
        <v>948</v>
      </c>
      <c r="F11" s="337">
        <v>1088.1600000000001</v>
      </c>
      <c r="G11" s="292">
        <v>0.1</v>
      </c>
      <c r="H11" s="293">
        <v>100.11</v>
      </c>
      <c r="I11" s="294"/>
      <c r="J11" s="1532"/>
      <c r="K11" s="1533"/>
    </row>
    <row r="12" spans="1:11">
      <c r="A12" s="287">
        <v>44229</v>
      </c>
      <c r="B12" s="288">
        <v>44597</v>
      </c>
      <c r="C12" s="436" t="s">
        <v>1268</v>
      </c>
      <c r="D12" s="289" t="s">
        <v>25</v>
      </c>
      <c r="E12" s="290" t="s">
        <v>10</v>
      </c>
      <c r="F12" s="337">
        <v>925.08</v>
      </c>
      <c r="G12" s="292">
        <v>0.15</v>
      </c>
      <c r="H12" s="293">
        <v>127.66</v>
      </c>
      <c r="I12" s="580"/>
      <c r="J12" s="1532"/>
      <c r="K12" s="1533"/>
    </row>
    <row r="13" spans="1:11">
      <c r="A13" s="287">
        <v>44230</v>
      </c>
      <c r="B13" s="288">
        <v>44595</v>
      </c>
      <c r="C13" s="927" t="s">
        <v>225</v>
      </c>
      <c r="D13" s="289" t="s">
        <v>448</v>
      </c>
      <c r="E13" s="290" t="s">
        <v>22</v>
      </c>
      <c r="F13" s="337">
        <v>1565.55</v>
      </c>
      <c r="G13" s="292">
        <v>0.1</v>
      </c>
      <c r="H13" s="293">
        <v>144.03</v>
      </c>
      <c r="I13" s="580"/>
      <c r="J13" s="1967"/>
      <c r="K13" s="1968"/>
    </row>
    <row r="14" spans="1:11">
      <c r="A14" s="287">
        <v>44230</v>
      </c>
      <c r="B14" s="288">
        <v>44595</v>
      </c>
      <c r="C14" s="290" t="s">
        <v>1258</v>
      </c>
      <c r="D14" s="289" t="s">
        <v>21</v>
      </c>
      <c r="E14" s="290" t="s">
        <v>15</v>
      </c>
      <c r="F14" s="337">
        <v>3740.83</v>
      </c>
      <c r="G14" s="292">
        <v>0.1</v>
      </c>
      <c r="H14" s="293">
        <v>344.15</v>
      </c>
      <c r="I14" s="294"/>
      <c r="J14" s="1967"/>
      <c r="K14" s="1968"/>
    </row>
    <row r="15" spans="1:11">
      <c r="A15" s="287">
        <v>44231</v>
      </c>
      <c r="B15" s="288">
        <v>44598</v>
      </c>
      <c r="C15" s="290" t="s">
        <v>1263</v>
      </c>
      <c r="D15" s="289" t="s">
        <v>61</v>
      </c>
      <c r="E15" s="290" t="s">
        <v>438</v>
      </c>
      <c r="F15" s="337">
        <v>866.39</v>
      </c>
      <c r="G15" s="292">
        <v>0.1</v>
      </c>
      <c r="H15" s="293">
        <v>79.7</v>
      </c>
      <c r="I15" s="294">
        <v>39.85</v>
      </c>
      <c r="J15" s="1967" t="s">
        <v>1684</v>
      </c>
      <c r="K15" s="1968"/>
    </row>
    <row r="16" spans="1:11">
      <c r="A16" s="287">
        <v>44231</v>
      </c>
      <c r="B16" s="288">
        <v>44596</v>
      </c>
      <c r="C16" s="290" t="s">
        <v>1686</v>
      </c>
      <c r="D16" s="289" t="s">
        <v>448</v>
      </c>
      <c r="E16" s="290" t="s">
        <v>945</v>
      </c>
      <c r="F16" s="337">
        <v>2343.17</v>
      </c>
      <c r="G16" s="292">
        <v>0.1</v>
      </c>
      <c r="H16" s="293">
        <v>215.57</v>
      </c>
      <c r="I16" s="294"/>
      <c r="J16" s="1967"/>
      <c r="K16" s="1968"/>
    </row>
    <row r="17" spans="1:11">
      <c r="A17" s="359">
        <v>44232</v>
      </c>
      <c r="B17" s="345">
        <v>44598</v>
      </c>
      <c r="C17" s="436" t="s">
        <v>1687</v>
      </c>
      <c r="D17" s="347" t="s">
        <v>448</v>
      </c>
      <c r="E17" s="346" t="s">
        <v>22</v>
      </c>
      <c r="F17" s="348">
        <v>1088.73</v>
      </c>
      <c r="G17" s="349">
        <v>0.1</v>
      </c>
      <c r="H17" s="350">
        <v>100.16</v>
      </c>
      <c r="I17" s="522"/>
      <c r="J17" s="1963"/>
      <c r="K17" s="1964"/>
    </row>
    <row r="18" spans="1:11">
      <c r="A18" s="359">
        <v>44231</v>
      </c>
      <c r="B18" s="345">
        <v>44596</v>
      </c>
      <c r="C18" s="493" t="s">
        <v>1291</v>
      </c>
      <c r="D18" s="347" t="s">
        <v>21</v>
      </c>
      <c r="E18" s="346" t="s">
        <v>279</v>
      </c>
      <c r="F18" s="348">
        <v>1106.29</v>
      </c>
      <c r="G18" s="349">
        <v>0.1</v>
      </c>
      <c r="H18" s="350">
        <v>101.77</v>
      </c>
      <c r="I18" s="351"/>
      <c r="J18" s="1963"/>
      <c r="K18" s="1964"/>
    </row>
    <row r="19" spans="1:11">
      <c r="A19" s="359">
        <v>44235</v>
      </c>
      <c r="B19" s="345">
        <v>44606</v>
      </c>
      <c r="C19" s="290" t="s">
        <v>1274</v>
      </c>
      <c r="D19" s="347" t="s">
        <v>25</v>
      </c>
      <c r="E19" s="346" t="s">
        <v>1582</v>
      </c>
      <c r="F19" s="348">
        <v>804.22</v>
      </c>
      <c r="G19" s="349">
        <v>0.1</v>
      </c>
      <c r="H19" s="350">
        <v>73.98</v>
      </c>
      <c r="I19" s="351"/>
      <c r="J19" s="1528"/>
      <c r="K19" s="1529"/>
    </row>
    <row r="20" spans="1:11">
      <c r="A20" s="359">
        <v>44235</v>
      </c>
      <c r="B20" s="345">
        <v>44600</v>
      </c>
      <c r="C20" s="290" t="s">
        <v>858</v>
      </c>
      <c r="D20" s="347" t="s">
        <v>70</v>
      </c>
      <c r="E20" s="346" t="s">
        <v>279</v>
      </c>
      <c r="F20" s="348">
        <v>791.36</v>
      </c>
      <c r="G20" s="349">
        <v>0.1</v>
      </c>
      <c r="H20" s="350">
        <v>72.8</v>
      </c>
      <c r="I20" s="351"/>
      <c r="J20" s="1528"/>
      <c r="K20" s="1529"/>
    </row>
    <row r="21" spans="1:11">
      <c r="A21" s="359">
        <v>44235</v>
      </c>
      <c r="B21" s="490">
        <v>44600</v>
      </c>
      <c r="C21" s="288" t="s">
        <v>1688</v>
      </c>
      <c r="D21" s="347" t="s">
        <v>448</v>
      </c>
      <c r="E21" s="346" t="s">
        <v>279</v>
      </c>
      <c r="F21" s="348">
        <v>1266.3499999999999</v>
      </c>
      <c r="G21" s="349">
        <v>0.1</v>
      </c>
      <c r="H21" s="350">
        <v>116.5</v>
      </c>
      <c r="I21" s="351" t="s">
        <v>1689</v>
      </c>
      <c r="J21" s="1963" t="s">
        <v>1684</v>
      </c>
      <c r="K21" s="1964"/>
    </row>
    <row r="22" spans="1:11" s="731" customFormat="1">
      <c r="A22" s="238">
        <v>44236</v>
      </c>
      <c r="B22" s="239">
        <v>44602</v>
      </c>
      <c r="C22" s="257" t="s">
        <v>1273</v>
      </c>
      <c r="D22" s="241" t="s">
        <v>448</v>
      </c>
      <c r="E22" s="240" t="s">
        <v>1161</v>
      </c>
      <c r="F22" s="323">
        <v>1624</v>
      </c>
      <c r="G22" s="243">
        <v>0.24</v>
      </c>
      <c r="H22" s="244">
        <v>292.33</v>
      </c>
      <c r="I22" s="245"/>
      <c r="J22" s="1965" t="s">
        <v>1575</v>
      </c>
      <c r="K22" s="1966"/>
    </row>
    <row r="23" spans="1:11">
      <c r="A23" s="359">
        <v>44236</v>
      </c>
      <c r="B23" s="345">
        <v>44601</v>
      </c>
      <c r="C23" s="290" t="s">
        <v>1690</v>
      </c>
      <c r="D23" s="347" t="s">
        <v>448</v>
      </c>
      <c r="E23" s="346" t="s">
        <v>10</v>
      </c>
      <c r="F23" s="348">
        <v>1527.26</v>
      </c>
      <c r="G23" s="349">
        <v>0.1</v>
      </c>
      <c r="H23" s="350">
        <v>140.5</v>
      </c>
      <c r="I23" s="351"/>
      <c r="J23" s="1963"/>
      <c r="K23" s="1964"/>
    </row>
    <row r="24" spans="1:11">
      <c r="A24" s="359">
        <v>44236</v>
      </c>
      <c r="B24" s="345">
        <v>44597</v>
      </c>
      <c r="C24" s="290" t="s">
        <v>817</v>
      </c>
      <c r="D24" s="347" t="s">
        <v>14</v>
      </c>
      <c r="E24" s="346" t="s">
        <v>458</v>
      </c>
      <c r="F24" s="348">
        <v>564.08000000000004</v>
      </c>
      <c r="G24" s="349">
        <v>0.1</v>
      </c>
      <c r="H24" s="350">
        <v>51.84</v>
      </c>
      <c r="I24" s="351"/>
      <c r="J24" s="1963"/>
      <c r="K24" s="1964"/>
    </row>
    <row r="25" spans="1:11">
      <c r="A25" s="484">
        <v>44236</v>
      </c>
      <c r="B25" s="484" t="s">
        <v>510</v>
      </c>
      <c r="C25" s="436" t="s">
        <v>1691</v>
      </c>
      <c r="D25" s="1547" t="s">
        <v>149</v>
      </c>
      <c r="E25" s="436" t="s">
        <v>29</v>
      </c>
      <c r="F25" s="485">
        <v>371.38</v>
      </c>
      <c r="G25" s="486">
        <v>0.1</v>
      </c>
      <c r="H25" s="635">
        <v>34.159999999999997</v>
      </c>
      <c r="I25" s="489">
        <v>17.079999999999998</v>
      </c>
      <c r="J25" s="1967" t="s">
        <v>1561</v>
      </c>
      <c r="K25" s="1968"/>
    </row>
    <row r="26" spans="1:11" s="730" customFormat="1">
      <c r="A26" s="767">
        <v>44237</v>
      </c>
      <c r="B26" s="768">
        <v>44605</v>
      </c>
      <c r="C26" s="743" t="s">
        <v>1692</v>
      </c>
      <c r="D26" s="769" t="s">
        <v>448</v>
      </c>
      <c r="E26" s="743" t="s">
        <v>945</v>
      </c>
      <c r="F26" s="770">
        <v>1185.31</v>
      </c>
      <c r="G26" s="771">
        <v>0.1</v>
      </c>
      <c r="H26" s="772">
        <v>109.04</v>
      </c>
      <c r="I26" s="773"/>
      <c r="J26" s="1540"/>
      <c r="K26" s="1541"/>
    </row>
    <row r="27" spans="1:11" s="739" customFormat="1">
      <c r="A27" s="359">
        <v>44243</v>
      </c>
      <c r="B27" s="345">
        <v>44609</v>
      </c>
      <c r="C27" s="898" t="s">
        <v>1693</v>
      </c>
      <c r="D27" s="347" t="s">
        <v>70</v>
      </c>
      <c r="E27" s="346" t="s">
        <v>10</v>
      </c>
      <c r="F27" s="348">
        <v>2688.51</v>
      </c>
      <c r="G27" s="349">
        <v>0.1</v>
      </c>
      <c r="H27" s="502">
        <v>247.34</v>
      </c>
      <c r="I27" s="351"/>
      <c r="J27" s="1528"/>
      <c r="K27" s="1529"/>
    </row>
    <row r="28" spans="1:11">
      <c r="A28" s="359">
        <v>44238</v>
      </c>
      <c r="B28" s="345">
        <v>44603</v>
      </c>
      <c r="C28" s="290" t="s">
        <v>1694</v>
      </c>
      <c r="D28" s="347" t="s">
        <v>9</v>
      </c>
      <c r="E28" s="346" t="s">
        <v>90</v>
      </c>
      <c r="F28" s="348">
        <v>2193.5700000000002</v>
      </c>
      <c r="G28" s="349">
        <v>0.1</v>
      </c>
      <c r="H28" s="350">
        <v>201.8</v>
      </c>
      <c r="I28" s="351"/>
      <c r="J28" s="1963"/>
      <c r="K28" s="1964"/>
    </row>
    <row r="29" spans="1:11" s="731" customFormat="1">
      <c r="A29" s="238">
        <v>44238</v>
      </c>
      <c r="B29" s="239">
        <v>44598</v>
      </c>
      <c r="C29" s="257" t="s">
        <v>1249</v>
      </c>
      <c r="D29" s="241" t="s">
        <v>9</v>
      </c>
      <c r="E29" s="240" t="s">
        <v>10</v>
      </c>
      <c r="F29" s="323">
        <v>1019.68</v>
      </c>
      <c r="G29" s="243">
        <v>0.1</v>
      </c>
      <c r="H29" s="244">
        <v>93.81</v>
      </c>
      <c r="I29" s="586"/>
      <c r="J29" s="1965" t="s">
        <v>1558</v>
      </c>
      <c r="K29" s="1966"/>
    </row>
    <row r="30" spans="1:11">
      <c r="A30" s="359">
        <v>44238</v>
      </c>
      <c r="B30" s="345">
        <v>44610</v>
      </c>
      <c r="C30" s="290" t="s">
        <v>1695</v>
      </c>
      <c r="D30" s="347" t="s">
        <v>448</v>
      </c>
      <c r="E30" s="346" t="s">
        <v>22</v>
      </c>
      <c r="F30" s="348">
        <v>1553.27</v>
      </c>
      <c r="G30" s="349">
        <v>0.1</v>
      </c>
      <c r="H30" s="350">
        <v>142.9</v>
      </c>
      <c r="I30" s="351">
        <v>71.45</v>
      </c>
      <c r="J30" s="1963" t="s">
        <v>1696</v>
      </c>
      <c r="K30" s="1964"/>
    </row>
    <row r="31" spans="1:11">
      <c r="A31" s="287">
        <v>44239</v>
      </c>
      <c r="B31" s="288">
        <v>44604</v>
      </c>
      <c r="C31" s="290" t="s">
        <v>507</v>
      </c>
      <c r="D31" s="289" t="s">
        <v>9</v>
      </c>
      <c r="E31" s="290" t="s">
        <v>15</v>
      </c>
      <c r="F31" s="337">
        <v>1060.81</v>
      </c>
      <c r="G31" s="292">
        <v>0.15</v>
      </c>
      <c r="H31" s="293">
        <v>146.38999999999999</v>
      </c>
      <c r="I31" s="294"/>
      <c r="J31" s="1967"/>
      <c r="K31" s="1968"/>
    </row>
    <row r="32" spans="1:11">
      <c r="A32" s="359">
        <v>44239</v>
      </c>
      <c r="B32" s="345">
        <v>44594</v>
      </c>
      <c r="C32" s="895" t="s">
        <v>1697</v>
      </c>
      <c r="D32" s="347" t="s">
        <v>61</v>
      </c>
      <c r="E32" s="346" t="s">
        <v>10</v>
      </c>
      <c r="F32" s="348">
        <v>2649.32</v>
      </c>
      <c r="G32" s="349">
        <v>0.1</v>
      </c>
      <c r="H32" s="350">
        <v>243.73</v>
      </c>
      <c r="I32" s="351"/>
      <c r="J32" s="1963"/>
      <c r="K32" s="1964"/>
    </row>
    <row r="33" spans="1:11">
      <c r="A33" s="359">
        <v>44239</v>
      </c>
      <c r="B33" s="345">
        <v>44605</v>
      </c>
      <c r="C33" s="290" t="s">
        <v>1698</v>
      </c>
      <c r="D33" s="347" t="s">
        <v>70</v>
      </c>
      <c r="E33" s="346" t="s">
        <v>10</v>
      </c>
      <c r="F33" s="348">
        <v>1262.69</v>
      </c>
      <c r="G33" s="349">
        <v>0.17</v>
      </c>
      <c r="H33" s="350">
        <v>197.48</v>
      </c>
      <c r="I33" s="351"/>
      <c r="J33" s="1528"/>
      <c r="K33" s="1529"/>
    </row>
    <row r="34" spans="1:11">
      <c r="A34" s="503">
        <v>44239</v>
      </c>
      <c r="B34" s="503">
        <v>44606</v>
      </c>
      <c r="C34" s="436" t="s">
        <v>1227</v>
      </c>
      <c r="D34" s="504" t="s">
        <v>25</v>
      </c>
      <c r="E34" s="505" t="s">
        <v>438</v>
      </c>
      <c r="F34" s="506">
        <v>963.26</v>
      </c>
      <c r="G34" s="507">
        <v>0.1</v>
      </c>
      <c r="H34" s="506">
        <v>88.61</v>
      </c>
      <c r="I34" s="482"/>
      <c r="J34" s="1963"/>
      <c r="K34" s="1964"/>
    </row>
    <row r="35" spans="1:11">
      <c r="A35" s="459">
        <v>44239</v>
      </c>
      <c r="B35" s="459">
        <v>44604</v>
      </c>
      <c r="C35" s="436" t="s">
        <v>1699</v>
      </c>
      <c r="D35" s="1546" t="s">
        <v>448</v>
      </c>
      <c r="E35" s="458" t="s">
        <v>279</v>
      </c>
      <c r="F35" s="508">
        <v>1331.8</v>
      </c>
      <c r="G35" s="461">
        <v>0.1</v>
      </c>
      <c r="H35" s="508">
        <v>122.52</v>
      </c>
      <c r="I35" s="482" t="s">
        <v>1689</v>
      </c>
      <c r="J35" s="1963" t="s">
        <v>1137</v>
      </c>
      <c r="K35" s="1964"/>
    </row>
    <row r="36" spans="1:11">
      <c r="A36" s="459">
        <v>44243</v>
      </c>
      <c r="B36" s="459">
        <v>44606</v>
      </c>
      <c r="C36" s="436" t="s">
        <v>1700</v>
      </c>
      <c r="D36" s="1546" t="s">
        <v>14</v>
      </c>
      <c r="E36" s="458" t="s">
        <v>10</v>
      </c>
      <c r="F36" s="508">
        <v>1324.52</v>
      </c>
      <c r="G36" s="461">
        <v>0.1</v>
      </c>
      <c r="H36" s="508">
        <v>121.85</v>
      </c>
      <c r="I36" s="482"/>
      <c r="J36" s="1528"/>
      <c r="K36" s="1529"/>
    </row>
    <row r="37" spans="1:11">
      <c r="A37" s="359">
        <v>44243</v>
      </c>
      <c r="B37" s="345">
        <v>44614</v>
      </c>
      <c r="C37" s="290" t="s">
        <v>1284</v>
      </c>
      <c r="D37" s="347" t="s">
        <v>61</v>
      </c>
      <c r="E37" s="346" t="s">
        <v>945</v>
      </c>
      <c r="F37" s="348">
        <v>1088.17</v>
      </c>
      <c r="G37" s="349">
        <v>0.15</v>
      </c>
      <c r="H37" s="350">
        <v>150.16</v>
      </c>
      <c r="I37" s="351"/>
      <c r="J37" s="1528"/>
      <c r="K37" s="1529"/>
    </row>
    <row r="38" spans="1:11">
      <c r="A38" s="359">
        <v>44243</v>
      </c>
      <c r="B38" s="345">
        <v>44613</v>
      </c>
      <c r="C38" s="290" t="s">
        <v>1283</v>
      </c>
      <c r="D38" s="347" t="s">
        <v>61</v>
      </c>
      <c r="E38" s="346" t="s">
        <v>945</v>
      </c>
      <c r="F38" s="348">
        <v>2888.05</v>
      </c>
      <c r="G38" s="349">
        <v>0.2</v>
      </c>
      <c r="H38" s="350">
        <v>531.4</v>
      </c>
      <c r="I38" s="351"/>
      <c r="J38" s="1528"/>
      <c r="K38" s="1529"/>
    </row>
    <row r="39" spans="1:11">
      <c r="A39" s="359">
        <v>44243</v>
      </c>
      <c r="B39" s="345">
        <v>44609</v>
      </c>
      <c r="C39" s="290" t="s">
        <v>1278</v>
      </c>
      <c r="D39" s="347" t="s">
        <v>448</v>
      </c>
      <c r="E39" s="346" t="s">
        <v>10</v>
      </c>
      <c r="F39" s="348">
        <v>1276.76</v>
      </c>
      <c r="G39" s="349">
        <v>0.1</v>
      </c>
      <c r="H39" s="350">
        <v>117.46</v>
      </c>
      <c r="I39" s="351"/>
      <c r="J39" s="1528"/>
      <c r="K39" s="1529"/>
    </row>
    <row r="40" spans="1:11">
      <c r="A40" s="359">
        <v>44243</v>
      </c>
      <c r="B40" s="345">
        <v>44610</v>
      </c>
      <c r="C40" s="290" t="s">
        <v>1701</v>
      </c>
      <c r="D40" s="347" t="s">
        <v>9</v>
      </c>
      <c r="E40" s="346" t="s">
        <v>10</v>
      </c>
      <c r="F40" s="348">
        <v>1475.44</v>
      </c>
      <c r="G40" s="349">
        <v>0.1</v>
      </c>
      <c r="H40" s="350">
        <v>135.74</v>
      </c>
      <c r="I40" s="351"/>
      <c r="J40" s="1963"/>
      <c r="K40" s="1964"/>
    </row>
    <row r="41" spans="1:11">
      <c r="A41" s="359">
        <v>44244</v>
      </c>
      <c r="B41" s="345">
        <v>44611</v>
      </c>
      <c r="C41" s="290" t="s">
        <v>1702</v>
      </c>
      <c r="D41" s="347" t="s">
        <v>9</v>
      </c>
      <c r="E41" s="346" t="s">
        <v>10</v>
      </c>
      <c r="F41" s="348">
        <v>907.21</v>
      </c>
      <c r="G41" s="349">
        <v>0.15</v>
      </c>
      <c r="H41" s="350">
        <v>125.19</v>
      </c>
      <c r="I41" s="351"/>
      <c r="J41" s="1528"/>
      <c r="K41" s="1529"/>
    </row>
    <row r="42" spans="1:11" s="741" customFormat="1">
      <c r="A42" s="255">
        <v>44245</v>
      </c>
      <c r="B42" s="256">
        <v>44612</v>
      </c>
      <c r="C42" s="257" t="s">
        <v>1703</v>
      </c>
      <c r="D42" s="258" t="s">
        <v>448</v>
      </c>
      <c r="E42" s="257" t="s">
        <v>10</v>
      </c>
      <c r="F42" s="321">
        <v>1380.47</v>
      </c>
      <c r="G42" s="260">
        <v>0.1</v>
      </c>
      <c r="H42" s="261">
        <v>127</v>
      </c>
      <c r="I42" s="262"/>
      <c r="J42" s="1971" t="s">
        <v>1539</v>
      </c>
      <c r="K42" s="1972"/>
    </row>
    <row r="43" spans="1:11" s="741" customFormat="1">
      <c r="A43" s="255">
        <v>44245</v>
      </c>
      <c r="B43" s="256">
        <v>44610</v>
      </c>
      <c r="C43" s="257" t="s">
        <v>1503</v>
      </c>
      <c r="D43" s="258" t="s">
        <v>61</v>
      </c>
      <c r="E43" s="257" t="s">
        <v>945</v>
      </c>
      <c r="F43" s="321">
        <v>3250.72</v>
      </c>
      <c r="G43" s="260">
        <v>0.1</v>
      </c>
      <c r="H43" s="261">
        <v>299.06</v>
      </c>
      <c r="I43" s="262"/>
      <c r="J43" s="1971" t="s">
        <v>1539</v>
      </c>
      <c r="K43" s="1972"/>
    </row>
    <row r="44" spans="1:11">
      <c r="A44" s="359">
        <v>44246</v>
      </c>
      <c r="B44" s="345">
        <v>44611</v>
      </c>
      <c r="C44" s="290" t="s">
        <v>1704</v>
      </c>
      <c r="D44" s="347" t="s">
        <v>9</v>
      </c>
      <c r="E44" s="346" t="s">
        <v>90</v>
      </c>
      <c r="F44" s="348">
        <v>1557.14</v>
      </c>
      <c r="G44" s="349">
        <v>0.1</v>
      </c>
      <c r="H44" s="350">
        <v>143.25</v>
      </c>
      <c r="I44" s="351"/>
      <c r="J44" s="1528"/>
      <c r="K44" s="1529"/>
    </row>
    <row r="45" spans="1:11">
      <c r="A45" s="359">
        <v>44250</v>
      </c>
      <c r="B45" s="345">
        <v>44618</v>
      </c>
      <c r="C45" s="290" t="s">
        <v>1705</v>
      </c>
      <c r="D45" s="347" t="s">
        <v>381</v>
      </c>
      <c r="E45" s="346" t="s">
        <v>90</v>
      </c>
      <c r="F45" s="348">
        <v>1753.03</v>
      </c>
      <c r="G45" s="349">
        <v>0.1</v>
      </c>
      <c r="H45" s="350">
        <v>161.27000000000001</v>
      </c>
      <c r="I45" s="351"/>
      <c r="J45" s="1528"/>
      <c r="K45" s="1529"/>
    </row>
    <row r="46" spans="1:11" s="730" customFormat="1">
      <c r="A46" s="297">
        <v>44251</v>
      </c>
      <c r="B46" s="298">
        <v>44616</v>
      </c>
      <c r="C46" s="414" t="s">
        <v>1706</v>
      </c>
      <c r="D46" s="299" t="s">
        <v>70</v>
      </c>
      <c r="E46" s="101" t="s">
        <v>279</v>
      </c>
      <c r="F46" s="340"/>
      <c r="G46" s="301">
        <v>0.1</v>
      </c>
      <c r="H46" s="302"/>
      <c r="I46" s="303"/>
      <c r="J46" s="1538"/>
      <c r="K46" s="1539"/>
    </row>
    <row r="47" spans="1:11">
      <c r="A47" s="359">
        <v>44252</v>
      </c>
      <c r="B47" s="345" t="s">
        <v>1707</v>
      </c>
      <c r="C47" s="290" t="s">
        <v>1438</v>
      </c>
      <c r="D47" s="347" t="s">
        <v>21</v>
      </c>
      <c r="E47" s="346" t="s">
        <v>945</v>
      </c>
      <c r="F47" s="348">
        <v>467.73</v>
      </c>
      <c r="G47" s="349">
        <v>0.1</v>
      </c>
      <c r="H47" s="350">
        <v>43.03</v>
      </c>
      <c r="I47" s="351"/>
      <c r="J47" s="1528"/>
      <c r="K47" s="1529"/>
    </row>
    <row r="48" spans="1:11">
      <c r="A48" s="359">
        <v>44253</v>
      </c>
      <c r="B48" s="345">
        <v>44618</v>
      </c>
      <c r="C48" s="290" t="s">
        <v>1708</v>
      </c>
      <c r="D48" s="347" t="s">
        <v>14</v>
      </c>
      <c r="E48" s="346" t="s">
        <v>10</v>
      </c>
      <c r="F48" s="348">
        <v>1400.37</v>
      </c>
      <c r="G48" s="349">
        <v>0.13</v>
      </c>
      <c r="H48" s="350">
        <v>167.48</v>
      </c>
      <c r="I48" s="351"/>
      <c r="J48" s="1528"/>
      <c r="K48" s="1529"/>
    </row>
    <row r="49" spans="1:11">
      <c r="A49" s="359">
        <v>44253</v>
      </c>
      <c r="B49" s="345">
        <v>44618</v>
      </c>
      <c r="C49" s="290" t="s">
        <v>1287</v>
      </c>
      <c r="D49" s="347" t="s">
        <v>448</v>
      </c>
      <c r="E49" s="346" t="s">
        <v>10</v>
      </c>
      <c r="F49" s="348">
        <v>1149.23</v>
      </c>
      <c r="G49" s="349">
        <v>0.14499999999999999</v>
      </c>
      <c r="H49" s="350">
        <v>158.59</v>
      </c>
      <c r="I49" s="351"/>
      <c r="J49" s="1528"/>
      <c r="K49" s="1529"/>
    </row>
    <row r="50" spans="1:11">
      <c r="A50" s="359">
        <v>44253</v>
      </c>
      <c r="B50" s="345">
        <v>44618</v>
      </c>
      <c r="C50" s="290" t="s">
        <v>1709</v>
      </c>
      <c r="D50" s="347" t="s">
        <v>448</v>
      </c>
      <c r="E50" s="346" t="s">
        <v>10</v>
      </c>
      <c r="F50" s="348">
        <v>1119.06</v>
      </c>
      <c r="G50" s="349">
        <v>0.1</v>
      </c>
      <c r="H50" s="350">
        <v>102.95</v>
      </c>
      <c r="I50" s="351"/>
      <c r="J50" s="1963" t="s">
        <v>1478</v>
      </c>
      <c r="K50" s="1964"/>
    </row>
    <row r="51" spans="1:11">
      <c r="A51" s="359">
        <v>44373</v>
      </c>
      <c r="B51" s="345">
        <v>44618</v>
      </c>
      <c r="C51" s="290" t="s">
        <v>1710</v>
      </c>
      <c r="D51" s="347" t="s">
        <v>25</v>
      </c>
      <c r="E51" s="346" t="s">
        <v>45</v>
      </c>
      <c r="F51" s="348">
        <v>542.66999999999996</v>
      </c>
      <c r="G51" s="349">
        <v>0.1</v>
      </c>
      <c r="H51" s="350">
        <v>49.92</v>
      </c>
      <c r="I51" s="351"/>
      <c r="J51" s="1528"/>
      <c r="K51" s="1529"/>
    </row>
    <row r="52" spans="1:11" s="741" customFormat="1">
      <c r="A52" s="255">
        <v>44253</v>
      </c>
      <c r="B52" s="256">
        <v>44618</v>
      </c>
      <c r="C52" s="257" t="s">
        <v>1711</v>
      </c>
      <c r="D52" s="258" t="s">
        <v>9</v>
      </c>
      <c r="E52" s="257" t="s">
        <v>1593</v>
      </c>
      <c r="F52" s="321">
        <v>2706.66</v>
      </c>
      <c r="G52" s="260">
        <v>0.1</v>
      </c>
      <c r="H52" s="261">
        <v>249.01</v>
      </c>
      <c r="I52" s="262"/>
      <c r="J52" s="1971" t="s">
        <v>1558</v>
      </c>
      <c r="K52" s="1972"/>
    </row>
    <row r="53" spans="1:11">
      <c r="A53" s="359">
        <v>44253</v>
      </c>
      <c r="B53" s="345">
        <v>44620</v>
      </c>
      <c r="C53" s="290" t="s">
        <v>1294</v>
      </c>
      <c r="D53" s="347" t="s">
        <v>448</v>
      </c>
      <c r="E53" s="346" t="s">
        <v>279</v>
      </c>
      <c r="F53" s="348">
        <v>1287.83</v>
      </c>
      <c r="G53" s="349">
        <v>0.1</v>
      </c>
      <c r="H53" s="350">
        <v>118.48</v>
      </c>
      <c r="I53" s="351"/>
      <c r="J53" s="1528"/>
      <c r="K53" s="1529"/>
    </row>
    <row r="54" spans="1:11">
      <c r="A54" s="359"/>
      <c r="B54" s="345"/>
      <c r="C54" s="290"/>
      <c r="D54" s="347"/>
      <c r="E54" s="346"/>
      <c r="F54" s="348"/>
      <c r="G54" s="349"/>
      <c r="H54" s="350"/>
      <c r="I54" s="351"/>
      <c r="J54" s="1528"/>
      <c r="K54" s="1529"/>
    </row>
    <row r="55" spans="1:11" ht="15.75" thickBot="1">
      <c r="A55" s="359"/>
      <c r="B55" s="345"/>
      <c r="C55" s="290"/>
      <c r="D55" s="347"/>
      <c r="E55" s="346"/>
      <c r="F55" s="348"/>
      <c r="G55" s="349"/>
      <c r="H55" s="350"/>
      <c r="I55" s="351"/>
      <c r="J55" s="1528"/>
      <c r="K55" s="1529"/>
    </row>
    <row r="56" spans="1:11" ht="20.25" thickBot="1">
      <c r="A56" s="673"/>
      <c r="B56" s="674"/>
      <c r="C56" s="928"/>
      <c r="D56" s="674"/>
      <c r="E56" s="674"/>
      <c r="F56" s="338">
        <f>SUM(F2:F55)</f>
        <v>74845.799999999988</v>
      </c>
      <c r="G56" s="143"/>
      <c r="H56" s="129">
        <f>SUM(H2:H55)</f>
        <v>7736.9999999999991</v>
      </c>
      <c r="I56" s="107">
        <f>SUM(I2:I55)</f>
        <v>192.72</v>
      </c>
    </row>
  </sheetData>
  <mergeCells count="32">
    <mergeCell ref="J16:K16"/>
    <mergeCell ref="J1:K1"/>
    <mergeCell ref="J2:K2"/>
    <mergeCell ref="J4:K4"/>
    <mergeCell ref="J5:K5"/>
    <mergeCell ref="J7:K7"/>
    <mergeCell ref="J8:K8"/>
    <mergeCell ref="J9:K9"/>
    <mergeCell ref="J10:K10"/>
    <mergeCell ref="J13:K13"/>
    <mergeCell ref="J14:K14"/>
    <mergeCell ref="J15:K15"/>
    <mergeCell ref="J3:K3"/>
    <mergeCell ref="J30:K30"/>
    <mergeCell ref="J21:K21"/>
    <mergeCell ref="J25:K25"/>
    <mergeCell ref="J29:K29"/>
    <mergeCell ref="J35:K35"/>
    <mergeCell ref="J22:K22"/>
    <mergeCell ref="J17:K17"/>
    <mergeCell ref="J18:K18"/>
    <mergeCell ref="J23:K23"/>
    <mergeCell ref="J24:K24"/>
    <mergeCell ref="J28:K28"/>
    <mergeCell ref="J52:K52"/>
    <mergeCell ref="J42:K42"/>
    <mergeCell ref="J43:K43"/>
    <mergeCell ref="J31:K31"/>
    <mergeCell ref="J32:K32"/>
    <mergeCell ref="J34:K34"/>
    <mergeCell ref="J40:K40"/>
    <mergeCell ref="J50:K50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K56"/>
  <sheetViews>
    <sheetView topLeftCell="A4" zoomScale="85" zoomScaleNormal="85" workbookViewId="0">
      <selection activeCell="C33" sqref="C33"/>
    </sheetView>
  </sheetViews>
  <sheetFormatPr defaultRowHeight="15"/>
  <cols>
    <col min="1" max="1" width="16.42578125" bestFit="1" customWidth="1"/>
    <col min="2" max="2" width="11.5703125" bestFit="1" customWidth="1"/>
    <col min="3" max="3" width="40.28515625" bestFit="1" customWidth="1"/>
    <col min="4" max="4" width="18.28515625" bestFit="1" customWidth="1"/>
    <col min="5" max="5" width="14.140625" bestFit="1" customWidth="1"/>
    <col min="6" max="6" width="19.28515625" bestFit="1" customWidth="1"/>
    <col min="7" max="7" width="13.42578125" bestFit="1" customWidth="1"/>
    <col min="8" max="8" width="22.5703125" bestFit="1" customWidth="1"/>
    <col min="9" max="9" width="21" bestFit="1" customWidth="1"/>
  </cols>
  <sheetData>
    <row r="1" spans="1:11" ht="15.75" thickBot="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1969" t="s">
        <v>370</v>
      </c>
      <c r="K1" s="1970"/>
    </row>
    <row r="2" spans="1:11">
      <c r="A2" s="359">
        <v>44252</v>
      </c>
      <c r="B2" s="345">
        <v>44624</v>
      </c>
      <c r="C2" s="566" t="s">
        <v>1299</v>
      </c>
      <c r="D2" s="347" t="s">
        <v>25</v>
      </c>
      <c r="E2" s="346" t="s">
        <v>10</v>
      </c>
      <c r="F2" s="348">
        <v>1078.54</v>
      </c>
      <c r="G2" s="349">
        <v>0.1</v>
      </c>
      <c r="H2" s="350">
        <v>99.22</v>
      </c>
      <c r="I2" s="351"/>
      <c r="J2" s="1963"/>
      <c r="K2" s="1964"/>
    </row>
    <row r="3" spans="1:11">
      <c r="A3" s="483">
        <v>44252</v>
      </c>
      <c r="B3" s="484">
        <v>44621</v>
      </c>
      <c r="C3" s="585" t="s">
        <v>1297</v>
      </c>
      <c r="D3" s="1547" t="s">
        <v>25</v>
      </c>
      <c r="E3" s="436" t="s">
        <v>29</v>
      </c>
      <c r="F3" s="485">
        <v>1062.56</v>
      </c>
      <c r="G3" s="486">
        <v>0.1</v>
      </c>
      <c r="H3" s="487">
        <v>97.75</v>
      </c>
      <c r="I3" s="488"/>
      <c r="J3" s="1967"/>
      <c r="K3" s="1968"/>
    </row>
    <row r="4" spans="1:11" s="731" customFormat="1">
      <c r="A4" s="255">
        <v>44256</v>
      </c>
      <c r="B4" s="256">
        <v>44626</v>
      </c>
      <c r="C4" s="412" t="s">
        <v>1712</v>
      </c>
      <c r="D4" s="258" t="s">
        <v>9</v>
      </c>
      <c r="E4" s="257" t="s">
        <v>143</v>
      </c>
      <c r="F4" s="321">
        <v>5504.2</v>
      </c>
      <c r="G4" s="260">
        <v>0.1</v>
      </c>
      <c r="H4" s="261">
        <v>506.38</v>
      </c>
      <c r="I4" s="262"/>
      <c r="J4" s="1971" t="s">
        <v>1621</v>
      </c>
      <c r="K4" s="1972"/>
    </row>
    <row r="5" spans="1:11" s="730" customFormat="1">
      <c r="A5" s="532">
        <v>44256</v>
      </c>
      <c r="B5" s="533">
        <v>44622</v>
      </c>
      <c r="C5" s="414" t="s">
        <v>1298</v>
      </c>
      <c r="D5" s="534" t="s">
        <v>25</v>
      </c>
      <c r="E5" s="414" t="s">
        <v>90</v>
      </c>
      <c r="F5" s="535">
        <v>1305.8800000000001</v>
      </c>
      <c r="G5" s="536">
        <v>0.15</v>
      </c>
      <c r="H5" s="537">
        <v>180.21</v>
      </c>
      <c r="I5" s="608"/>
      <c r="J5" s="1977"/>
      <c r="K5" s="1978"/>
    </row>
    <row r="6" spans="1:11">
      <c r="A6" s="484">
        <v>44257</v>
      </c>
      <c r="B6" s="484">
        <v>44626</v>
      </c>
      <c r="C6" s="585" t="s">
        <v>1312</v>
      </c>
      <c r="D6" s="1547" t="s">
        <v>21</v>
      </c>
      <c r="E6" s="436" t="s">
        <v>10</v>
      </c>
      <c r="F6" s="485">
        <v>1040.3</v>
      </c>
      <c r="G6" s="486">
        <v>0.13</v>
      </c>
      <c r="H6" s="635">
        <v>124.41</v>
      </c>
      <c r="I6" s="489">
        <v>6</v>
      </c>
      <c r="J6" s="1967" t="s">
        <v>1713</v>
      </c>
      <c r="K6" s="1968"/>
    </row>
    <row r="7" spans="1:11" s="747" customFormat="1">
      <c r="A7" s="599">
        <v>44258</v>
      </c>
      <c r="B7" s="600">
        <v>44623</v>
      </c>
      <c r="C7" s="931" t="s">
        <v>1302</v>
      </c>
      <c r="D7" s="602" t="s">
        <v>70</v>
      </c>
      <c r="E7" s="601" t="s">
        <v>279</v>
      </c>
      <c r="F7" s="603">
        <v>1171.53</v>
      </c>
      <c r="G7" s="604">
        <v>0.1</v>
      </c>
      <c r="H7" s="605">
        <v>107.78</v>
      </c>
      <c r="I7" s="606"/>
      <c r="J7" s="1979" t="s">
        <v>1482</v>
      </c>
      <c r="K7" s="1980"/>
    </row>
    <row r="8" spans="1:11" s="747" customFormat="1">
      <c r="A8" s="599">
        <v>44257</v>
      </c>
      <c r="B8" s="600">
        <v>44622</v>
      </c>
      <c r="C8" s="841" t="s">
        <v>1714</v>
      </c>
      <c r="D8" s="602" t="s">
        <v>448</v>
      </c>
      <c r="E8" s="601" t="s">
        <v>19</v>
      </c>
      <c r="F8" s="603">
        <v>1520.82</v>
      </c>
      <c r="G8" s="604">
        <v>0.1</v>
      </c>
      <c r="H8" s="605">
        <v>139.91</v>
      </c>
      <c r="I8" s="606"/>
      <c r="J8" s="1979" t="s">
        <v>1482</v>
      </c>
      <c r="K8" s="1980"/>
    </row>
    <row r="9" spans="1:11" s="747" customFormat="1">
      <c r="A9" s="572">
        <v>44258</v>
      </c>
      <c r="B9" s="573">
        <v>44623</v>
      </c>
      <c r="C9" s="841" t="s">
        <v>1715</v>
      </c>
      <c r="D9" s="575" t="s">
        <v>70</v>
      </c>
      <c r="E9" s="574" t="s">
        <v>279</v>
      </c>
      <c r="F9" s="576">
        <v>491.28</v>
      </c>
      <c r="G9" s="577">
        <v>0.2</v>
      </c>
      <c r="H9" s="578">
        <v>90.39</v>
      </c>
      <c r="I9" s="748"/>
      <c r="J9" s="1981" t="s">
        <v>1482</v>
      </c>
      <c r="K9" s="1982"/>
    </row>
    <row r="10" spans="1:11" s="731" customFormat="1">
      <c r="A10" s="255">
        <v>44258</v>
      </c>
      <c r="B10" s="256">
        <v>44623</v>
      </c>
      <c r="C10" s="412" t="s">
        <v>1195</v>
      </c>
      <c r="D10" s="258" t="s">
        <v>70</v>
      </c>
      <c r="E10" s="257" t="s">
        <v>279</v>
      </c>
      <c r="F10" s="321">
        <v>675.12</v>
      </c>
      <c r="G10" s="260">
        <v>0.1</v>
      </c>
      <c r="H10" s="261">
        <v>62.11</v>
      </c>
      <c r="I10" s="568"/>
      <c r="J10" s="1965" t="s">
        <v>1621</v>
      </c>
      <c r="K10" s="1966"/>
    </row>
    <row r="11" spans="1:11">
      <c r="A11" s="287">
        <v>44260</v>
      </c>
      <c r="B11" s="288">
        <v>44624</v>
      </c>
      <c r="C11" s="566" t="s">
        <v>1716</v>
      </c>
      <c r="D11" s="289" t="s">
        <v>381</v>
      </c>
      <c r="E11" s="290" t="s">
        <v>10</v>
      </c>
      <c r="F11" s="337">
        <v>1166.3</v>
      </c>
      <c r="G11" s="292">
        <v>0.1</v>
      </c>
      <c r="H11" s="293">
        <v>107.29</v>
      </c>
      <c r="I11" s="294"/>
      <c r="J11" s="1532"/>
      <c r="K11" s="1533"/>
    </row>
    <row r="12" spans="1:11" s="757" customFormat="1">
      <c r="A12" s="749">
        <v>44260</v>
      </c>
      <c r="B12" s="750">
        <v>44625</v>
      </c>
      <c r="C12" s="932" t="s">
        <v>1717</v>
      </c>
      <c r="D12" s="751" t="s">
        <v>9</v>
      </c>
      <c r="E12" s="752" t="s">
        <v>29</v>
      </c>
      <c r="F12" s="753">
        <v>2018.61</v>
      </c>
      <c r="G12" s="754">
        <v>0.1</v>
      </c>
      <c r="H12" s="755">
        <v>185.71</v>
      </c>
      <c r="I12" s="756"/>
      <c r="J12" s="1983" t="s">
        <v>1561</v>
      </c>
      <c r="K12" s="1984"/>
    </row>
    <row r="13" spans="1:11">
      <c r="A13" s="287">
        <v>44260</v>
      </c>
      <c r="B13" s="288">
        <v>44626</v>
      </c>
      <c r="C13" s="933" t="s">
        <v>671</v>
      </c>
      <c r="D13" s="289" t="s">
        <v>70</v>
      </c>
      <c r="E13" s="290" t="s">
        <v>10</v>
      </c>
      <c r="F13" s="337">
        <v>902.72</v>
      </c>
      <c r="G13" s="292">
        <v>0.2</v>
      </c>
      <c r="H13" s="293">
        <v>166.1</v>
      </c>
      <c r="I13" s="580"/>
      <c r="J13" s="1967"/>
      <c r="K13" s="1968"/>
    </row>
    <row r="14" spans="1:11">
      <c r="A14" s="287">
        <v>44260</v>
      </c>
      <c r="B14" s="288">
        <v>44625</v>
      </c>
      <c r="C14" s="566" t="s">
        <v>1201</v>
      </c>
      <c r="D14" s="289" t="s">
        <v>448</v>
      </c>
      <c r="E14" s="290" t="s">
        <v>279</v>
      </c>
      <c r="F14" s="337">
        <v>860.96</v>
      </c>
      <c r="G14" s="292">
        <v>0.15</v>
      </c>
      <c r="H14" s="293">
        <v>118.81</v>
      </c>
      <c r="I14" s="294"/>
      <c r="J14" s="1967"/>
      <c r="K14" s="1968"/>
    </row>
    <row r="15" spans="1:11">
      <c r="A15" s="287">
        <v>44260</v>
      </c>
      <c r="B15" s="288">
        <v>44626</v>
      </c>
      <c r="C15" s="566" t="s">
        <v>256</v>
      </c>
      <c r="D15" s="289" t="s">
        <v>9</v>
      </c>
      <c r="E15" s="290" t="s">
        <v>10</v>
      </c>
      <c r="F15" s="337">
        <v>855.68</v>
      </c>
      <c r="G15" s="292">
        <v>0.15</v>
      </c>
      <c r="H15" s="293">
        <v>118.08</v>
      </c>
      <c r="I15" s="294"/>
      <c r="J15" s="1967"/>
      <c r="K15" s="1968"/>
    </row>
    <row r="16" spans="1:11">
      <c r="A16" s="287">
        <v>44260</v>
      </c>
      <c r="B16" s="288">
        <v>44626</v>
      </c>
      <c r="C16" s="566" t="s">
        <v>1718</v>
      </c>
      <c r="D16" s="289" t="s">
        <v>9</v>
      </c>
      <c r="E16" s="290" t="s">
        <v>90</v>
      </c>
      <c r="F16" s="337">
        <v>1262.22</v>
      </c>
      <c r="G16" s="292">
        <v>0.1</v>
      </c>
      <c r="H16" s="293">
        <v>116.12</v>
      </c>
      <c r="I16" s="294"/>
      <c r="J16" s="1967"/>
      <c r="K16" s="1968"/>
    </row>
    <row r="17" spans="1:11" s="731" customFormat="1">
      <c r="A17" s="238">
        <v>44260</v>
      </c>
      <c r="B17" s="239">
        <v>44634</v>
      </c>
      <c r="C17" s="440" t="s">
        <v>1719</v>
      </c>
      <c r="D17" s="241" t="s">
        <v>981</v>
      </c>
      <c r="E17" s="240" t="s">
        <v>10</v>
      </c>
      <c r="F17" s="323">
        <v>1157.01</v>
      </c>
      <c r="G17" s="243">
        <v>0.1</v>
      </c>
      <c r="H17" s="244">
        <v>106.44</v>
      </c>
      <c r="I17" s="586"/>
      <c r="J17" s="1965" t="s">
        <v>1558</v>
      </c>
      <c r="K17" s="1966"/>
    </row>
    <row r="18" spans="1:11">
      <c r="A18" s="359">
        <v>43898</v>
      </c>
      <c r="B18" s="345">
        <v>44630</v>
      </c>
      <c r="C18" s="796" t="s">
        <v>1316</v>
      </c>
      <c r="D18" s="347" t="s">
        <v>981</v>
      </c>
      <c r="E18" s="346" t="s">
        <v>10</v>
      </c>
      <c r="F18" s="348">
        <v>1286.82</v>
      </c>
      <c r="G18" s="349">
        <v>0.1</v>
      </c>
      <c r="H18" s="350">
        <v>118.38</v>
      </c>
      <c r="I18" s="351"/>
      <c r="J18" s="1963"/>
      <c r="K18" s="1964"/>
    </row>
    <row r="19" spans="1:11" s="757" customFormat="1">
      <c r="A19" s="758">
        <v>44263</v>
      </c>
      <c r="B19" s="759">
        <v>44628</v>
      </c>
      <c r="C19" s="934" t="s">
        <v>1720</v>
      </c>
      <c r="D19" s="761" t="s">
        <v>448</v>
      </c>
      <c r="E19" s="760" t="s">
        <v>19</v>
      </c>
      <c r="F19" s="762">
        <v>5496.22</v>
      </c>
      <c r="G19" s="763">
        <v>0.1</v>
      </c>
      <c r="H19" s="764">
        <v>505.65</v>
      </c>
      <c r="I19" s="765"/>
      <c r="J19" s="1985" t="s">
        <v>1561</v>
      </c>
      <c r="K19" s="1986"/>
    </row>
    <row r="20" spans="1:11" s="731" customFormat="1">
      <c r="A20" s="238">
        <v>44263</v>
      </c>
      <c r="B20" s="239">
        <v>44628</v>
      </c>
      <c r="C20" s="412" t="s">
        <v>1721</v>
      </c>
      <c r="D20" s="241" t="s">
        <v>9</v>
      </c>
      <c r="E20" s="240" t="s">
        <v>22</v>
      </c>
      <c r="F20" s="323">
        <v>1580.6</v>
      </c>
      <c r="G20" s="243">
        <v>0.1</v>
      </c>
      <c r="H20" s="244">
        <v>145.41</v>
      </c>
      <c r="I20" s="245"/>
      <c r="J20" s="1965" t="s">
        <v>1621</v>
      </c>
      <c r="K20" s="1966"/>
    </row>
    <row r="21" spans="1:11">
      <c r="A21" s="359">
        <v>44263</v>
      </c>
      <c r="B21" s="490">
        <v>44633</v>
      </c>
      <c r="C21" s="446" t="s">
        <v>1722</v>
      </c>
      <c r="D21" s="347" t="s">
        <v>9</v>
      </c>
      <c r="E21" s="346" t="s">
        <v>10</v>
      </c>
      <c r="F21" s="348">
        <v>1377.97</v>
      </c>
      <c r="G21" s="349">
        <v>0.1</v>
      </c>
      <c r="H21" s="350">
        <v>123.09</v>
      </c>
      <c r="I21" s="351"/>
      <c r="J21" s="1963"/>
      <c r="K21" s="1964"/>
    </row>
    <row r="22" spans="1:11" s="731" customFormat="1">
      <c r="A22" s="238">
        <v>44264</v>
      </c>
      <c r="B22" s="239">
        <v>44630</v>
      </c>
      <c r="C22" s="412" t="s">
        <v>1723</v>
      </c>
      <c r="D22" s="241" t="s">
        <v>9</v>
      </c>
      <c r="E22" s="240" t="s">
        <v>15</v>
      </c>
      <c r="F22" s="323">
        <v>880.28</v>
      </c>
      <c r="G22" s="243">
        <v>0.1</v>
      </c>
      <c r="H22" s="244">
        <v>80.98</v>
      </c>
      <c r="I22" s="245"/>
      <c r="J22" s="1965" t="s">
        <v>1575</v>
      </c>
      <c r="K22" s="1966"/>
    </row>
    <row r="23" spans="1:11">
      <c r="A23" s="359">
        <v>44264</v>
      </c>
      <c r="B23" s="345">
        <v>44631</v>
      </c>
      <c r="C23" s="566" t="s">
        <v>394</v>
      </c>
      <c r="D23" s="347" t="s">
        <v>448</v>
      </c>
      <c r="E23" s="346" t="s">
        <v>19</v>
      </c>
      <c r="F23" s="348">
        <v>757.83</v>
      </c>
      <c r="G23" s="349">
        <v>0.15</v>
      </c>
      <c r="H23" s="350">
        <v>104.58</v>
      </c>
      <c r="I23" s="351"/>
      <c r="J23" s="1963"/>
      <c r="K23" s="1964"/>
    </row>
    <row r="24" spans="1:11" s="730" customFormat="1">
      <c r="A24" s="297">
        <v>44265</v>
      </c>
      <c r="B24" s="298">
        <v>44630</v>
      </c>
      <c r="C24" s="101" t="s">
        <v>1318</v>
      </c>
      <c r="D24" s="299" t="s">
        <v>448</v>
      </c>
      <c r="E24" s="101" t="s">
        <v>279</v>
      </c>
      <c r="F24" s="340">
        <v>1462.17</v>
      </c>
      <c r="G24" s="301">
        <v>0.1</v>
      </c>
      <c r="H24" s="302">
        <v>134.51</v>
      </c>
      <c r="I24" s="303"/>
      <c r="J24" s="1975"/>
      <c r="K24" s="1976"/>
    </row>
    <row r="25" spans="1:11">
      <c r="A25" s="484">
        <v>44265</v>
      </c>
      <c r="B25" s="484">
        <v>44635</v>
      </c>
      <c r="C25" s="585" t="s">
        <v>676</v>
      </c>
      <c r="D25" s="1547" t="s">
        <v>14</v>
      </c>
      <c r="E25" s="436" t="s">
        <v>10</v>
      </c>
      <c r="F25" s="485">
        <v>850.93</v>
      </c>
      <c r="G25" s="486">
        <v>0.1</v>
      </c>
      <c r="H25" s="635">
        <v>78.28</v>
      </c>
      <c r="I25" s="489"/>
      <c r="J25" s="1967"/>
      <c r="K25" s="1968"/>
    </row>
    <row r="26" spans="1:11">
      <c r="A26" s="491">
        <v>44266</v>
      </c>
      <c r="B26" s="492">
        <v>44634</v>
      </c>
      <c r="C26" s="796" t="s">
        <v>1319</v>
      </c>
      <c r="D26" s="494" t="s">
        <v>981</v>
      </c>
      <c r="E26" s="493" t="s">
        <v>10</v>
      </c>
      <c r="F26" s="495">
        <v>2061.71</v>
      </c>
      <c r="G26" s="496">
        <v>0.1</v>
      </c>
      <c r="H26" s="497">
        <v>189.67</v>
      </c>
      <c r="I26" s="498"/>
      <c r="J26" s="1532"/>
      <c r="K26" s="1533"/>
    </row>
    <row r="27" spans="1:11" s="731" customFormat="1">
      <c r="A27" s="238">
        <v>44270</v>
      </c>
      <c r="B27" s="239">
        <v>44637</v>
      </c>
      <c r="C27" s="456" t="s">
        <v>1724</v>
      </c>
      <c r="D27" s="241" t="s">
        <v>25</v>
      </c>
      <c r="E27" s="240" t="s">
        <v>22</v>
      </c>
      <c r="F27" s="323">
        <v>1454.25</v>
      </c>
      <c r="G27" s="243">
        <v>0.1</v>
      </c>
      <c r="H27" s="610">
        <v>133.79</v>
      </c>
      <c r="I27" s="245"/>
      <c r="J27" s="1965" t="s">
        <v>1575</v>
      </c>
      <c r="K27" s="1966"/>
    </row>
    <row r="28" spans="1:11">
      <c r="A28" s="359">
        <v>44270</v>
      </c>
      <c r="B28" s="345">
        <v>44636</v>
      </c>
      <c r="C28" s="566" t="s">
        <v>1725</v>
      </c>
      <c r="D28" s="347" t="s">
        <v>981</v>
      </c>
      <c r="E28" s="346" t="s">
        <v>10</v>
      </c>
      <c r="F28" s="348">
        <v>1579.64</v>
      </c>
      <c r="G28" s="349">
        <v>0.15</v>
      </c>
      <c r="H28" s="350">
        <v>217.99</v>
      </c>
      <c r="I28" s="351">
        <v>6</v>
      </c>
      <c r="J28" s="1963" t="s">
        <v>1726</v>
      </c>
      <c r="K28" s="1964"/>
    </row>
    <row r="29" spans="1:11">
      <c r="A29" s="359">
        <v>44271</v>
      </c>
      <c r="B29" s="345">
        <v>44643</v>
      </c>
      <c r="C29" s="566" t="s">
        <v>882</v>
      </c>
      <c r="D29" s="347" t="s">
        <v>25</v>
      </c>
      <c r="E29" s="346" t="s">
        <v>22</v>
      </c>
      <c r="F29" s="348">
        <v>1287.21</v>
      </c>
      <c r="G29" s="349">
        <v>0.15</v>
      </c>
      <c r="H29" s="350">
        <v>177.63</v>
      </c>
      <c r="I29" s="522"/>
      <c r="J29" s="1963"/>
      <c r="K29" s="1964"/>
    </row>
    <row r="30" spans="1:11" s="731" customFormat="1">
      <c r="A30" s="238">
        <v>44271</v>
      </c>
      <c r="B30" s="239">
        <v>44637</v>
      </c>
      <c r="C30" s="412" t="s">
        <v>1712</v>
      </c>
      <c r="D30" s="241" t="s">
        <v>9</v>
      </c>
      <c r="E30" s="240" t="s">
        <v>143</v>
      </c>
      <c r="F30" s="323">
        <v>12054.87</v>
      </c>
      <c r="G30" s="243">
        <v>0.1</v>
      </c>
      <c r="H30" s="244">
        <v>1109.04</v>
      </c>
      <c r="I30" s="245"/>
      <c r="J30" s="1965" t="s">
        <v>1575</v>
      </c>
      <c r="K30" s="1966"/>
    </row>
    <row r="31" spans="1:11" s="757" customFormat="1">
      <c r="A31" s="749">
        <v>44273</v>
      </c>
      <c r="B31" s="750">
        <v>44638</v>
      </c>
      <c r="C31" s="414" t="s">
        <v>1727</v>
      </c>
      <c r="D31" s="751" t="s">
        <v>448</v>
      </c>
      <c r="E31" s="752" t="s">
        <v>279</v>
      </c>
      <c r="F31" s="753">
        <v>1662.63</v>
      </c>
      <c r="G31" s="754">
        <v>0.1</v>
      </c>
      <c r="H31" s="755">
        <v>152.96</v>
      </c>
      <c r="I31" s="766"/>
      <c r="J31" s="1983" t="s">
        <v>1561</v>
      </c>
      <c r="K31" s="1984"/>
    </row>
    <row r="32" spans="1:11">
      <c r="A32" s="359">
        <v>44273</v>
      </c>
      <c r="B32" s="345">
        <v>44642</v>
      </c>
      <c r="C32" s="933" t="s">
        <v>881</v>
      </c>
      <c r="D32" s="347" t="s">
        <v>981</v>
      </c>
      <c r="E32" s="346" t="s">
        <v>945</v>
      </c>
      <c r="F32" s="348">
        <v>1404.75</v>
      </c>
      <c r="G32" s="349">
        <v>0.1</v>
      </c>
      <c r="H32" s="350">
        <v>129.22999999999999</v>
      </c>
      <c r="I32" s="351"/>
      <c r="J32" s="1963"/>
      <c r="K32" s="1964"/>
    </row>
    <row r="33" spans="1:11">
      <c r="A33" s="359">
        <v>44274</v>
      </c>
      <c r="B33" s="345" t="s">
        <v>1457</v>
      </c>
      <c r="C33" s="521" t="s">
        <v>447</v>
      </c>
      <c r="D33" s="347" t="s">
        <v>21</v>
      </c>
      <c r="E33" s="346" t="s">
        <v>22</v>
      </c>
      <c r="F33" s="348">
        <v>473.44</v>
      </c>
      <c r="G33" s="349">
        <v>0.1</v>
      </c>
      <c r="H33" s="350">
        <v>43.55</v>
      </c>
      <c r="I33" s="351"/>
      <c r="J33" s="1963"/>
      <c r="K33" s="1964"/>
    </row>
    <row r="34" spans="1:11">
      <c r="A34" s="503">
        <v>44274</v>
      </c>
      <c r="B34" s="503">
        <v>44640</v>
      </c>
      <c r="C34" s="585" t="s">
        <v>1728</v>
      </c>
      <c r="D34" s="504" t="s">
        <v>14</v>
      </c>
      <c r="E34" s="505" t="s">
        <v>10</v>
      </c>
      <c r="F34" s="506">
        <v>1053.9100000000001</v>
      </c>
      <c r="G34" s="507">
        <v>0.1</v>
      </c>
      <c r="H34" s="506">
        <v>96.95</v>
      </c>
      <c r="I34" s="482"/>
      <c r="J34" s="1963"/>
      <c r="K34" s="1964"/>
    </row>
    <row r="35" spans="1:11" s="747" customFormat="1">
      <c r="A35" s="612">
        <v>44277</v>
      </c>
      <c r="B35" s="612">
        <v>44643</v>
      </c>
      <c r="C35" s="931" t="s">
        <v>879</v>
      </c>
      <c r="D35" s="613" t="s">
        <v>448</v>
      </c>
      <c r="E35" s="611" t="s">
        <v>438</v>
      </c>
      <c r="F35" s="614">
        <v>1339.42</v>
      </c>
      <c r="G35" s="615">
        <v>0.15</v>
      </c>
      <c r="H35" s="614">
        <v>184.83</v>
      </c>
      <c r="I35" s="616"/>
      <c r="J35" s="1979" t="s">
        <v>1482</v>
      </c>
      <c r="K35" s="1980"/>
    </row>
    <row r="36" spans="1:11">
      <c r="A36" s="459">
        <v>44278</v>
      </c>
      <c r="B36" s="459">
        <v>44649</v>
      </c>
      <c r="C36" s="585" t="s">
        <v>272</v>
      </c>
      <c r="D36" s="1546" t="s">
        <v>14</v>
      </c>
      <c r="E36" s="458" t="s">
        <v>10</v>
      </c>
      <c r="F36" s="508">
        <v>859.45</v>
      </c>
      <c r="G36" s="461">
        <v>0.1</v>
      </c>
      <c r="H36" s="508">
        <v>79.06</v>
      </c>
      <c r="I36" s="482"/>
      <c r="J36" s="1528"/>
      <c r="K36" s="1529"/>
    </row>
    <row r="37" spans="1:11">
      <c r="A37" s="359">
        <v>44278</v>
      </c>
      <c r="B37" s="345">
        <v>44646</v>
      </c>
      <c r="C37" s="566" t="s">
        <v>1325</v>
      </c>
      <c r="D37" s="347" t="s">
        <v>448</v>
      </c>
      <c r="E37" s="346" t="s">
        <v>10</v>
      </c>
      <c r="F37" s="348">
        <v>1186.19</v>
      </c>
      <c r="G37" s="349">
        <v>0.1</v>
      </c>
      <c r="H37" s="350">
        <v>109.12</v>
      </c>
      <c r="I37" s="351"/>
      <c r="J37" s="1528"/>
      <c r="K37" s="1529"/>
    </row>
    <row r="38" spans="1:11">
      <c r="A38" s="359">
        <v>44278</v>
      </c>
      <c r="B38" s="345">
        <v>44643</v>
      </c>
      <c r="C38" s="566" t="s">
        <v>1729</v>
      </c>
      <c r="D38" s="347" t="s">
        <v>14</v>
      </c>
      <c r="E38" s="346" t="s">
        <v>10</v>
      </c>
      <c r="F38" s="348">
        <v>965.82</v>
      </c>
      <c r="G38" s="349">
        <v>0.1</v>
      </c>
      <c r="H38" s="350">
        <v>88.85</v>
      </c>
      <c r="I38" s="351"/>
      <c r="J38" s="1528"/>
      <c r="K38" s="1529"/>
    </row>
    <row r="39" spans="1:11">
      <c r="A39" s="359">
        <v>44279</v>
      </c>
      <c r="B39" s="345">
        <v>44644</v>
      </c>
      <c r="C39" s="566" t="s">
        <v>1279</v>
      </c>
      <c r="D39" s="347" t="s">
        <v>448</v>
      </c>
      <c r="E39" s="346" t="s">
        <v>10</v>
      </c>
      <c r="F39" s="348">
        <v>1069.42</v>
      </c>
      <c r="G39" s="349">
        <v>0.11</v>
      </c>
      <c r="H39" s="350">
        <v>108.22</v>
      </c>
      <c r="I39" s="351"/>
      <c r="J39" s="1528"/>
      <c r="K39" s="1529"/>
    </row>
    <row r="40" spans="1:11" s="731" customFormat="1">
      <c r="A40" s="238">
        <v>44279</v>
      </c>
      <c r="B40" s="239">
        <v>44644</v>
      </c>
      <c r="C40" s="412" t="s">
        <v>1730</v>
      </c>
      <c r="D40" s="241" t="s">
        <v>9</v>
      </c>
      <c r="E40" s="240" t="s">
        <v>143</v>
      </c>
      <c r="F40" s="323">
        <v>17362.189999999999</v>
      </c>
      <c r="G40" s="243">
        <v>0.1</v>
      </c>
      <c r="H40" s="244">
        <v>1597.32</v>
      </c>
      <c r="I40" s="245"/>
      <c r="J40" s="1965" t="s">
        <v>1621</v>
      </c>
      <c r="K40" s="1966"/>
    </row>
    <row r="41" spans="1:11">
      <c r="A41" s="359">
        <v>44281</v>
      </c>
      <c r="B41" s="345">
        <v>44647</v>
      </c>
      <c r="C41" s="566" t="s">
        <v>1731</v>
      </c>
      <c r="D41" s="347" t="s">
        <v>25</v>
      </c>
      <c r="E41" s="346" t="s">
        <v>22</v>
      </c>
      <c r="F41" s="348">
        <v>1816.49</v>
      </c>
      <c r="G41" s="349">
        <v>0.1</v>
      </c>
      <c r="H41" s="350">
        <v>167.11</v>
      </c>
      <c r="I41" s="351"/>
      <c r="J41" s="1528"/>
      <c r="K41" s="1529"/>
    </row>
    <row r="42" spans="1:11">
      <c r="A42" s="287">
        <v>44280</v>
      </c>
      <c r="B42" s="288">
        <v>44645</v>
      </c>
      <c r="C42" s="566" t="s">
        <v>1461</v>
      </c>
      <c r="D42" s="289" t="s">
        <v>14</v>
      </c>
      <c r="E42" s="290" t="s">
        <v>19</v>
      </c>
      <c r="F42" s="337">
        <v>1176.1400000000001</v>
      </c>
      <c r="G42" s="292">
        <v>0.13500000000000001</v>
      </c>
      <c r="H42" s="293">
        <v>151.47999999999999</v>
      </c>
      <c r="I42" s="294"/>
      <c r="J42" s="1967"/>
      <c r="K42" s="1968"/>
    </row>
    <row r="43" spans="1:11" s="731" customFormat="1">
      <c r="A43" s="255">
        <v>44284</v>
      </c>
      <c r="B43" s="256">
        <v>44649</v>
      </c>
      <c r="C43" s="412" t="s">
        <v>1326</v>
      </c>
      <c r="D43" s="258" t="s">
        <v>70</v>
      </c>
      <c r="E43" s="257" t="s">
        <v>90</v>
      </c>
      <c r="F43" s="321">
        <v>1363.95</v>
      </c>
      <c r="G43" s="260">
        <v>0.1</v>
      </c>
      <c r="H43" s="261">
        <v>125.48</v>
      </c>
      <c r="I43" s="262"/>
      <c r="J43" s="1971"/>
      <c r="K43" s="1972"/>
    </row>
    <row r="44" spans="1:11" s="747" customFormat="1">
      <c r="A44" s="599">
        <v>44284</v>
      </c>
      <c r="B44" s="600">
        <v>44649</v>
      </c>
      <c r="C44" s="841" t="s">
        <v>1088</v>
      </c>
      <c r="D44" s="602" t="s">
        <v>448</v>
      </c>
      <c r="E44" s="601" t="s">
        <v>19</v>
      </c>
      <c r="F44" s="603">
        <v>1435.12</v>
      </c>
      <c r="G44" s="604">
        <v>0.1</v>
      </c>
      <c r="H44" s="605">
        <v>132.03</v>
      </c>
      <c r="I44" s="606"/>
      <c r="J44" s="1979" t="s">
        <v>1482</v>
      </c>
      <c r="K44" s="1980"/>
    </row>
    <row r="45" spans="1:11">
      <c r="A45" s="359">
        <v>44285</v>
      </c>
      <c r="B45" s="345">
        <v>44650</v>
      </c>
      <c r="C45" s="566" t="s">
        <v>1732</v>
      </c>
      <c r="D45" s="347" t="s">
        <v>448</v>
      </c>
      <c r="E45" s="346" t="s">
        <v>10</v>
      </c>
      <c r="F45" s="348">
        <v>1825.44</v>
      </c>
      <c r="G45" s="349">
        <v>0.1</v>
      </c>
      <c r="H45" s="350">
        <v>167.94</v>
      </c>
      <c r="I45" s="351">
        <v>6</v>
      </c>
      <c r="J45" s="1963" t="s">
        <v>1713</v>
      </c>
      <c r="K45" s="1964"/>
    </row>
    <row r="46" spans="1:11">
      <c r="A46" s="359">
        <v>44285</v>
      </c>
      <c r="B46" s="345">
        <v>44644</v>
      </c>
      <c r="C46" s="101" t="s">
        <v>1733</v>
      </c>
      <c r="D46" s="347" t="s">
        <v>448</v>
      </c>
      <c r="E46" s="346" t="s">
        <v>10</v>
      </c>
      <c r="F46" s="348">
        <v>1301.8499999999999</v>
      </c>
      <c r="G46" s="349">
        <v>0.1</v>
      </c>
      <c r="H46" s="350">
        <v>119.77</v>
      </c>
      <c r="I46" s="351">
        <v>6</v>
      </c>
      <c r="J46" s="1963" t="s">
        <v>1713</v>
      </c>
      <c r="K46" s="1964"/>
    </row>
    <row r="47" spans="1:11" s="731" customFormat="1">
      <c r="A47" s="238">
        <v>44287</v>
      </c>
      <c r="B47" s="239">
        <v>44650</v>
      </c>
      <c r="C47" s="412" t="s">
        <v>1734</v>
      </c>
      <c r="D47" s="241" t="s">
        <v>448</v>
      </c>
      <c r="E47" s="240" t="s">
        <v>19</v>
      </c>
      <c r="F47" s="323">
        <v>7755.03</v>
      </c>
      <c r="G47" s="243">
        <v>0.1</v>
      </c>
      <c r="H47" s="244">
        <v>713.46</v>
      </c>
      <c r="I47" s="245"/>
      <c r="J47" s="1965" t="s">
        <v>1575</v>
      </c>
      <c r="K47" s="1966"/>
    </row>
    <row r="48" spans="1:11">
      <c r="A48" s="359"/>
      <c r="B48" s="345"/>
      <c r="C48" s="346"/>
      <c r="D48" s="347"/>
      <c r="E48" s="346"/>
      <c r="F48" s="348"/>
      <c r="G48" s="349"/>
      <c r="H48" s="350"/>
      <c r="I48" s="351"/>
      <c r="J48" s="1528"/>
      <c r="K48" s="1529"/>
    </row>
    <row r="49" spans="1:11">
      <c r="A49" s="359"/>
      <c r="B49" s="345"/>
      <c r="C49" s="346"/>
      <c r="D49" s="347"/>
      <c r="E49" s="346"/>
      <c r="F49" s="348"/>
      <c r="G49" s="349"/>
      <c r="H49" s="350"/>
      <c r="I49" s="351"/>
      <c r="J49" s="1528"/>
      <c r="K49" s="1529"/>
    </row>
    <row r="50" spans="1:11">
      <c r="A50" s="359"/>
      <c r="B50" s="345"/>
      <c r="C50" s="346"/>
      <c r="D50" s="347"/>
      <c r="E50" s="346"/>
      <c r="F50" s="348"/>
      <c r="G50" s="349"/>
      <c r="H50" s="350"/>
      <c r="I50" s="351"/>
      <c r="J50" s="1528"/>
      <c r="K50" s="1529"/>
    </row>
    <row r="51" spans="1:11">
      <c r="A51" s="359"/>
      <c r="B51" s="345"/>
      <c r="C51" s="346"/>
      <c r="D51" s="347"/>
      <c r="E51" s="346"/>
      <c r="F51" s="348"/>
      <c r="G51" s="349"/>
      <c r="H51" s="350"/>
      <c r="I51" s="351"/>
      <c r="J51" s="1528"/>
      <c r="K51" s="1529"/>
    </row>
    <row r="52" spans="1:11">
      <c r="A52" s="359"/>
      <c r="B52" s="345"/>
      <c r="C52" s="346"/>
      <c r="D52" s="347"/>
      <c r="E52" s="346"/>
      <c r="F52" s="348"/>
      <c r="G52" s="349"/>
      <c r="H52" s="350"/>
      <c r="I52" s="351"/>
      <c r="J52" s="1528"/>
      <c r="K52" s="1529"/>
    </row>
    <row r="53" spans="1:11">
      <c r="A53" s="359"/>
      <c r="B53" s="345"/>
      <c r="C53" s="346"/>
      <c r="D53" s="347"/>
      <c r="E53" s="346"/>
      <c r="F53" s="348"/>
      <c r="G53" s="349"/>
      <c r="H53" s="350"/>
      <c r="I53" s="351"/>
      <c r="J53" s="1528"/>
      <c r="K53" s="1529"/>
    </row>
    <row r="54" spans="1:11">
      <c r="A54" s="359"/>
      <c r="B54" s="345"/>
      <c r="C54" s="346"/>
      <c r="D54" s="347"/>
      <c r="E54" s="346"/>
      <c r="F54" s="348"/>
      <c r="G54" s="349"/>
      <c r="H54" s="350"/>
      <c r="I54" s="351"/>
      <c r="J54" s="1528"/>
      <c r="K54" s="1529"/>
    </row>
    <row r="55" spans="1:11" ht="15.75" thickBot="1">
      <c r="A55" s="359"/>
      <c r="B55" s="345"/>
      <c r="C55" s="346"/>
      <c r="D55" s="347"/>
      <c r="E55" s="346"/>
      <c r="F55" s="348"/>
      <c r="G55" s="349"/>
      <c r="H55" s="350"/>
      <c r="I55" s="351"/>
      <c r="J55" s="1528"/>
      <c r="K55" s="1529"/>
    </row>
    <row r="56" spans="1:11" ht="20.25" thickBot="1">
      <c r="A56" s="673"/>
      <c r="B56" s="674"/>
      <c r="C56" s="674"/>
      <c r="D56" s="674"/>
      <c r="E56" s="674"/>
      <c r="F56" s="338">
        <f>SUM(F2:F55)</f>
        <v>98255.47</v>
      </c>
      <c r="G56" s="143"/>
      <c r="H56" s="129">
        <f>SUM(H2:H55)</f>
        <v>9613.0700000000033</v>
      </c>
      <c r="I56" s="107"/>
      <c r="J56" s="739"/>
      <c r="K56" s="739"/>
    </row>
  </sheetData>
  <mergeCells count="40">
    <mergeCell ref="J47:K47"/>
    <mergeCell ref="J44:K44"/>
    <mergeCell ref="J34:K34"/>
    <mergeCell ref="J35:K35"/>
    <mergeCell ref="J40:K40"/>
    <mergeCell ref="J42:K42"/>
    <mergeCell ref="J43:K43"/>
    <mergeCell ref="J45:K45"/>
    <mergeCell ref="J46:K46"/>
    <mergeCell ref="J31:K31"/>
    <mergeCell ref="J19:K19"/>
    <mergeCell ref="J20:K20"/>
    <mergeCell ref="J22:K22"/>
    <mergeCell ref="J27:K27"/>
    <mergeCell ref="J24:K24"/>
    <mergeCell ref="J25:K25"/>
    <mergeCell ref="J28:K28"/>
    <mergeCell ref="J29:K29"/>
    <mergeCell ref="J30:K30"/>
    <mergeCell ref="J16:K16"/>
    <mergeCell ref="J17:K17"/>
    <mergeCell ref="J18:K18"/>
    <mergeCell ref="J21:K21"/>
    <mergeCell ref="J23:K23"/>
    <mergeCell ref="J33:K33"/>
    <mergeCell ref="J15:K15"/>
    <mergeCell ref="J1:K1"/>
    <mergeCell ref="J2:K2"/>
    <mergeCell ref="J3:K3"/>
    <mergeCell ref="J4:K4"/>
    <mergeCell ref="J5:K5"/>
    <mergeCell ref="J7:K7"/>
    <mergeCell ref="J8:K8"/>
    <mergeCell ref="J9:K9"/>
    <mergeCell ref="J10:K10"/>
    <mergeCell ref="J13:K13"/>
    <mergeCell ref="J14:K14"/>
    <mergeCell ref="J6:K6"/>
    <mergeCell ref="J12:K12"/>
    <mergeCell ref="J32:K3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K55"/>
  <sheetViews>
    <sheetView zoomScale="90" zoomScaleNormal="90" workbookViewId="0">
      <selection activeCell="J8" sqref="J8:K8"/>
    </sheetView>
  </sheetViews>
  <sheetFormatPr defaultRowHeight="15"/>
  <cols>
    <col min="1" max="1" width="16.42578125" bestFit="1" customWidth="1"/>
    <col min="2" max="2" width="12.5703125" bestFit="1" customWidth="1"/>
    <col min="3" max="3" width="37" customWidth="1"/>
    <col min="4" max="4" width="18.28515625" bestFit="1" customWidth="1"/>
    <col min="5" max="5" width="14.140625" bestFit="1" customWidth="1"/>
    <col min="6" max="6" width="19.7109375" bestFit="1" customWidth="1"/>
    <col min="7" max="7" width="13.42578125" bestFit="1" customWidth="1"/>
    <col min="8" max="8" width="22.5703125" bestFit="1" customWidth="1"/>
    <col min="9" max="9" width="21" bestFit="1" customWidth="1"/>
  </cols>
  <sheetData>
    <row r="1" spans="1:11" ht="15.75" thickBot="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1204" t="s">
        <v>370</v>
      </c>
      <c r="K1" s="1205"/>
    </row>
    <row r="2" spans="1:11">
      <c r="A2" s="255">
        <v>44287</v>
      </c>
      <c r="B2" s="256">
        <v>44655</v>
      </c>
      <c r="C2" s="257" t="s">
        <v>1730</v>
      </c>
      <c r="D2" s="258" t="s">
        <v>9</v>
      </c>
      <c r="E2" s="257" t="s">
        <v>143</v>
      </c>
      <c r="F2" s="321">
        <v>2062.7399999999998</v>
      </c>
      <c r="G2" s="260">
        <v>0.1</v>
      </c>
      <c r="H2" s="261">
        <v>189.77</v>
      </c>
      <c r="I2" s="582"/>
      <c r="J2" s="1202" t="s">
        <v>1426</v>
      </c>
      <c r="K2" s="1203"/>
    </row>
    <row r="3" spans="1:11">
      <c r="A3" s="379">
        <v>44298</v>
      </c>
      <c r="B3" s="567">
        <v>44664</v>
      </c>
      <c r="C3" s="363" t="s">
        <v>1735</v>
      </c>
      <c r="D3" s="382" t="s">
        <v>33</v>
      </c>
      <c r="E3" s="381" t="s">
        <v>10</v>
      </c>
      <c r="F3" s="386">
        <v>1301.3699999999999</v>
      </c>
      <c r="G3" s="383">
        <v>0.1</v>
      </c>
      <c r="H3" s="384">
        <v>119.72</v>
      </c>
      <c r="I3" s="1211"/>
      <c r="J3" s="1202" t="s">
        <v>1426</v>
      </c>
      <c r="K3" s="1203"/>
    </row>
    <row r="4" spans="1:11" s="739" customFormat="1">
      <c r="A4" s="238">
        <v>44302</v>
      </c>
      <c r="B4" s="239">
        <v>44669</v>
      </c>
      <c r="C4" s="240" t="s">
        <v>1736</v>
      </c>
      <c r="D4" s="241" t="s">
        <v>713</v>
      </c>
      <c r="E4" s="240" t="s">
        <v>10</v>
      </c>
      <c r="F4" s="323">
        <v>1101.67</v>
      </c>
      <c r="G4" s="243">
        <v>0.15</v>
      </c>
      <c r="H4" s="244">
        <v>152.03</v>
      </c>
      <c r="I4" s="245"/>
      <c r="J4" s="1017" t="s">
        <v>1426</v>
      </c>
      <c r="K4" s="1018"/>
    </row>
    <row r="5" spans="1:11" s="731" customFormat="1">
      <c r="A5" s="238">
        <v>44319</v>
      </c>
      <c r="B5" s="239">
        <v>44677</v>
      </c>
      <c r="C5" s="240" t="s">
        <v>1360</v>
      </c>
      <c r="D5" s="241" t="s">
        <v>9</v>
      </c>
      <c r="E5" s="240" t="s">
        <v>22</v>
      </c>
      <c r="F5" s="242">
        <v>1541.86</v>
      </c>
      <c r="G5" s="243">
        <v>0.1</v>
      </c>
      <c r="H5" s="1209">
        <v>141.85</v>
      </c>
      <c r="I5" s="245"/>
      <c r="J5" s="1017" t="s">
        <v>1575</v>
      </c>
      <c r="K5" s="1018"/>
    </row>
    <row r="6" spans="1:11">
      <c r="A6" s="805">
        <v>44306</v>
      </c>
      <c r="B6" s="805">
        <v>45036</v>
      </c>
      <c r="C6" s="775" t="s">
        <v>447</v>
      </c>
      <c r="D6" s="806" t="s">
        <v>1737</v>
      </c>
      <c r="E6" s="775" t="s">
        <v>22</v>
      </c>
      <c r="F6" s="807">
        <v>1789</v>
      </c>
      <c r="G6" s="808"/>
      <c r="H6" s="809">
        <v>1300</v>
      </c>
      <c r="I6" s="810"/>
      <c r="J6" s="1196" t="s">
        <v>1738</v>
      </c>
      <c r="K6" s="1197"/>
    </row>
    <row r="7" spans="1:11" s="739" customFormat="1">
      <c r="A7" s="359">
        <v>44302</v>
      </c>
      <c r="B7" s="345">
        <v>44675</v>
      </c>
      <c r="C7" s="458" t="s">
        <v>1359</v>
      </c>
      <c r="D7" s="347" t="s">
        <v>198</v>
      </c>
      <c r="E7" s="346" t="s">
        <v>10</v>
      </c>
      <c r="F7" s="348">
        <v>1940.29</v>
      </c>
      <c r="G7" s="349">
        <v>0.1</v>
      </c>
      <c r="H7" s="350">
        <v>178.5</v>
      </c>
      <c r="I7" s="351">
        <v>6</v>
      </c>
      <c r="J7" s="1019" t="s">
        <v>1739</v>
      </c>
      <c r="K7" s="1020"/>
    </row>
    <row r="8" spans="1:11" s="739" customFormat="1">
      <c r="A8" s="359">
        <v>44302</v>
      </c>
      <c r="B8" s="313">
        <v>44673</v>
      </c>
      <c r="C8" s="345" t="s">
        <v>1355</v>
      </c>
      <c r="D8" s="347" t="s">
        <v>198</v>
      </c>
      <c r="E8" s="346" t="s">
        <v>10</v>
      </c>
      <c r="F8" s="348">
        <v>1008.03</v>
      </c>
      <c r="G8" s="349">
        <v>0.1</v>
      </c>
      <c r="H8" s="350">
        <v>92.73</v>
      </c>
      <c r="I8" s="351">
        <v>6</v>
      </c>
      <c r="J8" s="1019" t="s">
        <v>1739</v>
      </c>
      <c r="K8" s="1020"/>
    </row>
    <row r="9" spans="1:11">
      <c r="A9" s="359">
        <v>44313</v>
      </c>
      <c r="B9" s="345">
        <v>44674</v>
      </c>
      <c r="C9" s="346" t="s">
        <v>1740</v>
      </c>
      <c r="D9" s="347" t="s">
        <v>14</v>
      </c>
      <c r="E9" s="346" t="s">
        <v>10</v>
      </c>
      <c r="F9" s="348">
        <v>1734.79</v>
      </c>
      <c r="G9" s="349">
        <v>0.2</v>
      </c>
      <c r="H9" s="350">
        <v>319.2</v>
      </c>
      <c r="I9" s="351">
        <v>159.6</v>
      </c>
      <c r="J9" s="1019" t="s">
        <v>1741</v>
      </c>
      <c r="K9" s="1020"/>
    </row>
    <row r="10" spans="1:11" s="739" customFormat="1">
      <c r="A10" s="359">
        <v>44319</v>
      </c>
      <c r="B10" s="345">
        <v>44681</v>
      </c>
      <c r="C10" s="346" t="s">
        <v>1742</v>
      </c>
      <c r="D10" s="347" t="s">
        <v>448</v>
      </c>
      <c r="E10" s="346" t="s">
        <v>10</v>
      </c>
      <c r="F10" s="348">
        <v>1477.21</v>
      </c>
      <c r="G10" s="349">
        <v>0.15</v>
      </c>
      <c r="H10" s="350">
        <v>203.85</v>
      </c>
      <c r="I10" s="463">
        <v>101.92</v>
      </c>
      <c r="J10" s="1019" t="s">
        <v>1741</v>
      </c>
      <c r="K10" s="1020"/>
    </row>
    <row r="11" spans="1:11">
      <c r="A11" s="287">
        <v>44295</v>
      </c>
      <c r="B11" s="288">
        <v>44660</v>
      </c>
      <c r="C11" s="346" t="s">
        <v>1338</v>
      </c>
      <c r="D11" s="289" t="s">
        <v>448</v>
      </c>
      <c r="E11" s="290" t="s">
        <v>19</v>
      </c>
      <c r="F11" s="337">
        <v>1899.45</v>
      </c>
      <c r="G11" s="292">
        <v>0.1</v>
      </c>
      <c r="H11" s="293">
        <v>174.74</v>
      </c>
      <c r="I11" s="580">
        <v>87.37</v>
      </c>
      <c r="J11" s="1194" t="s">
        <v>1743</v>
      </c>
      <c r="K11" s="1195"/>
    </row>
    <row r="12" spans="1:11" s="739" customFormat="1">
      <c r="A12" s="572">
        <v>44306</v>
      </c>
      <c r="B12" s="573">
        <v>44671</v>
      </c>
      <c r="C12" s="776" t="s">
        <v>1744</v>
      </c>
      <c r="D12" s="575" t="s">
        <v>9</v>
      </c>
      <c r="E12" s="574" t="s">
        <v>90</v>
      </c>
      <c r="F12" s="576">
        <v>1420.13</v>
      </c>
      <c r="G12" s="577">
        <v>0.1</v>
      </c>
      <c r="H12" s="578">
        <v>130.65</v>
      </c>
      <c r="I12" s="748">
        <v>65.319999999999993</v>
      </c>
      <c r="J12" s="1200" t="s">
        <v>491</v>
      </c>
      <c r="K12" s="1201"/>
    </row>
    <row r="13" spans="1:11" s="731" customFormat="1">
      <c r="A13" s="572">
        <v>44299</v>
      </c>
      <c r="B13" s="573">
        <v>44664</v>
      </c>
      <c r="C13" s="1207" t="s">
        <v>1745</v>
      </c>
      <c r="D13" s="575" t="s">
        <v>9</v>
      </c>
      <c r="E13" s="574" t="s">
        <v>29</v>
      </c>
      <c r="F13" s="576">
        <v>2753.74</v>
      </c>
      <c r="G13" s="577">
        <v>0.1</v>
      </c>
      <c r="H13" s="578">
        <v>253.34</v>
      </c>
      <c r="I13" s="748">
        <v>126.67</v>
      </c>
      <c r="J13" s="1200" t="s">
        <v>1374</v>
      </c>
      <c r="K13" s="1201"/>
    </row>
    <row r="14" spans="1:11" s="747" customFormat="1">
      <c r="A14" s="572">
        <v>44305</v>
      </c>
      <c r="B14" s="573">
        <v>44670</v>
      </c>
      <c r="C14" s="574" t="s">
        <v>1746</v>
      </c>
      <c r="D14" s="575" t="s">
        <v>9</v>
      </c>
      <c r="E14" s="574" t="s">
        <v>279</v>
      </c>
      <c r="F14" s="576">
        <v>1134.97</v>
      </c>
      <c r="G14" s="577">
        <v>0.1</v>
      </c>
      <c r="H14" s="578">
        <v>104.41</v>
      </c>
      <c r="I14" s="748">
        <v>52.2</v>
      </c>
      <c r="J14" s="1200" t="s">
        <v>1374</v>
      </c>
      <c r="K14" s="1201"/>
    </row>
    <row r="15" spans="1:11">
      <c r="A15" s="599">
        <v>44312</v>
      </c>
      <c r="B15" s="600">
        <v>44676</v>
      </c>
      <c r="C15" s="601" t="s">
        <v>1747</v>
      </c>
      <c r="D15" s="602" t="s">
        <v>25</v>
      </c>
      <c r="E15" s="601" t="s">
        <v>10</v>
      </c>
      <c r="F15" s="603">
        <v>964.18</v>
      </c>
      <c r="G15" s="604">
        <v>0.13</v>
      </c>
      <c r="H15" s="605">
        <v>115.31</v>
      </c>
      <c r="I15" s="606">
        <v>57.65</v>
      </c>
      <c r="J15" s="1198" t="s">
        <v>1374</v>
      </c>
      <c r="K15" s="1199"/>
    </row>
    <row r="16" spans="1:11">
      <c r="A16" s="359">
        <v>44293</v>
      </c>
      <c r="B16" s="345">
        <v>44658</v>
      </c>
      <c r="C16" s="346" t="s">
        <v>1334</v>
      </c>
      <c r="D16" s="347" t="s">
        <v>9</v>
      </c>
      <c r="E16" s="346" t="s">
        <v>90</v>
      </c>
      <c r="F16" s="348">
        <v>1852.16</v>
      </c>
      <c r="G16" s="349">
        <v>0.1</v>
      </c>
      <c r="H16" s="350">
        <v>170.39</v>
      </c>
      <c r="I16" s="351">
        <v>85.19</v>
      </c>
      <c r="J16" s="1019" t="s">
        <v>1482</v>
      </c>
      <c r="K16" s="1020"/>
    </row>
    <row r="17" spans="1:11" s="739" customFormat="1">
      <c r="A17" s="359">
        <v>44280</v>
      </c>
      <c r="B17" s="345">
        <v>44654</v>
      </c>
      <c r="C17" s="458" t="s">
        <v>1232</v>
      </c>
      <c r="D17" s="347" t="s">
        <v>14</v>
      </c>
      <c r="E17" s="346" t="s">
        <v>19</v>
      </c>
      <c r="F17" s="348">
        <v>1111.43</v>
      </c>
      <c r="G17" s="349">
        <v>0.15</v>
      </c>
      <c r="H17" s="350">
        <v>153.37</v>
      </c>
      <c r="I17" s="351"/>
      <c r="J17" s="1019"/>
      <c r="K17" s="1020"/>
    </row>
    <row r="18" spans="1:11">
      <c r="A18" s="287">
        <v>44284</v>
      </c>
      <c r="B18" s="288">
        <v>44652</v>
      </c>
      <c r="C18" s="493" t="s">
        <v>1329</v>
      </c>
      <c r="D18" s="289" t="s">
        <v>25</v>
      </c>
      <c r="E18" s="290" t="s">
        <v>10</v>
      </c>
      <c r="F18" s="337">
        <v>599.79</v>
      </c>
      <c r="G18" s="292">
        <v>0.1</v>
      </c>
      <c r="H18" s="293">
        <v>55.18</v>
      </c>
      <c r="I18" s="294"/>
      <c r="J18" s="1194"/>
      <c r="K18" s="1195"/>
    </row>
    <row r="19" spans="1:11" s="731" customFormat="1">
      <c r="A19" s="287">
        <v>44287</v>
      </c>
      <c r="B19" s="288">
        <v>44654</v>
      </c>
      <c r="C19" s="290" t="s">
        <v>1748</v>
      </c>
      <c r="D19" s="289" t="s">
        <v>9</v>
      </c>
      <c r="E19" s="290" t="s">
        <v>279</v>
      </c>
      <c r="F19" s="337">
        <v>653.54999999999995</v>
      </c>
      <c r="G19" s="292">
        <v>0.2</v>
      </c>
      <c r="H19" s="293">
        <v>120.25</v>
      </c>
      <c r="I19" s="294"/>
      <c r="J19" s="1194"/>
      <c r="K19" s="1195"/>
    </row>
    <row r="20" spans="1:11" s="739" customFormat="1">
      <c r="A20" s="287">
        <v>44292</v>
      </c>
      <c r="B20" s="484">
        <v>44656</v>
      </c>
      <c r="C20" s="290" t="s">
        <v>1497</v>
      </c>
      <c r="D20" s="289" t="s">
        <v>9</v>
      </c>
      <c r="E20" s="290" t="s">
        <v>10</v>
      </c>
      <c r="F20" s="337">
        <v>1557.55</v>
      </c>
      <c r="G20" s="292">
        <v>0.25</v>
      </c>
      <c r="H20" s="293">
        <v>358.23</v>
      </c>
      <c r="I20" s="294"/>
      <c r="J20" s="1194"/>
      <c r="K20" s="1195"/>
    </row>
    <row r="21" spans="1:11">
      <c r="A21" s="359">
        <v>44295</v>
      </c>
      <c r="B21" s="912">
        <v>44660</v>
      </c>
      <c r="C21" s="346" t="s">
        <v>1749</v>
      </c>
      <c r="D21" s="347" t="s">
        <v>448</v>
      </c>
      <c r="E21" s="346" t="s">
        <v>22</v>
      </c>
      <c r="F21" s="348">
        <v>3862.66</v>
      </c>
      <c r="G21" s="349">
        <v>0.1</v>
      </c>
      <c r="H21" s="350">
        <v>355.36</v>
      </c>
      <c r="I21" s="351"/>
      <c r="J21" s="1019"/>
      <c r="K21" s="1020"/>
    </row>
    <row r="22" spans="1:11" s="739" customFormat="1">
      <c r="A22" s="287">
        <v>44298</v>
      </c>
      <c r="B22" s="288">
        <v>44663</v>
      </c>
      <c r="C22" s="290" t="s">
        <v>696</v>
      </c>
      <c r="D22" s="289" t="s">
        <v>14</v>
      </c>
      <c r="E22" s="290" t="s">
        <v>19</v>
      </c>
      <c r="F22" s="337">
        <v>1232.27</v>
      </c>
      <c r="G22" s="292">
        <v>0.15</v>
      </c>
      <c r="H22" s="293">
        <v>176.84</v>
      </c>
      <c r="I22" s="580"/>
      <c r="J22" s="1019"/>
      <c r="K22" s="1020"/>
    </row>
    <row r="23" spans="1:11">
      <c r="A23" s="287">
        <v>44295</v>
      </c>
      <c r="B23" s="288">
        <v>44661</v>
      </c>
      <c r="C23" s="290" t="s">
        <v>695</v>
      </c>
      <c r="D23" s="289" t="s">
        <v>9</v>
      </c>
      <c r="E23" s="290" t="s">
        <v>10</v>
      </c>
      <c r="F23" s="337">
        <v>1515.79</v>
      </c>
      <c r="G23" s="292">
        <v>0.25</v>
      </c>
      <c r="H23" s="293">
        <v>348.63</v>
      </c>
      <c r="I23" s="294"/>
      <c r="J23" s="1532"/>
      <c r="K23" s="1533"/>
    </row>
    <row r="24" spans="1:11">
      <c r="A24" s="287">
        <v>44299</v>
      </c>
      <c r="B24" s="288">
        <v>44670</v>
      </c>
      <c r="C24" s="290" t="s">
        <v>409</v>
      </c>
      <c r="D24" s="289" t="s">
        <v>61</v>
      </c>
      <c r="E24" s="290" t="s">
        <v>19</v>
      </c>
      <c r="F24" s="337">
        <v>2493.61</v>
      </c>
      <c r="G24" s="292">
        <v>0.1</v>
      </c>
      <c r="H24" s="293">
        <v>229.41</v>
      </c>
      <c r="I24" s="294"/>
      <c r="J24" s="1194"/>
      <c r="K24" s="1195"/>
    </row>
    <row r="25" spans="1:11" s="747" customFormat="1">
      <c r="A25" s="484">
        <v>44299</v>
      </c>
      <c r="B25" s="484">
        <v>44665</v>
      </c>
      <c r="C25" s="436" t="s">
        <v>1750</v>
      </c>
      <c r="D25" s="1547" t="s">
        <v>198</v>
      </c>
      <c r="E25" s="436" t="s">
        <v>22</v>
      </c>
      <c r="F25" s="485">
        <v>892.24</v>
      </c>
      <c r="G25" s="486">
        <v>0.1</v>
      </c>
      <c r="H25" s="635">
        <v>82.08</v>
      </c>
      <c r="I25" s="489"/>
      <c r="J25" s="1194"/>
      <c r="K25" s="1195"/>
    </row>
    <row r="26" spans="1:11">
      <c r="A26" s="847">
        <v>44299</v>
      </c>
      <c r="B26" s="1206">
        <v>44667</v>
      </c>
      <c r="C26" s="550" t="s">
        <v>1751</v>
      </c>
      <c r="D26" s="849" t="s">
        <v>25</v>
      </c>
      <c r="E26" s="550" t="s">
        <v>1161</v>
      </c>
      <c r="F26" s="850">
        <v>475.39</v>
      </c>
      <c r="G26" s="851">
        <v>0.25</v>
      </c>
      <c r="H26" s="852">
        <v>109.33</v>
      </c>
      <c r="I26" s="1212"/>
      <c r="J26" s="1019"/>
      <c r="K26" s="1020"/>
    </row>
    <row r="27" spans="1:11" s="739" customFormat="1">
      <c r="A27" s="359">
        <v>44300</v>
      </c>
      <c r="B27" s="345">
        <v>44665</v>
      </c>
      <c r="C27" s="501" t="s">
        <v>531</v>
      </c>
      <c r="D27" s="347" t="s">
        <v>448</v>
      </c>
      <c r="E27" s="346" t="s">
        <v>45</v>
      </c>
      <c r="F27" s="348">
        <v>2253.87</v>
      </c>
      <c r="G27" s="349">
        <v>0.1</v>
      </c>
      <c r="H27" s="350">
        <v>207.35</v>
      </c>
      <c r="I27" s="351"/>
      <c r="J27" s="1019"/>
      <c r="K27" s="1020"/>
    </row>
    <row r="28" spans="1:11">
      <c r="A28" s="359">
        <v>44305</v>
      </c>
      <c r="B28" s="345">
        <v>44676</v>
      </c>
      <c r="C28" s="346" t="s">
        <v>1356</v>
      </c>
      <c r="D28" s="347" t="s">
        <v>25</v>
      </c>
      <c r="E28" s="346" t="s">
        <v>10</v>
      </c>
      <c r="F28" s="348">
        <v>772.18</v>
      </c>
      <c r="G28" s="349">
        <v>0.1</v>
      </c>
      <c r="H28" s="350">
        <v>71.040000000000006</v>
      </c>
      <c r="I28" s="351"/>
      <c r="J28" s="1019"/>
      <c r="K28" s="1020"/>
    </row>
    <row r="29" spans="1:11">
      <c r="A29" s="359">
        <v>44305</v>
      </c>
      <c r="B29" s="345">
        <v>44675</v>
      </c>
      <c r="C29" s="346" t="s">
        <v>1352</v>
      </c>
      <c r="D29" s="347" t="s">
        <v>70</v>
      </c>
      <c r="E29" s="346" t="s">
        <v>19</v>
      </c>
      <c r="F29" s="348">
        <v>1446.29</v>
      </c>
      <c r="G29" s="349">
        <v>0.15</v>
      </c>
      <c r="H29" s="350">
        <v>199.58</v>
      </c>
      <c r="I29" s="351"/>
      <c r="J29" s="1019"/>
      <c r="K29" s="1020"/>
    </row>
    <row r="30" spans="1:11">
      <c r="A30" s="359">
        <v>44306</v>
      </c>
      <c r="B30" s="345">
        <v>44671</v>
      </c>
      <c r="C30" s="458" t="s">
        <v>521</v>
      </c>
      <c r="D30" s="347" t="s">
        <v>61</v>
      </c>
      <c r="E30" s="346" t="s">
        <v>10</v>
      </c>
      <c r="F30" s="348">
        <v>1228.95</v>
      </c>
      <c r="G30" s="349">
        <v>0.1</v>
      </c>
      <c r="H30" s="350">
        <v>113.06</v>
      </c>
      <c r="I30" s="351"/>
      <c r="J30" s="1019"/>
      <c r="K30" s="1020"/>
    </row>
    <row r="31" spans="1:11" s="747" customFormat="1">
      <c r="A31" s="287">
        <v>44306</v>
      </c>
      <c r="B31" s="288">
        <v>44673</v>
      </c>
      <c r="C31" s="899" t="s">
        <v>1752</v>
      </c>
      <c r="D31" s="289" t="s">
        <v>198</v>
      </c>
      <c r="E31" s="290" t="s">
        <v>22</v>
      </c>
      <c r="F31" s="337">
        <v>1950.4</v>
      </c>
      <c r="G31" s="292">
        <v>0.1</v>
      </c>
      <c r="H31" s="293">
        <v>179.43</v>
      </c>
      <c r="I31" s="294"/>
      <c r="J31" s="1532"/>
      <c r="K31" s="1533"/>
    </row>
    <row r="32" spans="1:11">
      <c r="A32" s="359">
        <v>44306</v>
      </c>
      <c r="B32" s="345">
        <v>44681</v>
      </c>
      <c r="C32" s="346" t="s">
        <v>697</v>
      </c>
      <c r="D32" s="347" t="s">
        <v>448</v>
      </c>
      <c r="E32" s="346" t="s">
        <v>22</v>
      </c>
      <c r="F32" s="348">
        <v>1507.77</v>
      </c>
      <c r="G32" s="349">
        <v>0.1</v>
      </c>
      <c r="H32" s="502">
        <v>138.71</v>
      </c>
      <c r="I32" s="351"/>
      <c r="J32" s="1019"/>
      <c r="K32" s="1020"/>
    </row>
    <row r="33" spans="1:11">
      <c r="A33" s="459">
        <v>44306</v>
      </c>
      <c r="B33" s="459">
        <v>44671</v>
      </c>
      <c r="C33" s="458" t="s">
        <v>1196</v>
      </c>
      <c r="D33" s="1546" t="s">
        <v>9</v>
      </c>
      <c r="E33" s="458" t="s">
        <v>15</v>
      </c>
      <c r="F33" s="460">
        <v>4347.75</v>
      </c>
      <c r="G33" s="461">
        <v>0.2</v>
      </c>
      <c r="H33" s="462">
        <v>799.98</v>
      </c>
      <c r="I33" s="482"/>
      <c r="J33" s="1019"/>
      <c r="K33" s="1020"/>
    </row>
    <row r="34" spans="1:11" s="739" customFormat="1">
      <c r="A34" s="459">
        <v>44309</v>
      </c>
      <c r="B34" s="459">
        <v>44309</v>
      </c>
      <c r="C34" s="458" t="s">
        <v>1753</v>
      </c>
      <c r="D34" s="1546" t="s">
        <v>9</v>
      </c>
      <c r="E34" s="458" t="s">
        <v>143</v>
      </c>
      <c r="F34" s="460">
        <v>3864.65</v>
      </c>
      <c r="G34" s="461">
        <v>0.1</v>
      </c>
      <c r="H34" s="462">
        <v>355.54</v>
      </c>
      <c r="I34" s="802"/>
      <c r="J34" s="1019"/>
      <c r="K34" s="1020"/>
    </row>
    <row r="35" spans="1:11" s="731" customFormat="1">
      <c r="A35" s="503">
        <v>44314</v>
      </c>
      <c r="B35" s="503">
        <v>44679</v>
      </c>
      <c r="C35" s="458" t="s">
        <v>1353</v>
      </c>
      <c r="D35" s="504" t="s">
        <v>14</v>
      </c>
      <c r="E35" s="505" t="s">
        <v>10</v>
      </c>
      <c r="F35" s="506">
        <v>1351.64</v>
      </c>
      <c r="G35" s="507">
        <v>0.15</v>
      </c>
      <c r="H35" s="506">
        <v>186.52</v>
      </c>
      <c r="I35" s="482"/>
      <c r="J35" s="1019"/>
      <c r="K35" s="1020"/>
    </row>
    <row r="36" spans="1:11">
      <c r="A36" s="359">
        <v>44316</v>
      </c>
      <c r="B36" s="345">
        <v>44681</v>
      </c>
      <c r="C36" s="346" t="s">
        <v>1754</v>
      </c>
      <c r="D36" s="347" t="s">
        <v>14</v>
      </c>
      <c r="E36" s="346" t="s">
        <v>22</v>
      </c>
      <c r="F36" s="1208">
        <v>995.29</v>
      </c>
      <c r="G36" s="349">
        <v>0.25</v>
      </c>
      <c r="H36" s="1210">
        <v>228.91</v>
      </c>
      <c r="I36" s="351"/>
      <c r="J36" s="1019"/>
      <c r="K36" s="1020"/>
    </row>
    <row r="37" spans="1:11">
      <c r="A37" s="359"/>
      <c r="B37" s="345"/>
      <c r="C37" s="346"/>
      <c r="D37" s="347"/>
      <c r="E37" s="346"/>
      <c r="F37" s="348"/>
      <c r="G37" s="349"/>
      <c r="H37" s="350"/>
      <c r="I37" s="351"/>
      <c r="J37" s="1528"/>
      <c r="K37" s="1529"/>
    </row>
    <row r="38" spans="1:11">
      <c r="A38" s="359"/>
      <c r="B38" s="345"/>
      <c r="C38" s="346"/>
      <c r="D38" s="347"/>
      <c r="E38" s="346"/>
      <c r="F38" s="348"/>
      <c r="G38" s="349"/>
      <c r="H38" s="350"/>
      <c r="I38" s="351"/>
      <c r="J38" s="1528"/>
      <c r="K38" s="1529"/>
    </row>
    <row r="39" spans="1:11">
      <c r="A39" s="238"/>
      <c r="B39" s="239"/>
      <c r="C39" s="240"/>
      <c r="D39" s="241"/>
      <c r="E39" s="240"/>
      <c r="F39" s="323"/>
      <c r="G39" s="243"/>
      <c r="H39" s="244"/>
      <c r="I39" s="245"/>
      <c r="J39" s="1017"/>
      <c r="K39" s="1018"/>
    </row>
    <row r="40" spans="1:11">
      <c r="A40" s="359"/>
      <c r="B40" s="345"/>
      <c r="C40" s="346"/>
      <c r="D40" s="347"/>
      <c r="E40" s="346"/>
      <c r="F40" s="348"/>
      <c r="G40" s="349"/>
      <c r="H40" s="350"/>
      <c r="I40" s="351"/>
      <c r="J40" s="1528"/>
      <c r="K40" s="1529"/>
    </row>
    <row r="41" spans="1:11">
      <c r="A41" s="287"/>
      <c r="B41" s="288"/>
      <c r="C41" s="290"/>
      <c r="D41" s="289"/>
      <c r="E41" s="290"/>
      <c r="F41" s="337"/>
      <c r="G41" s="292"/>
      <c r="H41" s="293"/>
      <c r="I41" s="294"/>
      <c r="J41" s="1194"/>
      <c r="K41" s="1195"/>
    </row>
    <row r="42" spans="1:11">
      <c r="A42" s="287"/>
      <c r="B42" s="288"/>
      <c r="C42" s="290"/>
      <c r="D42" s="289"/>
      <c r="E42" s="290"/>
      <c r="F42" s="337"/>
      <c r="G42" s="292"/>
      <c r="H42" s="293"/>
      <c r="I42" s="294"/>
      <c r="J42" s="1194"/>
      <c r="K42" s="1195"/>
    </row>
    <row r="43" spans="1:11">
      <c r="A43" s="359"/>
      <c r="B43" s="345"/>
      <c r="C43" s="346"/>
      <c r="D43" s="347"/>
      <c r="E43" s="346"/>
      <c r="F43" s="348"/>
      <c r="G43" s="349"/>
      <c r="H43" s="350"/>
      <c r="I43" s="351"/>
      <c r="J43" s="1528"/>
      <c r="K43" s="1529"/>
    </row>
    <row r="44" spans="1:11">
      <c r="A44" s="359"/>
      <c r="B44" s="345"/>
      <c r="C44" s="346"/>
      <c r="D44" s="347"/>
      <c r="E44" s="346"/>
      <c r="F44" s="348"/>
      <c r="G44" s="349"/>
      <c r="H44" s="350"/>
      <c r="I44" s="351"/>
      <c r="J44" s="1528"/>
      <c r="K44" s="1529"/>
    </row>
    <row r="45" spans="1:11">
      <c r="A45" s="359"/>
      <c r="B45" s="345"/>
      <c r="C45" s="346"/>
      <c r="D45" s="347"/>
      <c r="E45" s="346"/>
      <c r="F45" s="348"/>
      <c r="G45" s="349"/>
      <c r="H45" s="350"/>
      <c r="I45" s="351"/>
      <c r="J45" s="1528"/>
      <c r="K45" s="1529"/>
    </row>
    <row r="46" spans="1:11">
      <c r="A46" s="359"/>
      <c r="B46" s="345"/>
      <c r="C46" s="346"/>
      <c r="D46" s="347"/>
      <c r="E46" s="346"/>
      <c r="F46" s="348"/>
      <c r="G46" s="349"/>
      <c r="H46" s="350"/>
      <c r="I46" s="351"/>
      <c r="J46" s="1528"/>
      <c r="K46" s="1529"/>
    </row>
    <row r="47" spans="1:11">
      <c r="A47" s="359"/>
      <c r="B47" s="345"/>
      <c r="C47" s="346"/>
      <c r="D47" s="347"/>
      <c r="E47" s="346"/>
      <c r="F47" s="348"/>
      <c r="G47" s="349"/>
      <c r="H47" s="350"/>
      <c r="I47" s="351"/>
      <c r="J47" s="1528"/>
      <c r="K47" s="1529"/>
    </row>
    <row r="48" spans="1:11">
      <c r="A48" s="359"/>
      <c r="B48" s="345"/>
      <c r="C48" s="346"/>
      <c r="D48" s="347"/>
      <c r="E48" s="346"/>
      <c r="F48" s="348"/>
      <c r="G48" s="349"/>
      <c r="H48" s="350"/>
      <c r="I48" s="351"/>
      <c r="J48" s="1528"/>
      <c r="K48" s="1529"/>
    </row>
    <row r="49" spans="1:11">
      <c r="A49" s="359"/>
      <c r="B49" s="345"/>
      <c r="C49" s="346"/>
      <c r="D49" s="347"/>
      <c r="E49" s="346"/>
      <c r="F49" s="348"/>
      <c r="G49" s="349"/>
      <c r="H49" s="350"/>
      <c r="I49" s="351"/>
      <c r="J49" s="1528"/>
      <c r="K49" s="1529"/>
    </row>
    <row r="50" spans="1:11">
      <c r="A50" s="359"/>
      <c r="B50" s="345"/>
      <c r="C50" s="346"/>
      <c r="D50" s="347"/>
      <c r="E50" s="346"/>
      <c r="F50" s="348"/>
      <c r="G50" s="349"/>
      <c r="H50" s="350"/>
      <c r="I50" s="351"/>
      <c r="J50" s="1528"/>
      <c r="K50" s="1529"/>
    </row>
    <row r="51" spans="1:11">
      <c r="A51" s="359"/>
      <c r="B51" s="345"/>
      <c r="C51" s="346"/>
      <c r="D51" s="347"/>
      <c r="E51" s="346"/>
      <c r="F51" s="348"/>
      <c r="G51" s="349"/>
      <c r="H51" s="350"/>
      <c r="I51" s="351"/>
      <c r="J51" s="1528"/>
      <c r="K51" s="1529"/>
    </row>
    <row r="52" spans="1:11">
      <c r="A52" s="359"/>
      <c r="B52" s="345"/>
      <c r="C52" s="346"/>
      <c r="D52" s="347"/>
      <c r="E52" s="346"/>
      <c r="F52" s="348"/>
      <c r="G52" s="349"/>
      <c r="H52" s="350"/>
      <c r="I52" s="351"/>
      <c r="J52" s="1528"/>
      <c r="K52" s="1529"/>
    </row>
    <row r="53" spans="1:11">
      <c r="A53" s="359"/>
      <c r="B53" s="345"/>
      <c r="C53" s="346"/>
      <c r="D53" s="347"/>
      <c r="E53" s="346"/>
      <c r="F53" s="348"/>
      <c r="G53" s="349"/>
      <c r="H53" s="350"/>
      <c r="I53" s="351"/>
      <c r="J53" s="1528"/>
      <c r="K53" s="1529"/>
    </row>
    <row r="54" spans="1:11" ht="15.75" thickBot="1">
      <c r="A54" s="359"/>
      <c r="B54" s="345"/>
      <c r="C54" s="346"/>
      <c r="D54" s="347"/>
      <c r="E54" s="346"/>
      <c r="F54" s="348"/>
      <c r="G54" s="349"/>
      <c r="H54" s="350"/>
      <c r="I54" s="351"/>
      <c r="J54" s="1528"/>
      <c r="K54" s="1529"/>
    </row>
    <row r="55" spans="1:11" ht="20.25" thickBot="1">
      <c r="A55" s="673"/>
      <c r="B55" s="674"/>
      <c r="C55" s="674"/>
      <c r="D55" s="674"/>
      <c r="E55" s="674"/>
      <c r="F55" s="338">
        <f>SUM(F2:F54)</f>
        <v>58094.659999999996</v>
      </c>
      <c r="G55" s="143"/>
      <c r="H55" s="129">
        <f>SUM(H2:H54)</f>
        <v>8115.29</v>
      </c>
      <c r="I55" s="107">
        <f>SUM(I2:I54)</f>
        <v>747.92000000000007</v>
      </c>
      <c r="J55" s="739"/>
      <c r="K55" s="739"/>
    </row>
  </sheetData>
  <autoFilter ref="A1:K1" xr:uid="{00000000-0001-0000-5300-000000000000}">
    <filterColumn colId="9" showButton="0"/>
    <sortState xmlns:xlrd2="http://schemas.microsoft.com/office/spreadsheetml/2017/richdata2" ref="A2:K36">
      <sortCondition ref="J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K58"/>
  <sheetViews>
    <sheetView zoomScale="85" zoomScaleNormal="85" workbookViewId="0">
      <selection activeCell="M6" sqref="M6"/>
    </sheetView>
  </sheetViews>
  <sheetFormatPr defaultRowHeight="15"/>
  <cols>
    <col min="1" max="1" width="16.42578125" bestFit="1" customWidth="1"/>
    <col min="2" max="2" width="13.5703125" bestFit="1" customWidth="1"/>
    <col min="3" max="3" width="41.85546875" bestFit="1" customWidth="1"/>
    <col min="4" max="4" width="18.28515625" bestFit="1" customWidth="1"/>
    <col min="5" max="5" width="14.140625" bestFit="1" customWidth="1"/>
    <col min="6" max="6" width="18.42578125" bestFit="1" customWidth="1"/>
    <col min="7" max="7" width="13.42578125" bestFit="1" customWidth="1"/>
    <col min="8" max="8" width="22.5703125" bestFit="1" customWidth="1"/>
    <col min="9" max="9" width="21" style="68" bestFit="1" customWidth="1"/>
  </cols>
  <sheetData>
    <row r="1" spans="1:11" ht="15.75" thickBot="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01" t="s">
        <v>307</v>
      </c>
      <c r="J1" s="1204" t="s">
        <v>370</v>
      </c>
      <c r="K1" s="1205"/>
    </row>
    <row r="2" spans="1:11">
      <c r="A2" s="238">
        <v>44323</v>
      </c>
      <c r="B2" s="791" t="s">
        <v>1707</v>
      </c>
      <c r="C2" s="240" t="s">
        <v>1557</v>
      </c>
      <c r="D2" s="241" t="s">
        <v>14</v>
      </c>
      <c r="E2" s="240" t="s">
        <v>438</v>
      </c>
      <c r="F2" s="323">
        <v>900.86</v>
      </c>
      <c r="G2" s="243">
        <v>0.1</v>
      </c>
      <c r="H2" s="244">
        <v>82.87</v>
      </c>
      <c r="I2" s="586"/>
      <c r="J2" s="1017" t="s">
        <v>1558</v>
      </c>
      <c r="K2" s="1018"/>
    </row>
    <row r="3" spans="1:11">
      <c r="A3" s="1213">
        <v>44329</v>
      </c>
      <c r="B3" s="427">
        <v>44703</v>
      </c>
      <c r="C3" s="363" t="s">
        <v>1730</v>
      </c>
      <c r="D3" s="428" t="s">
        <v>9</v>
      </c>
      <c r="E3" s="363" t="s">
        <v>15</v>
      </c>
      <c r="F3" s="429">
        <v>3065.5</v>
      </c>
      <c r="G3" s="430">
        <v>0.1</v>
      </c>
      <c r="H3" s="1218">
        <v>282.02</v>
      </c>
      <c r="I3" s="1220"/>
      <c r="J3" s="1017" t="s">
        <v>1558</v>
      </c>
      <c r="K3" s="1018"/>
    </row>
    <row r="4" spans="1:11">
      <c r="A4" s="238">
        <v>44333</v>
      </c>
      <c r="B4" s="239">
        <v>44698</v>
      </c>
      <c r="C4" s="240" t="s">
        <v>1755</v>
      </c>
      <c r="D4" s="241" t="s">
        <v>61</v>
      </c>
      <c r="E4" s="240" t="s">
        <v>10</v>
      </c>
      <c r="F4" s="323">
        <v>1662.18</v>
      </c>
      <c r="G4" s="243">
        <v>0.1</v>
      </c>
      <c r="H4" s="244">
        <v>152.91999999999999</v>
      </c>
      <c r="I4" s="586"/>
      <c r="J4" s="1017" t="s">
        <v>1558</v>
      </c>
      <c r="K4" s="1018"/>
    </row>
    <row r="5" spans="1:11">
      <c r="A5" s="238">
        <v>44340</v>
      </c>
      <c r="B5" s="239">
        <v>44705</v>
      </c>
      <c r="C5" s="240" t="s">
        <v>1756</v>
      </c>
      <c r="D5" s="241" t="s">
        <v>61</v>
      </c>
      <c r="E5" s="240" t="s">
        <v>10</v>
      </c>
      <c r="F5" s="323">
        <v>1193.8</v>
      </c>
      <c r="G5" s="243">
        <v>0.2</v>
      </c>
      <c r="H5" s="244">
        <v>219.65</v>
      </c>
      <c r="I5" s="586" t="s">
        <v>1757</v>
      </c>
      <c r="J5" s="1017" t="s">
        <v>1558</v>
      </c>
      <c r="K5" s="1018"/>
    </row>
    <row r="6" spans="1:11">
      <c r="A6" s="459">
        <v>44327</v>
      </c>
      <c r="B6" s="459">
        <v>44693</v>
      </c>
      <c r="C6" s="458" t="s">
        <v>1376</v>
      </c>
      <c r="D6" s="1546" t="s">
        <v>448</v>
      </c>
      <c r="E6" s="458" t="s">
        <v>1151</v>
      </c>
      <c r="F6" s="460">
        <v>1421.19</v>
      </c>
      <c r="G6" s="461">
        <v>0.2</v>
      </c>
      <c r="H6" s="462">
        <v>261.49</v>
      </c>
      <c r="I6" s="1221">
        <v>130.74</v>
      </c>
      <c r="J6" s="1019" t="s">
        <v>1577</v>
      </c>
      <c r="K6" s="1020"/>
    </row>
    <row r="7" spans="1:11">
      <c r="A7" s="359">
        <v>44343</v>
      </c>
      <c r="B7" s="345">
        <v>44708</v>
      </c>
      <c r="C7" s="458" t="s">
        <v>1758</v>
      </c>
      <c r="D7" s="347" t="s">
        <v>21</v>
      </c>
      <c r="E7" s="346" t="s">
        <v>279</v>
      </c>
      <c r="F7" s="1208">
        <v>1178.0999999999999</v>
      </c>
      <c r="G7" s="349">
        <v>0.1</v>
      </c>
      <c r="H7" s="1210">
        <v>108.38</v>
      </c>
      <c r="I7" s="522">
        <v>54.18</v>
      </c>
      <c r="J7" s="1019" t="s">
        <v>1759</v>
      </c>
      <c r="K7" s="1020"/>
    </row>
    <row r="8" spans="1:11">
      <c r="A8" s="287">
        <v>44323</v>
      </c>
      <c r="B8" s="288">
        <v>44330</v>
      </c>
      <c r="C8" s="290" t="s">
        <v>1373</v>
      </c>
      <c r="D8" s="289" t="s">
        <v>61</v>
      </c>
      <c r="E8" s="290" t="s">
        <v>22</v>
      </c>
      <c r="F8" s="337">
        <v>1579.71</v>
      </c>
      <c r="G8" s="292">
        <v>0.15</v>
      </c>
      <c r="H8" s="293">
        <v>217.99</v>
      </c>
      <c r="I8" s="580">
        <v>108.99</v>
      </c>
      <c r="J8" s="1194" t="s">
        <v>491</v>
      </c>
      <c r="K8" s="1195"/>
    </row>
    <row r="9" spans="1:11">
      <c r="A9" s="359">
        <v>44343</v>
      </c>
      <c r="B9" s="345">
        <v>44708</v>
      </c>
      <c r="C9" s="346" t="s">
        <v>1389</v>
      </c>
      <c r="D9" s="347" t="s">
        <v>448</v>
      </c>
      <c r="E9" s="346" t="s">
        <v>19</v>
      </c>
      <c r="F9" s="348">
        <v>1259.44</v>
      </c>
      <c r="G9" s="349">
        <v>0.15</v>
      </c>
      <c r="H9" s="350">
        <v>173.8</v>
      </c>
      <c r="I9" s="522">
        <v>86.9</v>
      </c>
      <c r="J9" s="1019" t="s">
        <v>491</v>
      </c>
      <c r="K9" s="1020"/>
    </row>
    <row r="10" spans="1:11">
      <c r="A10" s="287">
        <v>44320</v>
      </c>
      <c r="B10" s="288">
        <v>44685</v>
      </c>
      <c r="C10" s="290" t="s">
        <v>1760</v>
      </c>
      <c r="D10" s="289" t="s">
        <v>70</v>
      </c>
      <c r="E10" s="290" t="s">
        <v>279</v>
      </c>
      <c r="F10" s="337">
        <v>563.98</v>
      </c>
      <c r="G10" s="292">
        <v>0.15</v>
      </c>
      <c r="H10" s="293">
        <v>77.819999999999993</v>
      </c>
      <c r="I10" s="581">
        <v>38.909999999999997</v>
      </c>
      <c r="J10" s="1194" t="s">
        <v>1588</v>
      </c>
      <c r="K10" s="1195"/>
    </row>
    <row r="11" spans="1:11">
      <c r="A11" s="287">
        <v>44321</v>
      </c>
      <c r="B11" s="288">
        <v>44686</v>
      </c>
      <c r="C11" s="290" t="s">
        <v>1761</v>
      </c>
      <c r="D11" s="289" t="s">
        <v>448</v>
      </c>
      <c r="E11" s="290" t="s">
        <v>279</v>
      </c>
      <c r="F11" s="337">
        <v>1543.22</v>
      </c>
      <c r="G11" s="292">
        <v>0.1</v>
      </c>
      <c r="H11" s="293">
        <v>154.32</v>
      </c>
      <c r="I11" s="580" t="s">
        <v>1762</v>
      </c>
      <c r="J11" s="1194" t="s">
        <v>1482</v>
      </c>
      <c r="K11" s="1195"/>
    </row>
    <row r="12" spans="1:11">
      <c r="A12" s="359">
        <v>44343</v>
      </c>
      <c r="B12" s="345">
        <v>44708</v>
      </c>
      <c r="C12" s="458" t="s">
        <v>1763</v>
      </c>
      <c r="D12" s="347" t="s">
        <v>9</v>
      </c>
      <c r="E12" s="346" t="s">
        <v>29</v>
      </c>
      <c r="F12" s="348">
        <f>1350.94+102.49</f>
        <v>1453.43</v>
      </c>
      <c r="G12" s="349">
        <v>0.1</v>
      </c>
      <c r="H12" s="350">
        <v>133.71</v>
      </c>
      <c r="I12" s="522">
        <v>66.849999999999994</v>
      </c>
      <c r="J12" s="1019" t="s">
        <v>1482</v>
      </c>
      <c r="K12" s="1020"/>
    </row>
    <row r="13" spans="1:11">
      <c r="A13" s="359">
        <v>44314</v>
      </c>
      <c r="B13" s="345">
        <v>44321</v>
      </c>
      <c r="C13" s="744" t="s">
        <v>1764</v>
      </c>
      <c r="D13" s="347" t="s">
        <v>9</v>
      </c>
      <c r="E13" s="346" t="s">
        <v>19</v>
      </c>
      <c r="F13" s="348">
        <v>738.83</v>
      </c>
      <c r="G13" s="349">
        <v>0.1</v>
      </c>
      <c r="H13" s="350">
        <v>67.97</v>
      </c>
      <c r="I13" s="522"/>
      <c r="J13" s="1019"/>
      <c r="K13" s="1020"/>
    </row>
    <row r="14" spans="1:11">
      <c r="A14" s="287">
        <v>44319</v>
      </c>
      <c r="B14" s="288">
        <v>44685</v>
      </c>
      <c r="C14" s="290" t="s">
        <v>1369</v>
      </c>
      <c r="D14" s="289" t="s">
        <v>9</v>
      </c>
      <c r="E14" s="290" t="s">
        <v>143</v>
      </c>
      <c r="F14" s="337">
        <v>1959.93</v>
      </c>
      <c r="G14" s="292">
        <v>0.1</v>
      </c>
      <c r="H14" s="293">
        <v>180.31</v>
      </c>
      <c r="I14" s="580"/>
      <c r="J14" s="1194"/>
      <c r="K14" s="1195"/>
    </row>
    <row r="15" spans="1:11">
      <c r="A15" s="287">
        <v>44319</v>
      </c>
      <c r="B15" s="288">
        <v>44683</v>
      </c>
      <c r="C15" s="290" t="s">
        <v>1765</v>
      </c>
      <c r="D15" s="289" t="s">
        <v>9</v>
      </c>
      <c r="E15" s="290" t="s">
        <v>10</v>
      </c>
      <c r="F15" s="337">
        <v>1116.77</v>
      </c>
      <c r="G15" s="292">
        <v>0.2</v>
      </c>
      <c r="H15" s="293">
        <v>205.48</v>
      </c>
      <c r="I15" s="580"/>
      <c r="J15" s="1194"/>
      <c r="K15" s="1195"/>
    </row>
    <row r="16" spans="1:11">
      <c r="A16" s="287">
        <v>44320</v>
      </c>
      <c r="B16" s="288">
        <v>44691</v>
      </c>
      <c r="C16" s="290" t="s">
        <v>1364</v>
      </c>
      <c r="D16" s="289" t="s">
        <v>448</v>
      </c>
      <c r="E16" s="290" t="s">
        <v>22</v>
      </c>
      <c r="F16" s="337">
        <v>1177.8900000000001</v>
      </c>
      <c r="G16" s="292">
        <v>0.1</v>
      </c>
      <c r="H16" s="293">
        <v>108.36</v>
      </c>
      <c r="I16" s="580"/>
      <c r="J16" s="1194"/>
      <c r="K16" s="1195"/>
    </row>
    <row r="17" spans="1:11" s="731" customFormat="1">
      <c r="A17" s="359">
        <v>44320</v>
      </c>
      <c r="B17" s="345">
        <v>44687</v>
      </c>
      <c r="C17" s="458" t="s">
        <v>1766</v>
      </c>
      <c r="D17" s="347" t="s">
        <v>448</v>
      </c>
      <c r="E17" s="346" t="s">
        <v>22</v>
      </c>
      <c r="F17" s="348">
        <v>1094.53</v>
      </c>
      <c r="G17" s="349">
        <v>0.1</v>
      </c>
      <c r="H17" s="350">
        <v>100.69</v>
      </c>
      <c r="I17" s="522"/>
      <c r="J17" s="1019"/>
      <c r="K17" s="1020"/>
    </row>
    <row r="18" spans="1:11">
      <c r="A18" s="359">
        <v>44320</v>
      </c>
      <c r="B18" s="345">
        <v>44685</v>
      </c>
      <c r="C18" s="550" t="s">
        <v>1767</v>
      </c>
      <c r="D18" s="347" t="s">
        <v>448</v>
      </c>
      <c r="E18" s="346" t="s">
        <v>22</v>
      </c>
      <c r="F18" s="348">
        <v>1338.77</v>
      </c>
      <c r="G18" s="349">
        <v>0.1</v>
      </c>
      <c r="H18" s="350">
        <v>123.16</v>
      </c>
      <c r="I18" s="522"/>
      <c r="J18" s="1019"/>
      <c r="K18" s="1020"/>
    </row>
    <row r="19" spans="1:11">
      <c r="A19" s="287">
        <v>44321</v>
      </c>
      <c r="B19" s="288">
        <v>44687</v>
      </c>
      <c r="C19" s="290" t="s">
        <v>1768</v>
      </c>
      <c r="D19" s="289" t="s">
        <v>9</v>
      </c>
      <c r="E19" s="290" t="s">
        <v>10</v>
      </c>
      <c r="F19" s="337">
        <v>977.26</v>
      </c>
      <c r="G19" s="292">
        <v>0.1</v>
      </c>
      <c r="H19" s="293">
        <v>89.9</v>
      </c>
      <c r="I19" s="580" t="s">
        <v>1757</v>
      </c>
      <c r="J19" s="1194"/>
      <c r="K19" s="1195"/>
    </row>
    <row r="20" spans="1:11">
      <c r="A20" s="287">
        <v>44321</v>
      </c>
      <c r="B20" s="484">
        <v>44686</v>
      </c>
      <c r="C20" s="290" t="s">
        <v>1366</v>
      </c>
      <c r="D20" s="289" t="s">
        <v>448</v>
      </c>
      <c r="E20" s="290" t="s">
        <v>10</v>
      </c>
      <c r="F20" s="337">
        <v>1951.78</v>
      </c>
      <c r="G20" s="292">
        <v>0.1</v>
      </c>
      <c r="H20" s="293">
        <v>179.56</v>
      </c>
      <c r="I20" s="580"/>
      <c r="J20" s="1019"/>
      <c r="K20" s="1020"/>
    </row>
    <row r="21" spans="1:11">
      <c r="A21" s="287">
        <v>44322</v>
      </c>
      <c r="B21" s="1214">
        <v>44686</v>
      </c>
      <c r="C21" s="346" t="s">
        <v>1195</v>
      </c>
      <c r="D21" s="289" t="s">
        <v>448</v>
      </c>
      <c r="E21" s="290" t="s">
        <v>10</v>
      </c>
      <c r="F21" s="337">
        <v>1888.52</v>
      </c>
      <c r="G21" s="292">
        <v>0.1</v>
      </c>
      <c r="H21" s="293">
        <v>173.74</v>
      </c>
      <c r="I21" s="580"/>
      <c r="J21" s="1194"/>
      <c r="K21" s="1195"/>
    </row>
    <row r="22" spans="1:11">
      <c r="A22" s="287">
        <v>44322</v>
      </c>
      <c r="B22" s="288">
        <v>44688</v>
      </c>
      <c r="C22" s="346" t="s">
        <v>1383</v>
      </c>
      <c r="D22" s="289" t="s">
        <v>448</v>
      </c>
      <c r="E22" s="290" t="s">
        <v>22</v>
      </c>
      <c r="F22" s="337">
        <v>5986.03</v>
      </c>
      <c r="G22" s="292">
        <v>0.1</v>
      </c>
      <c r="H22" s="293">
        <v>550.71</v>
      </c>
      <c r="I22" s="580" t="s">
        <v>1757</v>
      </c>
      <c r="J22" s="1194"/>
      <c r="K22" s="1195"/>
    </row>
    <row r="23" spans="1:11" s="731" customFormat="1">
      <c r="A23" s="287">
        <v>44322</v>
      </c>
      <c r="B23" s="288">
        <v>44690</v>
      </c>
      <c r="C23" s="290" t="s">
        <v>1379</v>
      </c>
      <c r="D23" s="289" t="s">
        <v>198</v>
      </c>
      <c r="E23" s="290" t="s">
        <v>10</v>
      </c>
      <c r="F23" s="337">
        <v>808.65</v>
      </c>
      <c r="G23" s="292">
        <v>0.1</v>
      </c>
      <c r="H23" s="293">
        <v>74.39</v>
      </c>
      <c r="I23" s="580"/>
      <c r="J23" s="1194"/>
      <c r="K23" s="1195"/>
    </row>
    <row r="24" spans="1:11">
      <c r="A24" s="287">
        <v>44323</v>
      </c>
      <c r="B24" s="288">
        <v>44688</v>
      </c>
      <c r="C24" s="290" t="s">
        <v>1316</v>
      </c>
      <c r="D24" s="289" t="s">
        <v>61</v>
      </c>
      <c r="E24" s="290" t="s">
        <v>10</v>
      </c>
      <c r="F24" s="337">
        <v>1379.17</v>
      </c>
      <c r="G24" s="292">
        <v>0.1</v>
      </c>
      <c r="H24" s="293">
        <v>126.88</v>
      </c>
      <c r="I24" s="580"/>
      <c r="J24" s="1194"/>
      <c r="K24" s="1195"/>
    </row>
    <row r="25" spans="1:11">
      <c r="A25" s="459">
        <v>44326</v>
      </c>
      <c r="B25" s="459">
        <v>44691</v>
      </c>
      <c r="C25" s="458" t="s">
        <v>1378</v>
      </c>
      <c r="D25" s="1546" t="s">
        <v>448</v>
      </c>
      <c r="E25" s="458" t="s">
        <v>10</v>
      </c>
      <c r="F25" s="460">
        <v>1478.34</v>
      </c>
      <c r="G25" s="461">
        <v>0.1</v>
      </c>
      <c r="H25" s="462">
        <v>136</v>
      </c>
      <c r="I25" s="1221"/>
      <c r="J25" s="1019"/>
      <c r="K25" s="1020"/>
    </row>
    <row r="26" spans="1:11">
      <c r="A26" s="847">
        <v>44327</v>
      </c>
      <c r="B26" s="1206">
        <v>44696</v>
      </c>
      <c r="C26" s="550" t="s">
        <v>1769</v>
      </c>
      <c r="D26" s="849" t="s">
        <v>376</v>
      </c>
      <c r="E26" s="550" t="s">
        <v>22</v>
      </c>
      <c r="F26" s="850">
        <v>1300.98</v>
      </c>
      <c r="G26" s="851">
        <v>0.1</v>
      </c>
      <c r="H26" s="852">
        <v>119.69</v>
      </c>
      <c r="I26" s="1212"/>
      <c r="J26" s="1019"/>
      <c r="K26" s="1020"/>
    </row>
    <row r="27" spans="1:11">
      <c r="A27" s="359">
        <v>44327</v>
      </c>
      <c r="B27" s="313">
        <v>44695</v>
      </c>
      <c r="C27" s="1215" t="s">
        <v>1770</v>
      </c>
      <c r="D27" s="347" t="s">
        <v>149</v>
      </c>
      <c r="E27" s="346" t="s">
        <v>22</v>
      </c>
      <c r="F27" s="348">
        <v>1164.8599999999999</v>
      </c>
      <c r="G27" s="349">
        <v>0.1</v>
      </c>
      <c r="H27" s="350">
        <v>107.16</v>
      </c>
      <c r="I27" s="522"/>
      <c r="J27" s="1019"/>
      <c r="K27" s="1020"/>
    </row>
    <row r="28" spans="1:11" s="731" customFormat="1">
      <c r="A28" s="359">
        <v>44326</v>
      </c>
      <c r="B28" s="345">
        <v>44691</v>
      </c>
      <c r="C28" s="346" t="s">
        <v>1771</v>
      </c>
      <c r="D28" s="347" t="s">
        <v>448</v>
      </c>
      <c r="E28" s="346" t="s">
        <v>10</v>
      </c>
      <c r="F28" s="348">
        <v>2695.49</v>
      </c>
      <c r="G28" s="349">
        <v>0.1</v>
      </c>
      <c r="H28" s="350">
        <v>247.98</v>
      </c>
      <c r="I28" s="522" t="s">
        <v>1757</v>
      </c>
      <c r="J28" s="1019"/>
      <c r="K28" s="1020"/>
    </row>
    <row r="29" spans="1:11">
      <c r="A29" s="359">
        <v>44330</v>
      </c>
      <c r="B29" s="345">
        <v>44704</v>
      </c>
      <c r="C29" s="346" t="s">
        <v>1772</v>
      </c>
      <c r="D29" s="347" t="s">
        <v>61</v>
      </c>
      <c r="E29" s="346" t="s">
        <v>10</v>
      </c>
      <c r="F29" s="348">
        <v>1331.8</v>
      </c>
      <c r="G29" s="349">
        <v>0.1</v>
      </c>
      <c r="H29" s="350">
        <v>122.52</v>
      </c>
      <c r="I29" s="522"/>
      <c r="J29" s="1019"/>
      <c r="K29" s="1020"/>
    </row>
    <row r="30" spans="1:11">
      <c r="A30" s="287">
        <v>44330</v>
      </c>
      <c r="B30" s="288">
        <v>44697</v>
      </c>
      <c r="C30" s="290" t="s">
        <v>1375</v>
      </c>
      <c r="D30" s="289" t="s">
        <v>448</v>
      </c>
      <c r="E30" s="290" t="s">
        <v>22</v>
      </c>
      <c r="F30" s="337">
        <v>1373.6</v>
      </c>
      <c r="G30" s="292">
        <v>0.1</v>
      </c>
      <c r="H30" s="293">
        <v>126.37</v>
      </c>
      <c r="I30" s="580"/>
      <c r="J30" s="1194"/>
      <c r="K30" s="1195"/>
    </row>
    <row r="31" spans="1:11">
      <c r="A31" s="287">
        <v>44330</v>
      </c>
      <c r="B31" s="288">
        <v>44702</v>
      </c>
      <c r="C31" s="436" t="s">
        <v>1375</v>
      </c>
      <c r="D31" s="289" t="s">
        <v>112</v>
      </c>
      <c r="E31" s="290" t="s">
        <v>438</v>
      </c>
      <c r="F31" s="337">
        <v>815.72</v>
      </c>
      <c r="G31" s="292">
        <v>0.1</v>
      </c>
      <c r="H31" s="293">
        <v>75.040000000000006</v>
      </c>
      <c r="I31" s="580"/>
      <c r="J31" s="1532"/>
      <c r="K31" s="1533"/>
    </row>
    <row r="32" spans="1:11" s="731" customFormat="1">
      <c r="A32" s="359">
        <v>44330</v>
      </c>
      <c r="B32" s="345">
        <v>44697</v>
      </c>
      <c r="C32" s="793" t="s">
        <v>1773</v>
      </c>
      <c r="D32" s="347" t="s">
        <v>9</v>
      </c>
      <c r="E32" s="346" t="s">
        <v>19</v>
      </c>
      <c r="F32" s="348">
        <v>1764.19</v>
      </c>
      <c r="G32" s="349">
        <v>0.1</v>
      </c>
      <c r="H32" s="502">
        <v>162.30000000000001</v>
      </c>
      <c r="I32" s="522"/>
      <c r="J32" s="1019"/>
      <c r="K32" s="1020"/>
    </row>
    <row r="33" spans="1:11">
      <c r="A33" s="359">
        <v>44335</v>
      </c>
      <c r="B33" s="345">
        <v>44703</v>
      </c>
      <c r="C33" s="346" t="s">
        <v>1384</v>
      </c>
      <c r="D33" s="347" t="s">
        <v>9</v>
      </c>
      <c r="E33" s="346" t="s">
        <v>22</v>
      </c>
      <c r="F33" s="348">
        <v>1456.22</v>
      </c>
      <c r="G33" s="349">
        <v>0.1</v>
      </c>
      <c r="H33" s="350">
        <v>133.97</v>
      </c>
      <c r="I33" s="522"/>
      <c r="J33" s="1019"/>
      <c r="K33" s="1020"/>
    </row>
    <row r="34" spans="1:11">
      <c r="A34" s="459">
        <v>44335</v>
      </c>
      <c r="B34" s="459">
        <v>44700</v>
      </c>
      <c r="C34" s="458" t="s">
        <v>1774</v>
      </c>
      <c r="D34" s="1546" t="s">
        <v>448</v>
      </c>
      <c r="E34" s="458" t="s">
        <v>10</v>
      </c>
      <c r="F34" s="460">
        <v>970.05</v>
      </c>
      <c r="G34" s="461">
        <v>0.1</v>
      </c>
      <c r="H34" s="462">
        <v>89.24</v>
      </c>
      <c r="I34" s="802"/>
      <c r="J34" s="1019"/>
      <c r="K34" s="1020"/>
    </row>
    <row r="35" spans="1:11">
      <c r="A35" s="484">
        <v>44337</v>
      </c>
      <c r="B35" s="484">
        <v>44702</v>
      </c>
      <c r="C35" s="436" t="s">
        <v>1775</v>
      </c>
      <c r="D35" s="1547" t="s">
        <v>448</v>
      </c>
      <c r="E35" s="436" t="s">
        <v>458</v>
      </c>
      <c r="F35" s="485">
        <v>3519.12</v>
      </c>
      <c r="G35" s="486">
        <v>0.1</v>
      </c>
      <c r="H35" s="635">
        <v>323.75</v>
      </c>
      <c r="I35" s="907"/>
      <c r="J35" s="1194"/>
      <c r="K35" s="1195"/>
    </row>
    <row r="36" spans="1:11">
      <c r="A36" s="459">
        <v>44340</v>
      </c>
      <c r="B36" s="459">
        <v>44705</v>
      </c>
      <c r="C36" s="458" t="s">
        <v>1776</v>
      </c>
      <c r="D36" s="1546" t="s">
        <v>9</v>
      </c>
      <c r="E36" s="458" t="s">
        <v>10</v>
      </c>
      <c r="F36" s="460">
        <v>2794.8</v>
      </c>
      <c r="G36" s="461">
        <v>0.1</v>
      </c>
      <c r="H36" s="462">
        <v>257.12</v>
      </c>
      <c r="I36" s="802" t="s">
        <v>1757</v>
      </c>
      <c r="J36" s="1019"/>
      <c r="K36" s="1020"/>
    </row>
    <row r="37" spans="1:11">
      <c r="A37" s="312">
        <v>44341</v>
      </c>
      <c r="B37" s="313">
        <v>44702</v>
      </c>
      <c r="C37" s="346" t="s">
        <v>31</v>
      </c>
      <c r="D37" s="315" t="s">
        <v>61</v>
      </c>
      <c r="E37" s="1216" t="s">
        <v>10</v>
      </c>
      <c r="F37" s="1217">
        <v>925.44</v>
      </c>
      <c r="G37" s="316">
        <v>0.1</v>
      </c>
      <c r="H37" s="1219">
        <v>85.14</v>
      </c>
      <c r="I37" s="522"/>
      <c r="J37" s="1019"/>
      <c r="K37" s="1020"/>
    </row>
    <row r="38" spans="1:11">
      <c r="A38" s="359">
        <v>44329</v>
      </c>
      <c r="B38" s="792" t="s">
        <v>1707</v>
      </c>
      <c r="C38" s="346" t="s">
        <v>1728</v>
      </c>
      <c r="D38" s="347" t="s">
        <v>14</v>
      </c>
      <c r="E38" s="346" t="s">
        <v>10</v>
      </c>
      <c r="F38" s="1208">
        <v>874.22</v>
      </c>
      <c r="G38" s="349">
        <v>0.1</v>
      </c>
      <c r="H38" s="1210">
        <v>80.42</v>
      </c>
      <c r="I38" s="522"/>
      <c r="J38" s="1019"/>
      <c r="K38" s="1020"/>
    </row>
    <row r="39" spans="1:11">
      <c r="A39" s="359">
        <v>44344</v>
      </c>
      <c r="B39" s="345">
        <v>44710</v>
      </c>
      <c r="C39" s="346" t="s">
        <v>1393</v>
      </c>
      <c r="D39" s="347" t="s">
        <v>61</v>
      </c>
      <c r="E39" s="346" t="s">
        <v>438</v>
      </c>
      <c r="F39" s="348">
        <v>1088.58</v>
      </c>
      <c r="G39" s="349">
        <v>0.1</v>
      </c>
      <c r="H39" s="350">
        <v>100.14</v>
      </c>
      <c r="I39" s="522"/>
      <c r="J39" s="1528"/>
      <c r="K39" s="1529"/>
    </row>
    <row r="40" spans="1:11" s="739" customFormat="1">
      <c r="A40" s="359">
        <v>44344</v>
      </c>
      <c r="B40" s="345">
        <v>44711</v>
      </c>
      <c r="C40" s="346" t="s">
        <v>1392</v>
      </c>
      <c r="D40" s="347" t="s">
        <v>25</v>
      </c>
      <c r="E40" s="346" t="s">
        <v>10</v>
      </c>
      <c r="F40" s="348">
        <v>1399.05</v>
      </c>
      <c r="G40" s="349">
        <v>0.1</v>
      </c>
      <c r="H40" s="350">
        <v>128.71</v>
      </c>
      <c r="I40" s="522"/>
      <c r="J40" s="1019"/>
      <c r="K40" s="1020"/>
    </row>
    <row r="41" spans="1:11">
      <c r="A41" s="359">
        <v>44348</v>
      </c>
      <c r="B41" s="345">
        <v>44705</v>
      </c>
      <c r="C41" s="346" t="s">
        <v>715</v>
      </c>
      <c r="D41" s="347" t="s">
        <v>25</v>
      </c>
      <c r="E41" s="346" t="s">
        <v>10</v>
      </c>
      <c r="F41" s="348">
        <v>823.67</v>
      </c>
      <c r="G41" s="349">
        <v>0.1</v>
      </c>
      <c r="H41" s="350">
        <v>75.77</v>
      </c>
      <c r="I41" s="522"/>
      <c r="J41" s="1528"/>
      <c r="K41" s="1529"/>
    </row>
    <row r="42" spans="1:11">
      <c r="A42" s="287">
        <v>44351</v>
      </c>
      <c r="B42" s="288">
        <v>44709</v>
      </c>
      <c r="C42" s="290" t="s">
        <v>1777</v>
      </c>
      <c r="D42" s="289" t="s">
        <v>61</v>
      </c>
      <c r="E42" s="290" t="s">
        <v>10</v>
      </c>
      <c r="F42" s="337">
        <v>1254.97</v>
      </c>
      <c r="G42" s="292">
        <v>0.1</v>
      </c>
      <c r="H42" s="293">
        <v>115.45</v>
      </c>
      <c r="I42" s="580"/>
      <c r="J42" s="1194"/>
      <c r="K42" s="1195"/>
    </row>
    <row r="43" spans="1:11">
      <c r="A43" s="287"/>
      <c r="B43" s="288"/>
      <c r="C43" s="290"/>
      <c r="D43" s="289"/>
      <c r="E43" s="290"/>
      <c r="F43" s="337"/>
      <c r="G43" s="292"/>
      <c r="H43" s="293"/>
      <c r="I43" s="580"/>
      <c r="J43" s="1194"/>
      <c r="K43" s="1195"/>
    </row>
    <row r="44" spans="1:11">
      <c r="A44" s="359"/>
      <c r="B44" s="345"/>
      <c r="C44" s="346"/>
      <c r="D44" s="347"/>
      <c r="E44" s="346"/>
      <c r="F44" s="348"/>
      <c r="G44" s="349"/>
      <c r="H44" s="350"/>
      <c r="I44" s="522"/>
      <c r="J44" s="1528"/>
      <c r="K44" s="1529"/>
    </row>
    <row r="45" spans="1:11">
      <c r="A45" s="359"/>
      <c r="B45" s="345"/>
      <c r="C45" s="346"/>
      <c r="D45" s="347"/>
      <c r="E45" s="346"/>
      <c r="F45" s="348"/>
      <c r="G45" s="349"/>
      <c r="H45" s="350"/>
      <c r="I45" s="522"/>
      <c r="J45" s="1528"/>
      <c r="K45" s="1529"/>
    </row>
    <row r="46" spans="1:11">
      <c r="A46" s="359"/>
      <c r="B46" s="345"/>
      <c r="C46" s="346"/>
      <c r="D46" s="347"/>
      <c r="E46" s="346"/>
      <c r="F46" s="348"/>
      <c r="G46" s="349"/>
      <c r="H46" s="350"/>
      <c r="I46" s="522"/>
      <c r="J46" s="1528"/>
      <c r="K46" s="1529"/>
    </row>
    <row r="47" spans="1:11">
      <c r="A47" s="359"/>
      <c r="B47" s="345"/>
      <c r="C47" s="346"/>
      <c r="D47" s="347"/>
      <c r="E47" s="346"/>
      <c r="F47" s="348"/>
      <c r="G47" s="349"/>
      <c r="H47" s="350"/>
      <c r="I47" s="522"/>
      <c r="J47" s="1528"/>
      <c r="K47" s="1529"/>
    </row>
    <row r="48" spans="1:11">
      <c r="A48" s="359"/>
      <c r="B48" s="345"/>
      <c r="C48" s="346"/>
      <c r="D48" s="347"/>
      <c r="E48" s="346"/>
      <c r="F48" s="348"/>
      <c r="G48" s="349"/>
      <c r="H48" s="350"/>
      <c r="I48" s="522"/>
      <c r="J48" s="1528"/>
      <c r="K48" s="1529"/>
    </row>
    <row r="49" spans="1:11">
      <c r="A49" s="359"/>
      <c r="B49" s="345"/>
      <c r="C49" s="346"/>
      <c r="D49" s="347"/>
      <c r="E49" s="346"/>
      <c r="F49" s="348"/>
      <c r="G49" s="349"/>
      <c r="H49" s="350"/>
      <c r="I49" s="522"/>
      <c r="J49" s="1528"/>
      <c r="K49" s="1529"/>
    </row>
    <row r="50" spans="1:11">
      <c r="A50" s="359"/>
      <c r="B50" s="345"/>
      <c r="C50" s="346"/>
      <c r="D50" s="347"/>
      <c r="E50" s="346"/>
      <c r="F50" s="348"/>
      <c r="G50" s="349"/>
      <c r="H50" s="350"/>
      <c r="I50" s="522"/>
      <c r="J50" s="1528"/>
      <c r="K50" s="1529"/>
    </row>
    <row r="51" spans="1:11">
      <c r="A51" s="359"/>
      <c r="B51" s="345"/>
      <c r="C51" s="346"/>
      <c r="D51" s="347"/>
      <c r="E51" s="346"/>
      <c r="F51" s="348"/>
      <c r="G51" s="349"/>
      <c r="H51" s="350"/>
      <c r="I51" s="522"/>
      <c r="J51" s="1528"/>
      <c r="K51" s="1529"/>
    </row>
    <row r="52" spans="1:11">
      <c r="A52" s="359"/>
      <c r="B52" s="345"/>
      <c r="C52" s="346"/>
      <c r="D52" s="347"/>
      <c r="E52" s="346"/>
      <c r="F52" s="348"/>
      <c r="G52" s="349"/>
      <c r="H52" s="350"/>
      <c r="I52" s="522"/>
      <c r="J52" s="1528"/>
      <c r="K52" s="1529"/>
    </row>
    <row r="53" spans="1:11">
      <c r="A53" s="359"/>
      <c r="B53" s="345"/>
      <c r="C53" s="346"/>
      <c r="D53" s="347"/>
      <c r="E53" s="346"/>
      <c r="F53" s="348"/>
      <c r="G53" s="349"/>
      <c r="H53" s="350"/>
      <c r="I53" s="522"/>
      <c r="J53" s="1528"/>
      <c r="K53" s="1529"/>
    </row>
    <row r="54" spans="1:11">
      <c r="A54" s="359"/>
      <c r="B54" s="345"/>
      <c r="C54" s="346"/>
      <c r="D54" s="347"/>
      <c r="E54" s="346"/>
      <c r="F54" s="348"/>
      <c r="G54" s="349"/>
      <c r="H54" s="350"/>
      <c r="I54" s="522"/>
      <c r="J54" s="1528"/>
      <c r="K54" s="1529"/>
    </row>
    <row r="55" spans="1:11" ht="15.75" thickBot="1">
      <c r="A55" s="359"/>
      <c r="B55" s="345"/>
      <c r="C55" s="346"/>
      <c r="D55" s="347"/>
      <c r="E55" s="346"/>
      <c r="F55" s="348"/>
      <c r="G55" s="349"/>
      <c r="H55" s="350"/>
      <c r="I55" s="522"/>
      <c r="J55" s="1528"/>
      <c r="K55" s="1529"/>
    </row>
    <row r="56" spans="1:11" ht="20.25" thickBot="1">
      <c r="A56" s="673"/>
      <c r="B56" s="674"/>
      <c r="C56" s="674"/>
      <c r="D56" s="674"/>
      <c r="E56" s="674"/>
      <c r="F56" s="338"/>
      <c r="G56" s="143"/>
      <c r="H56" s="129"/>
      <c r="I56" s="803"/>
      <c r="J56" s="739"/>
      <c r="K56" s="739"/>
    </row>
    <row r="58" spans="1:11" s="1" customFormat="1">
      <c r="A58" s="798">
        <v>44356</v>
      </c>
      <c r="B58" s="798">
        <v>44721</v>
      </c>
      <c r="C58" s="1" t="s">
        <v>1778</v>
      </c>
      <c r="D58" s="1" t="s">
        <v>61</v>
      </c>
      <c r="E58" s="1" t="s">
        <v>22</v>
      </c>
      <c r="F58" s="799">
        <v>516.88</v>
      </c>
      <c r="G58" s="800">
        <v>0.15</v>
      </c>
      <c r="H58" s="799">
        <v>71.319999999999993</v>
      </c>
      <c r="I58" s="804">
        <v>35.659999999999997</v>
      </c>
      <c r="J58" s="1" t="s">
        <v>1482</v>
      </c>
    </row>
  </sheetData>
  <autoFilter ref="A1:K1" xr:uid="{00000000-0001-0000-5400-000000000000}">
    <filterColumn colId="9" showButton="0"/>
    <sortState xmlns:xlrd2="http://schemas.microsoft.com/office/spreadsheetml/2017/richdata2" ref="A2:K42">
      <sortCondition ref="J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K57"/>
  <sheetViews>
    <sheetView topLeftCell="A13" zoomScale="85" zoomScaleNormal="85" workbookViewId="0">
      <selection activeCell="J6" sqref="J6:K6"/>
    </sheetView>
  </sheetViews>
  <sheetFormatPr defaultRowHeight="15"/>
  <cols>
    <col min="1" max="1" width="16.42578125" bestFit="1" customWidth="1"/>
    <col min="2" max="2" width="11.5703125" bestFit="1" customWidth="1"/>
    <col min="3" max="3" width="39.28515625" bestFit="1" customWidth="1"/>
    <col min="4" max="4" width="18.28515625" bestFit="1" customWidth="1"/>
    <col min="5" max="5" width="14.28515625" bestFit="1" customWidth="1"/>
    <col min="6" max="6" width="20.42578125" bestFit="1" customWidth="1"/>
    <col min="7" max="7" width="13.42578125" bestFit="1" customWidth="1"/>
    <col min="8" max="8" width="22.5703125" bestFit="1" customWidth="1"/>
    <col min="9" max="9" width="21" bestFit="1" customWidth="1"/>
    <col min="11" max="11" width="11" customWidth="1"/>
  </cols>
  <sheetData>
    <row r="1" spans="1:11" ht="15.75" thickBot="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1969" t="s">
        <v>370</v>
      </c>
      <c r="K1" s="1970"/>
    </row>
    <row r="2" spans="1:11" s="731" customFormat="1">
      <c r="A2" s="238">
        <v>44342</v>
      </c>
      <c r="B2" s="239">
        <v>44718</v>
      </c>
      <c r="C2" s="240" t="s">
        <v>1779</v>
      </c>
      <c r="D2" s="241" t="s">
        <v>448</v>
      </c>
      <c r="E2" s="240" t="s">
        <v>10</v>
      </c>
      <c r="F2" s="323">
        <v>1088.1400000000001</v>
      </c>
      <c r="G2" s="243">
        <v>0.15</v>
      </c>
      <c r="H2" s="244">
        <v>150.16</v>
      </c>
      <c r="I2" s="245">
        <v>15.01</v>
      </c>
      <c r="J2" s="1965" t="s">
        <v>1780</v>
      </c>
      <c r="K2" s="1966"/>
    </row>
    <row r="3" spans="1:11">
      <c r="A3" s="483">
        <v>44712</v>
      </c>
      <c r="B3" s="484">
        <v>44715</v>
      </c>
      <c r="C3" s="436" t="s">
        <v>1399</v>
      </c>
      <c r="D3" s="1547" t="s">
        <v>25</v>
      </c>
      <c r="E3" s="436" t="s">
        <v>10</v>
      </c>
      <c r="F3" s="485">
        <v>1126.52</v>
      </c>
      <c r="G3" s="486">
        <v>0.13</v>
      </c>
      <c r="H3" s="487">
        <v>134.72999999999999</v>
      </c>
      <c r="I3" s="488">
        <v>67.36</v>
      </c>
      <c r="J3" s="1967" t="s">
        <v>491</v>
      </c>
      <c r="K3" s="1968"/>
    </row>
    <row r="4" spans="1:11">
      <c r="A4" s="287">
        <v>44348</v>
      </c>
      <c r="B4" s="288">
        <v>44713</v>
      </c>
      <c r="C4" s="290" t="s">
        <v>1781</v>
      </c>
      <c r="D4" s="289" t="s">
        <v>21</v>
      </c>
      <c r="E4" s="290" t="s">
        <v>1310</v>
      </c>
      <c r="F4" s="337">
        <v>907.66</v>
      </c>
      <c r="G4" s="292">
        <v>0.1</v>
      </c>
      <c r="H4" s="293">
        <v>83.5</v>
      </c>
      <c r="I4" s="294">
        <v>41.75</v>
      </c>
      <c r="J4" s="1967" t="s">
        <v>1482</v>
      </c>
      <c r="K4" s="1968"/>
    </row>
    <row r="5" spans="1:11">
      <c r="A5" s="287">
        <v>44348</v>
      </c>
      <c r="B5" s="288">
        <v>44714</v>
      </c>
      <c r="C5" s="290" t="s">
        <v>1782</v>
      </c>
      <c r="D5" s="289" t="s">
        <v>9</v>
      </c>
      <c r="E5" s="290" t="s">
        <v>1310</v>
      </c>
      <c r="F5" s="337">
        <v>1138.9000000000001</v>
      </c>
      <c r="G5" s="292">
        <v>0.1</v>
      </c>
      <c r="H5" s="293">
        <v>104.77</v>
      </c>
      <c r="I5" s="580">
        <v>52.38</v>
      </c>
      <c r="J5" s="1967" t="s">
        <v>491</v>
      </c>
      <c r="K5" s="1968"/>
    </row>
    <row r="6" spans="1:11" s="731" customFormat="1">
      <c r="A6" s="813">
        <v>44349</v>
      </c>
      <c r="B6" s="256">
        <v>44349</v>
      </c>
      <c r="C6" s="257" t="s">
        <v>1783</v>
      </c>
      <c r="D6" s="258" t="s">
        <v>25</v>
      </c>
      <c r="E6" s="257" t="s">
        <v>143</v>
      </c>
      <c r="F6" s="321">
        <v>2943.23</v>
      </c>
      <c r="G6" s="260">
        <v>0.2</v>
      </c>
      <c r="H6" s="261">
        <v>541.54999999999995</v>
      </c>
      <c r="I6" s="814">
        <v>54.15</v>
      </c>
      <c r="J6" s="1971" t="s">
        <v>1558</v>
      </c>
      <c r="K6" s="1972"/>
    </row>
    <row r="7" spans="1:11">
      <c r="A7" s="484">
        <v>44349</v>
      </c>
      <c r="B7" s="484">
        <v>44716</v>
      </c>
      <c r="C7" s="436" t="s">
        <v>727</v>
      </c>
      <c r="D7" s="1547" t="s">
        <v>448</v>
      </c>
      <c r="E7" s="436" t="s">
        <v>10</v>
      </c>
      <c r="F7" s="485">
        <v>875.2</v>
      </c>
      <c r="G7" s="486">
        <v>0.1</v>
      </c>
      <c r="H7" s="635">
        <v>80.510000000000005</v>
      </c>
      <c r="I7" s="489"/>
      <c r="J7" s="1967"/>
      <c r="K7" s="1968"/>
    </row>
    <row r="8" spans="1:11">
      <c r="A8" s="359">
        <v>44351</v>
      </c>
      <c r="B8" s="345">
        <v>44721</v>
      </c>
      <c r="C8" s="458" t="s">
        <v>410</v>
      </c>
      <c r="D8" s="347" t="s">
        <v>61</v>
      </c>
      <c r="E8" s="346" t="s">
        <v>945</v>
      </c>
      <c r="F8" s="348">
        <v>982.14</v>
      </c>
      <c r="G8" s="349">
        <v>0.1</v>
      </c>
      <c r="H8" s="350">
        <v>90.21</v>
      </c>
      <c r="I8" s="351"/>
      <c r="J8" s="1963"/>
      <c r="K8" s="1964"/>
    </row>
    <row r="9" spans="1:11" s="757" customFormat="1">
      <c r="A9" s="758">
        <v>44351</v>
      </c>
      <c r="B9" s="759">
        <v>44714</v>
      </c>
      <c r="C9" s="760" t="s">
        <v>1784</v>
      </c>
      <c r="D9" s="761" t="s">
        <v>448</v>
      </c>
      <c r="E9" s="760" t="s">
        <v>10</v>
      </c>
      <c r="F9" s="762">
        <v>1857.01</v>
      </c>
      <c r="G9" s="763">
        <v>0.1</v>
      </c>
      <c r="H9" s="764">
        <v>170.84</v>
      </c>
      <c r="I9" s="765">
        <v>6</v>
      </c>
      <c r="J9" s="1985" t="s">
        <v>1757</v>
      </c>
      <c r="K9" s="1986"/>
    </row>
    <row r="10" spans="1:11" s="757" customFormat="1">
      <c r="A10" s="749">
        <v>44351</v>
      </c>
      <c r="B10" s="750">
        <v>44716</v>
      </c>
      <c r="C10" s="752" t="s">
        <v>1785</v>
      </c>
      <c r="D10" s="751" t="s">
        <v>9</v>
      </c>
      <c r="E10" s="752" t="s">
        <v>10</v>
      </c>
      <c r="F10" s="753">
        <v>1929.33</v>
      </c>
      <c r="G10" s="754">
        <v>0.1</v>
      </c>
      <c r="H10" s="755">
        <v>177.49</v>
      </c>
      <c r="I10" s="766">
        <v>6</v>
      </c>
      <c r="J10" s="1983" t="s">
        <v>1757</v>
      </c>
      <c r="K10" s="1984"/>
    </row>
    <row r="11" spans="1:11">
      <c r="A11" s="287">
        <v>44351</v>
      </c>
      <c r="B11" s="288">
        <v>44716</v>
      </c>
      <c r="C11" s="290" t="s">
        <v>872</v>
      </c>
      <c r="D11" s="289" t="s">
        <v>61</v>
      </c>
      <c r="E11" s="290" t="s">
        <v>945</v>
      </c>
      <c r="F11" s="337">
        <v>1162.9000000000001</v>
      </c>
      <c r="G11" s="292">
        <v>0.1</v>
      </c>
      <c r="H11" s="293">
        <v>106.98</v>
      </c>
      <c r="I11" s="581"/>
      <c r="J11" s="1963"/>
      <c r="K11" s="1964"/>
    </row>
    <row r="12" spans="1:11">
      <c r="A12" s="287">
        <v>44354</v>
      </c>
      <c r="B12" s="288">
        <v>44362</v>
      </c>
      <c r="C12" s="290" t="s">
        <v>1786</v>
      </c>
      <c r="D12" s="289" t="s">
        <v>9</v>
      </c>
      <c r="E12" s="290" t="s">
        <v>10</v>
      </c>
      <c r="F12" s="337">
        <v>1116.81</v>
      </c>
      <c r="G12" s="292">
        <v>0.19</v>
      </c>
      <c r="H12" s="293">
        <v>195.21</v>
      </c>
      <c r="I12" s="580">
        <v>97.6</v>
      </c>
      <c r="J12" s="1967" t="s">
        <v>491</v>
      </c>
      <c r="K12" s="1968"/>
    </row>
    <row r="13" spans="1:11">
      <c r="A13" s="287">
        <v>44354</v>
      </c>
      <c r="B13" s="288">
        <v>44719</v>
      </c>
      <c r="C13" s="458" t="s">
        <v>1787</v>
      </c>
      <c r="D13" s="289" t="s">
        <v>9</v>
      </c>
      <c r="E13" s="290" t="s">
        <v>945</v>
      </c>
      <c r="F13" s="337">
        <v>1967.45</v>
      </c>
      <c r="G13" s="292">
        <v>0.1</v>
      </c>
      <c r="H13" s="293">
        <v>181</v>
      </c>
      <c r="I13" s="580"/>
      <c r="J13" s="1967"/>
      <c r="K13" s="1968"/>
    </row>
    <row r="14" spans="1:11">
      <c r="A14" s="287">
        <v>44357</v>
      </c>
      <c r="B14" s="288">
        <v>44728</v>
      </c>
      <c r="C14" s="744" t="s">
        <v>932</v>
      </c>
      <c r="D14" s="289" t="s">
        <v>25</v>
      </c>
      <c r="E14" s="290" t="s">
        <v>945</v>
      </c>
      <c r="F14" s="337">
        <v>1535.64</v>
      </c>
      <c r="G14" s="292">
        <v>0.1</v>
      </c>
      <c r="H14" s="293">
        <v>141.27000000000001</v>
      </c>
      <c r="I14" s="580"/>
      <c r="J14" s="1967"/>
      <c r="K14" s="1968"/>
    </row>
    <row r="15" spans="1:11" s="731" customFormat="1">
      <c r="A15" s="255">
        <v>44357</v>
      </c>
      <c r="B15" s="256">
        <v>44723</v>
      </c>
      <c r="C15" s="257" t="s">
        <v>1788</v>
      </c>
      <c r="D15" s="258" t="s">
        <v>70</v>
      </c>
      <c r="E15" s="257" t="s">
        <v>279</v>
      </c>
      <c r="F15" s="321">
        <v>976.36</v>
      </c>
      <c r="G15" s="260">
        <v>0.1</v>
      </c>
      <c r="H15" s="261">
        <v>89.82</v>
      </c>
      <c r="I15" s="262">
        <v>8.98</v>
      </c>
      <c r="J15" s="1971" t="s">
        <v>1539</v>
      </c>
      <c r="K15" s="1972"/>
    </row>
    <row r="16" spans="1:11">
      <c r="A16" s="287">
        <v>44358</v>
      </c>
      <c r="B16" s="288">
        <v>44724</v>
      </c>
      <c r="C16" s="290" t="s">
        <v>1789</v>
      </c>
      <c r="D16" s="289" t="s">
        <v>9</v>
      </c>
      <c r="E16" s="290" t="s">
        <v>143</v>
      </c>
      <c r="F16" s="337">
        <v>1897.18</v>
      </c>
      <c r="G16" s="292">
        <v>0.13</v>
      </c>
      <c r="H16" s="293">
        <v>226.9</v>
      </c>
      <c r="I16" s="294">
        <v>113.45</v>
      </c>
      <c r="J16" s="1967" t="s">
        <v>491</v>
      </c>
      <c r="K16" s="1968"/>
    </row>
    <row r="17" spans="1:11">
      <c r="A17" s="287">
        <v>44358</v>
      </c>
      <c r="B17" s="288">
        <v>44725</v>
      </c>
      <c r="C17" s="290" t="s">
        <v>1790</v>
      </c>
      <c r="D17" s="289" t="s">
        <v>70</v>
      </c>
      <c r="E17" s="290" t="s">
        <v>22</v>
      </c>
      <c r="F17" s="337">
        <v>1187.17</v>
      </c>
      <c r="G17" s="292">
        <v>0.1</v>
      </c>
      <c r="H17" s="293">
        <v>109.21</v>
      </c>
      <c r="I17" s="294"/>
      <c r="J17" s="1967"/>
      <c r="K17" s="1968"/>
    </row>
    <row r="18" spans="1:11">
      <c r="A18" s="359">
        <v>44361</v>
      </c>
      <c r="B18" s="792">
        <v>44727</v>
      </c>
      <c r="C18" s="458" t="s">
        <v>939</v>
      </c>
      <c r="D18" s="347" t="s">
        <v>14</v>
      </c>
      <c r="E18" s="346" t="s">
        <v>22</v>
      </c>
      <c r="F18" s="348">
        <v>1064.19</v>
      </c>
      <c r="G18" s="349">
        <v>0.15</v>
      </c>
      <c r="H18" s="350">
        <v>146.85</v>
      </c>
      <c r="I18" s="522"/>
      <c r="J18" s="1963"/>
      <c r="K18" s="1964"/>
    </row>
    <row r="19" spans="1:11">
      <c r="A19" s="359">
        <v>44362</v>
      </c>
      <c r="B19" s="345">
        <v>44727</v>
      </c>
      <c r="C19" s="550" t="s">
        <v>1406</v>
      </c>
      <c r="D19" s="347" t="s">
        <v>21</v>
      </c>
      <c r="E19" s="346" t="s">
        <v>10</v>
      </c>
      <c r="F19" s="348">
        <v>983.34</v>
      </c>
      <c r="G19" s="349">
        <v>0.15</v>
      </c>
      <c r="H19" s="350">
        <v>135.69999999999999</v>
      </c>
      <c r="I19" s="351">
        <v>67.849999999999994</v>
      </c>
      <c r="J19" s="1963" t="s">
        <v>491</v>
      </c>
      <c r="K19" s="1964"/>
    </row>
    <row r="20" spans="1:11">
      <c r="A20" s="359">
        <v>44364</v>
      </c>
      <c r="B20" s="345">
        <v>44732</v>
      </c>
      <c r="C20" s="346" t="s">
        <v>1791</v>
      </c>
      <c r="D20" s="347" t="s">
        <v>9</v>
      </c>
      <c r="E20" s="346" t="s">
        <v>10</v>
      </c>
      <c r="F20" s="348">
        <v>760.54</v>
      </c>
      <c r="G20" s="349">
        <v>0.1</v>
      </c>
      <c r="H20" s="350">
        <v>69.959999999999994</v>
      </c>
      <c r="I20" s="351"/>
      <c r="J20" s="1963"/>
      <c r="K20" s="1964"/>
    </row>
    <row r="21" spans="1:11">
      <c r="A21" s="359">
        <v>44364</v>
      </c>
      <c r="B21" s="459">
        <v>44735</v>
      </c>
      <c r="C21" s="346" t="s">
        <v>946</v>
      </c>
      <c r="D21" s="347" t="s">
        <v>448</v>
      </c>
      <c r="E21" s="346" t="s">
        <v>22</v>
      </c>
      <c r="F21" s="348">
        <v>1594.82</v>
      </c>
      <c r="G21" s="349">
        <v>0.1</v>
      </c>
      <c r="H21" s="350">
        <v>146.72</v>
      </c>
      <c r="I21" s="351"/>
      <c r="J21" s="1963"/>
      <c r="K21" s="1964"/>
    </row>
    <row r="22" spans="1:11">
      <c r="A22" s="359">
        <v>44364</v>
      </c>
      <c r="B22" s="490">
        <v>44729</v>
      </c>
      <c r="C22" s="345" t="s">
        <v>1567</v>
      </c>
      <c r="D22" s="347" t="s">
        <v>70</v>
      </c>
      <c r="E22" s="346" t="s">
        <v>945</v>
      </c>
      <c r="F22" s="348">
        <v>1367.64</v>
      </c>
      <c r="G22" s="349">
        <v>0.1</v>
      </c>
      <c r="H22" s="350">
        <v>125.82</v>
      </c>
      <c r="I22" s="351"/>
      <c r="J22" s="1963"/>
      <c r="K22" s="1964"/>
    </row>
    <row r="23" spans="1:11" s="757" customFormat="1">
      <c r="A23" s="758">
        <v>44364</v>
      </c>
      <c r="B23" s="759">
        <v>44729</v>
      </c>
      <c r="C23" s="760" t="s">
        <v>1792</v>
      </c>
      <c r="D23" s="761" t="s">
        <v>448</v>
      </c>
      <c r="E23" s="760" t="s">
        <v>10</v>
      </c>
      <c r="F23" s="762">
        <v>2403.5</v>
      </c>
      <c r="G23" s="763">
        <v>0.1</v>
      </c>
      <c r="H23" s="764">
        <v>221.12</v>
      </c>
      <c r="I23" s="765">
        <v>6</v>
      </c>
      <c r="J23" s="1985" t="s">
        <v>1757</v>
      </c>
      <c r="K23" s="1986"/>
    </row>
    <row r="24" spans="1:11" s="731" customFormat="1">
      <c r="A24" s="238">
        <v>44365</v>
      </c>
      <c r="B24" s="239">
        <v>44738</v>
      </c>
      <c r="C24" s="240" t="s">
        <v>1793</v>
      </c>
      <c r="D24" s="241" t="s">
        <v>25</v>
      </c>
      <c r="E24" s="240" t="s">
        <v>10</v>
      </c>
      <c r="F24" s="323">
        <v>1294.97</v>
      </c>
      <c r="G24" s="243">
        <v>0.1</v>
      </c>
      <c r="H24" s="244">
        <v>119.13</v>
      </c>
      <c r="I24" s="245">
        <v>11.91</v>
      </c>
      <c r="J24" s="1965" t="s">
        <v>1558</v>
      </c>
      <c r="K24" s="1966"/>
    </row>
    <row r="25" spans="1:11" s="757" customFormat="1">
      <c r="A25" s="758">
        <v>44365</v>
      </c>
      <c r="B25" s="759">
        <v>44733</v>
      </c>
      <c r="C25" s="760" t="s">
        <v>949</v>
      </c>
      <c r="D25" s="761" t="s">
        <v>61</v>
      </c>
      <c r="E25" s="760" t="s">
        <v>10</v>
      </c>
      <c r="F25" s="762">
        <v>1433.95</v>
      </c>
      <c r="G25" s="763">
        <v>0.1</v>
      </c>
      <c r="H25" s="764">
        <v>131.91999999999999</v>
      </c>
      <c r="I25" s="765">
        <v>6</v>
      </c>
      <c r="J25" s="1985" t="s">
        <v>1757</v>
      </c>
      <c r="K25" s="1986"/>
    </row>
    <row r="26" spans="1:11" s="757" customFormat="1">
      <c r="A26" s="805">
        <v>44365</v>
      </c>
      <c r="B26" s="805">
        <v>44733</v>
      </c>
      <c r="C26" s="775" t="s">
        <v>1794</v>
      </c>
      <c r="D26" s="806" t="s">
        <v>21</v>
      </c>
      <c r="E26" s="775" t="s">
        <v>10</v>
      </c>
      <c r="F26" s="807">
        <v>1557.26</v>
      </c>
      <c r="G26" s="808">
        <v>0.1</v>
      </c>
      <c r="H26" s="809">
        <v>143.26</v>
      </c>
      <c r="I26" s="810">
        <v>6</v>
      </c>
      <c r="J26" s="1983" t="s">
        <v>1757</v>
      </c>
      <c r="K26" s="1984"/>
    </row>
    <row r="27" spans="1:11" s="731" customFormat="1">
      <c r="A27" s="626">
        <v>44368</v>
      </c>
      <c r="B27" s="627">
        <v>44371</v>
      </c>
      <c r="C27" s="628" t="s">
        <v>1795</v>
      </c>
      <c r="D27" s="629" t="s">
        <v>9</v>
      </c>
      <c r="E27" s="628" t="s">
        <v>22</v>
      </c>
      <c r="F27" s="630">
        <v>1699.65</v>
      </c>
      <c r="G27" s="631">
        <v>0.1</v>
      </c>
      <c r="H27" s="632">
        <v>156.36000000000001</v>
      </c>
      <c r="I27" s="633">
        <v>15.63</v>
      </c>
      <c r="J27" s="1971" t="s">
        <v>1539</v>
      </c>
      <c r="K27" s="1972"/>
    </row>
    <row r="28" spans="1:11">
      <c r="A28" s="359">
        <v>44368</v>
      </c>
      <c r="B28" s="345">
        <v>44736</v>
      </c>
      <c r="C28" s="501" t="s">
        <v>1796</v>
      </c>
      <c r="D28" s="347" t="s">
        <v>9</v>
      </c>
      <c r="E28" s="346" t="s">
        <v>1310</v>
      </c>
      <c r="F28" s="348">
        <v>1976.99</v>
      </c>
      <c r="G28" s="349">
        <v>0.115</v>
      </c>
      <c r="H28" s="502">
        <v>218.25</v>
      </c>
      <c r="I28" s="351"/>
      <c r="J28" s="1963"/>
      <c r="K28" s="1964"/>
    </row>
    <row r="29" spans="1:11" s="731" customFormat="1">
      <c r="A29" s="238">
        <v>44368</v>
      </c>
      <c r="B29" s="239">
        <v>44733</v>
      </c>
      <c r="C29" s="240" t="s">
        <v>943</v>
      </c>
      <c r="D29" s="241" t="s">
        <v>25</v>
      </c>
      <c r="E29" s="240" t="s">
        <v>29</v>
      </c>
      <c r="F29" s="323">
        <v>753.95</v>
      </c>
      <c r="G29" s="243">
        <v>0.2</v>
      </c>
      <c r="H29" s="244">
        <v>138.72</v>
      </c>
      <c r="I29" s="245">
        <v>13.87</v>
      </c>
      <c r="J29" s="1965" t="s">
        <v>1558</v>
      </c>
      <c r="K29" s="1966"/>
    </row>
    <row r="30" spans="1:11">
      <c r="A30" s="359">
        <v>44369</v>
      </c>
      <c r="B30" s="345">
        <v>44740</v>
      </c>
      <c r="C30" s="346" t="s">
        <v>1417</v>
      </c>
      <c r="D30" s="347" t="s">
        <v>448</v>
      </c>
      <c r="E30" s="346" t="s">
        <v>945</v>
      </c>
      <c r="F30" s="348">
        <v>806.67</v>
      </c>
      <c r="G30" s="349">
        <v>0.1</v>
      </c>
      <c r="H30" s="350">
        <v>74.209999999999994</v>
      </c>
      <c r="I30" s="522"/>
      <c r="J30" s="1963"/>
      <c r="K30" s="1964"/>
    </row>
    <row r="31" spans="1:11" s="731" customFormat="1">
      <c r="A31" s="238">
        <v>44369</v>
      </c>
      <c r="B31" s="239">
        <v>44734</v>
      </c>
      <c r="C31" s="240" t="s">
        <v>1414</v>
      </c>
      <c r="D31" s="241" t="s">
        <v>70</v>
      </c>
      <c r="E31" s="240" t="s">
        <v>279</v>
      </c>
      <c r="F31" s="323">
        <v>679.79</v>
      </c>
      <c r="G31" s="243">
        <v>0.1</v>
      </c>
      <c r="H31" s="244">
        <v>62.54</v>
      </c>
      <c r="I31" s="245">
        <v>6.25</v>
      </c>
      <c r="J31" s="1965" t="s">
        <v>1539</v>
      </c>
      <c r="K31" s="1966"/>
    </row>
    <row r="32" spans="1:11" s="757" customFormat="1">
      <c r="A32" s="749">
        <v>44370</v>
      </c>
      <c r="B32" s="750">
        <v>44741</v>
      </c>
      <c r="C32" s="775" t="s">
        <v>953</v>
      </c>
      <c r="D32" s="751" t="s">
        <v>448</v>
      </c>
      <c r="E32" s="752" t="s">
        <v>22</v>
      </c>
      <c r="F32" s="753">
        <v>1284.77</v>
      </c>
      <c r="G32" s="754">
        <v>0.15</v>
      </c>
      <c r="H32" s="755">
        <v>177.29</v>
      </c>
      <c r="I32" s="766">
        <v>6</v>
      </c>
      <c r="J32" s="1983" t="s">
        <v>1757</v>
      </c>
      <c r="K32" s="1984"/>
    </row>
    <row r="33" spans="1:11">
      <c r="A33" s="359">
        <v>44371</v>
      </c>
      <c r="B33" s="345">
        <v>44738</v>
      </c>
      <c r="C33" s="793" t="s">
        <v>1420</v>
      </c>
      <c r="D33" s="347" t="s">
        <v>9</v>
      </c>
      <c r="E33" s="346" t="s">
        <v>143</v>
      </c>
      <c r="F33" s="348">
        <v>1443.62</v>
      </c>
      <c r="G33" s="349">
        <v>0.1</v>
      </c>
      <c r="H33" s="350">
        <v>144.36000000000001</v>
      </c>
      <c r="I33" s="351"/>
      <c r="J33" s="1963"/>
      <c r="K33" s="1964"/>
    </row>
    <row r="34" spans="1:11" s="757" customFormat="1">
      <c r="A34" s="758">
        <v>44373</v>
      </c>
      <c r="B34" s="759">
        <v>44726</v>
      </c>
      <c r="C34" s="760" t="s">
        <v>1797</v>
      </c>
      <c r="D34" s="761" t="s">
        <v>448</v>
      </c>
      <c r="E34" s="760" t="s">
        <v>10</v>
      </c>
      <c r="F34" s="762">
        <v>2582.21</v>
      </c>
      <c r="G34" s="763">
        <v>0.1</v>
      </c>
      <c r="H34" s="764">
        <v>237.56</v>
      </c>
      <c r="I34" s="765">
        <v>118.78</v>
      </c>
      <c r="J34" s="1985" t="s">
        <v>1798</v>
      </c>
      <c r="K34" s="1986"/>
    </row>
    <row r="35" spans="1:11">
      <c r="A35" s="503">
        <v>44376</v>
      </c>
      <c r="B35" s="503">
        <v>44741</v>
      </c>
      <c r="C35" s="458" t="s">
        <v>952</v>
      </c>
      <c r="D35" s="504" t="s">
        <v>14</v>
      </c>
      <c r="E35" s="505" t="s">
        <v>22</v>
      </c>
      <c r="F35" s="506">
        <v>1048.6099999999999</v>
      </c>
      <c r="G35" s="507">
        <v>0.25</v>
      </c>
      <c r="H35" s="506">
        <v>241.18</v>
      </c>
      <c r="I35" s="482"/>
      <c r="J35" s="1963"/>
      <c r="K35" s="1964"/>
    </row>
    <row r="36" spans="1:11">
      <c r="A36" s="459">
        <v>44369</v>
      </c>
      <c r="B36" s="790">
        <v>44369</v>
      </c>
      <c r="C36" s="458" t="s">
        <v>1799</v>
      </c>
      <c r="D36" s="1546" t="s">
        <v>61</v>
      </c>
      <c r="E36" s="458" t="s">
        <v>90</v>
      </c>
      <c r="F36" s="508">
        <v>628.77</v>
      </c>
      <c r="G36" s="461">
        <v>0.1</v>
      </c>
      <c r="H36" s="508">
        <v>57.84</v>
      </c>
      <c r="I36" s="482"/>
      <c r="J36" s="1963"/>
      <c r="K36" s="1964"/>
    </row>
    <row r="37" spans="1:11">
      <c r="A37" s="459">
        <v>44356</v>
      </c>
      <c r="B37" s="459" t="s">
        <v>510</v>
      </c>
      <c r="C37" s="458" t="s">
        <v>1800</v>
      </c>
      <c r="D37" s="1546" t="s">
        <v>304</v>
      </c>
      <c r="E37" s="458" t="s">
        <v>1310</v>
      </c>
      <c r="F37" s="508">
        <v>464.69</v>
      </c>
      <c r="G37" s="461">
        <v>0.3</v>
      </c>
      <c r="H37" s="508">
        <v>128.25</v>
      </c>
      <c r="I37" s="482">
        <v>64.12</v>
      </c>
      <c r="J37" s="1963" t="s">
        <v>1482</v>
      </c>
      <c r="K37" s="1964"/>
    </row>
    <row r="38" spans="1:11">
      <c r="A38" s="359"/>
      <c r="B38" s="345"/>
      <c r="C38" s="346"/>
      <c r="D38" s="347"/>
      <c r="E38" s="346"/>
      <c r="F38" s="348"/>
      <c r="G38" s="349"/>
      <c r="H38" s="350"/>
      <c r="I38" s="351"/>
      <c r="J38" s="1528"/>
      <c r="K38" s="1529"/>
    </row>
    <row r="39" spans="1:11">
      <c r="A39" s="359"/>
      <c r="B39" s="345"/>
      <c r="C39" s="346"/>
      <c r="D39" s="347"/>
      <c r="E39" s="346"/>
      <c r="F39" s="348"/>
      <c r="G39" s="349"/>
      <c r="H39" s="350"/>
      <c r="I39" s="351"/>
      <c r="J39" s="1528"/>
      <c r="K39" s="1529"/>
    </row>
    <row r="40" spans="1:11">
      <c r="A40" s="359"/>
      <c r="B40" s="345"/>
      <c r="C40" s="346"/>
      <c r="D40" s="347"/>
      <c r="E40" s="346"/>
      <c r="F40" s="348"/>
      <c r="G40" s="349"/>
      <c r="H40" s="350"/>
      <c r="I40" s="351"/>
      <c r="J40" s="1528"/>
      <c r="K40" s="1529"/>
    </row>
    <row r="41" spans="1:11">
      <c r="A41" s="359"/>
      <c r="B41" s="345"/>
      <c r="C41" s="346"/>
      <c r="D41" s="347"/>
      <c r="E41" s="346"/>
      <c r="F41" s="348"/>
      <c r="G41" s="349"/>
      <c r="H41" s="350"/>
      <c r="I41" s="351"/>
      <c r="J41" s="1963"/>
      <c r="K41" s="1964"/>
    </row>
    <row r="42" spans="1:11">
      <c r="A42" s="359"/>
      <c r="B42" s="345"/>
      <c r="C42" s="346"/>
      <c r="D42" s="347"/>
      <c r="E42" s="346"/>
      <c r="F42" s="348"/>
      <c r="G42" s="349"/>
      <c r="H42" s="350"/>
      <c r="I42" s="351"/>
      <c r="J42" s="1528"/>
      <c r="K42" s="1529"/>
    </row>
    <row r="43" spans="1:11">
      <c r="A43" s="287"/>
      <c r="B43" s="288"/>
      <c r="C43" s="290"/>
      <c r="D43" s="289"/>
      <c r="E43" s="290"/>
      <c r="F43" s="337"/>
      <c r="G43" s="292"/>
      <c r="H43" s="293"/>
      <c r="I43" s="294"/>
      <c r="J43" s="1967"/>
      <c r="K43" s="1968"/>
    </row>
    <row r="44" spans="1:11">
      <c r="A44" s="287"/>
      <c r="B44" s="288"/>
      <c r="C44" s="290"/>
      <c r="D44" s="289"/>
      <c r="E44" s="290"/>
      <c r="F44" s="337"/>
      <c r="G44" s="292"/>
      <c r="H44" s="293"/>
      <c r="I44" s="294"/>
      <c r="J44" s="1967"/>
      <c r="K44" s="1968"/>
    </row>
    <row r="45" spans="1:11">
      <c r="A45" s="359"/>
      <c r="B45" s="345"/>
      <c r="C45" s="346"/>
      <c r="D45" s="347"/>
      <c r="E45" s="346"/>
      <c r="F45" s="348"/>
      <c r="G45" s="349"/>
      <c r="H45" s="350"/>
      <c r="I45" s="351"/>
      <c r="J45" s="1528"/>
      <c r="K45" s="1529"/>
    </row>
    <row r="46" spans="1:11">
      <c r="A46" s="359"/>
      <c r="B46" s="345"/>
      <c r="C46" s="346"/>
      <c r="D46" s="347"/>
      <c r="E46" s="346"/>
      <c r="F46" s="348"/>
      <c r="G46" s="349"/>
      <c r="H46" s="350"/>
      <c r="I46" s="351"/>
      <c r="J46" s="1528"/>
      <c r="K46" s="1529"/>
    </row>
    <row r="47" spans="1:11">
      <c r="A47" s="359"/>
      <c r="B47" s="345"/>
      <c r="C47" s="346"/>
      <c r="D47" s="347"/>
      <c r="E47" s="346"/>
      <c r="F47" s="348"/>
      <c r="G47" s="349"/>
      <c r="H47" s="350"/>
      <c r="I47" s="351"/>
      <c r="J47" s="1528"/>
      <c r="K47" s="1529"/>
    </row>
    <row r="48" spans="1:11">
      <c r="A48" s="359"/>
      <c r="B48" s="345"/>
      <c r="C48" s="346"/>
      <c r="D48" s="347"/>
      <c r="E48" s="346"/>
      <c r="F48" s="348"/>
      <c r="G48" s="349"/>
      <c r="H48" s="350"/>
      <c r="I48" s="351"/>
      <c r="J48" s="1528"/>
      <c r="K48" s="1529"/>
    </row>
    <row r="49" spans="1:11">
      <c r="A49" s="359"/>
      <c r="B49" s="345"/>
      <c r="C49" s="346"/>
      <c r="D49" s="347"/>
      <c r="E49" s="346"/>
      <c r="F49" s="348"/>
      <c r="G49" s="349"/>
      <c r="H49" s="350"/>
      <c r="I49" s="351"/>
      <c r="J49" s="1528"/>
      <c r="K49" s="1529"/>
    </row>
    <row r="50" spans="1:11">
      <c r="A50" s="359"/>
      <c r="B50" s="345"/>
      <c r="C50" s="346"/>
      <c r="D50" s="347"/>
      <c r="E50" s="346"/>
      <c r="F50" s="348"/>
      <c r="G50" s="349"/>
      <c r="H50" s="350"/>
      <c r="I50" s="351"/>
      <c r="J50" s="1528"/>
      <c r="K50" s="1529"/>
    </row>
    <row r="51" spans="1:11">
      <c r="A51" s="359"/>
      <c r="B51" s="345"/>
      <c r="C51" s="346"/>
      <c r="D51" s="347"/>
      <c r="E51" s="346"/>
      <c r="F51" s="348"/>
      <c r="G51" s="349"/>
      <c r="H51" s="350"/>
      <c r="I51" s="351"/>
      <c r="J51" s="1528"/>
      <c r="K51" s="1529"/>
    </row>
    <row r="52" spans="1:11">
      <c r="A52" s="359"/>
      <c r="B52" s="345"/>
      <c r="C52" s="346"/>
      <c r="D52" s="347"/>
      <c r="E52" s="346"/>
      <c r="F52" s="348"/>
      <c r="G52" s="349"/>
      <c r="H52" s="350"/>
      <c r="I52" s="351"/>
      <c r="J52" s="1528"/>
      <c r="K52" s="1529"/>
    </row>
    <row r="53" spans="1:11">
      <c r="A53" s="359"/>
      <c r="B53" s="345"/>
      <c r="C53" s="346"/>
      <c r="D53" s="347"/>
      <c r="E53" s="346"/>
      <c r="F53" s="348"/>
      <c r="G53" s="349"/>
      <c r="H53" s="350"/>
      <c r="I53" s="351"/>
      <c r="J53" s="1528"/>
      <c r="K53" s="1529"/>
    </row>
    <row r="54" spans="1:11">
      <c r="A54" s="359"/>
      <c r="B54" s="345"/>
      <c r="C54" s="346"/>
      <c r="D54" s="347"/>
      <c r="E54" s="346"/>
      <c r="F54" s="348"/>
      <c r="G54" s="349"/>
      <c r="H54" s="350"/>
      <c r="I54" s="351"/>
      <c r="J54" s="1528"/>
      <c r="K54" s="1529"/>
    </row>
    <row r="55" spans="1:11">
      <c r="A55" s="359"/>
      <c r="B55" s="345"/>
      <c r="C55" s="346"/>
      <c r="D55" s="347"/>
      <c r="E55" s="346"/>
      <c r="F55" s="348"/>
      <c r="G55" s="349"/>
      <c r="H55" s="350"/>
      <c r="I55" s="351"/>
      <c r="J55" s="1528"/>
      <c r="K55" s="1529"/>
    </row>
    <row r="56" spans="1:11" ht="15.75" thickBot="1">
      <c r="A56" s="359"/>
      <c r="B56" s="345"/>
      <c r="C56" s="346"/>
      <c r="D56" s="347"/>
      <c r="E56" s="346"/>
      <c r="F56" s="348"/>
      <c r="G56" s="349"/>
      <c r="H56" s="350"/>
      <c r="I56" s="351"/>
      <c r="J56" s="1528"/>
      <c r="K56" s="1529"/>
    </row>
    <row r="57" spans="1:11" ht="20.25" thickBot="1">
      <c r="A57" s="673"/>
      <c r="B57" s="674"/>
      <c r="C57" s="674"/>
      <c r="D57" s="674"/>
      <c r="E57" s="674"/>
      <c r="F57" s="338">
        <f>SUM(F2:F56)</f>
        <v>48521.569999999992</v>
      </c>
      <c r="G57" s="143"/>
      <c r="H57" s="129">
        <f>SUM(H2:H56)</f>
        <v>5461.1900000000005</v>
      </c>
      <c r="I57" s="107">
        <f>SUM(I2:I56)</f>
        <v>785.08999999999992</v>
      </c>
      <c r="J57" s="739"/>
      <c r="K57" s="739"/>
    </row>
  </sheetData>
  <mergeCells count="40">
    <mergeCell ref="J7:K7"/>
    <mergeCell ref="J1:K1"/>
    <mergeCell ref="J2:K2"/>
    <mergeCell ref="J3:K3"/>
    <mergeCell ref="J4:K4"/>
    <mergeCell ref="J5:K5"/>
    <mergeCell ref="J6:K6"/>
    <mergeCell ref="J19:K19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32:K32"/>
    <mergeCell ref="J20:K20"/>
    <mergeCell ref="J21:K21"/>
    <mergeCell ref="J22:K22"/>
    <mergeCell ref="J23:K23"/>
    <mergeCell ref="J24:K24"/>
    <mergeCell ref="J25:K25"/>
    <mergeCell ref="J26:K26"/>
    <mergeCell ref="J28:K28"/>
    <mergeCell ref="J29:K29"/>
    <mergeCell ref="J30:K30"/>
    <mergeCell ref="J31:K31"/>
    <mergeCell ref="J27:K27"/>
    <mergeCell ref="J44:K44"/>
    <mergeCell ref="J33:K33"/>
    <mergeCell ref="J34:K34"/>
    <mergeCell ref="J35:K35"/>
    <mergeCell ref="J36:K36"/>
    <mergeCell ref="J41:K41"/>
    <mergeCell ref="J43:K43"/>
    <mergeCell ref="J37:K37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K56"/>
  <sheetViews>
    <sheetView topLeftCell="A27" zoomScale="85" zoomScaleNormal="85" workbookViewId="0">
      <selection activeCell="H57" sqref="H57"/>
    </sheetView>
  </sheetViews>
  <sheetFormatPr defaultRowHeight="15"/>
  <cols>
    <col min="1" max="1" width="16.42578125" bestFit="1" customWidth="1"/>
    <col min="2" max="2" width="11.5703125" bestFit="1" customWidth="1"/>
    <col min="3" max="3" width="42.140625" bestFit="1" customWidth="1"/>
    <col min="4" max="4" width="18.28515625" bestFit="1" customWidth="1"/>
    <col min="5" max="5" width="14.140625" bestFit="1" customWidth="1"/>
    <col min="6" max="6" width="20.42578125" bestFit="1" customWidth="1"/>
    <col min="7" max="7" width="13.42578125" bestFit="1" customWidth="1"/>
    <col min="8" max="8" width="22.5703125" bestFit="1" customWidth="1"/>
    <col min="9" max="9" width="21" bestFit="1" customWidth="1"/>
  </cols>
  <sheetData>
    <row r="1" spans="1:11" ht="15.75" thickBot="1">
      <c r="A1" s="30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1969" t="s">
        <v>370</v>
      </c>
      <c r="K1" s="1970"/>
    </row>
    <row r="2" spans="1:11" s="731" customFormat="1">
      <c r="A2" s="238">
        <v>44376</v>
      </c>
      <c r="B2" s="239">
        <v>44747</v>
      </c>
      <c r="C2" s="240" t="s">
        <v>1425</v>
      </c>
      <c r="D2" s="241" t="s">
        <v>448</v>
      </c>
      <c r="E2" s="240" t="s">
        <v>438</v>
      </c>
      <c r="F2" s="323">
        <v>1176.54</v>
      </c>
      <c r="G2" s="243">
        <v>0.15</v>
      </c>
      <c r="H2" s="244">
        <v>162.36000000000001</v>
      </c>
      <c r="I2" s="586" t="s">
        <v>1801</v>
      </c>
      <c r="J2" s="1965" t="s">
        <v>1539</v>
      </c>
      <c r="K2" s="1966"/>
    </row>
    <row r="3" spans="1:11">
      <c r="A3" s="483">
        <v>44378</v>
      </c>
      <c r="B3" s="484">
        <v>44745</v>
      </c>
      <c r="C3" s="436" t="s">
        <v>1802</v>
      </c>
      <c r="D3" s="1547" t="s">
        <v>9</v>
      </c>
      <c r="E3" s="436" t="s">
        <v>90</v>
      </c>
      <c r="F3" s="485">
        <v>1449.95</v>
      </c>
      <c r="G3" s="486">
        <v>0.1</v>
      </c>
      <c r="H3" s="487">
        <v>134.31</v>
      </c>
      <c r="I3" s="488"/>
      <c r="J3" s="1967"/>
      <c r="K3" s="1968"/>
    </row>
    <row r="4" spans="1:11" s="731" customFormat="1">
      <c r="A4" s="255">
        <v>44378</v>
      </c>
      <c r="B4" s="256">
        <v>44750</v>
      </c>
      <c r="C4" s="257" t="s">
        <v>1434</v>
      </c>
      <c r="D4" s="258" t="s">
        <v>14</v>
      </c>
      <c r="E4" s="257" t="s">
        <v>10</v>
      </c>
      <c r="F4" s="321">
        <v>859.1</v>
      </c>
      <c r="G4" s="260">
        <v>0.18</v>
      </c>
      <c r="H4" s="261">
        <v>142.26</v>
      </c>
      <c r="I4" s="262">
        <v>14.22</v>
      </c>
      <c r="J4" s="1971" t="s">
        <v>1539</v>
      </c>
      <c r="K4" s="1972"/>
    </row>
    <row r="5" spans="1:11" s="731" customFormat="1">
      <c r="A5" s="255">
        <v>44378</v>
      </c>
      <c r="B5" s="256">
        <v>44749</v>
      </c>
      <c r="C5" s="257" t="s">
        <v>1524</v>
      </c>
      <c r="D5" s="258" t="s">
        <v>14</v>
      </c>
      <c r="E5" s="257" t="s">
        <v>10</v>
      </c>
      <c r="F5" s="321">
        <v>985.46</v>
      </c>
      <c r="G5" s="260">
        <v>0.1</v>
      </c>
      <c r="H5" s="261">
        <v>90.66</v>
      </c>
      <c r="I5" s="582">
        <v>9.06</v>
      </c>
      <c r="J5" s="1971" t="s">
        <v>1539</v>
      </c>
      <c r="K5" s="1972"/>
    </row>
    <row r="6" spans="1:11">
      <c r="A6" s="484">
        <v>44378</v>
      </c>
      <c r="B6" s="484">
        <v>44744</v>
      </c>
      <c r="C6" s="436" t="s">
        <v>66</v>
      </c>
      <c r="D6" s="1547" t="s">
        <v>9</v>
      </c>
      <c r="E6" s="436" t="s">
        <v>22</v>
      </c>
      <c r="F6" s="485">
        <v>1065.4000000000001</v>
      </c>
      <c r="G6" s="486">
        <v>0.1</v>
      </c>
      <c r="H6" s="635">
        <v>98.01</v>
      </c>
      <c r="I6" s="489"/>
      <c r="J6" s="1967"/>
      <c r="K6" s="1968"/>
    </row>
    <row r="7" spans="1:11">
      <c r="A7" s="359">
        <v>44378</v>
      </c>
      <c r="B7" s="345">
        <v>44745</v>
      </c>
      <c r="C7" s="458" t="s">
        <v>1803</v>
      </c>
      <c r="D7" s="347" t="s">
        <v>9</v>
      </c>
      <c r="E7" s="346" t="s">
        <v>19</v>
      </c>
      <c r="F7" s="348">
        <v>667.11</v>
      </c>
      <c r="G7" s="349">
        <v>0.1</v>
      </c>
      <c r="H7" s="350">
        <v>61.37</v>
      </c>
      <c r="I7" s="351"/>
      <c r="J7" s="1963"/>
      <c r="K7" s="1964"/>
    </row>
    <row r="8" spans="1:11">
      <c r="A8" s="359">
        <v>44378</v>
      </c>
      <c r="B8" s="345">
        <v>44743</v>
      </c>
      <c r="C8" s="346" t="s">
        <v>1804</v>
      </c>
      <c r="D8" s="347" t="s">
        <v>448</v>
      </c>
      <c r="E8" s="346" t="s">
        <v>545</v>
      </c>
      <c r="F8" s="348" t="s">
        <v>454</v>
      </c>
      <c r="G8" s="349">
        <v>0.1</v>
      </c>
      <c r="H8" s="350">
        <v>250</v>
      </c>
      <c r="I8" s="351">
        <v>125</v>
      </c>
      <c r="J8" s="1963" t="s">
        <v>1577</v>
      </c>
      <c r="K8" s="1964"/>
    </row>
    <row r="9" spans="1:11">
      <c r="A9" s="287">
        <v>44379</v>
      </c>
      <c r="B9" s="288">
        <v>44745</v>
      </c>
      <c r="C9" s="290" t="s">
        <v>957</v>
      </c>
      <c r="D9" s="289" t="s">
        <v>14</v>
      </c>
      <c r="E9" s="290" t="s">
        <v>22</v>
      </c>
      <c r="F9" s="337">
        <v>916.95</v>
      </c>
      <c r="G9" s="292">
        <v>0.1</v>
      </c>
      <c r="H9" s="293">
        <v>84.35</v>
      </c>
      <c r="I9" s="294"/>
      <c r="J9" s="1967"/>
      <c r="K9" s="1968"/>
    </row>
    <row r="10" spans="1:11">
      <c r="A10" s="287">
        <v>44382</v>
      </c>
      <c r="B10" s="288" t="s">
        <v>1805</v>
      </c>
      <c r="C10" s="290" t="s">
        <v>1705</v>
      </c>
      <c r="D10" s="289" t="s">
        <v>149</v>
      </c>
      <c r="E10" s="290" t="s">
        <v>90</v>
      </c>
      <c r="F10" s="337">
        <v>514.04999999999995</v>
      </c>
      <c r="G10" s="292">
        <v>0.1</v>
      </c>
      <c r="H10" s="293">
        <v>47.29</v>
      </c>
      <c r="I10" s="581"/>
      <c r="J10" s="1963"/>
      <c r="K10" s="1964"/>
    </row>
    <row r="11" spans="1:11">
      <c r="A11" s="287">
        <v>44382</v>
      </c>
      <c r="B11" s="288">
        <v>44747</v>
      </c>
      <c r="C11" s="290" t="s">
        <v>1398</v>
      </c>
      <c r="D11" s="289" t="s">
        <v>9</v>
      </c>
      <c r="E11" s="290" t="s">
        <v>22</v>
      </c>
      <c r="F11" s="337">
        <v>1866.49</v>
      </c>
      <c r="G11" s="292">
        <v>0.1</v>
      </c>
      <c r="H11" s="293">
        <v>171.71</v>
      </c>
      <c r="I11" s="580"/>
      <c r="J11" s="1967"/>
      <c r="K11" s="1968"/>
    </row>
    <row r="12" spans="1:11">
      <c r="A12" s="287">
        <v>44382</v>
      </c>
      <c r="B12" s="288">
        <v>44747</v>
      </c>
      <c r="C12" s="458" t="s">
        <v>734</v>
      </c>
      <c r="D12" s="289" t="s">
        <v>25</v>
      </c>
      <c r="E12" s="290" t="s">
        <v>22</v>
      </c>
      <c r="F12" s="337">
        <v>3216.47</v>
      </c>
      <c r="G12" s="292">
        <v>0.2</v>
      </c>
      <c r="H12" s="293">
        <v>591.83000000000004</v>
      </c>
      <c r="I12" s="580"/>
      <c r="J12" s="1967"/>
      <c r="K12" s="1968"/>
    </row>
    <row r="13" spans="1:11" s="757" customFormat="1">
      <c r="A13" s="749">
        <v>44382</v>
      </c>
      <c r="B13" s="750">
        <v>44743</v>
      </c>
      <c r="C13" s="812" t="s">
        <v>1806</v>
      </c>
      <c r="D13" s="751" t="s">
        <v>448</v>
      </c>
      <c r="E13" s="752" t="s">
        <v>10</v>
      </c>
      <c r="F13" s="753">
        <v>1648.85</v>
      </c>
      <c r="G13" s="754">
        <v>0.1</v>
      </c>
      <c r="H13" s="755">
        <v>151.69</v>
      </c>
      <c r="I13" s="756" t="s">
        <v>1807</v>
      </c>
      <c r="J13" s="1983" t="s">
        <v>1808</v>
      </c>
      <c r="K13" s="1984"/>
    </row>
    <row r="14" spans="1:11">
      <c r="A14" s="287">
        <v>44382</v>
      </c>
      <c r="B14" s="288">
        <v>44752</v>
      </c>
      <c r="C14" s="290" t="s">
        <v>1439</v>
      </c>
      <c r="D14" s="289" t="s">
        <v>61</v>
      </c>
      <c r="E14" s="290" t="s">
        <v>19</v>
      </c>
      <c r="F14" s="337">
        <v>596.92999999999995</v>
      </c>
      <c r="G14" s="292">
        <v>0.25</v>
      </c>
      <c r="H14" s="293">
        <v>137.29</v>
      </c>
      <c r="I14" s="294"/>
      <c r="J14" s="1967"/>
      <c r="K14" s="1968"/>
    </row>
    <row r="15" spans="1:11">
      <c r="A15" s="287">
        <v>44382</v>
      </c>
      <c r="B15" s="288">
        <v>44747</v>
      </c>
      <c r="C15" s="290" t="s">
        <v>1809</v>
      </c>
      <c r="D15" s="289" t="s">
        <v>9</v>
      </c>
      <c r="E15" s="290" t="s">
        <v>143</v>
      </c>
      <c r="F15" s="337">
        <v>1008.04</v>
      </c>
      <c r="G15" s="292">
        <v>0.1</v>
      </c>
      <c r="H15" s="293">
        <v>92.73</v>
      </c>
      <c r="I15" s="580">
        <v>46.36</v>
      </c>
      <c r="J15" s="1967" t="s">
        <v>1759</v>
      </c>
      <c r="K15" s="1968"/>
    </row>
    <row r="16" spans="1:11">
      <c r="A16" s="287">
        <v>44383</v>
      </c>
      <c r="B16" s="288">
        <v>44748</v>
      </c>
      <c r="C16" s="290" t="s">
        <v>1810</v>
      </c>
      <c r="D16" s="289" t="s">
        <v>448</v>
      </c>
      <c r="E16" s="290" t="s">
        <v>19</v>
      </c>
      <c r="F16" s="337">
        <v>1160.3699999999999</v>
      </c>
      <c r="G16" s="292">
        <v>0.15</v>
      </c>
      <c r="H16" s="293">
        <v>160.13</v>
      </c>
      <c r="I16" s="294"/>
      <c r="J16" s="1967"/>
      <c r="K16" s="1968"/>
    </row>
    <row r="17" spans="1:11">
      <c r="A17" s="359">
        <v>44383</v>
      </c>
      <c r="B17" s="792">
        <v>44386</v>
      </c>
      <c r="C17" s="458" t="s">
        <v>960</v>
      </c>
      <c r="D17" s="347" t="s">
        <v>9</v>
      </c>
      <c r="E17" s="346" t="s">
        <v>22</v>
      </c>
      <c r="F17" s="348">
        <v>1286.07</v>
      </c>
      <c r="G17" s="349">
        <v>0.1</v>
      </c>
      <c r="H17" s="350">
        <v>118.31</v>
      </c>
      <c r="I17" s="522"/>
      <c r="J17" s="1963"/>
      <c r="K17" s="1964"/>
    </row>
    <row r="18" spans="1:11">
      <c r="A18" s="359">
        <v>44385</v>
      </c>
      <c r="B18" s="345">
        <v>44750</v>
      </c>
      <c r="C18" s="550" t="s">
        <v>1435</v>
      </c>
      <c r="D18" s="347" t="s">
        <v>21</v>
      </c>
      <c r="E18" s="346" t="s">
        <v>22</v>
      </c>
      <c r="F18" s="348">
        <v>1566.73</v>
      </c>
      <c r="G18" s="349">
        <v>0.1</v>
      </c>
      <c r="H18" s="350">
        <v>144.13</v>
      </c>
      <c r="I18" s="351"/>
      <c r="J18" s="1963"/>
      <c r="K18" s="1964"/>
    </row>
    <row r="19" spans="1:11">
      <c r="A19" s="359">
        <v>44385</v>
      </c>
      <c r="B19" s="345">
        <v>44755</v>
      </c>
      <c r="C19" s="346" t="s">
        <v>1811</v>
      </c>
      <c r="D19" s="347" t="s">
        <v>25</v>
      </c>
      <c r="E19" s="346" t="s">
        <v>10</v>
      </c>
      <c r="F19" s="348">
        <v>777.65</v>
      </c>
      <c r="G19" s="349">
        <v>0.1</v>
      </c>
      <c r="H19" s="350">
        <v>71.540000000000006</v>
      </c>
      <c r="I19" s="351"/>
      <c r="J19" s="1963"/>
      <c r="K19" s="1964"/>
    </row>
    <row r="20" spans="1:11" s="731" customFormat="1">
      <c r="A20" s="238">
        <v>44385</v>
      </c>
      <c r="B20" s="427">
        <v>44387</v>
      </c>
      <c r="C20" s="240" t="s">
        <v>1812</v>
      </c>
      <c r="D20" s="241" t="s">
        <v>9</v>
      </c>
      <c r="E20" s="240" t="s">
        <v>1310</v>
      </c>
      <c r="F20" s="323">
        <v>11168.98</v>
      </c>
      <c r="G20" s="243">
        <v>0.1</v>
      </c>
      <c r="H20" s="244">
        <v>1027.54</v>
      </c>
      <c r="I20" s="245">
        <v>102.75</v>
      </c>
      <c r="J20" s="1965" t="s">
        <v>1539</v>
      </c>
      <c r="K20" s="1966"/>
    </row>
    <row r="21" spans="1:11">
      <c r="A21" s="359">
        <v>44389</v>
      </c>
      <c r="B21" s="490">
        <v>44754</v>
      </c>
      <c r="C21" s="345" t="s">
        <v>739</v>
      </c>
      <c r="D21" s="347" t="s">
        <v>61</v>
      </c>
      <c r="E21" s="346" t="s">
        <v>22</v>
      </c>
      <c r="F21" s="348">
        <v>1496.3</v>
      </c>
      <c r="G21" s="349">
        <v>0.1</v>
      </c>
      <c r="H21" s="350">
        <v>137.65</v>
      </c>
      <c r="I21" s="351"/>
      <c r="J21" s="1963"/>
      <c r="K21" s="1964"/>
    </row>
    <row r="22" spans="1:11">
      <c r="A22" s="359">
        <v>44389</v>
      </c>
      <c r="B22" s="345">
        <v>44758</v>
      </c>
      <c r="C22" s="346" t="s">
        <v>1813</v>
      </c>
      <c r="D22" s="347" t="s">
        <v>448</v>
      </c>
      <c r="E22" s="346" t="s">
        <v>10</v>
      </c>
      <c r="F22" s="348">
        <v>2127.92</v>
      </c>
      <c r="G22" s="349">
        <v>0.1</v>
      </c>
      <c r="H22" s="350">
        <v>195.76</v>
      </c>
      <c r="I22" s="351">
        <v>97.88</v>
      </c>
      <c r="J22" s="1963" t="s">
        <v>1482</v>
      </c>
      <c r="K22" s="1964"/>
    </row>
    <row r="23" spans="1:11">
      <c r="A23" s="359">
        <v>44389</v>
      </c>
      <c r="B23" s="345">
        <v>44389</v>
      </c>
      <c r="C23" s="346" t="s">
        <v>1814</v>
      </c>
      <c r="D23" s="347" t="s">
        <v>448</v>
      </c>
      <c r="E23" s="346" t="s">
        <v>19</v>
      </c>
      <c r="F23" s="348">
        <v>1654.07</v>
      </c>
      <c r="G23" s="349">
        <v>0.1</v>
      </c>
      <c r="H23" s="350">
        <v>152.16999999999999</v>
      </c>
      <c r="I23" s="351"/>
      <c r="J23" s="1963"/>
      <c r="K23" s="1964"/>
    </row>
    <row r="24" spans="1:11">
      <c r="A24" s="359">
        <v>44390</v>
      </c>
      <c r="B24" s="345">
        <v>44755</v>
      </c>
      <c r="C24" s="346" t="s">
        <v>1441</v>
      </c>
      <c r="D24" s="347" t="s">
        <v>70</v>
      </c>
      <c r="E24" s="346" t="s">
        <v>90</v>
      </c>
      <c r="F24" s="348">
        <v>1350.02</v>
      </c>
      <c r="G24" s="349">
        <v>0.1</v>
      </c>
      <c r="H24" s="350">
        <v>124.2</v>
      </c>
      <c r="I24" s="351"/>
      <c r="J24" s="1963"/>
      <c r="K24" s="1964"/>
    </row>
    <row r="25" spans="1:11">
      <c r="A25" s="484">
        <v>44390</v>
      </c>
      <c r="B25" s="484">
        <v>44755</v>
      </c>
      <c r="C25" s="436" t="s">
        <v>1815</v>
      </c>
      <c r="D25" s="1547" t="s">
        <v>9</v>
      </c>
      <c r="E25" s="436" t="s">
        <v>90</v>
      </c>
      <c r="F25" s="485">
        <v>2400.33</v>
      </c>
      <c r="G25" s="486">
        <v>0.1</v>
      </c>
      <c r="H25" s="635">
        <v>220.83</v>
      </c>
      <c r="I25" s="489">
        <v>110.41</v>
      </c>
      <c r="J25" s="1967" t="s">
        <v>1577</v>
      </c>
      <c r="K25" s="1968"/>
    </row>
    <row r="26" spans="1:11" s="757" customFormat="1">
      <c r="A26" s="815">
        <v>44390</v>
      </c>
      <c r="B26" s="816">
        <v>44755</v>
      </c>
      <c r="C26" s="817" t="s">
        <v>1816</v>
      </c>
      <c r="D26" s="818" t="s">
        <v>25</v>
      </c>
      <c r="E26" s="817" t="s">
        <v>10</v>
      </c>
      <c r="F26" s="819">
        <v>1781.62</v>
      </c>
      <c r="G26" s="820">
        <v>0.1</v>
      </c>
      <c r="H26" s="821">
        <v>163.9</v>
      </c>
      <c r="I26" s="822">
        <v>6</v>
      </c>
      <c r="J26" s="1983" t="s">
        <v>1726</v>
      </c>
      <c r="K26" s="1984"/>
    </row>
    <row r="27" spans="1:11" s="757" customFormat="1">
      <c r="A27" s="758">
        <v>44390</v>
      </c>
      <c r="B27" s="759">
        <v>44754</v>
      </c>
      <c r="C27" s="823" t="s">
        <v>1817</v>
      </c>
      <c r="D27" s="761" t="s">
        <v>448</v>
      </c>
      <c r="E27" s="760" t="s">
        <v>10</v>
      </c>
      <c r="F27" s="762">
        <v>1556.8</v>
      </c>
      <c r="G27" s="763">
        <v>0.1</v>
      </c>
      <c r="H27" s="824">
        <v>143.22</v>
      </c>
      <c r="I27" s="825" t="s">
        <v>1818</v>
      </c>
      <c r="J27" s="1985" t="s">
        <v>1808</v>
      </c>
      <c r="K27" s="1986"/>
    </row>
    <row r="28" spans="1:11">
      <c r="A28" s="359">
        <v>44391</v>
      </c>
      <c r="B28" s="345">
        <v>44759</v>
      </c>
      <c r="C28" s="346" t="s">
        <v>1819</v>
      </c>
      <c r="D28" s="347" t="s">
        <v>14</v>
      </c>
      <c r="E28" s="346" t="s">
        <v>10</v>
      </c>
      <c r="F28" s="348">
        <v>1476.42</v>
      </c>
      <c r="G28" s="349">
        <v>0.1</v>
      </c>
      <c r="H28" s="350">
        <v>135.83000000000001</v>
      </c>
      <c r="I28" s="351"/>
      <c r="J28" s="1963"/>
      <c r="K28" s="1964"/>
    </row>
    <row r="29" spans="1:11">
      <c r="A29" s="359">
        <v>44391</v>
      </c>
      <c r="B29" s="345">
        <v>44391</v>
      </c>
      <c r="C29" s="346" t="s">
        <v>1265</v>
      </c>
      <c r="D29" s="347" t="s">
        <v>448</v>
      </c>
      <c r="E29" s="346" t="s">
        <v>279</v>
      </c>
      <c r="F29" s="348">
        <v>1274.78</v>
      </c>
      <c r="G29" s="349">
        <v>0.1</v>
      </c>
      <c r="H29" s="350">
        <v>117.27</v>
      </c>
      <c r="I29" s="522"/>
      <c r="J29" s="1963"/>
      <c r="K29" s="1964"/>
    </row>
    <row r="30" spans="1:11">
      <c r="A30" s="359">
        <v>44391</v>
      </c>
      <c r="B30" s="345">
        <v>44761</v>
      </c>
      <c r="C30" s="346" t="s">
        <v>1820</v>
      </c>
      <c r="D30" s="347" t="s">
        <v>61</v>
      </c>
      <c r="E30" s="346" t="s">
        <v>10</v>
      </c>
      <c r="F30" s="348">
        <v>1602.31</v>
      </c>
      <c r="G30" s="349">
        <v>0.1</v>
      </c>
      <c r="H30" s="350">
        <v>147.41</v>
      </c>
      <c r="I30" s="351"/>
      <c r="J30" s="1963"/>
      <c r="K30" s="1964"/>
    </row>
    <row r="31" spans="1:11" s="731" customFormat="1">
      <c r="A31" s="255">
        <v>44391</v>
      </c>
      <c r="B31" s="256">
        <v>44756</v>
      </c>
      <c r="C31" s="381" t="s">
        <v>1443</v>
      </c>
      <c r="D31" s="258" t="s">
        <v>9</v>
      </c>
      <c r="E31" s="257" t="s">
        <v>1821</v>
      </c>
      <c r="F31" s="321">
        <v>2255.31</v>
      </c>
      <c r="G31" s="260">
        <v>0.1</v>
      </c>
      <c r="H31" s="261">
        <v>207.48</v>
      </c>
      <c r="I31" s="582" t="s">
        <v>1822</v>
      </c>
      <c r="J31" s="1971" t="s">
        <v>1539</v>
      </c>
      <c r="K31" s="1972"/>
    </row>
    <row r="32" spans="1:11">
      <c r="A32" s="359">
        <v>44392</v>
      </c>
      <c r="B32" s="345">
        <v>44757</v>
      </c>
      <c r="C32" s="793" t="s">
        <v>1446</v>
      </c>
      <c r="D32" s="347" t="s">
        <v>14</v>
      </c>
      <c r="E32" s="346" t="s">
        <v>22</v>
      </c>
      <c r="F32" s="348">
        <v>1218.28</v>
      </c>
      <c r="G32" s="349">
        <v>0.1</v>
      </c>
      <c r="H32" s="350">
        <v>112.08</v>
      </c>
      <c r="I32" s="351"/>
      <c r="J32" s="1963"/>
      <c r="K32" s="1964"/>
    </row>
    <row r="33" spans="1:11">
      <c r="A33" s="359">
        <v>44392</v>
      </c>
      <c r="B33" s="345">
        <v>44757</v>
      </c>
      <c r="C33" s="346" t="s">
        <v>1437</v>
      </c>
      <c r="D33" s="347" t="s">
        <v>21</v>
      </c>
      <c r="E33" s="346" t="s">
        <v>945</v>
      </c>
      <c r="F33" s="348">
        <v>940.03</v>
      </c>
      <c r="G33" s="349">
        <v>0.2</v>
      </c>
      <c r="H33" s="350">
        <v>172.96</v>
      </c>
      <c r="I33" s="351"/>
      <c r="J33" s="1963"/>
      <c r="K33" s="1964"/>
    </row>
    <row r="34" spans="1:11">
      <c r="A34" s="503">
        <v>44392</v>
      </c>
      <c r="B34" s="503">
        <v>44385</v>
      </c>
      <c r="C34" s="458" t="s">
        <v>1445</v>
      </c>
      <c r="D34" s="504" t="s">
        <v>14</v>
      </c>
      <c r="E34" s="505" t="s">
        <v>10</v>
      </c>
      <c r="F34" s="506">
        <v>565.88</v>
      </c>
      <c r="G34" s="507">
        <v>0.1</v>
      </c>
      <c r="H34" s="506">
        <v>52.06</v>
      </c>
      <c r="I34" s="482"/>
      <c r="J34" s="1963"/>
      <c r="K34" s="1964"/>
    </row>
    <row r="35" spans="1:11">
      <c r="A35" s="459">
        <v>44392</v>
      </c>
      <c r="B35" s="790">
        <v>44764</v>
      </c>
      <c r="C35" s="458" t="s">
        <v>1823</v>
      </c>
      <c r="D35" s="1546" t="s">
        <v>61</v>
      </c>
      <c r="E35" s="458" t="s">
        <v>22</v>
      </c>
      <c r="F35" s="508">
        <v>874</v>
      </c>
      <c r="G35" s="461">
        <v>0.1</v>
      </c>
      <c r="H35" s="508">
        <v>80.400000000000006</v>
      </c>
      <c r="I35" s="482"/>
      <c r="J35" s="1963"/>
      <c r="K35" s="1964"/>
    </row>
    <row r="36" spans="1:11">
      <c r="A36" s="459">
        <v>44393</v>
      </c>
      <c r="B36" s="459">
        <v>44759</v>
      </c>
      <c r="C36" s="458" t="s">
        <v>320</v>
      </c>
      <c r="D36" s="1546" t="s">
        <v>9</v>
      </c>
      <c r="E36" s="458" t="s">
        <v>10</v>
      </c>
      <c r="F36" s="508">
        <v>795.56</v>
      </c>
      <c r="G36" s="461">
        <v>0.1</v>
      </c>
      <c r="H36" s="508">
        <v>73.19</v>
      </c>
      <c r="I36" s="482"/>
      <c r="J36" s="1528"/>
      <c r="K36" s="1529"/>
    </row>
    <row r="37" spans="1:11" s="757" customFormat="1">
      <c r="A37" s="758">
        <v>44393</v>
      </c>
      <c r="B37" s="759">
        <v>44758</v>
      </c>
      <c r="C37" s="760" t="s">
        <v>1824</v>
      </c>
      <c r="D37" s="761" t="s">
        <v>448</v>
      </c>
      <c r="E37" s="760" t="s">
        <v>10</v>
      </c>
      <c r="F37" s="762">
        <v>1345.18</v>
      </c>
      <c r="G37" s="763">
        <v>0.15</v>
      </c>
      <c r="H37" s="764">
        <v>185.63</v>
      </c>
      <c r="I37" s="765" t="s">
        <v>1825</v>
      </c>
      <c r="J37" s="1985" t="s">
        <v>1808</v>
      </c>
      <c r="K37" s="1986"/>
    </row>
    <row r="38" spans="1:11">
      <c r="A38" s="359">
        <v>44397</v>
      </c>
      <c r="B38" s="345">
        <v>44762</v>
      </c>
      <c r="C38" s="346" t="s">
        <v>1826</v>
      </c>
      <c r="D38" s="347" t="s">
        <v>9</v>
      </c>
      <c r="E38" s="346" t="s">
        <v>90</v>
      </c>
      <c r="F38" s="348">
        <v>1940.78</v>
      </c>
      <c r="G38" s="349">
        <v>0.15</v>
      </c>
      <c r="H38" s="350">
        <v>267.82</v>
      </c>
      <c r="I38" s="351"/>
      <c r="J38" s="1528"/>
      <c r="K38" s="1529"/>
    </row>
    <row r="39" spans="1:11">
      <c r="A39" s="359">
        <v>44398</v>
      </c>
      <c r="B39" s="345">
        <v>44769</v>
      </c>
      <c r="C39" s="346" t="s">
        <v>982</v>
      </c>
      <c r="D39" s="347" t="s">
        <v>61</v>
      </c>
      <c r="E39" s="346" t="s">
        <v>22</v>
      </c>
      <c r="F39" s="348">
        <v>1146.3800000000001</v>
      </c>
      <c r="G39" s="349">
        <v>0.15</v>
      </c>
      <c r="H39" s="350">
        <v>158.19999999999999</v>
      </c>
      <c r="I39" s="351"/>
      <c r="J39" s="1528"/>
      <c r="K39" s="1529"/>
    </row>
    <row r="40" spans="1:11">
      <c r="A40" s="359">
        <v>44398</v>
      </c>
      <c r="B40" s="345">
        <v>44768</v>
      </c>
      <c r="C40" s="346" t="s">
        <v>980</v>
      </c>
      <c r="D40" s="347" t="s">
        <v>14</v>
      </c>
      <c r="E40" s="346" t="s">
        <v>19</v>
      </c>
      <c r="F40" s="348">
        <v>814.71</v>
      </c>
      <c r="G40" s="349">
        <v>0.2</v>
      </c>
      <c r="H40" s="350">
        <v>149.9</v>
      </c>
      <c r="I40" s="351"/>
      <c r="J40" s="1963"/>
      <c r="K40" s="1964"/>
    </row>
    <row r="41" spans="1:11">
      <c r="A41" s="359">
        <v>44763</v>
      </c>
      <c r="B41" s="345">
        <v>44764</v>
      </c>
      <c r="C41" s="346" t="s">
        <v>1454</v>
      </c>
      <c r="D41" s="347" t="s">
        <v>448</v>
      </c>
      <c r="E41" s="346" t="s">
        <v>10</v>
      </c>
      <c r="F41" s="348">
        <v>1711.58</v>
      </c>
      <c r="G41" s="349">
        <v>0.15</v>
      </c>
      <c r="H41" s="350">
        <v>236.19</v>
      </c>
      <c r="I41" s="351"/>
      <c r="J41" s="1528"/>
      <c r="K41" s="1529"/>
    </row>
    <row r="42" spans="1:11">
      <c r="A42" s="287">
        <v>44400</v>
      </c>
      <c r="B42" s="288">
        <v>44765</v>
      </c>
      <c r="C42" s="290" t="s">
        <v>1827</v>
      </c>
      <c r="D42" s="289" t="s">
        <v>61</v>
      </c>
      <c r="E42" s="290" t="s">
        <v>19</v>
      </c>
      <c r="F42" s="337">
        <v>2612.7800000000002</v>
      </c>
      <c r="G42" s="292">
        <v>0.1</v>
      </c>
      <c r="H42" s="293">
        <v>240.37</v>
      </c>
      <c r="I42" s="294"/>
      <c r="J42" s="1967"/>
      <c r="K42" s="1968"/>
    </row>
    <row r="43" spans="1:11">
      <c r="A43" s="287">
        <v>44400</v>
      </c>
      <c r="B43" s="288">
        <v>44766</v>
      </c>
      <c r="C43" s="290" t="s">
        <v>1828</v>
      </c>
      <c r="D43" s="289" t="s">
        <v>61</v>
      </c>
      <c r="E43" s="290" t="s">
        <v>22</v>
      </c>
      <c r="F43" s="337">
        <v>1655.13</v>
      </c>
      <c r="G43" s="292">
        <v>0.1</v>
      </c>
      <c r="H43" s="293">
        <v>152.27000000000001</v>
      </c>
      <c r="I43" s="294"/>
      <c r="J43" s="1967"/>
      <c r="K43" s="1968"/>
    </row>
    <row r="44" spans="1:11">
      <c r="A44" s="359">
        <v>44400</v>
      </c>
      <c r="B44" s="345">
        <v>44765</v>
      </c>
      <c r="C44" s="346" t="s">
        <v>1829</v>
      </c>
      <c r="D44" s="347" t="s">
        <v>9</v>
      </c>
      <c r="E44" s="346" t="s">
        <v>1821</v>
      </c>
      <c r="F44" s="348">
        <v>1442.36</v>
      </c>
      <c r="G44" s="349">
        <v>0.1</v>
      </c>
      <c r="H44" s="350">
        <v>132.69</v>
      </c>
      <c r="I44" s="351"/>
      <c r="J44" s="1528"/>
      <c r="K44" s="1529"/>
    </row>
    <row r="45" spans="1:11" s="757" customFormat="1">
      <c r="A45" s="758">
        <v>44400</v>
      </c>
      <c r="B45" s="759">
        <v>44764</v>
      </c>
      <c r="C45" s="760" t="s">
        <v>1830</v>
      </c>
      <c r="D45" s="761" t="s">
        <v>448</v>
      </c>
      <c r="E45" s="760" t="s">
        <v>10</v>
      </c>
      <c r="F45" s="762">
        <v>2671.69</v>
      </c>
      <c r="G45" s="763">
        <v>0.15</v>
      </c>
      <c r="H45" s="764">
        <v>368.69</v>
      </c>
      <c r="I45" s="765">
        <v>6</v>
      </c>
      <c r="J45" s="1985" t="s">
        <v>1726</v>
      </c>
      <c r="K45" s="1986"/>
    </row>
    <row r="46" spans="1:11">
      <c r="A46" s="359">
        <v>44403</v>
      </c>
      <c r="B46" s="345">
        <v>44764</v>
      </c>
      <c r="C46" s="346" t="s">
        <v>976</v>
      </c>
      <c r="D46" s="347" t="s">
        <v>61</v>
      </c>
      <c r="E46" s="346" t="s">
        <v>22</v>
      </c>
      <c r="F46" s="348">
        <v>1906.57</v>
      </c>
      <c r="G46" s="349">
        <v>0.1</v>
      </c>
      <c r="H46" s="350">
        <v>175.4</v>
      </c>
      <c r="I46" s="351"/>
      <c r="J46" s="1528"/>
      <c r="K46" s="1529"/>
    </row>
    <row r="47" spans="1:11" s="739" customFormat="1">
      <c r="A47" s="359">
        <v>44405</v>
      </c>
      <c r="B47" s="345" t="s">
        <v>1805</v>
      </c>
      <c r="C47" s="346" t="s">
        <v>1831</v>
      </c>
      <c r="D47" s="347" t="s">
        <v>25</v>
      </c>
      <c r="E47" s="346" t="s">
        <v>19</v>
      </c>
      <c r="F47" s="348">
        <v>815.69</v>
      </c>
      <c r="G47" s="349">
        <v>0.1</v>
      </c>
      <c r="H47" s="350">
        <v>75.040000000000006</v>
      </c>
      <c r="I47" s="351"/>
      <c r="J47" s="1963"/>
      <c r="K47" s="1964"/>
    </row>
    <row r="48" spans="1:11">
      <c r="A48" s="359"/>
      <c r="B48" s="345"/>
      <c r="C48" s="346"/>
      <c r="D48" s="347"/>
      <c r="E48" s="346"/>
      <c r="F48" s="348"/>
      <c r="G48" s="349"/>
      <c r="H48" s="350"/>
      <c r="I48" s="351"/>
      <c r="J48" s="1528"/>
      <c r="K48" s="1529"/>
    </row>
    <row r="49" spans="1:11">
      <c r="A49" s="359"/>
      <c r="B49" s="345"/>
      <c r="C49" s="346"/>
      <c r="D49" s="347"/>
      <c r="E49" s="346"/>
      <c r="F49" s="348"/>
      <c r="G49" s="349"/>
      <c r="H49" s="350"/>
      <c r="I49" s="351"/>
      <c r="J49" s="1528"/>
      <c r="K49" s="1529"/>
    </row>
    <row r="50" spans="1:11">
      <c r="A50" s="359"/>
      <c r="B50" s="345"/>
      <c r="C50" s="346"/>
      <c r="D50" s="347"/>
      <c r="E50" s="346"/>
      <c r="F50" s="348"/>
      <c r="G50" s="349"/>
      <c r="H50" s="350"/>
      <c r="I50" s="351"/>
      <c r="J50" s="1528"/>
      <c r="K50" s="1529"/>
    </row>
    <row r="51" spans="1:11">
      <c r="A51" s="359"/>
      <c r="B51" s="345"/>
      <c r="C51" s="346"/>
      <c r="D51" s="347"/>
      <c r="E51" s="346"/>
      <c r="F51" s="348"/>
      <c r="G51" s="349"/>
      <c r="H51" s="350"/>
      <c r="I51" s="351"/>
      <c r="J51" s="1528"/>
      <c r="K51" s="1529"/>
    </row>
    <row r="52" spans="1:11">
      <c r="A52" s="359"/>
      <c r="B52" s="345"/>
      <c r="C52" s="346"/>
      <c r="D52" s="347"/>
      <c r="E52" s="346"/>
      <c r="F52" s="348"/>
      <c r="G52" s="349"/>
      <c r="H52" s="350"/>
      <c r="I52" s="351"/>
      <c r="J52" s="1528"/>
      <c r="K52" s="1529"/>
    </row>
    <row r="53" spans="1:11">
      <c r="A53" s="359"/>
      <c r="B53" s="345"/>
      <c r="C53" s="346"/>
      <c r="D53" s="347"/>
      <c r="E53" s="346"/>
      <c r="F53" s="348"/>
      <c r="G53" s="349"/>
      <c r="H53" s="350"/>
      <c r="I53" s="351"/>
      <c r="J53" s="1528"/>
      <c r="K53" s="1529"/>
    </row>
    <row r="54" spans="1:11">
      <c r="A54" s="359"/>
      <c r="B54" s="345"/>
      <c r="C54" s="346"/>
      <c r="D54" s="347"/>
      <c r="E54" s="346"/>
      <c r="F54" s="348"/>
      <c r="G54" s="349"/>
      <c r="H54" s="350"/>
      <c r="I54" s="351"/>
      <c r="J54" s="1528"/>
      <c r="K54" s="1529"/>
    </row>
    <row r="55" spans="1:11" ht="15.75" thickBot="1">
      <c r="A55" s="359"/>
      <c r="B55" s="345"/>
      <c r="C55" s="346"/>
      <c r="D55" s="347"/>
      <c r="E55" s="346"/>
      <c r="F55" s="348"/>
      <c r="G55" s="349"/>
      <c r="H55" s="350"/>
      <c r="I55" s="351"/>
      <c r="J55" s="1528"/>
      <c r="K55" s="1529"/>
    </row>
    <row r="56" spans="1:11" ht="20.25" thickBot="1">
      <c r="A56" s="673"/>
      <c r="B56" s="674"/>
      <c r="C56" s="674"/>
      <c r="D56" s="674"/>
      <c r="E56" s="674"/>
      <c r="F56" s="338">
        <f>SUM(F9:F55,F2:F7)</f>
        <v>73363.619999999981</v>
      </c>
      <c r="G56" s="143"/>
      <c r="H56" s="129">
        <f>SUM(H2:H55)</f>
        <v>8116.1199999999972</v>
      </c>
      <c r="I56" s="107"/>
      <c r="J56" s="739"/>
      <c r="K56" s="739"/>
    </row>
  </sheetData>
  <mergeCells count="41">
    <mergeCell ref="J6:K6"/>
    <mergeCell ref="J1:K1"/>
    <mergeCell ref="J2:K2"/>
    <mergeCell ref="J3:K3"/>
    <mergeCell ref="J4:K4"/>
    <mergeCell ref="J5:K5"/>
    <mergeCell ref="J18:K18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30:K30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47:K47"/>
    <mergeCell ref="J45:K45"/>
    <mergeCell ref="J42:K42"/>
    <mergeCell ref="J43:K43"/>
    <mergeCell ref="J31:K31"/>
    <mergeCell ref="J32:K32"/>
    <mergeCell ref="J33:K33"/>
    <mergeCell ref="J34:K34"/>
    <mergeCell ref="J35:K35"/>
    <mergeCell ref="J40:K40"/>
    <mergeCell ref="J37:K37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K59"/>
  <sheetViews>
    <sheetView topLeftCell="A39" zoomScale="85" zoomScaleNormal="85" workbookViewId="0">
      <selection activeCell="D35" sqref="D35"/>
    </sheetView>
  </sheetViews>
  <sheetFormatPr defaultRowHeight="15"/>
  <cols>
    <col min="1" max="1" width="14" bestFit="1" customWidth="1"/>
    <col min="2" max="2" width="11.5703125" bestFit="1" customWidth="1"/>
    <col min="3" max="3" width="44" customWidth="1"/>
    <col min="4" max="4" width="18.28515625" bestFit="1" customWidth="1"/>
    <col min="5" max="5" width="14.140625" bestFit="1" customWidth="1"/>
    <col min="6" max="6" width="20.42578125" bestFit="1" customWidth="1"/>
    <col min="7" max="7" width="13.42578125" bestFit="1" customWidth="1"/>
    <col min="8" max="8" width="22.5703125" bestFit="1" customWidth="1"/>
    <col min="9" max="9" width="21" bestFit="1" customWidth="1"/>
  </cols>
  <sheetData>
    <row r="1" spans="1:11" ht="15.75" thickBot="1">
      <c r="A1" s="30" t="s">
        <v>1832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1969" t="s">
        <v>370</v>
      </c>
      <c r="K1" s="1970"/>
    </row>
    <row r="2" spans="1:11">
      <c r="A2" s="359">
        <v>44407</v>
      </c>
      <c r="B2" s="345">
        <v>44781</v>
      </c>
      <c r="C2" s="346" t="s">
        <v>1469</v>
      </c>
      <c r="D2" s="347" t="s">
        <v>448</v>
      </c>
      <c r="E2" s="346" t="s">
        <v>10</v>
      </c>
      <c r="F2" s="348">
        <v>1496.31</v>
      </c>
      <c r="G2" s="349">
        <v>0.15</v>
      </c>
      <c r="H2" s="350">
        <v>206.49</v>
      </c>
      <c r="I2" s="522"/>
      <c r="J2" s="1963"/>
      <c r="K2" s="1964"/>
    </row>
    <row r="3" spans="1:11">
      <c r="A3" s="483">
        <v>44407</v>
      </c>
      <c r="B3" s="484">
        <v>44774</v>
      </c>
      <c r="C3" s="436" t="s">
        <v>1833</v>
      </c>
      <c r="D3" s="1547" t="s">
        <v>61</v>
      </c>
      <c r="E3" s="436" t="s">
        <v>10</v>
      </c>
      <c r="F3" s="485">
        <v>1099.8599999999999</v>
      </c>
      <c r="G3" s="486">
        <v>0.1</v>
      </c>
      <c r="H3" s="487">
        <v>101.18</v>
      </c>
      <c r="I3" s="488"/>
      <c r="J3" s="1967"/>
      <c r="K3" s="1968"/>
    </row>
    <row r="4" spans="1:11">
      <c r="A4" s="287">
        <v>44410</v>
      </c>
      <c r="B4" s="288">
        <v>44775</v>
      </c>
      <c r="C4" s="290" t="s">
        <v>1834</v>
      </c>
      <c r="D4" s="289" t="s">
        <v>9</v>
      </c>
      <c r="E4" s="290" t="s">
        <v>279</v>
      </c>
      <c r="F4" s="337">
        <v>388.42</v>
      </c>
      <c r="G4" s="292">
        <v>0.15</v>
      </c>
      <c r="H4" s="293">
        <v>53.6</v>
      </c>
      <c r="I4" s="294"/>
      <c r="J4" s="1967"/>
      <c r="K4" s="1968"/>
    </row>
    <row r="5" spans="1:11">
      <c r="A5" s="287">
        <v>44411</v>
      </c>
      <c r="B5" s="288">
        <v>44782</v>
      </c>
      <c r="C5" s="290" t="s">
        <v>1835</v>
      </c>
      <c r="D5" s="289" t="s">
        <v>70</v>
      </c>
      <c r="E5" s="290" t="s">
        <v>10</v>
      </c>
      <c r="F5" s="337">
        <v>953.93</v>
      </c>
      <c r="G5" s="292">
        <v>0.1</v>
      </c>
      <c r="H5" s="293">
        <v>87.76</v>
      </c>
      <c r="I5" s="580"/>
      <c r="J5" s="1967"/>
      <c r="K5" s="1968"/>
    </row>
    <row r="6" spans="1:11">
      <c r="A6" s="484">
        <v>44411</v>
      </c>
      <c r="B6" s="484">
        <v>44780</v>
      </c>
      <c r="C6" s="436" t="s">
        <v>1836</v>
      </c>
      <c r="D6" s="1547" t="s">
        <v>25</v>
      </c>
      <c r="E6" s="436" t="s">
        <v>10</v>
      </c>
      <c r="F6" s="485">
        <v>1117.8699999999999</v>
      </c>
      <c r="G6" s="486">
        <v>0.14299999999999999</v>
      </c>
      <c r="H6" s="635">
        <v>147.06</v>
      </c>
      <c r="I6" s="489"/>
      <c r="J6" s="1967"/>
      <c r="K6" s="1968"/>
    </row>
    <row r="7" spans="1:11">
      <c r="A7" s="359">
        <v>44411</v>
      </c>
      <c r="B7" s="345">
        <v>44779</v>
      </c>
      <c r="C7" s="458" t="s">
        <v>989</v>
      </c>
      <c r="D7" s="347" t="s">
        <v>9</v>
      </c>
      <c r="E7" s="346" t="s">
        <v>1310</v>
      </c>
      <c r="F7" s="348">
        <v>1320.6</v>
      </c>
      <c r="G7" s="349">
        <v>0.1</v>
      </c>
      <c r="H7" s="350">
        <v>121.49</v>
      </c>
      <c r="I7" s="351"/>
      <c r="J7" s="1963"/>
      <c r="K7" s="1964"/>
    </row>
    <row r="8" spans="1:11" s="731" customFormat="1">
      <c r="A8" s="238">
        <v>44412</v>
      </c>
      <c r="B8" s="239">
        <v>44778</v>
      </c>
      <c r="C8" s="240" t="s">
        <v>1462</v>
      </c>
      <c r="D8" s="241" t="s">
        <v>14</v>
      </c>
      <c r="E8" s="240" t="s">
        <v>1552</v>
      </c>
      <c r="F8" s="323">
        <v>1857.52</v>
      </c>
      <c r="G8" s="243">
        <v>0.15</v>
      </c>
      <c r="H8" s="244">
        <v>256.33</v>
      </c>
      <c r="I8" s="245">
        <v>25.63</v>
      </c>
      <c r="J8" s="1965" t="s">
        <v>1539</v>
      </c>
      <c r="K8" s="1966"/>
    </row>
    <row r="9" spans="1:11">
      <c r="A9" s="287">
        <v>44412</v>
      </c>
      <c r="B9" s="288">
        <v>44778</v>
      </c>
      <c r="C9" s="290" t="s">
        <v>1837</v>
      </c>
      <c r="D9" s="289" t="s">
        <v>9</v>
      </c>
      <c r="E9" s="290" t="s">
        <v>1552</v>
      </c>
      <c r="F9" s="337">
        <v>1098.67</v>
      </c>
      <c r="G9" s="292">
        <v>0.1</v>
      </c>
      <c r="H9" s="293">
        <v>101.07</v>
      </c>
      <c r="I9" s="294"/>
      <c r="J9" s="1967"/>
      <c r="K9" s="1968"/>
    </row>
    <row r="10" spans="1:11">
      <c r="A10" s="287">
        <v>44414</v>
      </c>
      <c r="B10" s="288">
        <v>44781</v>
      </c>
      <c r="C10" s="290" t="s">
        <v>953</v>
      </c>
      <c r="D10" s="289" t="s">
        <v>61</v>
      </c>
      <c r="E10" s="290" t="s">
        <v>29</v>
      </c>
      <c r="F10" s="337">
        <v>2758.78</v>
      </c>
      <c r="G10" s="292">
        <v>0.1</v>
      </c>
      <c r="H10" s="293">
        <v>253.8</v>
      </c>
      <c r="I10" s="581"/>
      <c r="J10" s="1963"/>
      <c r="K10" s="1964"/>
    </row>
    <row r="11" spans="1:11">
      <c r="A11" s="287">
        <v>44414</v>
      </c>
      <c r="B11" s="288">
        <v>44781</v>
      </c>
      <c r="C11" s="290" t="s">
        <v>1838</v>
      </c>
      <c r="D11" s="289" t="s">
        <v>61</v>
      </c>
      <c r="E11" s="290" t="s">
        <v>29</v>
      </c>
      <c r="F11" s="337">
        <v>2075.75</v>
      </c>
      <c r="G11" s="292">
        <v>0.15</v>
      </c>
      <c r="H11" s="293">
        <v>286.45</v>
      </c>
      <c r="I11" s="580"/>
      <c r="J11" s="1967"/>
      <c r="K11" s="1968"/>
    </row>
    <row r="12" spans="1:11">
      <c r="A12" s="287">
        <v>44414</v>
      </c>
      <c r="B12" s="288">
        <v>44780</v>
      </c>
      <c r="C12" s="458" t="s">
        <v>1839</v>
      </c>
      <c r="D12" s="289" t="s">
        <v>9</v>
      </c>
      <c r="E12" s="290" t="s">
        <v>1552</v>
      </c>
      <c r="F12" s="337">
        <v>2472.16</v>
      </c>
      <c r="G12" s="292">
        <v>0.1</v>
      </c>
      <c r="H12" s="293">
        <v>227.43</v>
      </c>
      <c r="I12" s="580"/>
      <c r="J12" s="1967"/>
      <c r="K12" s="1968"/>
    </row>
    <row r="13" spans="1:11" s="731" customFormat="1">
      <c r="A13" s="255">
        <v>44414</v>
      </c>
      <c r="B13" s="256">
        <v>44782</v>
      </c>
      <c r="C13" s="774" t="s">
        <v>993</v>
      </c>
      <c r="D13" s="258" t="s">
        <v>448</v>
      </c>
      <c r="E13" s="257" t="s">
        <v>10</v>
      </c>
      <c r="F13" s="321">
        <v>942.99</v>
      </c>
      <c r="G13" s="260">
        <v>0.25</v>
      </c>
      <c r="H13" s="261">
        <v>216.88</v>
      </c>
      <c r="I13" s="582">
        <v>21.68</v>
      </c>
      <c r="J13" s="1971" t="s">
        <v>1539</v>
      </c>
      <c r="K13" s="1972"/>
    </row>
    <row r="14" spans="1:11">
      <c r="A14" s="287">
        <v>44417</v>
      </c>
      <c r="B14" s="288">
        <v>44785</v>
      </c>
      <c r="C14" s="290" t="s">
        <v>1840</v>
      </c>
      <c r="D14" s="289" t="s">
        <v>9</v>
      </c>
      <c r="E14" s="290" t="s">
        <v>10</v>
      </c>
      <c r="F14" s="337">
        <v>1054.97</v>
      </c>
      <c r="G14" s="292">
        <v>0.1</v>
      </c>
      <c r="H14" s="293">
        <v>97.05</v>
      </c>
      <c r="I14" s="580"/>
      <c r="J14" s="1967"/>
      <c r="K14" s="1968"/>
    </row>
    <row r="15" spans="1:11">
      <c r="A15" s="287">
        <v>44418</v>
      </c>
      <c r="B15" s="288">
        <v>44783</v>
      </c>
      <c r="C15" s="290" t="s">
        <v>994</v>
      </c>
      <c r="D15" s="289" t="s">
        <v>9</v>
      </c>
      <c r="E15" s="290" t="s">
        <v>1552</v>
      </c>
      <c r="F15" s="337">
        <v>1676.29</v>
      </c>
      <c r="G15" s="292">
        <v>0.13</v>
      </c>
      <c r="H15" s="293">
        <v>200.48</v>
      </c>
      <c r="I15" s="294"/>
      <c r="J15" s="1967"/>
      <c r="K15" s="1968"/>
    </row>
    <row r="16" spans="1:11">
      <c r="A16" s="359">
        <v>44418</v>
      </c>
      <c r="B16" s="792">
        <v>44785</v>
      </c>
      <c r="C16" s="458" t="s">
        <v>1186</v>
      </c>
      <c r="D16" s="347" t="s">
        <v>33</v>
      </c>
      <c r="E16" s="346" t="s">
        <v>10</v>
      </c>
      <c r="F16" s="348">
        <v>1079.1600000000001</v>
      </c>
      <c r="G16" s="349">
        <v>0.1</v>
      </c>
      <c r="H16" s="350">
        <v>99.28</v>
      </c>
      <c r="I16" s="522"/>
      <c r="J16" s="1963"/>
      <c r="K16" s="1964"/>
    </row>
    <row r="17" spans="1:11">
      <c r="A17" s="359">
        <v>44418</v>
      </c>
      <c r="B17" s="345">
        <v>44795</v>
      </c>
      <c r="C17" s="550" t="s">
        <v>1782</v>
      </c>
      <c r="D17" s="347" t="s">
        <v>9</v>
      </c>
      <c r="E17" s="346" t="s">
        <v>1310</v>
      </c>
      <c r="F17" s="348">
        <v>1546.18</v>
      </c>
      <c r="G17" s="349">
        <v>0.1</v>
      </c>
      <c r="H17" s="350">
        <v>142.24</v>
      </c>
      <c r="I17" s="351">
        <v>71.12</v>
      </c>
      <c r="J17" s="1963" t="s">
        <v>491</v>
      </c>
      <c r="K17" s="1964"/>
    </row>
    <row r="18" spans="1:11">
      <c r="A18" s="359">
        <v>44418</v>
      </c>
      <c r="B18" s="345">
        <v>44783</v>
      </c>
      <c r="C18" s="346" t="s">
        <v>1841</v>
      </c>
      <c r="D18" s="347" t="s">
        <v>14</v>
      </c>
      <c r="E18" s="346" t="s">
        <v>1377</v>
      </c>
      <c r="F18" s="348">
        <v>1284.3699999999999</v>
      </c>
      <c r="G18" s="349">
        <v>0.1</v>
      </c>
      <c r="H18" s="350">
        <v>118.16</v>
      </c>
      <c r="I18" s="351">
        <v>59.08</v>
      </c>
      <c r="J18" s="1963" t="s">
        <v>1577</v>
      </c>
      <c r="K18" s="1964"/>
    </row>
    <row r="19" spans="1:11">
      <c r="A19" s="359">
        <v>44418</v>
      </c>
      <c r="B19" s="459">
        <v>44783</v>
      </c>
      <c r="C19" s="346" t="s">
        <v>1842</v>
      </c>
      <c r="D19" s="347" t="s">
        <v>448</v>
      </c>
      <c r="E19" s="346" t="s">
        <v>945</v>
      </c>
      <c r="F19" s="348">
        <v>2234.19</v>
      </c>
      <c r="G19" s="349">
        <v>0.1</v>
      </c>
      <c r="H19" s="350">
        <v>189.1</v>
      </c>
      <c r="I19" s="351"/>
      <c r="J19" s="1963"/>
      <c r="K19" s="1964"/>
    </row>
    <row r="20" spans="1:11">
      <c r="A20" s="359">
        <v>44419</v>
      </c>
      <c r="B20" s="490">
        <v>44784</v>
      </c>
      <c r="C20" s="345" t="s">
        <v>991</v>
      </c>
      <c r="D20" s="347" t="s">
        <v>9</v>
      </c>
      <c r="E20" s="346" t="s">
        <v>1552</v>
      </c>
      <c r="F20" s="348">
        <v>1873.79</v>
      </c>
      <c r="G20" s="349">
        <v>0.2</v>
      </c>
      <c r="H20" s="350">
        <v>344.77</v>
      </c>
      <c r="I20" s="351">
        <v>172.38</v>
      </c>
      <c r="J20" s="1963" t="s">
        <v>1482</v>
      </c>
      <c r="K20" s="1964"/>
    </row>
    <row r="21" spans="1:11">
      <c r="A21" s="359">
        <v>44419</v>
      </c>
      <c r="B21" s="345">
        <v>44789</v>
      </c>
      <c r="C21" s="346" t="s">
        <v>1016</v>
      </c>
      <c r="D21" s="347" t="s">
        <v>198</v>
      </c>
      <c r="E21" s="346" t="s">
        <v>10</v>
      </c>
      <c r="F21" s="348">
        <v>1072.1300000000001</v>
      </c>
      <c r="G21" s="349">
        <v>0.1</v>
      </c>
      <c r="H21" s="350">
        <v>98.63</v>
      </c>
      <c r="I21" s="351"/>
      <c r="J21" s="1963"/>
      <c r="K21" s="1964"/>
    </row>
    <row r="22" spans="1:11">
      <c r="A22" s="359">
        <v>44419</v>
      </c>
      <c r="B22" s="345">
        <v>44786</v>
      </c>
      <c r="C22" s="346" t="s">
        <v>1486</v>
      </c>
      <c r="D22" s="347" t="s">
        <v>448</v>
      </c>
      <c r="E22" s="346" t="s">
        <v>10</v>
      </c>
      <c r="F22" s="348">
        <v>1489.64</v>
      </c>
      <c r="G22" s="349">
        <v>0.1</v>
      </c>
      <c r="H22" s="350">
        <v>137.04</v>
      </c>
      <c r="I22" s="351"/>
      <c r="J22" s="1963"/>
      <c r="K22" s="1964"/>
    </row>
    <row r="23" spans="1:11">
      <c r="A23" s="359">
        <v>44419</v>
      </c>
      <c r="B23" s="345">
        <v>44423</v>
      </c>
      <c r="C23" s="346" t="s">
        <v>1843</v>
      </c>
      <c r="D23" s="347" t="s">
        <v>448</v>
      </c>
      <c r="E23" s="346" t="s">
        <v>945</v>
      </c>
      <c r="F23" s="348">
        <v>1754.62</v>
      </c>
      <c r="G23" s="349">
        <v>0.1</v>
      </c>
      <c r="H23" s="350">
        <v>161.41999999999999</v>
      </c>
      <c r="I23" s="351"/>
      <c r="J23" s="1963"/>
      <c r="K23" s="1964"/>
    </row>
    <row r="24" spans="1:11" s="731" customFormat="1">
      <c r="A24" s="567">
        <v>44419</v>
      </c>
      <c r="B24" s="567">
        <v>44784</v>
      </c>
      <c r="C24" s="381" t="s">
        <v>1503</v>
      </c>
      <c r="D24" s="382" t="s">
        <v>448</v>
      </c>
      <c r="E24" s="381" t="s">
        <v>19</v>
      </c>
      <c r="F24" s="386">
        <v>1988.59</v>
      </c>
      <c r="G24" s="383">
        <v>0.16</v>
      </c>
      <c r="H24" s="624">
        <v>292.72000000000003</v>
      </c>
      <c r="I24" s="625">
        <v>29.27</v>
      </c>
      <c r="J24" s="1971" t="s">
        <v>1539</v>
      </c>
      <c r="K24" s="1972"/>
    </row>
    <row r="25" spans="1:11">
      <c r="A25" s="491">
        <v>44419</v>
      </c>
      <c r="B25" s="492">
        <v>44784</v>
      </c>
      <c r="C25" s="493" t="s">
        <v>1844</v>
      </c>
      <c r="D25" s="494" t="s">
        <v>9</v>
      </c>
      <c r="E25" s="493" t="s">
        <v>1552</v>
      </c>
      <c r="F25" s="495">
        <v>2387.9299999999998</v>
      </c>
      <c r="G25" s="496">
        <v>0.1</v>
      </c>
      <c r="H25" s="497">
        <v>219.68</v>
      </c>
      <c r="I25" s="498"/>
      <c r="J25" s="1967"/>
      <c r="K25" s="1968"/>
    </row>
    <row r="26" spans="1:11">
      <c r="A26" s="359">
        <v>44419</v>
      </c>
      <c r="B26" s="345">
        <v>44784</v>
      </c>
      <c r="C26" s="501" t="s">
        <v>1100</v>
      </c>
      <c r="D26" s="347" t="s">
        <v>70</v>
      </c>
      <c r="E26" s="346" t="s">
        <v>10</v>
      </c>
      <c r="F26" s="348">
        <v>2599.1799999999998</v>
      </c>
      <c r="G26" s="349">
        <v>0.1</v>
      </c>
      <c r="H26" s="502">
        <v>239.12</v>
      </c>
      <c r="I26" s="826"/>
      <c r="J26" s="1963"/>
      <c r="K26" s="1964"/>
    </row>
    <row r="27" spans="1:11">
      <c r="A27" s="359">
        <v>44419</v>
      </c>
      <c r="B27" s="345">
        <v>44784</v>
      </c>
      <c r="C27" s="346" t="s">
        <v>1845</v>
      </c>
      <c r="D27" s="347" t="s">
        <v>61</v>
      </c>
      <c r="E27" s="346" t="s">
        <v>22</v>
      </c>
      <c r="F27" s="348">
        <v>1730.4</v>
      </c>
      <c r="G27" s="349">
        <v>0.12</v>
      </c>
      <c r="H27" s="350">
        <v>191.03</v>
      </c>
      <c r="I27" s="351">
        <v>95.51</v>
      </c>
      <c r="J27" s="1963" t="s">
        <v>491</v>
      </c>
      <c r="K27" s="1964"/>
    </row>
    <row r="28" spans="1:11">
      <c r="A28" s="359">
        <v>44420</v>
      </c>
      <c r="B28" s="345">
        <v>44792</v>
      </c>
      <c r="C28" s="346" t="s">
        <v>1495</v>
      </c>
      <c r="D28" s="347" t="s">
        <v>9</v>
      </c>
      <c r="E28" s="346" t="s">
        <v>10</v>
      </c>
      <c r="F28" s="348">
        <v>1165.68</v>
      </c>
      <c r="G28" s="349">
        <v>0.1</v>
      </c>
      <c r="H28" s="350">
        <v>107.24</v>
      </c>
      <c r="I28" s="522"/>
      <c r="J28" s="1963"/>
      <c r="K28" s="1964"/>
    </row>
    <row r="29" spans="1:11">
      <c r="A29" s="359">
        <v>44420</v>
      </c>
      <c r="B29" s="345">
        <v>44785</v>
      </c>
      <c r="C29" s="346" t="s">
        <v>1485</v>
      </c>
      <c r="D29" s="347" t="s">
        <v>70</v>
      </c>
      <c r="E29" s="346" t="s">
        <v>279</v>
      </c>
      <c r="F29" s="348">
        <v>769.81</v>
      </c>
      <c r="G29" s="349">
        <v>0.1</v>
      </c>
      <c r="H29" s="350">
        <v>70.819999999999993</v>
      </c>
      <c r="I29" s="351"/>
      <c r="J29" s="1963"/>
      <c r="K29" s="1964"/>
    </row>
    <row r="30" spans="1:11">
      <c r="A30" s="287">
        <v>44420</v>
      </c>
      <c r="B30" s="288">
        <v>44788</v>
      </c>
      <c r="C30" s="436" t="s">
        <v>1846</v>
      </c>
      <c r="D30" s="289" t="s">
        <v>14</v>
      </c>
      <c r="E30" s="290" t="s">
        <v>10</v>
      </c>
      <c r="F30" s="337">
        <v>730.25</v>
      </c>
      <c r="G30" s="292">
        <v>0.1</v>
      </c>
      <c r="H30" s="293">
        <v>67.180000000000007</v>
      </c>
      <c r="I30" s="294"/>
      <c r="J30" s="1967"/>
      <c r="K30" s="1968"/>
    </row>
    <row r="31" spans="1:11">
      <c r="A31" s="359">
        <v>44421</v>
      </c>
      <c r="B31" s="345">
        <v>44786</v>
      </c>
      <c r="C31" s="793" t="s">
        <v>1001</v>
      </c>
      <c r="D31" s="347" t="s">
        <v>61</v>
      </c>
      <c r="E31" s="346" t="s">
        <v>10</v>
      </c>
      <c r="F31" s="348">
        <v>840.96</v>
      </c>
      <c r="G31" s="349">
        <v>0.1</v>
      </c>
      <c r="H31" s="350">
        <v>77.36</v>
      </c>
      <c r="I31" s="351">
        <v>38.68</v>
      </c>
      <c r="J31" s="1963" t="s">
        <v>1482</v>
      </c>
      <c r="K31" s="1964"/>
    </row>
    <row r="32" spans="1:11">
      <c r="A32" s="359">
        <v>44421</v>
      </c>
      <c r="B32" s="345">
        <v>44788</v>
      </c>
      <c r="C32" s="346" t="s">
        <v>1847</v>
      </c>
      <c r="D32" s="347" t="s">
        <v>61</v>
      </c>
      <c r="E32" s="346" t="s">
        <v>29</v>
      </c>
      <c r="F32" s="348">
        <v>2342.69</v>
      </c>
      <c r="G32" s="349">
        <v>0.1</v>
      </c>
      <c r="H32" s="350">
        <v>215.52</v>
      </c>
      <c r="I32" s="351"/>
      <c r="J32" s="1963"/>
      <c r="K32" s="1964"/>
    </row>
    <row r="33" spans="1:11">
      <c r="A33" s="503">
        <v>44421</v>
      </c>
      <c r="B33" s="503">
        <v>44424</v>
      </c>
      <c r="C33" s="458" t="s">
        <v>108</v>
      </c>
      <c r="D33" s="504" t="s">
        <v>9</v>
      </c>
      <c r="E33" s="505" t="s">
        <v>438</v>
      </c>
      <c r="F33" s="506">
        <v>1577.36</v>
      </c>
      <c r="G33" s="507">
        <v>0.2</v>
      </c>
      <c r="H33" s="506">
        <v>290.23</v>
      </c>
      <c r="I33" s="482"/>
      <c r="J33" s="1963"/>
      <c r="K33" s="1964"/>
    </row>
    <row r="34" spans="1:11">
      <c r="A34" s="459">
        <v>44421</v>
      </c>
      <c r="B34" s="790">
        <v>44787</v>
      </c>
      <c r="C34" s="458" t="s">
        <v>1848</v>
      </c>
      <c r="D34" s="1546" t="s">
        <v>25</v>
      </c>
      <c r="E34" s="458" t="s">
        <v>29</v>
      </c>
      <c r="F34" s="508">
        <v>1998.07</v>
      </c>
      <c r="G34" s="461">
        <v>0.15</v>
      </c>
      <c r="H34" s="508">
        <v>275.73</v>
      </c>
      <c r="I34" s="482"/>
      <c r="J34" s="1963"/>
      <c r="K34" s="1964"/>
    </row>
    <row r="35" spans="1:11">
      <c r="A35" s="459">
        <v>44424</v>
      </c>
      <c r="B35" s="459">
        <v>44788</v>
      </c>
      <c r="C35" s="458" t="s">
        <v>1849</v>
      </c>
      <c r="D35" s="1546" t="s">
        <v>61</v>
      </c>
      <c r="E35" s="458" t="s">
        <v>945</v>
      </c>
      <c r="F35" s="508">
        <v>2090.81</v>
      </c>
      <c r="G35" s="461">
        <v>0.15</v>
      </c>
      <c r="H35" s="508">
        <v>288.52999999999997</v>
      </c>
      <c r="I35" s="482"/>
      <c r="J35" s="1963"/>
      <c r="K35" s="1964"/>
    </row>
    <row r="36" spans="1:11">
      <c r="A36" s="359">
        <v>44424</v>
      </c>
      <c r="B36" s="345">
        <v>44793</v>
      </c>
      <c r="C36" s="346" t="s">
        <v>1850</v>
      </c>
      <c r="D36" s="347" t="s">
        <v>448</v>
      </c>
      <c r="E36" s="346" t="s">
        <v>10</v>
      </c>
      <c r="F36" s="348">
        <v>1116.3399999999999</v>
      </c>
      <c r="G36" s="349">
        <v>0.1</v>
      </c>
      <c r="H36" s="350">
        <v>102.7</v>
      </c>
      <c r="I36" s="351">
        <v>51.35</v>
      </c>
      <c r="J36" s="1963" t="s">
        <v>1577</v>
      </c>
      <c r="K36" s="1964"/>
    </row>
    <row r="37" spans="1:11">
      <c r="A37" s="359">
        <v>44424</v>
      </c>
      <c r="B37" s="345">
        <v>44791</v>
      </c>
      <c r="C37" s="346" t="s">
        <v>1353</v>
      </c>
      <c r="D37" s="347" t="s">
        <v>9</v>
      </c>
      <c r="E37" s="346" t="s">
        <v>10</v>
      </c>
      <c r="F37" s="348">
        <v>946.62</v>
      </c>
      <c r="G37" s="349">
        <v>0.15</v>
      </c>
      <c r="H37" s="350">
        <v>130.63</v>
      </c>
      <c r="I37" s="351"/>
      <c r="J37" s="1963"/>
      <c r="K37" s="1964"/>
    </row>
    <row r="38" spans="1:11">
      <c r="A38" s="359">
        <v>44424</v>
      </c>
      <c r="B38" s="345">
        <v>44789</v>
      </c>
      <c r="C38" s="346" t="s">
        <v>760</v>
      </c>
      <c r="D38" s="347" t="s">
        <v>61</v>
      </c>
      <c r="E38" s="346" t="s">
        <v>29</v>
      </c>
      <c r="F38" s="348">
        <f>1614.37+130.9</f>
        <v>1745.27</v>
      </c>
      <c r="G38" s="349">
        <v>0.1</v>
      </c>
      <c r="H38" s="350">
        <v>160.56</v>
      </c>
      <c r="I38" s="351"/>
      <c r="J38" s="1963"/>
      <c r="K38" s="1964"/>
    </row>
    <row r="39" spans="1:11">
      <c r="A39" s="359">
        <v>44423</v>
      </c>
      <c r="B39" s="345">
        <v>44788</v>
      </c>
      <c r="C39" s="346" t="s">
        <v>1005</v>
      </c>
      <c r="D39" s="347" t="s">
        <v>21</v>
      </c>
      <c r="E39" s="346" t="s">
        <v>22</v>
      </c>
      <c r="F39" s="348">
        <v>1158.6600000000001</v>
      </c>
      <c r="G39" s="349">
        <v>0.1</v>
      </c>
      <c r="H39" s="350">
        <v>106.59</v>
      </c>
      <c r="I39" s="351"/>
      <c r="J39" s="1963"/>
      <c r="K39" s="1964"/>
    </row>
    <row r="40" spans="1:11">
      <c r="A40" s="359">
        <v>44424</v>
      </c>
      <c r="B40" s="345">
        <v>44793</v>
      </c>
      <c r="C40" s="346" t="s">
        <v>1851</v>
      </c>
      <c r="D40" s="347" t="s">
        <v>61</v>
      </c>
      <c r="E40" s="346" t="s">
        <v>22</v>
      </c>
      <c r="F40" s="348">
        <v>1402.89</v>
      </c>
      <c r="G40" s="349">
        <v>0.1</v>
      </c>
      <c r="H40" s="350">
        <v>129.06</v>
      </c>
      <c r="I40" s="351">
        <v>64.53</v>
      </c>
      <c r="J40" s="1963" t="s">
        <v>491</v>
      </c>
      <c r="K40" s="1964"/>
    </row>
    <row r="41" spans="1:11">
      <c r="A41" s="287">
        <v>44425</v>
      </c>
      <c r="B41" s="288">
        <v>44794</v>
      </c>
      <c r="C41" s="290" t="s">
        <v>1016</v>
      </c>
      <c r="D41" s="289" t="s">
        <v>1852</v>
      </c>
      <c r="E41" s="290" t="s">
        <v>10</v>
      </c>
      <c r="F41" s="337">
        <v>1465.48</v>
      </c>
      <c r="G41" s="292">
        <v>0.15</v>
      </c>
      <c r="H41" s="293">
        <v>202.23</v>
      </c>
      <c r="I41" s="294"/>
      <c r="J41" s="1967"/>
      <c r="K41" s="1968"/>
    </row>
    <row r="42" spans="1:11">
      <c r="A42" s="287">
        <v>44425</v>
      </c>
      <c r="B42" s="288">
        <v>44791</v>
      </c>
      <c r="C42" s="290" t="s">
        <v>1010</v>
      </c>
      <c r="D42" s="289" t="s">
        <v>70</v>
      </c>
      <c r="E42" s="290" t="s">
        <v>945</v>
      </c>
      <c r="F42" s="337">
        <v>1079.54</v>
      </c>
      <c r="G42" s="292">
        <v>0.13</v>
      </c>
      <c r="H42" s="293">
        <v>129.11000000000001</v>
      </c>
      <c r="I42" s="294">
        <v>64.55</v>
      </c>
      <c r="J42" s="1967" t="s">
        <v>1577</v>
      </c>
      <c r="K42" s="1968"/>
    </row>
    <row r="43" spans="1:11">
      <c r="A43" s="359">
        <v>44424</v>
      </c>
      <c r="B43" s="345">
        <v>44789</v>
      </c>
      <c r="C43" s="346" t="s">
        <v>1853</v>
      </c>
      <c r="D43" s="347" t="s">
        <v>9</v>
      </c>
      <c r="E43" s="346" t="s">
        <v>10</v>
      </c>
      <c r="F43" s="348">
        <v>1099.6300000000001</v>
      </c>
      <c r="G43" s="349">
        <v>0.15</v>
      </c>
      <c r="H43" s="350">
        <v>151.74</v>
      </c>
      <c r="I43" s="351"/>
      <c r="J43" s="1963"/>
      <c r="K43" s="1964"/>
    </row>
    <row r="44" spans="1:11" s="757" customFormat="1">
      <c r="A44" s="758">
        <v>44426</v>
      </c>
      <c r="B44" s="759">
        <v>44791</v>
      </c>
      <c r="C44" s="760" t="s">
        <v>1854</v>
      </c>
      <c r="D44" s="761" t="s">
        <v>448</v>
      </c>
      <c r="E44" s="760" t="s">
        <v>10</v>
      </c>
      <c r="F44" s="762">
        <v>4977</v>
      </c>
      <c r="G44" s="763">
        <v>0.15</v>
      </c>
      <c r="H44" s="764">
        <v>686.82</v>
      </c>
      <c r="I44" s="765">
        <v>6</v>
      </c>
      <c r="J44" s="1985" t="s">
        <v>1726</v>
      </c>
      <c r="K44" s="1986"/>
    </row>
    <row r="45" spans="1:11">
      <c r="A45" s="359">
        <v>44427</v>
      </c>
      <c r="B45" s="345">
        <v>44797</v>
      </c>
      <c r="C45" s="346" t="s">
        <v>1019</v>
      </c>
      <c r="D45" s="347" t="s">
        <v>61</v>
      </c>
      <c r="E45" s="346" t="s">
        <v>10</v>
      </c>
      <c r="F45" s="348">
        <v>1075.79</v>
      </c>
      <c r="G45" s="349">
        <v>0.15</v>
      </c>
      <c r="H45" s="350">
        <v>148.44999999999999</v>
      </c>
      <c r="I45" s="351"/>
      <c r="J45" s="1987"/>
      <c r="K45" s="1988"/>
    </row>
    <row r="46" spans="1:11">
      <c r="A46" s="359">
        <v>44427</v>
      </c>
      <c r="B46" s="345">
        <v>44800</v>
      </c>
      <c r="C46" s="346" t="s">
        <v>1501</v>
      </c>
      <c r="D46" s="347" t="s">
        <v>9</v>
      </c>
      <c r="E46" s="346" t="s">
        <v>10</v>
      </c>
      <c r="F46" s="348">
        <v>1050.44</v>
      </c>
      <c r="G46" s="349">
        <v>0.2</v>
      </c>
      <c r="H46" s="350">
        <v>193.28</v>
      </c>
      <c r="I46" s="351"/>
      <c r="J46" s="1989"/>
      <c r="K46" s="1990"/>
    </row>
    <row r="47" spans="1:11">
      <c r="A47" s="359">
        <v>44428</v>
      </c>
      <c r="B47" s="345">
        <v>44793</v>
      </c>
      <c r="C47" s="346" t="s">
        <v>1855</v>
      </c>
      <c r="D47" s="347" t="s">
        <v>149</v>
      </c>
      <c r="E47" s="346" t="s">
        <v>438</v>
      </c>
      <c r="F47" s="348">
        <v>911.36</v>
      </c>
      <c r="G47" s="349">
        <v>0.1</v>
      </c>
      <c r="H47" s="350">
        <v>83.84</v>
      </c>
      <c r="I47" s="351"/>
      <c r="J47" s="1963"/>
      <c r="K47" s="1964"/>
    </row>
    <row r="48" spans="1:11">
      <c r="A48" s="359">
        <v>44431</v>
      </c>
      <c r="B48" s="345">
        <v>44799</v>
      </c>
      <c r="C48" s="346" t="s">
        <v>1856</v>
      </c>
      <c r="D48" s="347" t="s">
        <v>9</v>
      </c>
      <c r="E48" s="346" t="s">
        <v>279</v>
      </c>
      <c r="F48" s="348">
        <v>878.05</v>
      </c>
      <c r="G48" s="349">
        <v>0.15</v>
      </c>
      <c r="H48" s="350">
        <v>121.17</v>
      </c>
      <c r="I48" s="351"/>
      <c r="J48" s="1963"/>
      <c r="K48" s="1964"/>
    </row>
    <row r="49" spans="1:11">
      <c r="A49" s="359">
        <v>44433</v>
      </c>
      <c r="B49" s="345">
        <v>44804</v>
      </c>
      <c r="C49" s="346" t="s">
        <v>1857</v>
      </c>
      <c r="D49" s="347" t="s">
        <v>9</v>
      </c>
      <c r="E49" s="346" t="s">
        <v>10</v>
      </c>
      <c r="F49" s="348">
        <v>1476.11</v>
      </c>
      <c r="G49" s="349">
        <v>0.1</v>
      </c>
      <c r="H49" s="350">
        <v>135.80000000000001</v>
      </c>
      <c r="I49" s="351"/>
      <c r="J49" s="1963"/>
      <c r="K49" s="1964"/>
    </row>
    <row r="50" spans="1:11" s="731" customFormat="1">
      <c r="A50" s="238">
        <v>44433</v>
      </c>
      <c r="B50" s="239">
        <v>44800</v>
      </c>
      <c r="C50" s="240" t="s">
        <v>1858</v>
      </c>
      <c r="D50" s="241" t="s">
        <v>9</v>
      </c>
      <c r="E50" s="240" t="s">
        <v>143</v>
      </c>
      <c r="F50" s="323">
        <v>5864.16</v>
      </c>
      <c r="G50" s="243">
        <v>0.1</v>
      </c>
      <c r="H50" s="244">
        <v>539.5</v>
      </c>
      <c r="I50" s="245"/>
      <c r="J50" s="1965"/>
      <c r="K50" s="1966"/>
    </row>
    <row r="51" spans="1:11" s="731" customFormat="1">
      <c r="A51" s="238">
        <v>44433</v>
      </c>
      <c r="B51" s="239">
        <v>44799</v>
      </c>
      <c r="C51" s="240" t="s">
        <v>1858</v>
      </c>
      <c r="D51" s="241" t="s">
        <v>9</v>
      </c>
      <c r="E51" s="240" t="s">
        <v>1310</v>
      </c>
      <c r="F51" s="323">
        <v>1362.51</v>
      </c>
      <c r="G51" s="243">
        <v>0.15</v>
      </c>
      <c r="H51" s="244">
        <v>188.02</v>
      </c>
      <c r="I51" s="245"/>
      <c r="J51" s="1965"/>
      <c r="K51" s="1966"/>
    </row>
    <row r="52" spans="1:11">
      <c r="A52" s="359">
        <v>44433</v>
      </c>
      <c r="B52" s="345" t="s">
        <v>1805</v>
      </c>
      <c r="C52" s="346" t="s">
        <v>1430</v>
      </c>
      <c r="D52" s="347" t="s">
        <v>9</v>
      </c>
      <c r="E52" s="346" t="s">
        <v>19</v>
      </c>
      <c r="F52" s="348">
        <v>869.35</v>
      </c>
      <c r="G52" s="349">
        <v>0.15</v>
      </c>
      <c r="H52" s="350">
        <v>119.97</v>
      </c>
      <c r="I52" s="351"/>
      <c r="J52" s="1987"/>
      <c r="K52" s="1988"/>
    </row>
    <row r="53" spans="1:11">
      <c r="A53" s="359">
        <v>44435</v>
      </c>
      <c r="B53" s="345">
        <v>44800</v>
      </c>
      <c r="C53" s="346" t="s">
        <v>1859</v>
      </c>
      <c r="D53" s="347" t="s">
        <v>448</v>
      </c>
      <c r="E53" s="346" t="s">
        <v>279</v>
      </c>
      <c r="F53" s="348">
        <v>2285.64</v>
      </c>
      <c r="G53" s="349">
        <v>0.1</v>
      </c>
      <c r="H53" s="350">
        <v>210.27</v>
      </c>
      <c r="I53" s="351"/>
      <c r="J53" s="1989"/>
      <c r="K53" s="1990"/>
    </row>
    <row r="54" spans="1:11">
      <c r="A54" s="359">
        <v>44435</v>
      </c>
      <c r="B54" s="345">
        <v>44800</v>
      </c>
      <c r="C54" s="346" t="s">
        <v>1026</v>
      </c>
      <c r="D54" s="347" t="s">
        <v>70</v>
      </c>
      <c r="E54" s="346" t="s">
        <v>1310</v>
      </c>
      <c r="F54" s="348">
        <v>2816.44</v>
      </c>
      <c r="G54" s="349">
        <v>0.1</v>
      </c>
      <c r="H54" s="350">
        <v>259.11</v>
      </c>
      <c r="I54" s="351"/>
      <c r="J54" s="1963"/>
      <c r="K54" s="1964"/>
    </row>
    <row r="55" spans="1:11">
      <c r="A55" s="459">
        <v>44438</v>
      </c>
      <c r="B55" s="459">
        <v>44803</v>
      </c>
      <c r="C55" s="458" t="s">
        <v>1860</v>
      </c>
      <c r="D55" s="1546" t="s">
        <v>9</v>
      </c>
      <c r="E55" s="458" t="s">
        <v>143</v>
      </c>
      <c r="F55" s="460">
        <v>3493.72</v>
      </c>
      <c r="G55" s="461">
        <v>0.1</v>
      </c>
      <c r="H55" s="462">
        <v>321.42</v>
      </c>
      <c r="I55" s="463"/>
      <c r="J55" s="1963"/>
      <c r="K55" s="1964"/>
    </row>
    <row r="56" spans="1:11">
      <c r="A56" s="459">
        <v>44438</v>
      </c>
      <c r="B56" s="459">
        <v>44803</v>
      </c>
      <c r="C56" s="458" t="s">
        <v>877</v>
      </c>
      <c r="D56" s="1546" t="s">
        <v>448</v>
      </c>
      <c r="E56" s="458" t="s">
        <v>19</v>
      </c>
      <c r="F56" s="460">
        <v>1437.19</v>
      </c>
      <c r="G56" s="461">
        <v>0.1</v>
      </c>
      <c r="H56" s="462">
        <v>132.22</v>
      </c>
      <c r="I56" s="463"/>
      <c r="J56" s="1963"/>
      <c r="K56" s="1964"/>
    </row>
    <row r="57" spans="1:11">
      <c r="A57" s="459">
        <v>44439</v>
      </c>
      <c r="B57" s="459">
        <v>44804</v>
      </c>
      <c r="C57" s="458" t="s">
        <v>1504</v>
      </c>
      <c r="D57" s="1546" t="s">
        <v>9</v>
      </c>
      <c r="E57" s="458" t="s">
        <v>1552</v>
      </c>
      <c r="F57" s="460">
        <v>936.14</v>
      </c>
      <c r="G57" s="461">
        <v>0.1</v>
      </c>
      <c r="H57" s="462">
        <v>86.12</v>
      </c>
      <c r="I57" s="463"/>
      <c r="J57" s="1963"/>
      <c r="K57" s="1964"/>
    </row>
    <row r="58" spans="1:11">
      <c r="A58" s="459"/>
      <c r="B58" s="459"/>
      <c r="C58" s="458"/>
      <c r="D58" s="1546"/>
      <c r="E58" s="458"/>
      <c r="F58" s="460"/>
      <c r="G58" s="461"/>
      <c r="H58" s="462"/>
      <c r="I58" s="463"/>
      <c r="J58" s="1963"/>
      <c r="K58" s="1964"/>
    </row>
    <row r="59" spans="1:11" ht="20.25" thickBot="1">
      <c r="A59" s="683"/>
      <c r="B59" s="684"/>
      <c r="C59" s="684"/>
      <c r="D59" s="684"/>
      <c r="E59" s="684"/>
      <c r="F59" s="332">
        <f>SUM(F2:F58)</f>
        <v>92318.260000000009</v>
      </c>
      <c r="G59" s="164"/>
      <c r="H59" s="165">
        <f>SUM(H2:H58)</f>
        <v>10321.48</v>
      </c>
      <c r="I59" s="166">
        <f>SUM(I2:I58)</f>
        <v>699.77999999999986</v>
      </c>
      <c r="J59" s="739"/>
      <c r="K59" s="739"/>
    </row>
  </sheetData>
  <mergeCells count="56">
    <mergeCell ref="J12:K12"/>
    <mergeCell ref="J1:K1"/>
    <mergeCell ref="J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34:K34"/>
    <mergeCell ref="J35:K35"/>
    <mergeCell ref="J23:K23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9:K29"/>
    <mergeCell ref="J30:K30"/>
    <mergeCell ref="J31:K31"/>
    <mergeCell ref="J32:K32"/>
    <mergeCell ref="J33:K33"/>
    <mergeCell ref="J24:K24"/>
    <mergeCell ref="J25:K25"/>
    <mergeCell ref="J26:K26"/>
    <mergeCell ref="J27:K27"/>
    <mergeCell ref="J28:K28"/>
    <mergeCell ref="J36:K36"/>
    <mergeCell ref="J45:K46"/>
    <mergeCell ref="J43:K43"/>
    <mergeCell ref="J38:K38"/>
    <mergeCell ref="J37:K37"/>
    <mergeCell ref="J58:K58"/>
    <mergeCell ref="J57:K57"/>
    <mergeCell ref="J56:K56"/>
    <mergeCell ref="J55:K55"/>
    <mergeCell ref="J39:K39"/>
    <mergeCell ref="J41:K41"/>
    <mergeCell ref="J42:K42"/>
    <mergeCell ref="J44:K44"/>
    <mergeCell ref="J40:K40"/>
    <mergeCell ref="J54:K54"/>
    <mergeCell ref="J52:K53"/>
    <mergeCell ref="J51:K51"/>
    <mergeCell ref="J50:K50"/>
    <mergeCell ref="J49:K49"/>
    <mergeCell ref="J48:K48"/>
    <mergeCell ref="J47:K47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K56"/>
  <sheetViews>
    <sheetView topLeftCell="A18" zoomScale="85" zoomScaleNormal="85" workbookViewId="0">
      <selection activeCell="A40" sqref="A40:XFD41"/>
    </sheetView>
  </sheetViews>
  <sheetFormatPr defaultRowHeight="15"/>
  <cols>
    <col min="1" max="1" width="14" bestFit="1" customWidth="1"/>
    <col min="2" max="2" width="11.5703125" bestFit="1" customWidth="1"/>
    <col min="3" max="3" width="43.28515625" bestFit="1" customWidth="1"/>
    <col min="4" max="4" width="18.28515625" bestFit="1" customWidth="1"/>
    <col min="5" max="5" width="14.7109375" bestFit="1" customWidth="1"/>
    <col min="6" max="6" width="19.28515625" bestFit="1" customWidth="1"/>
    <col min="7" max="7" width="13.42578125" bestFit="1" customWidth="1"/>
    <col min="8" max="8" width="22.5703125" bestFit="1" customWidth="1"/>
    <col min="9" max="9" width="21" bestFit="1" customWidth="1"/>
  </cols>
  <sheetData>
    <row r="1" spans="1:11" ht="15.75" thickBot="1">
      <c r="A1" s="30" t="s">
        <v>1832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1969" t="s">
        <v>370</v>
      </c>
      <c r="K1" s="1970"/>
    </row>
    <row r="2" spans="1:11">
      <c r="A2" s="359">
        <v>44434</v>
      </c>
      <c r="B2" s="345">
        <v>44807</v>
      </c>
      <c r="C2" s="346" t="s">
        <v>1030</v>
      </c>
      <c r="D2" s="347" t="s">
        <v>61</v>
      </c>
      <c r="E2" s="346" t="s">
        <v>10</v>
      </c>
      <c r="F2" s="348">
        <v>1361.81</v>
      </c>
      <c r="G2" s="349">
        <v>0.1</v>
      </c>
      <c r="H2" s="350">
        <v>125.28</v>
      </c>
      <c r="I2" s="522"/>
      <c r="J2" s="1963"/>
      <c r="K2" s="1964"/>
    </row>
    <row r="3" spans="1:11">
      <c r="A3" s="483">
        <v>44442</v>
      </c>
      <c r="B3" s="484">
        <v>44808</v>
      </c>
      <c r="C3" s="436" t="s">
        <v>1574</v>
      </c>
      <c r="D3" s="1547" t="s">
        <v>25</v>
      </c>
      <c r="E3" s="436" t="s">
        <v>279</v>
      </c>
      <c r="F3" s="485">
        <v>2483.52</v>
      </c>
      <c r="G3" s="486">
        <v>0.1</v>
      </c>
      <c r="H3" s="487">
        <v>228.48</v>
      </c>
      <c r="I3" s="488"/>
      <c r="J3" s="1967"/>
      <c r="K3" s="1968"/>
    </row>
    <row r="4" spans="1:11">
      <c r="A4" s="287">
        <v>44447</v>
      </c>
      <c r="B4" s="288">
        <v>44812</v>
      </c>
      <c r="C4" s="290" t="s">
        <v>1691</v>
      </c>
      <c r="D4" s="289" t="s">
        <v>61</v>
      </c>
      <c r="E4" s="290" t="s">
        <v>29</v>
      </c>
      <c r="F4" s="337">
        <v>1551.1</v>
      </c>
      <c r="G4" s="292">
        <v>0.15</v>
      </c>
      <c r="H4" s="293">
        <v>214.05</v>
      </c>
      <c r="I4" s="294">
        <v>107.02</v>
      </c>
      <c r="J4" s="1967" t="s">
        <v>1561</v>
      </c>
      <c r="K4" s="1968"/>
    </row>
    <row r="5" spans="1:11">
      <c r="A5" s="287">
        <v>44447</v>
      </c>
      <c r="B5" s="288">
        <v>44819</v>
      </c>
      <c r="C5" s="290" t="s">
        <v>1861</v>
      </c>
      <c r="D5" s="289" t="s">
        <v>448</v>
      </c>
      <c r="E5" s="290" t="s">
        <v>10</v>
      </c>
      <c r="F5" s="337">
        <v>924.9</v>
      </c>
      <c r="G5" s="292">
        <v>0.1</v>
      </c>
      <c r="H5" s="293">
        <v>85.09</v>
      </c>
      <c r="I5" s="580"/>
      <c r="J5" s="1967"/>
      <c r="K5" s="1968"/>
    </row>
    <row r="6" spans="1:11">
      <c r="A6" s="484">
        <v>44447</v>
      </c>
      <c r="B6" s="484">
        <v>44813</v>
      </c>
      <c r="C6" s="436" t="s">
        <v>169</v>
      </c>
      <c r="D6" s="1547" t="s">
        <v>448</v>
      </c>
      <c r="E6" s="436" t="s">
        <v>19</v>
      </c>
      <c r="F6" s="485">
        <v>1582.92</v>
      </c>
      <c r="G6" s="486">
        <v>0.1</v>
      </c>
      <c r="H6" s="635">
        <v>145.62</v>
      </c>
      <c r="I6" s="489"/>
      <c r="J6" s="1967"/>
      <c r="K6" s="1968"/>
    </row>
    <row r="7" spans="1:11">
      <c r="A7" s="359">
        <v>44447</v>
      </c>
      <c r="B7" s="345">
        <v>44812</v>
      </c>
      <c r="C7" s="458" t="s">
        <v>437</v>
      </c>
      <c r="D7" s="347" t="s">
        <v>1862</v>
      </c>
      <c r="E7" s="346" t="s">
        <v>19</v>
      </c>
      <c r="F7" s="348">
        <v>1522.98</v>
      </c>
      <c r="G7" s="349">
        <v>0.1</v>
      </c>
      <c r="H7" s="350">
        <v>140.11000000000001</v>
      </c>
      <c r="I7" s="351"/>
      <c r="J7" s="1963"/>
      <c r="K7" s="1964"/>
    </row>
    <row r="8" spans="1:11">
      <c r="A8" s="359">
        <v>44447</v>
      </c>
      <c r="B8" s="345">
        <v>44818</v>
      </c>
      <c r="C8" s="346" t="s">
        <v>1863</v>
      </c>
      <c r="D8" s="347" t="s">
        <v>149</v>
      </c>
      <c r="E8" s="346" t="s">
        <v>10</v>
      </c>
      <c r="F8" s="348">
        <v>1314.24</v>
      </c>
      <c r="G8" s="349">
        <v>0.1</v>
      </c>
      <c r="H8" s="350">
        <v>120.91</v>
      </c>
      <c r="I8" s="351"/>
      <c r="J8" s="1963"/>
      <c r="K8" s="1964"/>
    </row>
    <row r="9" spans="1:11" s="731" customFormat="1">
      <c r="A9" s="255">
        <v>44447</v>
      </c>
      <c r="B9" s="256">
        <v>44812</v>
      </c>
      <c r="C9" s="257" t="s">
        <v>1443</v>
      </c>
      <c r="D9" s="258" t="s">
        <v>448</v>
      </c>
      <c r="E9" s="257" t="s">
        <v>279</v>
      </c>
      <c r="F9" s="321">
        <v>887.32</v>
      </c>
      <c r="G9" s="260">
        <v>0.1</v>
      </c>
      <c r="H9" s="261">
        <v>81.63</v>
      </c>
      <c r="I9" s="262">
        <v>8.16</v>
      </c>
      <c r="J9" s="1971" t="s">
        <v>1575</v>
      </c>
      <c r="K9" s="1972"/>
    </row>
    <row r="10" spans="1:11">
      <c r="A10" s="287">
        <v>44449</v>
      </c>
      <c r="B10" s="288">
        <v>44813</v>
      </c>
      <c r="C10" s="290" t="s">
        <v>1864</v>
      </c>
      <c r="D10" s="289" t="s">
        <v>14</v>
      </c>
      <c r="E10" s="290" t="s">
        <v>10</v>
      </c>
      <c r="F10" s="337">
        <v>1687.29</v>
      </c>
      <c r="G10" s="292">
        <v>0.1</v>
      </c>
      <c r="H10" s="293">
        <v>155.22999999999999</v>
      </c>
      <c r="I10" s="581">
        <v>77.61</v>
      </c>
      <c r="J10" s="1963" t="s">
        <v>1743</v>
      </c>
      <c r="K10" s="1964"/>
    </row>
    <row r="11" spans="1:11">
      <c r="A11" s="287">
        <v>44449</v>
      </c>
      <c r="B11" s="288">
        <v>44820</v>
      </c>
      <c r="C11" s="290" t="s">
        <v>1521</v>
      </c>
      <c r="D11" s="289" t="s">
        <v>14</v>
      </c>
      <c r="E11" s="290" t="s">
        <v>143</v>
      </c>
      <c r="F11" s="337">
        <v>2190.35</v>
      </c>
      <c r="G11" s="292">
        <v>0.3</v>
      </c>
      <c r="H11" s="293">
        <v>604.53</v>
      </c>
      <c r="I11" s="580">
        <v>302.26</v>
      </c>
      <c r="J11" s="1967" t="s">
        <v>1588</v>
      </c>
      <c r="K11" s="1968"/>
    </row>
    <row r="12" spans="1:11">
      <c r="A12" s="287">
        <v>44449</v>
      </c>
      <c r="B12" s="288">
        <v>44816</v>
      </c>
      <c r="C12" s="458" t="s">
        <v>1043</v>
      </c>
      <c r="D12" s="289" t="s">
        <v>448</v>
      </c>
      <c r="E12" s="290" t="s">
        <v>19</v>
      </c>
      <c r="F12" s="337">
        <v>2001.1</v>
      </c>
      <c r="G12" s="292">
        <v>0.1</v>
      </c>
      <c r="H12" s="293">
        <v>184.1</v>
      </c>
      <c r="I12" s="580"/>
      <c r="J12" s="1967"/>
      <c r="K12" s="1968"/>
    </row>
    <row r="13" spans="1:11">
      <c r="A13" s="287">
        <v>44449</v>
      </c>
      <c r="B13" s="288">
        <v>44818</v>
      </c>
      <c r="C13" s="744" t="s">
        <v>1865</v>
      </c>
      <c r="D13" s="289" t="s">
        <v>9</v>
      </c>
      <c r="E13" s="290" t="s">
        <v>10</v>
      </c>
      <c r="F13" s="337">
        <v>2770.49</v>
      </c>
      <c r="G13" s="292">
        <v>0.1</v>
      </c>
      <c r="H13" s="293">
        <v>254.88</v>
      </c>
      <c r="I13" s="580"/>
      <c r="J13" s="1967"/>
      <c r="K13" s="1968"/>
    </row>
    <row r="14" spans="1:11" s="731" customFormat="1">
      <c r="A14" s="255">
        <v>44449</v>
      </c>
      <c r="B14" s="256">
        <v>44814</v>
      </c>
      <c r="C14" s="257" t="s">
        <v>1518</v>
      </c>
      <c r="D14" s="258" t="s">
        <v>448</v>
      </c>
      <c r="E14" s="257" t="s">
        <v>10</v>
      </c>
      <c r="F14" s="321">
        <v>1503.73</v>
      </c>
      <c r="G14" s="260">
        <v>0.1</v>
      </c>
      <c r="H14" s="261">
        <v>138.34</v>
      </c>
      <c r="I14" s="582">
        <v>13.83</v>
      </c>
      <c r="J14" s="1971" t="s">
        <v>1575</v>
      </c>
      <c r="K14" s="1972"/>
    </row>
    <row r="15" spans="1:11" s="731" customFormat="1">
      <c r="A15" s="255">
        <v>44451</v>
      </c>
      <c r="B15" s="256">
        <v>44816</v>
      </c>
      <c r="C15" s="257" t="s">
        <v>1326</v>
      </c>
      <c r="D15" s="258" t="s">
        <v>25</v>
      </c>
      <c r="E15" s="257" t="s">
        <v>22</v>
      </c>
      <c r="F15" s="321">
        <v>2402.5700000000002</v>
      </c>
      <c r="G15" s="260">
        <v>0.1</v>
      </c>
      <c r="H15" s="261">
        <v>221.03</v>
      </c>
      <c r="I15" s="262">
        <v>22.1</v>
      </c>
      <c r="J15" s="1971" t="s">
        <v>1575</v>
      </c>
      <c r="K15" s="1972"/>
    </row>
    <row r="16" spans="1:11">
      <c r="A16" s="359">
        <v>44453</v>
      </c>
      <c r="B16" s="792">
        <v>44818</v>
      </c>
      <c r="C16" s="458" t="s">
        <v>1866</v>
      </c>
      <c r="D16" s="347" t="s">
        <v>14</v>
      </c>
      <c r="E16" s="346" t="s">
        <v>22</v>
      </c>
      <c r="F16" s="348">
        <v>599.36</v>
      </c>
      <c r="G16" s="349">
        <v>0.1</v>
      </c>
      <c r="H16" s="350">
        <v>55.14</v>
      </c>
      <c r="I16" s="522"/>
      <c r="J16" s="1963"/>
      <c r="K16" s="1964"/>
    </row>
    <row r="17" spans="1:11">
      <c r="A17" s="359">
        <v>44454</v>
      </c>
      <c r="B17" s="345">
        <v>44819</v>
      </c>
      <c r="C17" s="550" t="s">
        <v>1867</v>
      </c>
      <c r="D17" s="347" t="s">
        <v>70</v>
      </c>
      <c r="E17" s="346" t="s">
        <v>279</v>
      </c>
      <c r="F17" s="348">
        <v>2397.0100000000002</v>
      </c>
      <c r="G17" s="349">
        <v>0.1</v>
      </c>
      <c r="H17" s="350">
        <v>220.52</v>
      </c>
      <c r="I17" s="351">
        <v>110.26</v>
      </c>
      <c r="J17" s="1963" t="s">
        <v>1374</v>
      </c>
      <c r="K17" s="1964"/>
    </row>
    <row r="18" spans="1:11">
      <c r="A18" s="359">
        <v>44454</v>
      </c>
      <c r="B18" s="345">
        <v>44819</v>
      </c>
      <c r="C18" s="346" t="s">
        <v>1049</v>
      </c>
      <c r="D18" s="347" t="s">
        <v>14</v>
      </c>
      <c r="E18" s="346" t="s">
        <v>22</v>
      </c>
      <c r="F18" s="348">
        <v>1073.28</v>
      </c>
      <c r="G18" s="349">
        <v>0.1</v>
      </c>
      <c r="H18" s="350">
        <v>98.74</v>
      </c>
      <c r="I18" s="351"/>
      <c r="J18" s="1987"/>
      <c r="K18" s="1988"/>
    </row>
    <row r="19" spans="1:11">
      <c r="A19" s="459">
        <v>44454</v>
      </c>
      <c r="B19" s="459">
        <v>44818</v>
      </c>
      <c r="C19" s="458" t="s">
        <v>1868</v>
      </c>
      <c r="D19" s="1546" t="s">
        <v>9</v>
      </c>
      <c r="E19" s="458" t="s">
        <v>10</v>
      </c>
      <c r="F19" s="460">
        <v>3424.48</v>
      </c>
      <c r="G19" s="461">
        <v>0.1</v>
      </c>
      <c r="H19" s="462">
        <v>315.05</v>
      </c>
      <c r="I19" s="463">
        <v>6</v>
      </c>
      <c r="J19" s="1991" t="s">
        <v>1739</v>
      </c>
      <c r="K19" s="1991"/>
    </row>
    <row r="20" spans="1:11" s="739" customFormat="1">
      <c r="A20" s="847">
        <v>44455</v>
      </c>
      <c r="B20" s="848">
        <v>44831</v>
      </c>
      <c r="C20" s="744" t="s">
        <v>345</v>
      </c>
      <c r="D20" s="849" t="s">
        <v>149</v>
      </c>
      <c r="E20" s="550" t="s">
        <v>90</v>
      </c>
      <c r="F20" s="850">
        <v>3454.9</v>
      </c>
      <c r="G20" s="851">
        <v>0.1</v>
      </c>
      <c r="H20" s="852">
        <v>317.85000000000002</v>
      </c>
      <c r="I20" s="853"/>
      <c r="J20" s="1989"/>
      <c r="K20" s="1990"/>
    </row>
    <row r="21" spans="1:11" s="731" customFormat="1">
      <c r="A21" s="238">
        <v>44455</v>
      </c>
      <c r="B21" s="445">
        <v>44820</v>
      </c>
      <c r="C21" s="239" t="s">
        <v>1812</v>
      </c>
      <c r="D21" s="241" t="s">
        <v>61</v>
      </c>
      <c r="E21" s="240" t="s">
        <v>19</v>
      </c>
      <c r="F21" s="323">
        <v>5810.7</v>
      </c>
      <c r="G21" s="243">
        <v>0.1</v>
      </c>
      <c r="H21" s="244">
        <v>534.58000000000004</v>
      </c>
      <c r="I21" s="245">
        <v>53.45</v>
      </c>
      <c r="J21" s="1965" t="s">
        <v>1575</v>
      </c>
      <c r="K21" s="1966"/>
    </row>
    <row r="22" spans="1:11">
      <c r="A22" s="359">
        <v>44456</v>
      </c>
      <c r="B22" s="345">
        <v>44822</v>
      </c>
      <c r="C22" s="346" t="s">
        <v>1045</v>
      </c>
      <c r="D22" s="347" t="s">
        <v>198</v>
      </c>
      <c r="E22" s="346" t="s">
        <v>10</v>
      </c>
      <c r="F22" s="348">
        <v>890.43</v>
      </c>
      <c r="G22" s="349">
        <v>0.15</v>
      </c>
      <c r="H22" s="350">
        <v>122.87</v>
      </c>
      <c r="I22" s="351"/>
      <c r="J22" s="1963"/>
      <c r="K22" s="1964"/>
    </row>
    <row r="23" spans="1:11">
      <c r="A23" s="359">
        <v>44456</v>
      </c>
      <c r="B23" s="345">
        <v>44825</v>
      </c>
      <c r="C23" s="346" t="s">
        <v>1057</v>
      </c>
      <c r="D23" s="347" t="s">
        <v>61</v>
      </c>
      <c r="E23" s="346" t="s">
        <v>10</v>
      </c>
      <c r="F23" s="348">
        <v>1302.57</v>
      </c>
      <c r="G23" s="349">
        <v>0.1</v>
      </c>
      <c r="H23" s="350">
        <v>119.83</v>
      </c>
      <c r="I23" s="351"/>
      <c r="J23" s="1963"/>
      <c r="K23" s="1964"/>
    </row>
    <row r="24" spans="1:11">
      <c r="A24" s="359">
        <v>44456</v>
      </c>
      <c r="B24" s="345">
        <v>44828</v>
      </c>
      <c r="C24" s="346" t="s">
        <v>1528</v>
      </c>
      <c r="D24" s="347" t="s">
        <v>9</v>
      </c>
      <c r="E24" s="346" t="s">
        <v>10</v>
      </c>
      <c r="F24" s="348">
        <v>1181.1099999999999</v>
      </c>
      <c r="G24" s="349">
        <v>0.1</v>
      </c>
      <c r="H24" s="350">
        <v>108.66</v>
      </c>
      <c r="I24" s="351"/>
      <c r="J24" s="1963"/>
      <c r="K24" s="1964"/>
    </row>
    <row r="25" spans="1:11">
      <c r="A25" s="484">
        <v>44456</v>
      </c>
      <c r="B25" s="484">
        <v>44821</v>
      </c>
      <c r="C25" s="436" t="s">
        <v>1869</v>
      </c>
      <c r="D25" s="1547" t="s">
        <v>9</v>
      </c>
      <c r="E25" s="436" t="s">
        <v>1610</v>
      </c>
      <c r="F25" s="485">
        <v>3048.89</v>
      </c>
      <c r="G25" s="486">
        <v>0.1</v>
      </c>
      <c r="H25" s="635">
        <v>280.49</v>
      </c>
      <c r="I25" s="489"/>
      <c r="J25" s="1967"/>
      <c r="K25" s="1968"/>
    </row>
    <row r="26" spans="1:11">
      <c r="A26" s="491">
        <v>44456</v>
      </c>
      <c r="B26" s="492">
        <v>44822</v>
      </c>
      <c r="C26" s="493" t="s">
        <v>1870</v>
      </c>
      <c r="D26" s="494" t="s">
        <v>14</v>
      </c>
      <c r="E26" s="493" t="s">
        <v>19</v>
      </c>
      <c r="F26" s="495">
        <v>1325.74</v>
      </c>
      <c r="G26" s="496">
        <v>0.1</v>
      </c>
      <c r="H26" s="497">
        <v>121.96</v>
      </c>
      <c r="I26" s="498">
        <v>60.98</v>
      </c>
      <c r="J26" s="1967" t="s">
        <v>1588</v>
      </c>
      <c r="K26" s="1968"/>
    </row>
    <row r="27" spans="1:11">
      <c r="A27" s="359">
        <v>44456</v>
      </c>
      <c r="B27" s="345">
        <v>44821</v>
      </c>
      <c r="C27" s="501" t="s">
        <v>790</v>
      </c>
      <c r="D27" s="347" t="s">
        <v>9</v>
      </c>
      <c r="E27" s="346" t="s">
        <v>1310</v>
      </c>
      <c r="F27" s="348">
        <v>1547.23</v>
      </c>
      <c r="G27" s="349">
        <v>0.1</v>
      </c>
      <c r="H27" s="502">
        <v>142.34</v>
      </c>
      <c r="I27" s="826"/>
      <c r="J27" s="1963"/>
      <c r="K27" s="1964"/>
    </row>
    <row r="28" spans="1:11">
      <c r="A28" s="359">
        <v>44459</v>
      </c>
      <c r="B28" s="345">
        <v>44824</v>
      </c>
      <c r="C28" s="346" t="s">
        <v>1523</v>
      </c>
      <c r="D28" s="347" t="s">
        <v>9</v>
      </c>
      <c r="E28" s="346" t="s">
        <v>1310</v>
      </c>
      <c r="F28" s="348">
        <v>1816.02</v>
      </c>
      <c r="G28" s="349">
        <v>0.1</v>
      </c>
      <c r="H28" s="350">
        <v>167.07</v>
      </c>
      <c r="I28" s="351"/>
      <c r="J28" s="1963"/>
      <c r="K28" s="1964"/>
    </row>
    <row r="29" spans="1:11" s="731" customFormat="1">
      <c r="A29" s="238">
        <v>44460</v>
      </c>
      <c r="B29" s="239">
        <v>44825</v>
      </c>
      <c r="C29" s="240" t="s">
        <v>1515</v>
      </c>
      <c r="D29" s="241" t="s">
        <v>14</v>
      </c>
      <c r="E29" s="240" t="s">
        <v>10</v>
      </c>
      <c r="F29" s="323">
        <v>1152.6099999999999</v>
      </c>
      <c r="G29" s="243">
        <v>0.1</v>
      </c>
      <c r="H29" s="244">
        <v>106.04</v>
      </c>
      <c r="I29" s="586">
        <v>10.6</v>
      </c>
      <c r="J29" s="1965" t="s">
        <v>1575</v>
      </c>
      <c r="K29" s="1966"/>
    </row>
    <row r="30" spans="1:11">
      <c r="A30" s="359">
        <v>44460</v>
      </c>
      <c r="B30" s="345">
        <v>44830</v>
      </c>
      <c r="C30" s="346" t="s">
        <v>1069</v>
      </c>
      <c r="D30" s="347" t="s">
        <v>448</v>
      </c>
      <c r="E30" s="346" t="s">
        <v>19</v>
      </c>
      <c r="F30" s="348">
        <v>1190.77</v>
      </c>
      <c r="G30" s="349">
        <v>0.1</v>
      </c>
      <c r="H30" s="350">
        <v>109.55</v>
      </c>
      <c r="I30" s="351">
        <v>54.77</v>
      </c>
      <c r="J30" s="1963" t="s">
        <v>1588</v>
      </c>
      <c r="K30" s="1964"/>
    </row>
    <row r="31" spans="1:11">
      <c r="A31" s="287">
        <v>44461</v>
      </c>
      <c r="B31" s="288">
        <v>44831</v>
      </c>
      <c r="C31" s="436" t="s">
        <v>1067</v>
      </c>
      <c r="D31" s="289" t="s">
        <v>70</v>
      </c>
      <c r="E31" s="290" t="s">
        <v>19</v>
      </c>
      <c r="F31" s="337">
        <v>1947.01</v>
      </c>
      <c r="G31" s="292">
        <v>0.1</v>
      </c>
      <c r="H31" s="293">
        <v>179.12</v>
      </c>
      <c r="I31" s="294"/>
      <c r="J31" s="1967"/>
      <c r="K31" s="1968"/>
    </row>
    <row r="32" spans="1:11">
      <c r="A32" s="359">
        <v>44463</v>
      </c>
      <c r="B32" s="345">
        <v>44828</v>
      </c>
      <c r="C32" s="793" t="s">
        <v>1527</v>
      </c>
      <c r="D32" s="347" t="s">
        <v>21</v>
      </c>
      <c r="E32" s="346" t="s">
        <v>279</v>
      </c>
      <c r="F32" s="348">
        <v>2428.23</v>
      </c>
      <c r="G32" s="349">
        <v>0.15</v>
      </c>
      <c r="H32" s="350">
        <v>335.09</v>
      </c>
      <c r="I32" s="351">
        <v>167.54</v>
      </c>
      <c r="J32" s="1963" t="s">
        <v>1588</v>
      </c>
      <c r="K32" s="1964"/>
    </row>
    <row r="33" spans="1:11">
      <c r="A33" s="359">
        <v>44466</v>
      </c>
      <c r="B33" s="345">
        <v>44469</v>
      </c>
      <c r="C33" s="346" t="s">
        <v>1871</v>
      </c>
      <c r="D33" s="347" t="s">
        <v>9</v>
      </c>
      <c r="E33" s="346" t="s">
        <v>438</v>
      </c>
      <c r="F33" s="348">
        <v>1703.25</v>
      </c>
      <c r="G33" s="349">
        <v>0.1</v>
      </c>
      <c r="H33" s="350">
        <v>156.69</v>
      </c>
      <c r="I33" s="351"/>
      <c r="J33" s="1963"/>
      <c r="K33" s="1964"/>
    </row>
    <row r="34" spans="1:11" s="731" customFormat="1">
      <c r="A34" s="842">
        <v>44466</v>
      </c>
      <c r="B34" s="842">
        <v>44834</v>
      </c>
      <c r="C34" s="363" t="s">
        <v>1267</v>
      </c>
      <c r="D34" s="843" t="s">
        <v>448</v>
      </c>
      <c r="E34" s="844" t="s">
        <v>19</v>
      </c>
      <c r="F34" s="845">
        <v>1357.06</v>
      </c>
      <c r="G34" s="846">
        <v>0.15</v>
      </c>
      <c r="H34" s="845">
        <v>187.27</v>
      </c>
      <c r="I34" s="447">
        <v>18.72</v>
      </c>
      <c r="J34" s="1965" t="s">
        <v>1575</v>
      </c>
      <c r="K34" s="1966"/>
    </row>
    <row r="35" spans="1:11">
      <c r="A35" s="459">
        <v>44468</v>
      </c>
      <c r="B35" s="790">
        <v>44833</v>
      </c>
      <c r="C35" s="458" t="s">
        <v>1872</v>
      </c>
      <c r="D35" s="1546" t="s">
        <v>70</v>
      </c>
      <c r="E35" s="458" t="s">
        <v>279</v>
      </c>
      <c r="F35" s="508">
        <v>1854.6</v>
      </c>
      <c r="G35" s="461">
        <v>0.1</v>
      </c>
      <c r="H35" s="508">
        <v>170.62</v>
      </c>
      <c r="I35" s="482">
        <v>85.31</v>
      </c>
      <c r="J35" s="1963" t="s">
        <v>1374</v>
      </c>
      <c r="K35" s="1964"/>
    </row>
    <row r="36" spans="1:11" s="731" customFormat="1">
      <c r="A36" s="427">
        <v>44469</v>
      </c>
      <c r="B36" s="427">
        <v>44834</v>
      </c>
      <c r="C36" s="363" t="s">
        <v>1873</v>
      </c>
      <c r="D36" s="428" t="s">
        <v>61</v>
      </c>
      <c r="E36" s="363" t="s">
        <v>438</v>
      </c>
      <c r="F36" s="634">
        <v>2001.16</v>
      </c>
      <c r="G36" s="430">
        <v>0.2</v>
      </c>
      <c r="H36" s="634">
        <v>368.21</v>
      </c>
      <c r="I36" s="447">
        <v>36.82</v>
      </c>
      <c r="J36" s="1965" t="s">
        <v>1575</v>
      </c>
      <c r="K36" s="1966"/>
    </row>
    <row r="37" spans="1:11">
      <c r="A37" s="359">
        <v>44470</v>
      </c>
      <c r="B37" s="345">
        <v>44833</v>
      </c>
      <c r="C37" s="346" t="s">
        <v>1531</v>
      </c>
      <c r="D37" s="347" t="s">
        <v>14</v>
      </c>
      <c r="E37" s="346" t="s">
        <v>10</v>
      </c>
      <c r="F37" s="348">
        <v>1041.94</v>
      </c>
      <c r="G37" s="349">
        <v>0.1</v>
      </c>
      <c r="H37" s="350">
        <v>95.85</v>
      </c>
      <c r="I37" s="351">
        <v>6</v>
      </c>
      <c r="J37" s="1963" t="s">
        <v>1739</v>
      </c>
      <c r="K37" s="1964"/>
    </row>
    <row r="38" spans="1:11">
      <c r="A38" s="359">
        <v>44470</v>
      </c>
      <c r="B38" s="345">
        <v>44834</v>
      </c>
      <c r="C38" s="346" t="s">
        <v>1064</v>
      </c>
      <c r="D38" s="347" t="s">
        <v>9</v>
      </c>
      <c r="E38" s="346" t="s">
        <v>22</v>
      </c>
      <c r="F38" s="348">
        <v>1355.93</v>
      </c>
      <c r="G38" s="349">
        <v>0.1</v>
      </c>
      <c r="H38" s="350">
        <v>124.74</v>
      </c>
      <c r="I38" s="351"/>
      <c r="J38" s="1528"/>
      <c r="K38" s="1529"/>
    </row>
    <row r="39" spans="1:11">
      <c r="A39" s="359">
        <v>44474</v>
      </c>
      <c r="B39" s="345">
        <v>44832</v>
      </c>
      <c r="C39" s="346" t="s">
        <v>1874</v>
      </c>
      <c r="D39" s="347" t="s">
        <v>14</v>
      </c>
      <c r="E39" s="346" t="s">
        <v>22</v>
      </c>
      <c r="F39" s="348">
        <v>1531.77</v>
      </c>
      <c r="G39" s="349">
        <v>0.1</v>
      </c>
      <c r="H39" s="350">
        <v>140.91999999999999</v>
      </c>
      <c r="I39" s="351"/>
      <c r="J39" s="1528"/>
      <c r="K39" s="1529"/>
    </row>
    <row r="40" spans="1:11" s="731" customFormat="1">
      <c r="A40" s="238">
        <v>44491</v>
      </c>
      <c r="B40" s="239">
        <v>44856</v>
      </c>
      <c r="C40" s="240" t="s">
        <v>1875</v>
      </c>
      <c r="D40" s="241" t="s">
        <v>448</v>
      </c>
      <c r="E40" s="240" t="s">
        <v>545</v>
      </c>
      <c r="F40" s="323" t="s">
        <v>889</v>
      </c>
      <c r="G40" s="243">
        <v>0.1</v>
      </c>
      <c r="H40" s="244">
        <v>150</v>
      </c>
      <c r="I40" s="245">
        <v>15</v>
      </c>
      <c r="J40" s="1965" t="s">
        <v>1575</v>
      </c>
      <c r="K40" s="1966"/>
    </row>
    <row r="41" spans="1:11">
      <c r="A41" s="359">
        <v>44456</v>
      </c>
      <c r="B41" s="345">
        <v>44821</v>
      </c>
      <c r="C41" s="346" t="s">
        <v>1876</v>
      </c>
      <c r="D41" s="347" t="s">
        <v>448</v>
      </c>
      <c r="E41" s="346" t="s">
        <v>545</v>
      </c>
      <c r="F41" s="348" t="s">
        <v>889</v>
      </c>
      <c r="G41" s="349">
        <v>0.1</v>
      </c>
      <c r="H41" s="350">
        <v>100</v>
      </c>
      <c r="I41" s="351">
        <v>50</v>
      </c>
      <c r="J41" s="1963" t="s">
        <v>1561</v>
      </c>
      <c r="K41" s="1964"/>
    </row>
    <row r="42" spans="1:11">
      <c r="A42" s="287"/>
      <c r="B42" s="288"/>
      <c r="C42" s="290"/>
      <c r="D42" s="289"/>
      <c r="E42" s="290"/>
      <c r="F42" s="337"/>
      <c r="G42" s="292"/>
      <c r="H42" s="293"/>
      <c r="I42" s="294"/>
      <c r="J42" s="1967"/>
      <c r="K42" s="1968"/>
    </row>
    <row r="43" spans="1:11">
      <c r="A43" s="287"/>
      <c r="B43" s="288"/>
      <c r="C43" s="290"/>
      <c r="D43" s="289"/>
      <c r="E43" s="290"/>
      <c r="F43" s="337"/>
      <c r="G43" s="292"/>
      <c r="H43" s="293"/>
      <c r="I43" s="294"/>
      <c r="J43" s="1967"/>
      <c r="K43" s="1968"/>
    </row>
    <row r="44" spans="1:11">
      <c r="A44" s="359"/>
      <c r="B44" s="345"/>
      <c r="C44" s="346"/>
      <c r="D44" s="347"/>
      <c r="E44" s="346"/>
      <c r="F44" s="348"/>
      <c r="G44" s="349"/>
      <c r="H44" s="350"/>
      <c r="I44" s="351"/>
      <c r="J44" s="1528"/>
      <c r="K44" s="1529"/>
    </row>
    <row r="45" spans="1:11">
      <c r="A45" s="359"/>
      <c r="B45" s="345"/>
      <c r="C45" s="346"/>
      <c r="D45" s="347"/>
      <c r="E45" s="346"/>
      <c r="F45" s="348"/>
      <c r="G45" s="349"/>
      <c r="H45" s="350"/>
      <c r="I45" s="351"/>
      <c r="J45" s="1963"/>
      <c r="K45" s="1964"/>
    </row>
    <row r="46" spans="1:11">
      <c r="A46" s="359"/>
      <c r="B46" s="345"/>
      <c r="C46" s="346"/>
      <c r="D46" s="347"/>
      <c r="E46" s="346"/>
      <c r="F46" s="348"/>
      <c r="G46" s="349"/>
      <c r="H46" s="350"/>
      <c r="I46" s="351"/>
      <c r="J46" s="1528"/>
      <c r="K46" s="1529"/>
    </row>
    <row r="47" spans="1:11">
      <c r="A47" s="359"/>
      <c r="B47" s="345"/>
      <c r="C47" s="346"/>
      <c r="D47" s="347"/>
      <c r="E47" s="346"/>
      <c r="F47" s="348"/>
      <c r="G47" s="349"/>
      <c r="H47" s="350"/>
      <c r="I47" s="351"/>
      <c r="J47" s="1963"/>
      <c r="K47" s="1964"/>
    </row>
    <row r="48" spans="1:11">
      <c r="A48" s="359"/>
      <c r="B48" s="345"/>
      <c r="C48" s="346"/>
      <c r="D48" s="347"/>
      <c r="E48" s="346"/>
      <c r="F48" s="348"/>
      <c r="G48" s="349"/>
      <c r="H48" s="350"/>
      <c r="I48" s="351"/>
      <c r="J48" s="1528"/>
      <c r="K48" s="1529"/>
    </row>
    <row r="49" spans="1:11">
      <c r="A49" s="359"/>
      <c r="B49" s="345"/>
      <c r="C49" s="346"/>
      <c r="D49" s="347"/>
      <c r="E49" s="346"/>
      <c r="F49" s="348"/>
      <c r="G49" s="349"/>
      <c r="H49" s="350"/>
      <c r="I49" s="351"/>
      <c r="J49" s="1528"/>
      <c r="K49" s="1529"/>
    </row>
    <row r="50" spans="1:11">
      <c r="A50" s="359"/>
      <c r="B50" s="345"/>
      <c r="C50" s="346"/>
      <c r="D50" s="347"/>
      <c r="E50" s="346"/>
      <c r="F50" s="348"/>
      <c r="G50" s="349"/>
      <c r="H50" s="350"/>
      <c r="I50" s="351"/>
      <c r="J50" s="1528"/>
      <c r="K50" s="1529"/>
    </row>
    <row r="51" spans="1:11">
      <c r="A51" s="359"/>
      <c r="B51" s="345"/>
      <c r="C51" s="346"/>
      <c r="D51" s="347"/>
      <c r="E51" s="346"/>
      <c r="F51" s="348"/>
      <c r="G51" s="349"/>
      <c r="H51" s="350"/>
      <c r="I51" s="351"/>
      <c r="J51" s="1528"/>
      <c r="K51" s="1529"/>
    </row>
    <row r="52" spans="1:11">
      <c r="A52" s="359"/>
      <c r="B52" s="345"/>
      <c r="C52" s="346"/>
      <c r="D52" s="347"/>
      <c r="E52" s="346"/>
      <c r="F52" s="348"/>
      <c r="G52" s="349"/>
      <c r="H52" s="350"/>
      <c r="I52" s="351"/>
      <c r="J52" s="1528"/>
      <c r="K52" s="1529"/>
    </row>
    <row r="53" spans="1:11">
      <c r="A53" s="359"/>
      <c r="B53" s="345"/>
      <c r="C53" s="346"/>
      <c r="D53" s="347"/>
      <c r="E53" s="346"/>
      <c r="F53" s="348"/>
      <c r="G53" s="349"/>
      <c r="H53" s="350"/>
      <c r="I53" s="351"/>
      <c r="J53" s="1528"/>
      <c r="K53" s="1529"/>
    </row>
    <row r="54" spans="1:11">
      <c r="A54" s="359"/>
      <c r="B54" s="345"/>
      <c r="C54" s="346"/>
      <c r="D54" s="347"/>
      <c r="E54" s="346"/>
      <c r="F54" s="348"/>
      <c r="G54" s="349"/>
      <c r="H54" s="350"/>
      <c r="I54" s="351"/>
      <c r="J54" s="1528"/>
      <c r="K54" s="1529"/>
    </row>
    <row r="55" spans="1:11" ht="15.75" thickBot="1">
      <c r="A55" s="359"/>
      <c r="B55" s="345"/>
      <c r="C55" s="346"/>
      <c r="D55" s="347"/>
      <c r="E55" s="346"/>
      <c r="F55" s="348"/>
      <c r="G55" s="349"/>
      <c r="H55" s="350"/>
      <c r="I55" s="351"/>
      <c r="J55" s="1528"/>
      <c r="K55" s="1529"/>
    </row>
    <row r="56" spans="1:11" ht="20.25" thickBot="1">
      <c r="A56" s="673"/>
      <c r="B56" s="674"/>
      <c r="C56" s="674"/>
      <c r="D56" s="674"/>
      <c r="E56" s="674"/>
      <c r="F56" s="338"/>
      <c r="G56" s="143"/>
      <c r="H56" s="129"/>
      <c r="I56" s="107"/>
      <c r="J56" s="739"/>
      <c r="K56" s="739"/>
    </row>
  </sheetData>
  <mergeCells count="43">
    <mergeCell ref="J12:K12"/>
    <mergeCell ref="J1:K1"/>
    <mergeCell ref="J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25:K25"/>
    <mergeCell ref="J13:K13"/>
    <mergeCell ref="J14:K14"/>
    <mergeCell ref="J15:K15"/>
    <mergeCell ref="J16:K16"/>
    <mergeCell ref="J17:K17"/>
    <mergeCell ref="J18:K18"/>
    <mergeCell ref="J20:K20"/>
    <mergeCell ref="J21:K21"/>
    <mergeCell ref="J22:K22"/>
    <mergeCell ref="J23:K23"/>
    <mergeCell ref="J24:K24"/>
    <mergeCell ref="J19:K19"/>
    <mergeCell ref="J40:K40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7:K37"/>
    <mergeCell ref="J36:K36"/>
    <mergeCell ref="J41:K41"/>
    <mergeCell ref="J42:K42"/>
    <mergeCell ref="J43:K43"/>
    <mergeCell ref="J45:K45"/>
    <mergeCell ref="J47:K47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K53"/>
  <sheetViews>
    <sheetView topLeftCell="A12" zoomScale="85" zoomScaleNormal="85" workbookViewId="0">
      <selection activeCell="M11" sqref="M11"/>
    </sheetView>
  </sheetViews>
  <sheetFormatPr defaultRowHeight="15"/>
  <cols>
    <col min="1" max="1" width="14" bestFit="1" customWidth="1"/>
    <col min="2" max="2" width="11.5703125" bestFit="1" customWidth="1"/>
    <col min="3" max="3" width="41" bestFit="1" customWidth="1"/>
    <col min="4" max="4" width="18.28515625" bestFit="1" customWidth="1"/>
    <col min="5" max="5" width="14.140625" bestFit="1" customWidth="1"/>
    <col min="6" max="6" width="18.42578125" bestFit="1" customWidth="1"/>
    <col min="7" max="7" width="13.42578125" bestFit="1" customWidth="1"/>
    <col min="8" max="8" width="22.5703125" bestFit="1" customWidth="1"/>
    <col min="9" max="9" width="21" bestFit="1" customWidth="1"/>
  </cols>
  <sheetData>
    <row r="1" spans="1:11" ht="15.75" thickBot="1">
      <c r="A1" s="30" t="s">
        <v>1832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1969" t="s">
        <v>370</v>
      </c>
      <c r="K1" s="1970"/>
    </row>
    <row r="2" spans="1:11" s="731" customFormat="1">
      <c r="A2" s="238">
        <v>44467</v>
      </c>
      <c r="B2" s="239">
        <v>44839</v>
      </c>
      <c r="C2" s="240" t="s">
        <v>1543</v>
      </c>
      <c r="D2" s="241" t="s">
        <v>61</v>
      </c>
      <c r="E2" s="240" t="s">
        <v>945</v>
      </c>
      <c r="F2" s="323">
        <v>2417.71</v>
      </c>
      <c r="G2" s="243">
        <v>0.1</v>
      </c>
      <c r="H2" s="244">
        <v>222.42</v>
      </c>
      <c r="I2" s="586">
        <v>22.24</v>
      </c>
      <c r="J2" s="1965" t="s">
        <v>1426</v>
      </c>
      <c r="K2" s="1966"/>
    </row>
    <row r="3" spans="1:11">
      <c r="A3" s="483">
        <v>44469</v>
      </c>
      <c r="B3" s="484">
        <v>44835</v>
      </c>
      <c r="C3" s="436" t="s">
        <v>1538</v>
      </c>
      <c r="D3" s="1547" t="s">
        <v>9</v>
      </c>
      <c r="E3" s="436" t="s">
        <v>45</v>
      </c>
      <c r="F3" s="485">
        <v>1859.36</v>
      </c>
      <c r="G3" s="486">
        <v>0.1</v>
      </c>
      <c r="H3" s="487">
        <v>171.06</v>
      </c>
      <c r="I3" s="488"/>
      <c r="J3" s="1967"/>
      <c r="K3" s="1968"/>
    </row>
    <row r="4" spans="1:11" s="731" customFormat="1">
      <c r="A4" s="255">
        <v>44470</v>
      </c>
      <c r="B4" s="256">
        <v>44836</v>
      </c>
      <c r="C4" s="257" t="s">
        <v>1877</v>
      </c>
      <c r="D4" s="258" t="s">
        <v>9</v>
      </c>
      <c r="E4" s="257" t="s">
        <v>90</v>
      </c>
      <c r="F4" s="321">
        <v>3846.56</v>
      </c>
      <c r="G4" s="260">
        <v>0.1</v>
      </c>
      <c r="H4" s="261">
        <v>353.88</v>
      </c>
      <c r="I4" s="262">
        <v>35.380000000000003</v>
      </c>
      <c r="J4" s="1971" t="s">
        <v>1426</v>
      </c>
      <c r="K4" s="1972"/>
    </row>
    <row r="5" spans="1:11">
      <c r="A5" s="287">
        <v>44473</v>
      </c>
      <c r="B5" s="288">
        <v>44838</v>
      </c>
      <c r="C5" s="290" t="s">
        <v>1079</v>
      </c>
      <c r="D5" s="289" t="s">
        <v>25</v>
      </c>
      <c r="E5" s="290" t="s">
        <v>279</v>
      </c>
      <c r="F5" s="337">
        <v>1766.51</v>
      </c>
      <c r="G5" s="292">
        <v>0.1</v>
      </c>
      <c r="H5" s="293">
        <v>162.51</v>
      </c>
      <c r="I5" s="580"/>
      <c r="J5" s="1967"/>
      <c r="K5" s="1968"/>
    </row>
    <row r="6" spans="1:11">
      <c r="A6" s="484">
        <v>44474</v>
      </c>
      <c r="B6" s="484">
        <v>44839</v>
      </c>
      <c r="C6" s="436" t="s">
        <v>1878</v>
      </c>
      <c r="D6" s="1547" t="s">
        <v>14</v>
      </c>
      <c r="E6" s="436" t="s">
        <v>10</v>
      </c>
      <c r="F6" s="485">
        <v>958.87</v>
      </c>
      <c r="G6" s="486">
        <v>0.1</v>
      </c>
      <c r="H6" s="635">
        <v>88.21</v>
      </c>
      <c r="I6" s="489"/>
      <c r="J6" s="1967"/>
      <c r="K6" s="1968"/>
    </row>
    <row r="7" spans="1:11">
      <c r="A7" s="359">
        <v>44474</v>
      </c>
      <c r="B7" s="345">
        <v>44839</v>
      </c>
      <c r="C7" s="458" t="s">
        <v>784</v>
      </c>
      <c r="D7" s="347" t="s">
        <v>9</v>
      </c>
      <c r="E7" s="346" t="s">
        <v>438</v>
      </c>
      <c r="F7" s="348">
        <v>4475.34</v>
      </c>
      <c r="G7" s="349">
        <v>0.1</v>
      </c>
      <c r="H7" s="350">
        <v>411.73</v>
      </c>
      <c r="I7" s="351"/>
      <c r="J7" s="1963"/>
      <c r="K7" s="1964"/>
    </row>
    <row r="8" spans="1:11">
      <c r="A8" s="359">
        <v>44474</v>
      </c>
      <c r="B8" s="345">
        <v>44845</v>
      </c>
      <c r="C8" s="346" t="s">
        <v>1087</v>
      </c>
      <c r="D8" s="347" t="s">
        <v>9</v>
      </c>
      <c r="E8" s="346" t="s">
        <v>143</v>
      </c>
      <c r="F8" s="348">
        <v>1067.1199999999999</v>
      </c>
      <c r="G8" s="349">
        <v>0.1</v>
      </c>
      <c r="H8" s="350">
        <v>98.17</v>
      </c>
      <c r="I8" s="351"/>
      <c r="J8" s="1963"/>
      <c r="K8" s="1964"/>
    </row>
    <row r="9" spans="1:11">
      <c r="A9" s="287">
        <v>44475</v>
      </c>
      <c r="B9" s="288">
        <v>44843</v>
      </c>
      <c r="C9" s="290" t="s">
        <v>140</v>
      </c>
      <c r="D9" s="289" t="s">
        <v>9</v>
      </c>
      <c r="E9" s="290" t="s">
        <v>1310</v>
      </c>
      <c r="F9" s="337">
        <v>1225.99</v>
      </c>
      <c r="G9" s="292">
        <v>0.15</v>
      </c>
      <c r="H9" s="293">
        <v>169.18</v>
      </c>
      <c r="I9" s="294"/>
      <c r="J9" s="1967"/>
      <c r="K9" s="1968"/>
    </row>
    <row r="10" spans="1:11">
      <c r="A10" s="287">
        <v>44475</v>
      </c>
      <c r="B10" s="288">
        <v>44840</v>
      </c>
      <c r="C10" s="290" t="s">
        <v>1546</v>
      </c>
      <c r="D10" s="289" t="s">
        <v>9</v>
      </c>
      <c r="E10" s="290" t="s">
        <v>1310</v>
      </c>
      <c r="F10" s="337">
        <v>2254.31</v>
      </c>
      <c r="G10" s="292">
        <v>0.2</v>
      </c>
      <c r="H10" s="293">
        <v>414.79</v>
      </c>
      <c r="I10" s="581"/>
      <c r="J10" s="1963"/>
      <c r="K10" s="1964"/>
    </row>
    <row r="11" spans="1:11">
      <c r="A11" s="287">
        <v>44477</v>
      </c>
      <c r="B11" s="288">
        <v>44842</v>
      </c>
      <c r="C11" s="290" t="s">
        <v>1879</v>
      </c>
      <c r="D11" s="289" t="s">
        <v>448</v>
      </c>
      <c r="E11" s="290" t="s">
        <v>10</v>
      </c>
      <c r="F11" s="337">
        <v>2214.54</v>
      </c>
      <c r="G11" s="292">
        <v>0.1</v>
      </c>
      <c r="H11" s="293">
        <v>203.73</v>
      </c>
      <c r="I11" s="580">
        <v>6</v>
      </c>
      <c r="J11" s="1967" t="s">
        <v>1713</v>
      </c>
      <c r="K11" s="1968"/>
    </row>
    <row r="12" spans="1:11">
      <c r="A12" s="287">
        <v>44482</v>
      </c>
      <c r="B12" s="288">
        <v>44850</v>
      </c>
      <c r="C12" s="744" t="s">
        <v>1551</v>
      </c>
      <c r="D12" s="289" t="s">
        <v>448</v>
      </c>
      <c r="E12" s="290" t="s">
        <v>945</v>
      </c>
      <c r="F12" s="337">
        <v>1760.71</v>
      </c>
      <c r="G12" s="292">
        <v>0.1</v>
      </c>
      <c r="H12" s="293">
        <v>161.97999999999999</v>
      </c>
      <c r="I12" s="580"/>
      <c r="J12" s="1967"/>
      <c r="K12" s="1968"/>
    </row>
    <row r="13" spans="1:11">
      <c r="A13" s="287">
        <v>44482</v>
      </c>
      <c r="B13" s="288">
        <v>44849</v>
      </c>
      <c r="C13" s="290" t="s">
        <v>1880</v>
      </c>
      <c r="D13" s="289" t="s">
        <v>61</v>
      </c>
      <c r="E13" s="290" t="s">
        <v>29</v>
      </c>
      <c r="F13" s="337">
        <v>425.76</v>
      </c>
      <c r="G13" s="292">
        <v>0.1</v>
      </c>
      <c r="H13" s="293">
        <v>39.159999999999997</v>
      </c>
      <c r="I13" s="580"/>
      <c r="J13" s="1967"/>
      <c r="K13" s="1968"/>
    </row>
    <row r="14" spans="1:11" s="731" customFormat="1">
      <c r="A14" s="255">
        <v>44482</v>
      </c>
      <c r="B14" s="256">
        <v>44847</v>
      </c>
      <c r="C14" s="257" t="s">
        <v>1443</v>
      </c>
      <c r="D14" s="258" t="s">
        <v>448</v>
      </c>
      <c r="E14" s="257" t="s">
        <v>279</v>
      </c>
      <c r="F14" s="321">
        <v>887.15</v>
      </c>
      <c r="G14" s="260">
        <v>0.1</v>
      </c>
      <c r="H14" s="261">
        <v>81.61</v>
      </c>
      <c r="I14" s="262">
        <v>8.16</v>
      </c>
      <c r="J14" s="1971" t="s">
        <v>1426</v>
      </c>
      <c r="K14" s="1972"/>
    </row>
    <row r="15" spans="1:11">
      <c r="A15" s="359">
        <v>44482</v>
      </c>
      <c r="B15" s="792">
        <v>44847</v>
      </c>
      <c r="C15" s="458" t="s">
        <v>1881</v>
      </c>
      <c r="D15" s="347" t="s">
        <v>9</v>
      </c>
      <c r="E15" s="346" t="s">
        <v>1882</v>
      </c>
      <c r="F15" s="348">
        <v>958.68</v>
      </c>
      <c r="G15" s="349">
        <v>0.16</v>
      </c>
      <c r="H15" s="350">
        <v>141.11000000000001</v>
      </c>
      <c r="I15" s="522"/>
      <c r="J15" s="1963"/>
      <c r="K15" s="1964"/>
    </row>
    <row r="16" spans="1:11">
      <c r="A16" s="359">
        <v>44483</v>
      </c>
      <c r="B16" s="345">
        <v>44848</v>
      </c>
      <c r="C16" s="550" t="s">
        <v>141</v>
      </c>
      <c r="D16" s="347" t="s">
        <v>14</v>
      </c>
      <c r="E16" s="346" t="s">
        <v>945</v>
      </c>
      <c r="F16" s="348">
        <v>1631.65</v>
      </c>
      <c r="G16" s="349">
        <v>0.1</v>
      </c>
      <c r="H16" s="350">
        <v>150.11000000000001</v>
      </c>
      <c r="I16" s="351"/>
      <c r="J16" s="1963"/>
      <c r="K16" s="1964"/>
    </row>
    <row r="17" spans="1:11">
      <c r="A17" s="359">
        <v>44483</v>
      </c>
      <c r="B17" s="345">
        <v>44848</v>
      </c>
      <c r="C17" s="346" t="s">
        <v>1568</v>
      </c>
      <c r="D17" s="347" t="s">
        <v>61</v>
      </c>
      <c r="E17" s="346" t="s">
        <v>945</v>
      </c>
      <c r="F17" s="348">
        <v>1298.69</v>
      </c>
      <c r="G17" s="349">
        <v>0.1</v>
      </c>
      <c r="H17" s="350">
        <v>119.47</v>
      </c>
      <c r="I17" s="351">
        <v>59.73</v>
      </c>
      <c r="J17" s="1963" t="s">
        <v>1374</v>
      </c>
      <c r="K17" s="1964"/>
    </row>
    <row r="18" spans="1:11">
      <c r="A18" s="359">
        <v>44484</v>
      </c>
      <c r="B18" s="459">
        <v>44851</v>
      </c>
      <c r="C18" s="744" t="s">
        <v>1090</v>
      </c>
      <c r="D18" s="347" t="s">
        <v>14</v>
      </c>
      <c r="E18" s="346" t="s">
        <v>279</v>
      </c>
      <c r="F18" s="348">
        <v>1957.1</v>
      </c>
      <c r="G18" s="349">
        <v>0.1</v>
      </c>
      <c r="H18" s="350">
        <v>180.05</v>
      </c>
      <c r="I18" s="351"/>
      <c r="J18" s="1963"/>
      <c r="K18" s="1964"/>
    </row>
    <row r="19" spans="1:11">
      <c r="A19" s="359">
        <v>44487</v>
      </c>
      <c r="B19" s="345">
        <v>44852</v>
      </c>
      <c r="C19" s="346" t="s">
        <v>1554</v>
      </c>
      <c r="D19" s="347" t="s">
        <v>448</v>
      </c>
      <c r="E19" s="346" t="s">
        <v>10</v>
      </c>
      <c r="F19" s="348">
        <v>1467.2</v>
      </c>
      <c r="G19" s="349">
        <v>0.1</v>
      </c>
      <c r="H19" s="350">
        <v>134.97999999999999</v>
      </c>
      <c r="I19" s="351">
        <v>6</v>
      </c>
      <c r="J19" s="1963" t="s">
        <v>1713</v>
      </c>
      <c r="K19" s="1964"/>
    </row>
    <row r="20" spans="1:11">
      <c r="A20" s="359">
        <v>44487</v>
      </c>
      <c r="B20" s="345">
        <v>44857</v>
      </c>
      <c r="C20" s="346" t="s">
        <v>1567</v>
      </c>
      <c r="D20" s="347" t="s">
        <v>25</v>
      </c>
      <c r="E20" s="346" t="s">
        <v>10</v>
      </c>
      <c r="F20" s="348">
        <v>1415.74</v>
      </c>
      <c r="G20" s="349">
        <v>0.1</v>
      </c>
      <c r="H20" s="350">
        <v>130.24</v>
      </c>
      <c r="I20" s="351"/>
      <c r="J20" s="1963"/>
      <c r="K20" s="1964"/>
    </row>
    <row r="21" spans="1:11">
      <c r="A21" s="359">
        <v>44487</v>
      </c>
      <c r="B21" s="345">
        <v>44853</v>
      </c>
      <c r="C21" s="346" t="s">
        <v>1883</v>
      </c>
      <c r="D21" s="347" t="s">
        <v>61</v>
      </c>
      <c r="E21" s="346" t="s">
        <v>438</v>
      </c>
      <c r="F21" s="348">
        <v>1392.51</v>
      </c>
      <c r="G21" s="349">
        <v>0.15</v>
      </c>
      <c r="H21" s="350">
        <v>192.16</v>
      </c>
      <c r="I21" s="351"/>
      <c r="J21" s="1963"/>
      <c r="K21" s="1964"/>
    </row>
    <row r="22" spans="1:11">
      <c r="A22" s="484">
        <v>44487</v>
      </c>
      <c r="B22" s="484">
        <v>44854</v>
      </c>
      <c r="C22" s="436" t="s">
        <v>1559</v>
      </c>
      <c r="D22" s="1547" t="s">
        <v>9</v>
      </c>
      <c r="E22" s="436" t="s">
        <v>1552</v>
      </c>
      <c r="F22" s="485">
        <v>2490.63</v>
      </c>
      <c r="G22" s="486">
        <v>0.1</v>
      </c>
      <c r="H22" s="635">
        <v>229.13</v>
      </c>
      <c r="I22" s="489"/>
      <c r="J22" s="1967"/>
      <c r="K22" s="1968"/>
    </row>
    <row r="23" spans="1:11">
      <c r="A23" s="491">
        <v>44487</v>
      </c>
      <c r="B23" s="492">
        <v>44854</v>
      </c>
      <c r="C23" s="493" t="s">
        <v>1559</v>
      </c>
      <c r="D23" s="494" t="s">
        <v>61</v>
      </c>
      <c r="E23" s="493" t="s">
        <v>1884</v>
      </c>
      <c r="F23" s="495">
        <v>82.17</v>
      </c>
      <c r="G23" s="496">
        <v>0.25</v>
      </c>
      <c r="H23" s="497">
        <v>18.89</v>
      </c>
      <c r="I23" s="498"/>
      <c r="J23" s="1967"/>
      <c r="K23" s="1968"/>
    </row>
    <row r="24" spans="1:11">
      <c r="A24" s="359">
        <v>44482</v>
      </c>
      <c r="B24" s="345">
        <v>44847</v>
      </c>
      <c r="C24" s="501" t="s">
        <v>1455</v>
      </c>
      <c r="D24" s="347" t="s">
        <v>9</v>
      </c>
      <c r="E24" s="346" t="s">
        <v>10</v>
      </c>
      <c r="F24" s="348">
        <v>1724.36</v>
      </c>
      <c r="G24" s="349">
        <v>0.1</v>
      </c>
      <c r="H24" s="502">
        <v>158.63999999999999</v>
      </c>
      <c r="I24" s="826"/>
      <c r="J24" s="1963"/>
      <c r="K24" s="1964"/>
    </row>
    <row r="25" spans="1:11">
      <c r="A25" s="359">
        <v>44489</v>
      </c>
      <c r="B25" s="345">
        <v>44859</v>
      </c>
      <c r="C25" s="346" t="s">
        <v>1560</v>
      </c>
      <c r="D25" s="347" t="s">
        <v>25</v>
      </c>
      <c r="E25" s="346" t="s">
        <v>1310</v>
      </c>
      <c r="F25" s="348">
        <v>1667.05</v>
      </c>
      <c r="G25" s="349">
        <v>0.1</v>
      </c>
      <c r="H25" s="350">
        <v>153.36000000000001</v>
      </c>
      <c r="I25" s="351">
        <v>76.680000000000007</v>
      </c>
      <c r="J25" s="1963" t="s">
        <v>1561</v>
      </c>
      <c r="K25" s="1964"/>
    </row>
    <row r="26" spans="1:11">
      <c r="A26" s="359">
        <v>44489</v>
      </c>
      <c r="B26" s="345">
        <v>44854</v>
      </c>
      <c r="C26" s="346" t="s">
        <v>1885</v>
      </c>
      <c r="D26" s="347" t="s">
        <v>70</v>
      </c>
      <c r="E26" s="346" t="s">
        <v>279</v>
      </c>
      <c r="F26" s="348">
        <v>1369.9</v>
      </c>
      <c r="G26" s="349">
        <v>0.1</v>
      </c>
      <c r="H26" s="350">
        <v>126.03</v>
      </c>
      <c r="I26" s="522">
        <v>63.01</v>
      </c>
      <c r="J26" s="1963" t="s">
        <v>1374</v>
      </c>
      <c r="K26" s="1964"/>
    </row>
    <row r="27" spans="1:11">
      <c r="A27" s="359">
        <v>44490</v>
      </c>
      <c r="B27" s="345">
        <v>44864</v>
      </c>
      <c r="C27" s="346" t="s">
        <v>1572</v>
      </c>
      <c r="D27" s="347" t="s">
        <v>61</v>
      </c>
      <c r="E27" s="346" t="s">
        <v>10</v>
      </c>
      <c r="F27" s="348">
        <v>2233.96</v>
      </c>
      <c r="G27" s="349">
        <v>0.1</v>
      </c>
      <c r="H27" s="350">
        <v>205.52</v>
      </c>
      <c r="I27" s="351">
        <v>102.76</v>
      </c>
      <c r="J27" s="1963" t="s">
        <v>1588</v>
      </c>
      <c r="K27" s="1964"/>
    </row>
    <row r="28" spans="1:11">
      <c r="A28" s="287">
        <v>44490</v>
      </c>
      <c r="B28" s="288">
        <v>44858</v>
      </c>
      <c r="C28" s="436" t="s">
        <v>1564</v>
      </c>
      <c r="D28" s="289" t="s">
        <v>9</v>
      </c>
      <c r="E28" s="290" t="s">
        <v>10</v>
      </c>
      <c r="F28" s="337">
        <v>2467.5500000000002</v>
      </c>
      <c r="G28" s="292">
        <v>0.2</v>
      </c>
      <c r="H28" s="293">
        <v>454.02</v>
      </c>
      <c r="I28" s="294">
        <v>227.01</v>
      </c>
      <c r="J28" s="1967" t="s">
        <v>1886</v>
      </c>
      <c r="K28" s="1968"/>
    </row>
    <row r="29" spans="1:11">
      <c r="A29" s="359">
        <v>44490</v>
      </c>
      <c r="B29" s="345">
        <v>44858</v>
      </c>
      <c r="C29" s="793" t="s">
        <v>1541</v>
      </c>
      <c r="D29" s="347" t="s">
        <v>14</v>
      </c>
      <c r="E29" s="346" t="s">
        <v>90</v>
      </c>
      <c r="F29" s="348">
        <v>667.54</v>
      </c>
      <c r="G29" s="349">
        <v>0.1</v>
      </c>
      <c r="H29" s="350">
        <v>61.41</v>
      </c>
      <c r="I29" s="351"/>
      <c r="J29" s="1963"/>
      <c r="K29" s="1964"/>
    </row>
    <row r="30" spans="1:11">
      <c r="A30" s="359">
        <v>44491</v>
      </c>
      <c r="B30" s="345">
        <v>44856</v>
      </c>
      <c r="C30" s="346" t="s">
        <v>1140</v>
      </c>
      <c r="D30" s="347" t="s">
        <v>9</v>
      </c>
      <c r="E30" s="346" t="s">
        <v>438</v>
      </c>
      <c r="F30" s="348">
        <v>1592.31</v>
      </c>
      <c r="G30" s="349">
        <v>0.1</v>
      </c>
      <c r="H30" s="350">
        <v>146.49</v>
      </c>
      <c r="I30" s="351"/>
      <c r="J30" s="1963"/>
      <c r="K30" s="1964"/>
    </row>
    <row r="31" spans="1:11">
      <c r="A31" s="503">
        <v>44491</v>
      </c>
      <c r="B31" s="503">
        <v>44855</v>
      </c>
      <c r="C31" s="458" t="s">
        <v>457</v>
      </c>
      <c r="D31" s="504" t="s">
        <v>448</v>
      </c>
      <c r="E31" s="505" t="s">
        <v>10</v>
      </c>
      <c r="F31" s="506">
        <v>2366.86</v>
      </c>
      <c r="G31" s="507">
        <v>0.1</v>
      </c>
      <c r="H31" s="506">
        <v>217.75</v>
      </c>
      <c r="I31" s="482"/>
      <c r="J31" s="1963"/>
      <c r="K31" s="1964"/>
    </row>
    <row r="32" spans="1:11" s="731" customFormat="1">
      <c r="A32" s="427">
        <v>44491</v>
      </c>
      <c r="B32" s="854">
        <v>44857</v>
      </c>
      <c r="C32" s="363" t="s">
        <v>1887</v>
      </c>
      <c r="D32" s="428" t="s">
        <v>70</v>
      </c>
      <c r="E32" s="363" t="s">
        <v>279</v>
      </c>
      <c r="F32" s="634">
        <v>2540.83</v>
      </c>
      <c r="G32" s="430">
        <v>0.1</v>
      </c>
      <c r="H32" s="634">
        <v>233.75</v>
      </c>
      <c r="I32" s="447">
        <v>23.37</v>
      </c>
      <c r="J32" s="1965" t="s">
        <v>1426</v>
      </c>
      <c r="K32" s="1966"/>
    </row>
    <row r="33" spans="1:11">
      <c r="A33" s="459">
        <v>44491</v>
      </c>
      <c r="B33" s="459">
        <v>44864</v>
      </c>
      <c r="C33" s="458" t="s">
        <v>1888</v>
      </c>
      <c r="D33" s="1546" t="s">
        <v>25</v>
      </c>
      <c r="E33" s="458" t="s">
        <v>1161</v>
      </c>
      <c r="F33" s="508">
        <v>1317.27</v>
      </c>
      <c r="G33" s="461">
        <v>0.1</v>
      </c>
      <c r="H33" s="508">
        <v>121.18</v>
      </c>
      <c r="I33" s="482"/>
      <c r="J33" s="1528"/>
      <c r="K33" s="1529"/>
    </row>
    <row r="34" spans="1:11">
      <c r="A34" s="359">
        <v>44495</v>
      </c>
      <c r="B34" s="345">
        <v>44860</v>
      </c>
      <c r="C34" s="346" t="s">
        <v>1106</v>
      </c>
      <c r="D34" s="347" t="s">
        <v>9</v>
      </c>
      <c r="E34" s="346" t="s">
        <v>10</v>
      </c>
      <c r="F34" s="348">
        <v>931.38</v>
      </c>
      <c r="G34" s="349">
        <v>0.15</v>
      </c>
      <c r="H34" s="350">
        <v>128.53</v>
      </c>
      <c r="I34" s="351"/>
      <c r="J34" s="1963"/>
      <c r="K34" s="1964"/>
    </row>
    <row r="35" spans="1:11" s="731" customFormat="1">
      <c r="A35" s="238">
        <v>44859</v>
      </c>
      <c r="B35" s="239">
        <v>44865</v>
      </c>
      <c r="C35" s="240" t="s">
        <v>1447</v>
      </c>
      <c r="D35" s="241" t="s">
        <v>149</v>
      </c>
      <c r="E35" s="240" t="s">
        <v>438</v>
      </c>
      <c r="F35" s="323">
        <v>1260.32</v>
      </c>
      <c r="G35" s="243">
        <v>0.1</v>
      </c>
      <c r="H35" s="244">
        <v>115.94</v>
      </c>
      <c r="I35" s="245">
        <v>11.59</v>
      </c>
      <c r="J35" s="1965" t="s">
        <v>1426</v>
      </c>
      <c r="K35" s="1966"/>
    </row>
    <row r="36" spans="1:11">
      <c r="A36" s="359">
        <v>44495</v>
      </c>
      <c r="B36" s="345">
        <v>44862</v>
      </c>
      <c r="C36" s="346" t="s">
        <v>1889</v>
      </c>
      <c r="D36" s="347" t="s">
        <v>25</v>
      </c>
      <c r="E36" s="346" t="s">
        <v>945</v>
      </c>
      <c r="F36" s="348">
        <v>1167.47</v>
      </c>
      <c r="G36" s="349">
        <v>0.1</v>
      </c>
      <c r="H36" s="350">
        <v>107.4</v>
      </c>
      <c r="I36" s="351"/>
      <c r="J36" s="1528"/>
      <c r="K36" s="1529"/>
    </row>
    <row r="37" spans="1:11" s="731" customFormat="1">
      <c r="A37" s="238">
        <v>44494</v>
      </c>
      <c r="B37" s="239" t="s">
        <v>1457</v>
      </c>
      <c r="C37" s="240" t="s">
        <v>1503</v>
      </c>
      <c r="D37" s="241" t="s">
        <v>381</v>
      </c>
      <c r="E37" s="240" t="s">
        <v>945</v>
      </c>
      <c r="F37" s="323">
        <v>3415.69</v>
      </c>
      <c r="G37" s="243">
        <v>0.16</v>
      </c>
      <c r="H37" s="244">
        <v>502.78</v>
      </c>
      <c r="I37" s="245">
        <v>50.27</v>
      </c>
      <c r="J37" s="1965" t="s">
        <v>1426</v>
      </c>
      <c r="K37" s="1966"/>
    </row>
    <row r="38" spans="1:11">
      <c r="A38" s="359">
        <v>44496</v>
      </c>
      <c r="B38" s="345">
        <v>44861</v>
      </c>
      <c r="C38" s="346" t="s">
        <v>1890</v>
      </c>
      <c r="D38" s="347" t="s">
        <v>9</v>
      </c>
      <c r="E38" s="346" t="s">
        <v>143</v>
      </c>
      <c r="F38" s="348">
        <v>2625.31</v>
      </c>
      <c r="G38" s="349">
        <v>0.1</v>
      </c>
      <c r="H38" s="350">
        <v>241.52</v>
      </c>
      <c r="I38" s="351"/>
      <c r="J38" s="1963"/>
      <c r="K38" s="1964"/>
    </row>
    <row r="39" spans="1:11" s="731" customFormat="1">
      <c r="A39" s="255">
        <v>44496</v>
      </c>
      <c r="B39" s="256" t="s">
        <v>1457</v>
      </c>
      <c r="C39" s="257" t="s">
        <v>1891</v>
      </c>
      <c r="D39" s="258" t="s">
        <v>70</v>
      </c>
      <c r="E39" s="257" t="s">
        <v>279</v>
      </c>
      <c r="F39" s="321">
        <v>123.61</v>
      </c>
      <c r="G39" s="260">
        <v>0.1</v>
      </c>
      <c r="H39" s="261">
        <v>11.37</v>
      </c>
      <c r="I39" s="262">
        <v>1.1299999999999999</v>
      </c>
      <c r="J39" s="1971" t="s">
        <v>1426</v>
      </c>
      <c r="K39" s="1972"/>
    </row>
    <row r="40" spans="1:11">
      <c r="A40" s="287">
        <v>44497</v>
      </c>
      <c r="B40" s="288">
        <v>44862</v>
      </c>
      <c r="C40" s="290" t="s">
        <v>1892</v>
      </c>
      <c r="D40" s="289" t="s">
        <v>25</v>
      </c>
      <c r="E40" s="290" t="s">
        <v>458</v>
      </c>
      <c r="F40" s="337">
        <v>1327.53</v>
      </c>
      <c r="G40" s="292">
        <v>0.1</v>
      </c>
      <c r="H40" s="293">
        <v>122.13</v>
      </c>
      <c r="I40" s="294"/>
      <c r="J40" s="1967"/>
      <c r="K40" s="1968"/>
    </row>
    <row r="41" spans="1:11">
      <c r="A41" s="359">
        <v>44497</v>
      </c>
      <c r="B41" s="345">
        <v>44862</v>
      </c>
      <c r="C41" s="346" t="s">
        <v>1893</v>
      </c>
      <c r="D41" s="347" t="s">
        <v>9</v>
      </c>
      <c r="E41" s="346" t="s">
        <v>279</v>
      </c>
      <c r="F41" s="348">
        <v>1460.66</v>
      </c>
      <c r="G41" s="349">
        <v>0.1</v>
      </c>
      <c r="H41" s="350">
        <v>134.38</v>
      </c>
      <c r="I41" s="351"/>
      <c r="J41" s="1528"/>
      <c r="K41" s="1529"/>
    </row>
    <row r="42" spans="1:11">
      <c r="A42" s="359">
        <v>44497</v>
      </c>
      <c r="B42" s="345">
        <v>44862</v>
      </c>
      <c r="C42" s="346" t="s">
        <v>1574</v>
      </c>
      <c r="D42" s="347" t="s">
        <v>448</v>
      </c>
      <c r="E42" s="346" t="s">
        <v>945</v>
      </c>
      <c r="F42" s="348">
        <v>5208.46</v>
      </c>
      <c r="G42" s="349">
        <v>0.1</v>
      </c>
      <c r="H42" s="350">
        <v>479.17</v>
      </c>
      <c r="I42" s="351"/>
      <c r="J42" s="1963"/>
      <c r="K42" s="1964"/>
    </row>
    <row r="43" spans="1:11">
      <c r="A43" s="359">
        <v>44498</v>
      </c>
      <c r="B43" s="345">
        <v>44863</v>
      </c>
      <c r="C43" s="346" t="s">
        <v>1565</v>
      </c>
      <c r="D43" s="347" t="s">
        <v>9</v>
      </c>
      <c r="E43" s="346" t="s">
        <v>1044</v>
      </c>
      <c r="F43" s="348">
        <v>1057.2</v>
      </c>
      <c r="G43" s="349">
        <v>0.2</v>
      </c>
      <c r="H43" s="350">
        <v>194.52</v>
      </c>
      <c r="I43" s="351"/>
      <c r="J43" s="1528"/>
      <c r="K43" s="1529"/>
    </row>
    <row r="44" spans="1:11">
      <c r="A44" s="359">
        <v>44498</v>
      </c>
      <c r="B44" s="345">
        <v>44865</v>
      </c>
      <c r="C44" s="346" t="s">
        <v>1115</v>
      </c>
      <c r="D44" s="347" t="s">
        <v>9</v>
      </c>
      <c r="E44" s="346" t="s">
        <v>458</v>
      </c>
      <c r="F44" s="348">
        <v>1778.39</v>
      </c>
      <c r="G44" s="349">
        <v>0.15</v>
      </c>
      <c r="H44" s="350">
        <v>245.41</v>
      </c>
      <c r="I44" s="351">
        <v>122.7</v>
      </c>
      <c r="J44" s="1963" t="s">
        <v>1561</v>
      </c>
      <c r="K44" s="1964"/>
    </row>
    <row r="45" spans="1:11">
      <c r="A45" s="359">
        <v>44498</v>
      </c>
      <c r="B45" s="345">
        <v>44863</v>
      </c>
      <c r="C45" s="346" t="s">
        <v>1894</v>
      </c>
      <c r="D45" s="347" t="s">
        <v>61</v>
      </c>
      <c r="E45" s="346" t="s">
        <v>279</v>
      </c>
      <c r="F45" s="348">
        <v>965.23</v>
      </c>
      <c r="G45" s="349">
        <v>0.25</v>
      </c>
      <c r="H45" s="350">
        <v>222</v>
      </c>
      <c r="I45" s="351">
        <v>111</v>
      </c>
      <c r="J45" s="1963" t="s">
        <v>1886</v>
      </c>
      <c r="K45" s="1964"/>
    </row>
    <row r="46" spans="1:11">
      <c r="A46" s="359"/>
      <c r="B46" s="345"/>
      <c r="C46" s="346"/>
      <c r="D46" s="347"/>
      <c r="E46" s="346"/>
      <c r="F46" s="348"/>
      <c r="G46" s="349"/>
      <c r="H46" s="350"/>
      <c r="I46" s="351"/>
      <c r="J46" s="1528"/>
      <c r="K46" s="1529"/>
    </row>
    <row r="47" spans="1:11">
      <c r="A47" s="359"/>
      <c r="B47" s="345"/>
      <c r="C47" s="346"/>
      <c r="D47" s="347"/>
      <c r="E47" s="346"/>
      <c r="F47" s="348"/>
      <c r="G47" s="349"/>
      <c r="H47" s="350"/>
      <c r="I47" s="351"/>
      <c r="J47" s="1528"/>
      <c r="K47" s="1529"/>
    </row>
    <row r="48" spans="1:11">
      <c r="A48" s="359"/>
      <c r="B48" s="345"/>
      <c r="C48" s="346"/>
      <c r="D48" s="347"/>
      <c r="E48" s="346"/>
      <c r="F48" s="348"/>
      <c r="G48" s="349"/>
      <c r="H48" s="350"/>
      <c r="I48" s="351"/>
      <c r="J48" s="1528"/>
      <c r="K48" s="1529"/>
    </row>
    <row r="49" spans="1:11">
      <c r="A49" s="359"/>
      <c r="B49" s="345"/>
      <c r="C49" s="346"/>
      <c r="D49" s="347"/>
      <c r="E49" s="346"/>
      <c r="F49" s="348"/>
      <c r="G49" s="349"/>
      <c r="H49" s="350"/>
      <c r="I49" s="351"/>
      <c r="J49" s="1528"/>
      <c r="K49" s="1529"/>
    </row>
    <row r="50" spans="1:11">
      <c r="A50" s="359"/>
      <c r="B50" s="345"/>
      <c r="C50" s="346"/>
      <c r="D50" s="347"/>
      <c r="E50" s="346"/>
      <c r="F50" s="348"/>
      <c r="G50" s="349"/>
      <c r="H50" s="350"/>
      <c r="I50" s="351"/>
      <c r="J50" s="1528"/>
      <c r="K50" s="1529"/>
    </row>
    <row r="51" spans="1:11">
      <c r="A51" s="359"/>
      <c r="B51" s="345"/>
      <c r="C51" s="346"/>
      <c r="D51" s="347"/>
      <c r="E51" s="346"/>
      <c r="F51" s="348"/>
      <c r="G51" s="349"/>
      <c r="H51" s="350"/>
      <c r="I51" s="351"/>
      <c r="J51" s="1528"/>
      <c r="K51" s="1529"/>
    </row>
    <row r="52" spans="1:11" ht="15.75" thickBot="1">
      <c r="A52" s="359"/>
      <c r="B52" s="345"/>
      <c r="C52" s="346" t="s">
        <v>1895</v>
      </c>
      <c r="D52" s="347"/>
      <c r="E52" s="346"/>
      <c r="F52" s="348"/>
      <c r="G52" s="349"/>
      <c r="H52" s="350"/>
      <c r="I52" s="351"/>
      <c r="J52" s="1528"/>
      <c r="K52" s="1529"/>
    </row>
    <row r="53" spans="1:11" ht="20.25" thickBot="1">
      <c r="A53" s="673"/>
      <c r="B53" s="674"/>
      <c r="C53" s="674"/>
      <c r="D53" s="674"/>
      <c r="E53" s="674"/>
      <c r="F53" s="338"/>
      <c r="G53" s="143"/>
      <c r="H53" s="129"/>
      <c r="I53" s="107"/>
      <c r="J53" s="739"/>
      <c r="K53" s="739"/>
    </row>
  </sheetData>
  <autoFilter ref="A1:K1" xr:uid="{00000000-0001-0000-5900-000000000000}">
    <filterColumn colId="9" showButton="0"/>
  </autoFilter>
  <mergeCells count="41">
    <mergeCell ref="J38:K38"/>
    <mergeCell ref="J39:K39"/>
    <mergeCell ref="J40:K40"/>
    <mergeCell ref="J42:K42"/>
    <mergeCell ref="J44:K44"/>
    <mergeCell ref="J20:K20"/>
    <mergeCell ref="J21:K21"/>
    <mergeCell ref="J37:K37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4:K34"/>
    <mergeCell ref="J35:K35"/>
    <mergeCell ref="J1:K1"/>
    <mergeCell ref="J2:K2"/>
    <mergeCell ref="J3:K3"/>
    <mergeCell ref="J4:K4"/>
    <mergeCell ref="J5:K5"/>
    <mergeCell ref="J45:K45"/>
    <mergeCell ref="J11:K11"/>
    <mergeCell ref="J6:K6"/>
    <mergeCell ref="J7:K7"/>
    <mergeCell ref="J8:K8"/>
    <mergeCell ref="J9:K9"/>
    <mergeCell ref="J10:K10"/>
    <mergeCell ref="J22:K22"/>
    <mergeCell ref="J12:K12"/>
    <mergeCell ref="J13:K13"/>
    <mergeCell ref="J14:K14"/>
    <mergeCell ref="J15:K15"/>
    <mergeCell ref="J16:K16"/>
    <mergeCell ref="J17:K17"/>
    <mergeCell ref="J18:K18"/>
    <mergeCell ref="J19:K1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XFD53"/>
  <sheetViews>
    <sheetView topLeftCell="A21" zoomScale="85" zoomScaleNormal="85" workbookViewId="0">
      <selection activeCell="J33" sqref="J33:K33"/>
    </sheetView>
  </sheetViews>
  <sheetFormatPr defaultRowHeight="15"/>
  <cols>
    <col min="1" max="1" width="14" bestFit="1" customWidth="1"/>
    <col min="2" max="2" width="11.5703125" bestFit="1" customWidth="1"/>
    <col min="3" max="3" width="41.7109375" bestFit="1" customWidth="1"/>
    <col min="4" max="4" width="18.28515625" bestFit="1" customWidth="1"/>
    <col min="5" max="5" width="14.140625" bestFit="1" customWidth="1"/>
    <col min="6" max="6" width="20.42578125" bestFit="1" customWidth="1"/>
    <col min="7" max="7" width="13.42578125" bestFit="1" customWidth="1"/>
    <col min="8" max="8" width="22.5703125" bestFit="1" customWidth="1"/>
    <col min="9" max="9" width="21" bestFit="1" customWidth="1"/>
  </cols>
  <sheetData>
    <row r="1" spans="1:11" ht="15.75" thickBot="1">
      <c r="A1" s="30" t="s">
        <v>1832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1969" t="s">
        <v>370</v>
      </c>
      <c r="K1" s="1970"/>
    </row>
    <row r="2" spans="1:11">
      <c r="A2" s="359">
        <v>44497</v>
      </c>
      <c r="B2" s="345">
        <v>44866</v>
      </c>
      <c r="C2" s="346" t="s">
        <v>1896</v>
      </c>
      <c r="D2" s="347" t="s">
        <v>9</v>
      </c>
      <c r="E2" s="346" t="s">
        <v>10</v>
      </c>
      <c r="F2" s="348">
        <v>1299.72</v>
      </c>
      <c r="G2" s="349">
        <v>0.19</v>
      </c>
      <c r="H2" s="350">
        <v>227.19</v>
      </c>
      <c r="I2" s="522"/>
      <c r="J2" s="1963"/>
      <c r="K2" s="1964"/>
    </row>
    <row r="3" spans="1:11">
      <c r="A3" s="483">
        <v>44498</v>
      </c>
      <c r="B3" s="484">
        <v>44866</v>
      </c>
      <c r="C3" s="436" t="s">
        <v>1584</v>
      </c>
      <c r="D3" s="1547" t="s">
        <v>713</v>
      </c>
      <c r="E3" s="436" t="s">
        <v>10</v>
      </c>
      <c r="F3" s="485">
        <v>910.69</v>
      </c>
      <c r="G3" s="486">
        <v>0.1</v>
      </c>
      <c r="H3" s="487">
        <v>83.78</v>
      </c>
      <c r="I3" s="488"/>
      <c r="J3" s="1967"/>
      <c r="K3" s="1968"/>
    </row>
    <row r="4" spans="1:11">
      <c r="A4" s="287">
        <v>44498</v>
      </c>
      <c r="B4" s="288">
        <v>44866</v>
      </c>
      <c r="C4" s="290" t="s">
        <v>1126</v>
      </c>
      <c r="D4" s="289" t="s">
        <v>9</v>
      </c>
      <c r="E4" s="290" t="s">
        <v>22</v>
      </c>
      <c r="F4" s="337">
        <v>1499.12</v>
      </c>
      <c r="G4" s="292">
        <v>0.1</v>
      </c>
      <c r="H4" s="293">
        <v>137.91</v>
      </c>
      <c r="I4" s="294"/>
      <c r="J4" s="1967"/>
      <c r="K4" s="1968"/>
    </row>
    <row r="5" spans="1:11">
      <c r="A5" s="287">
        <v>44504</v>
      </c>
      <c r="B5" s="288">
        <v>44869</v>
      </c>
      <c r="C5" s="290" t="s">
        <v>1897</v>
      </c>
      <c r="D5" s="289" t="s">
        <v>9</v>
      </c>
      <c r="E5" s="290" t="s">
        <v>45</v>
      </c>
      <c r="F5" s="337">
        <v>3146.08</v>
      </c>
      <c r="G5" s="292">
        <v>0.1</v>
      </c>
      <c r="H5" s="293">
        <v>289.43</v>
      </c>
      <c r="I5" s="580"/>
      <c r="J5" s="1967"/>
      <c r="K5" s="1968"/>
    </row>
    <row r="6" spans="1:11">
      <c r="A6" s="484">
        <v>44504</v>
      </c>
      <c r="B6" s="484">
        <v>44869</v>
      </c>
      <c r="C6" s="436" t="s">
        <v>1898</v>
      </c>
      <c r="D6" s="1547" t="s">
        <v>9</v>
      </c>
      <c r="E6" s="436" t="s">
        <v>45</v>
      </c>
      <c r="F6" s="485">
        <v>3237.65</v>
      </c>
      <c r="G6" s="486">
        <v>0.1</v>
      </c>
      <c r="H6" s="635">
        <v>297.86</v>
      </c>
      <c r="I6" s="489"/>
      <c r="J6" s="1967"/>
      <c r="K6" s="1968"/>
    </row>
    <row r="7" spans="1:11" s="731" customFormat="1">
      <c r="A7" s="238">
        <v>44504</v>
      </c>
      <c r="B7" s="239">
        <v>44875</v>
      </c>
      <c r="C7" s="363" t="s">
        <v>1899</v>
      </c>
      <c r="D7" s="241" t="s">
        <v>25</v>
      </c>
      <c r="E7" s="240" t="s">
        <v>19</v>
      </c>
      <c r="F7" s="323">
        <v>722.43</v>
      </c>
      <c r="G7" s="243">
        <v>0.17</v>
      </c>
      <c r="H7" s="244">
        <v>112.98</v>
      </c>
      <c r="I7" s="245">
        <v>11.29</v>
      </c>
      <c r="J7" s="1965" t="s">
        <v>1575</v>
      </c>
      <c r="K7" s="1966"/>
    </row>
    <row r="8" spans="1:11" s="731" customFormat="1">
      <c r="A8" s="238">
        <v>44505</v>
      </c>
      <c r="B8" s="239">
        <v>44874</v>
      </c>
      <c r="C8" s="240" t="s">
        <v>1900</v>
      </c>
      <c r="D8" s="241" t="s">
        <v>9</v>
      </c>
      <c r="E8" s="240" t="s">
        <v>10</v>
      </c>
      <c r="F8" s="323">
        <v>727.63</v>
      </c>
      <c r="G8" s="243">
        <v>0.1</v>
      </c>
      <c r="H8" s="244">
        <v>66.94</v>
      </c>
      <c r="I8" s="245">
        <v>6.69</v>
      </c>
      <c r="J8" s="1965" t="s">
        <v>1426</v>
      </c>
      <c r="K8" s="1966"/>
    </row>
    <row r="9" spans="1:11">
      <c r="A9" s="287">
        <v>44505</v>
      </c>
      <c r="B9" s="288">
        <v>44870</v>
      </c>
      <c r="C9" s="290" t="s">
        <v>1581</v>
      </c>
      <c r="D9" s="289" t="s">
        <v>25</v>
      </c>
      <c r="E9" s="290" t="s">
        <v>19</v>
      </c>
      <c r="F9" s="337">
        <v>1584.35</v>
      </c>
      <c r="G9" s="292">
        <v>0.1</v>
      </c>
      <c r="H9" s="293">
        <v>145.76</v>
      </c>
      <c r="I9" s="294"/>
      <c r="J9" s="1967"/>
      <c r="K9" s="1968"/>
    </row>
    <row r="10" spans="1:11">
      <c r="A10" s="287">
        <v>44505</v>
      </c>
      <c r="B10" s="288">
        <v>44877</v>
      </c>
      <c r="C10" s="290" t="s">
        <v>1142</v>
      </c>
      <c r="D10" s="289" t="s">
        <v>61</v>
      </c>
      <c r="E10" s="290" t="s">
        <v>948</v>
      </c>
      <c r="F10" s="337">
        <v>1944.37</v>
      </c>
      <c r="G10" s="292">
        <v>0.1</v>
      </c>
      <c r="H10" s="293">
        <v>178.88</v>
      </c>
      <c r="I10" s="581"/>
      <c r="J10" s="1963"/>
      <c r="K10" s="1964"/>
    </row>
    <row r="11" spans="1:11">
      <c r="A11" s="287">
        <v>44505</v>
      </c>
      <c r="B11" s="288">
        <v>44870</v>
      </c>
      <c r="C11" s="1" t="s">
        <v>1901</v>
      </c>
      <c r="D11" s="289" t="s">
        <v>61</v>
      </c>
      <c r="E11" s="290" t="s">
        <v>10</v>
      </c>
      <c r="F11" s="337">
        <v>2953.37</v>
      </c>
      <c r="G11" s="292">
        <v>0.15</v>
      </c>
      <c r="H11" s="293">
        <v>407.56</v>
      </c>
      <c r="I11" s="580">
        <v>6</v>
      </c>
      <c r="J11" s="1967" t="s">
        <v>1517</v>
      </c>
      <c r="K11" s="1968"/>
    </row>
    <row r="12" spans="1:11">
      <c r="A12" s="287">
        <v>44508</v>
      </c>
      <c r="B12" s="288">
        <v>44875</v>
      </c>
      <c r="C12" s="744" t="s">
        <v>1902</v>
      </c>
      <c r="D12" s="289" t="s">
        <v>61</v>
      </c>
      <c r="E12" s="290" t="s">
        <v>10</v>
      </c>
      <c r="F12" s="337">
        <v>1635.45</v>
      </c>
      <c r="G12" s="292">
        <v>0.15</v>
      </c>
      <c r="H12" s="293">
        <v>225.69</v>
      </c>
      <c r="I12" s="580">
        <v>112.84</v>
      </c>
      <c r="J12" s="1967" t="s">
        <v>1588</v>
      </c>
      <c r="K12" s="1968"/>
    </row>
    <row r="13" spans="1:11">
      <c r="A13" s="287">
        <v>44508</v>
      </c>
      <c r="B13" s="288">
        <v>44871</v>
      </c>
      <c r="C13" s="290" t="s">
        <v>1598</v>
      </c>
      <c r="D13" s="289" t="s">
        <v>448</v>
      </c>
      <c r="E13" s="290" t="s">
        <v>10</v>
      </c>
      <c r="F13" s="337">
        <v>1465.66</v>
      </c>
      <c r="G13" s="292">
        <v>0.1</v>
      </c>
      <c r="H13" s="293">
        <v>134.84</v>
      </c>
      <c r="I13" s="580"/>
      <c r="J13" s="1967"/>
      <c r="K13" s="1968"/>
    </row>
    <row r="14" spans="1:11">
      <c r="A14" s="287">
        <v>44509</v>
      </c>
      <c r="B14" s="288">
        <v>44874</v>
      </c>
      <c r="C14" s="290" t="s">
        <v>1903</v>
      </c>
      <c r="D14" s="289" t="s">
        <v>61</v>
      </c>
      <c r="E14" s="290" t="s">
        <v>10</v>
      </c>
      <c r="F14" s="337">
        <v>4923.24</v>
      </c>
      <c r="G14" s="292">
        <v>0.1</v>
      </c>
      <c r="H14" s="293">
        <v>452.93</v>
      </c>
      <c r="I14" s="294"/>
      <c r="J14" s="1967"/>
      <c r="K14" s="1968"/>
    </row>
    <row r="15" spans="1:11">
      <c r="A15" s="359">
        <v>44509</v>
      </c>
      <c r="B15" s="792">
        <v>44876</v>
      </c>
      <c r="C15" s="458" t="s">
        <v>1130</v>
      </c>
      <c r="D15" s="347" t="s">
        <v>448</v>
      </c>
      <c r="E15" s="346" t="s">
        <v>10</v>
      </c>
      <c r="F15" s="348">
        <v>933.2</v>
      </c>
      <c r="G15" s="349">
        <v>0.13</v>
      </c>
      <c r="H15" s="350">
        <v>111.61</v>
      </c>
      <c r="I15" s="522"/>
      <c r="J15" s="1963"/>
      <c r="K15" s="1964"/>
    </row>
    <row r="16" spans="1:11">
      <c r="A16" s="359">
        <v>44509</v>
      </c>
      <c r="B16" s="345">
        <v>44874</v>
      </c>
      <c r="C16" s="550" t="s">
        <v>1904</v>
      </c>
      <c r="D16" s="347" t="s">
        <v>61</v>
      </c>
      <c r="E16" s="346" t="s">
        <v>438</v>
      </c>
      <c r="F16" s="348">
        <v>1969.34</v>
      </c>
      <c r="G16" s="349">
        <v>0.1</v>
      </c>
      <c r="H16" s="350">
        <v>181.17</v>
      </c>
      <c r="I16" s="351"/>
      <c r="J16" s="1963"/>
      <c r="K16" s="1964"/>
    </row>
    <row r="17" spans="1:11 16384:16384">
      <c r="A17" s="359">
        <v>44510</v>
      </c>
      <c r="B17" s="345">
        <v>44878</v>
      </c>
      <c r="C17" s="458" t="s">
        <v>1905</v>
      </c>
      <c r="D17" s="347" t="s">
        <v>21</v>
      </c>
      <c r="E17" s="346" t="s">
        <v>143</v>
      </c>
      <c r="F17" s="348">
        <v>971.06</v>
      </c>
      <c r="G17" s="349">
        <v>0.1</v>
      </c>
      <c r="H17" s="350">
        <v>89.33</v>
      </c>
      <c r="I17" s="351"/>
      <c r="J17" s="1963"/>
      <c r="K17" s="1964"/>
    </row>
    <row r="18" spans="1:11 16384:16384">
      <c r="A18" s="359">
        <v>44509</v>
      </c>
      <c r="B18" s="459">
        <v>44881</v>
      </c>
      <c r="C18" s="744" t="s">
        <v>161</v>
      </c>
      <c r="D18" s="347" t="s">
        <v>149</v>
      </c>
      <c r="E18" s="346" t="s">
        <v>22</v>
      </c>
      <c r="F18" s="348">
        <v>2098.7600000000002</v>
      </c>
      <c r="G18" s="349">
        <v>0.1</v>
      </c>
      <c r="H18" s="350">
        <v>193.08</v>
      </c>
      <c r="I18" s="351"/>
      <c r="J18" s="1963"/>
      <c r="K18" s="1964"/>
    </row>
    <row r="19" spans="1:11 16384:16384">
      <c r="A19" s="359">
        <v>44511</v>
      </c>
      <c r="B19" s="345">
        <v>44883</v>
      </c>
      <c r="C19" s="346" t="s">
        <v>1597</v>
      </c>
      <c r="D19" s="347" t="s">
        <v>9</v>
      </c>
      <c r="E19" s="346" t="s">
        <v>10</v>
      </c>
      <c r="F19" s="348">
        <v>1678.2</v>
      </c>
      <c r="G19" s="349">
        <v>0.1</v>
      </c>
      <c r="H19" s="350">
        <v>154.38999999999999</v>
      </c>
      <c r="I19" s="351"/>
      <c r="J19" s="1963"/>
      <c r="K19" s="1964"/>
    </row>
    <row r="20" spans="1:11 16384:16384" s="731" customFormat="1">
      <c r="A20" s="238">
        <v>44511</v>
      </c>
      <c r="B20" s="239">
        <v>44877</v>
      </c>
      <c r="C20" s="240" t="s">
        <v>1127</v>
      </c>
      <c r="D20" s="241" t="s">
        <v>9</v>
      </c>
      <c r="E20" s="240" t="s">
        <v>19</v>
      </c>
      <c r="F20" s="323">
        <v>1338.3</v>
      </c>
      <c r="G20" s="243">
        <v>0.1</v>
      </c>
      <c r="H20" s="244">
        <v>123.12</v>
      </c>
      <c r="I20" s="245">
        <v>12.31</v>
      </c>
      <c r="J20" s="1965" t="s">
        <v>1426</v>
      </c>
      <c r="K20" s="1966"/>
    </row>
    <row r="21" spans="1:11 16384:16384">
      <c r="A21" s="359">
        <v>44511</v>
      </c>
      <c r="B21" s="345">
        <v>44877</v>
      </c>
      <c r="C21" s="346" t="s">
        <v>1591</v>
      </c>
      <c r="D21" s="347" t="s">
        <v>25</v>
      </c>
      <c r="E21" s="346" t="s">
        <v>10</v>
      </c>
      <c r="F21" s="348">
        <v>768.46</v>
      </c>
      <c r="G21" s="349">
        <v>0.1</v>
      </c>
      <c r="H21" s="350">
        <v>70.69</v>
      </c>
      <c r="I21" s="351"/>
      <c r="J21" s="1963"/>
      <c r="K21" s="1964"/>
    </row>
    <row r="22" spans="1:11 16384:16384">
      <c r="A22" s="484">
        <v>44512</v>
      </c>
      <c r="B22" s="484">
        <v>44878</v>
      </c>
      <c r="C22" s="436" t="s">
        <v>1590</v>
      </c>
      <c r="D22" s="1547" t="s">
        <v>70</v>
      </c>
      <c r="E22" s="436" t="s">
        <v>279</v>
      </c>
      <c r="F22" s="485">
        <v>3256.56</v>
      </c>
      <c r="G22" s="486">
        <v>0.1</v>
      </c>
      <c r="H22" s="635">
        <v>299.60000000000002</v>
      </c>
      <c r="I22" s="489"/>
      <c r="J22" s="1967"/>
      <c r="K22" s="1968"/>
    </row>
    <row r="23" spans="1:11 16384:16384">
      <c r="A23" s="491">
        <v>44516</v>
      </c>
      <c r="B23" s="492">
        <v>44881</v>
      </c>
      <c r="C23" s="493" t="s">
        <v>1906</v>
      </c>
      <c r="D23" s="494" t="s">
        <v>448</v>
      </c>
      <c r="E23" s="493" t="s">
        <v>19</v>
      </c>
      <c r="F23" s="495">
        <v>1877.66</v>
      </c>
      <c r="G23" s="496">
        <v>0.1</v>
      </c>
      <c r="H23" s="497">
        <v>172.74</v>
      </c>
      <c r="I23" s="498"/>
      <c r="J23" s="1967"/>
      <c r="K23" s="1968"/>
      <c r="XFD23">
        <v>16</v>
      </c>
    </row>
    <row r="24" spans="1:11 16384:16384">
      <c r="A24" s="359">
        <v>44517</v>
      </c>
      <c r="B24" s="345">
        <v>44882</v>
      </c>
      <c r="C24" s="501" t="s">
        <v>1907</v>
      </c>
      <c r="D24" s="347" t="s">
        <v>448</v>
      </c>
      <c r="E24" s="346" t="s">
        <v>10</v>
      </c>
      <c r="F24" s="348">
        <v>1898.26</v>
      </c>
      <c r="G24" s="349">
        <v>0.1</v>
      </c>
      <c r="H24" s="502">
        <v>174.63</v>
      </c>
      <c r="I24" s="826"/>
      <c r="J24" s="1963"/>
      <c r="K24" s="1964"/>
    </row>
    <row r="25" spans="1:11 16384:16384" s="731" customFormat="1">
      <c r="A25" s="238">
        <v>44516</v>
      </c>
      <c r="B25" s="239">
        <v>44881</v>
      </c>
      <c r="C25" s="240" t="s">
        <v>1145</v>
      </c>
      <c r="D25" s="241" t="s">
        <v>9</v>
      </c>
      <c r="E25" s="240" t="s">
        <v>143</v>
      </c>
      <c r="F25" s="323">
        <v>1782.09</v>
      </c>
      <c r="G25" s="243">
        <v>0.1</v>
      </c>
      <c r="H25" s="244">
        <v>163.95</v>
      </c>
      <c r="I25" s="245">
        <v>16.39</v>
      </c>
      <c r="J25" s="1965" t="s">
        <v>1575</v>
      </c>
      <c r="K25" s="1966"/>
    </row>
    <row r="26" spans="1:11 16384:16384">
      <c r="A26" s="359">
        <v>44517</v>
      </c>
      <c r="B26" s="345">
        <v>44884</v>
      </c>
      <c r="C26" s="346" t="s">
        <v>809</v>
      </c>
      <c r="D26" s="347" t="s">
        <v>9</v>
      </c>
      <c r="E26" s="346" t="s">
        <v>90</v>
      </c>
      <c r="F26" s="348">
        <v>1556.17</v>
      </c>
      <c r="G26" s="349">
        <v>0.1</v>
      </c>
      <c r="H26" s="350">
        <v>143.16</v>
      </c>
      <c r="I26" s="522">
        <v>71.58</v>
      </c>
      <c r="J26" s="1963" t="s">
        <v>1588</v>
      </c>
      <c r="K26" s="1964"/>
    </row>
    <row r="27" spans="1:11 16384:16384">
      <c r="A27" s="359">
        <v>44517</v>
      </c>
      <c r="B27" s="345">
        <v>44882</v>
      </c>
      <c r="C27" s="346" t="s">
        <v>1908</v>
      </c>
      <c r="D27" s="347" t="s">
        <v>448</v>
      </c>
      <c r="E27" s="346" t="s">
        <v>19</v>
      </c>
      <c r="F27" s="348">
        <v>2011.67</v>
      </c>
      <c r="G27" s="349">
        <v>0.1</v>
      </c>
      <c r="H27" s="350">
        <v>185.07</v>
      </c>
      <c r="I27" s="351"/>
      <c r="J27" s="1963"/>
      <c r="K27" s="1964"/>
    </row>
    <row r="28" spans="1:11 16384:16384" s="731" customFormat="1">
      <c r="A28" s="255">
        <v>44518</v>
      </c>
      <c r="B28" s="256">
        <v>44883</v>
      </c>
      <c r="C28" s="381" t="s">
        <v>1596</v>
      </c>
      <c r="D28" s="258" t="s">
        <v>14</v>
      </c>
      <c r="E28" s="257" t="s">
        <v>438</v>
      </c>
      <c r="F28" s="321">
        <v>1054.3800000000001</v>
      </c>
      <c r="G28" s="260">
        <v>0.1</v>
      </c>
      <c r="H28" s="261">
        <v>97</v>
      </c>
      <c r="I28" s="262">
        <v>9.6999999999999993</v>
      </c>
      <c r="J28" s="1971" t="s">
        <v>1575</v>
      </c>
      <c r="K28" s="1972"/>
    </row>
    <row r="29" spans="1:11 16384:16384">
      <c r="A29" s="359">
        <v>44518</v>
      </c>
      <c r="B29" s="345">
        <v>44884</v>
      </c>
      <c r="C29" s="793" t="s">
        <v>1909</v>
      </c>
      <c r="D29" s="347" t="s">
        <v>25</v>
      </c>
      <c r="E29" s="346" t="s">
        <v>10</v>
      </c>
      <c r="F29" s="348">
        <v>1094.96</v>
      </c>
      <c r="G29" s="349">
        <v>0.1</v>
      </c>
      <c r="H29" s="350">
        <v>100.73</v>
      </c>
      <c r="I29" s="351">
        <v>50.36</v>
      </c>
      <c r="J29" s="1963" t="s">
        <v>1561</v>
      </c>
      <c r="K29" s="1964"/>
    </row>
    <row r="30" spans="1:11 16384:16384">
      <c r="A30" s="359">
        <v>44519</v>
      </c>
      <c r="B30" s="345">
        <v>44891</v>
      </c>
      <c r="C30" s="346" t="s">
        <v>1608</v>
      </c>
      <c r="D30" s="347" t="s">
        <v>448</v>
      </c>
      <c r="E30" s="346" t="s">
        <v>10</v>
      </c>
      <c r="F30" s="348">
        <v>2139.13</v>
      </c>
      <c r="G30" s="349">
        <v>0.1</v>
      </c>
      <c r="H30" s="350">
        <v>196.79</v>
      </c>
      <c r="I30" s="351">
        <v>6</v>
      </c>
      <c r="J30" s="1963" t="s">
        <v>1517</v>
      </c>
      <c r="K30" s="1964"/>
    </row>
    <row r="31" spans="1:11 16384:16384">
      <c r="A31" s="503">
        <v>44519</v>
      </c>
      <c r="B31" s="503">
        <v>44886</v>
      </c>
      <c r="C31" s="458" t="s">
        <v>1150</v>
      </c>
      <c r="D31" s="504" t="s">
        <v>25</v>
      </c>
      <c r="E31" s="505" t="s">
        <v>945</v>
      </c>
      <c r="F31" s="506">
        <v>1160.8399999999999</v>
      </c>
      <c r="G31" s="507">
        <v>0.11</v>
      </c>
      <c r="H31" s="506">
        <v>117.47</v>
      </c>
      <c r="I31" s="482">
        <v>58.73</v>
      </c>
      <c r="J31" s="1963" t="s">
        <v>1561</v>
      </c>
      <c r="K31" s="1964"/>
    </row>
    <row r="32" spans="1:11 16384:16384" s="739" customFormat="1">
      <c r="A32" s="459">
        <v>44522</v>
      </c>
      <c r="B32" s="790">
        <v>44891</v>
      </c>
      <c r="C32" s="458" t="s">
        <v>1910</v>
      </c>
      <c r="D32" s="1546" t="s">
        <v>1862</v>
      </c>
      <c r="E32" s="458" t="s">
        <v>19</v>
      </c>
      <c r="F32" s="508">
        <v>1502.7</v>
      </c>
      <c r="G32" s="461">
        <v>0.13</v>
      </c>
      <c r="H32" s="508">
        <v>179.72</v>
      </c>
      <c r="I32" s="482">
        <v>17.97</v>
      </c>
      <c r="J32" s="1963" t="s">
        <v>1561</v>
      </c>
      <c r="K32" s="1964"/>
    </row>
    <row r="33" spans="1:11">
      <c r="A33" s="459">
        <v>44522</v>
      </c>
      <c r="B33" s="459">
        <v>44887</v>
      </c>
      <c r="C33" s="458" t="s">
        <v>1135</v>
      </c>
      <c r="D33" s="1546" t="s">
        <v>448</v>
      </c>
      <c r="E33" s="458" t="s">
        <v>19</v>
      </c>
      <c r="F33" s="508">
        <v>1322.97</v>
      </c>
      <c r="G33" s="461">
        <v>0.1</v>
      </c>
      <c r="H33" s="508">
        <v>121.71</v>
      </c>
      <c r="I33" s="482"/>
      <c r="J33" s="1963"/>
      <c r="K33" s="1964"/>
    </row>
    <row r="34" spans="1:11">
      <c r="A34" s="359">
        <v>44523</v>
      </c>
      <c r="B34" s="345">
        <v>44893</v>
      </c>
      <c r="C34" s="346" t="s">
        <v>672</v>
      </c>
      <c r="D34" s="347" t="s">
        <v>9</v>
      </c>
      <c r="E34" s="346" t="s">
        <v>1161</v>
      </c>
      <c r="F34" s="348">
        <v>1818.79</v>
      </c>
      <c r="G34" s="349">
        <v>0.1</v>
      </c>
      <c r="H34" s="350">
        <v>167.32</v>
      </c>
      <c r="I34" s="351"/>
      <c r="J34" s="1963"/>
      <c r="K34" s="1964"/>
    </row>
    <row r="35" spans="1:11" s="731" customFormat="1">
      <c r="A35" s="238">
        <v>44523</v>
      </c>
      <c r="B35" s="239">
        <v>44891</v>
      </c>
      <c r="C35" s="240" t="s">
        <v>1911</v>
      </c>
      <c r="D35" s="241" t="s">
        <v>9</v>
      </c>
      <c r="E35" s="240" t="s">
        <v>143</v>
      </c>
      <c r="F35" s="323">
        <v>5242.13</v>
      </c>
      <c r="G35" s="243">
        <v>0.1</v>
      </c>
      <c r="H35" s="244">
        <v>482.27</v>
      </c>
      <c r="I35" s="245">
        <v>48.22</v>
      </c>
      <c r="J35" s="1965" t="s">
        <v>1426</v>
      </c>
      <c r="K35" s="1966"/>
    </row>
    <row r="36" spans="1:11">
      <c r="A36" s="359">
        <v>44523</v>
      </c>
      <c r="B36" s="345">
        <v>44890</v>
      </c>
      <c r="C36" s="346" t="s">
        <v>1912</v>
      </c>
      <c r="D36" s="347" t="s">
        <v>14</v>
      </c>
      <c r="E36" s="346" t="s">
        <v>19</v>
      </c>
      <c r="F36" s="348">
        <v>1008.34</v>
      </c>
      <c r="G36" s="349">
        <v>0.3</v>
      </c>
      <c r="H36" s="350">
        <v>278.3</v>
      </c>
      <c r="I36" s="351"/>
      <c r="J36" s="1963"/>
      <c r="K36" s="1964"/>
    </row>
    <row r="37" spans="1:11">
      <c r="A37" s="359">
        <v>44524</v>
      </c>
      <c r="B37" s="345" t="s">
        <v>1805</v>
      </c>
      <c r="C37" s="346" t="s">
        <v>1913</v>
      </c>
      <c r="D37" s="347" t="s">
        <v>70</v>
      </c>
      <c r="E37" s="346" t="s">
        <v>1080</v>
      </c>
      <c r="F37" s="348">
        <v>335.39</v>
      </c>
      <c r="G37" s="349">
        <v>0.1</v>
      </c>
      <c r="H37" s="350">
        <v>30.85</v>
      </c>
      <c r="I37" s="351">
        <v>15.42</v>
      </c>
      <c r="J37" s="1963" t="s">
        <v>1374</v>
      </c>
      <c r="K37" s="1964"/>
    </row>
    <row r="38" spans="1:11" s="731" customFormat="1">
      <c r="A38" s="238">
        <v>44525</v>
      </c>
      <c r="B38" s="239">
        <v>44891</v>
      </c>
      <c r="C38" s="240" t="s">
        <v>1914</v>
      </c>
      <c r="D38" s="241" t="s">
        <v>9</v>
      </c>
      <c r="E38" s="240" t="s">
        <v>29</v>
      </c>
      <c r="F38" s="323">
        <v>1584.12</v>
      </c>
      <c r="G38" s="243">
        <v>0.1</v>
      </c>
      <c r="H38" s="244">
        <v>145.72999999999999</v>
      </c>
      <c r="I38" s="245">
        <v>14.57</v>
      </c>
      <c r="J38" s="1965" t="s">
        <v>1575</v>
      </c>
      <c r="K38" s="1966"/>
    </row>
    <row r="39" spans="1:11">
      <c r="A39" s="287">
        <v>44523</v>
      </c>
      <c r="B39" s="288">
        <v>44888</v>
      </c>
      <c r="C39" s="290" t="s">
        <v>1645</v>
      </c>
      <c r="D39" s="289" t="s">
        <v>448</v>
      </c>
      <c r="E39" s="290" t="s">
        <v>10</v>
      </c>
      <c r="F39" s="337">
        <v>2402.35</v>
      </c>
      <c r="G39" s="292">
        <v>0.1</v>
      </c>
      <c r="H39" s="293">
        <v>221.01</v>
      </c>
      <c r="I39" s="294">
        <v>140.5</v>
      </c>
      <c r="J39" s="1967" t="s">
        <v>1915</v>
      </c>
      <c r="K39" s="1968"/>
    </row>
    <row r="40" spans="1:11" s="731" customFormat="1">
      <c r="A40" s="255">
        <v>44526</v>
      </c>
      <c r="B40" s="256">
        <v>44892</v>
      </c>
      <c r="C40" s="257" t="s">
        <v>1916</v>
      </c>
      <c r="D40" s="258" t="s">
        <v>9</v>
      </c>
      <c r="E40" s="257" t="s">
        <v>143</v>
      </c>
      <c r="F40" s="321">
        <v>6659</v>
      </c>
      <c r="G40" s="260">
        <v>0.1</v>
      </c>
      <c r="H40" s="261">
        <v>563.61</v>
      </c>
      <c r="I40" s="262">
        <v>56.36</v>
      </c>
      <c r="J40" s="1971" t="s">
        <v>1575</v>
      </c>
      <c r="K40" s="1972"/>
    </row>
    <row r="41" spans="1:11">
      <c r="A41" s="359">
        <v>44529</v>
      </c>
      <c r="B41" s="345">
        <v>44894</v>
      </c>
      <c r="C41" s="346" t="s">
        <v>1917</v>
      </c>
      <c r="D41" s="347" t="s">
        <v>448</v>
      </c>
      <c r="E41" s="346" t="s">
        <v>10</v>
      </c>
      <c r="F41" s="348">
        <v>3293.4</v>
      </c>
      <c r="G41" s="349">
        <v>0.1</v>
      </c>
      <c r="H41" s="350">
        <v>302.99</v>
      </c>
      <c r="I41" s="351">
        <v>6</v>
      </c>
      <c r="J41" s="1963" t="s">
        <v>1517</v>
      </c>
      <c r="K41" s="1964"/>
    </row>
    <row r="42" spans="1:11">
      <c r="A42" s="359">
        <v>44529</v>
      </c>
      <c r="B42" s="345">
        <v>44895</v>
      </c>
      <c r="C42" s="346" t="s">
        <v>1918</v>
      </c>
      <c r="D42" s="347" t="s">
        <v>9</v>
      </c>
      <c r="E42" s="346" t="s">
        <v>10</v>
      </c>
      <c r="F42" s="348">
        <v>1298.7</v>
      </c>
      <c r="G42" s="349">
        <v>0.1</v>
      </c>
      <c r="H42" s="350">
        <v>119.48</v>
      </c>
      <c r="I42" s="351"/>
      <c r="J42" s="1963"/>
      <c r="K42" s="1964"/>
    </row>
    <row r="43" spans="1:11">
      <c r="A43" s="359">
        <v>44531</v>
      </c>
      <c r="B43" s="345">
        <v>44895</v>
      </c>
      <c r="C43" s="346" t="s">
        <v>1265</v>
      </c>
      <c r="D43" s="347" t="s">
        <v>448</v>
      </c>
      <c r="E43" s="346" t="s">
        <v>22</v>
      </c>
      <c r="F43" s="348">
        <v>2622.44</v>
      </c>
      <c r="G43" s="349">
        <v>0.1</v>
      </c>
      <c r="H43" s="350">
        <v>241.26</v>
      </c>
      <c r="I43" s="351"/>
      <c r="J43" s="1963"/>
      <c r="K43" s="1964"/>
    </row>
    <row r="44" spans="1:11">
      <c r="A44" s="359"/>
      <c r="B44" s="345"/>
      <c r="C44" s="346"/>
      <c r="D44" s="347"/>
      <c r="E44" s="346"/>
      <c r="F44" s="348"/>
      <c r="G44" s="349"/>
      <c r="H44" s="350"/>
      <c r="I44" s="351"/>
      <c r="J44" s="1963"/>
      <c r="K44" s="1964"/>
    </row>
    <row r="45" spans="1:11">
      <c r="A45" s="359"/>
      <c r="B45" s="345"/>
      <c r="C45" s="346"/>
      <c r="D45" s="347"/>
      <c r="E45" s="346"/>
      <c r="F45" s="348"/>
      <c r="G45" s="349"/>
      <c r="H45" s="350"/>
      <c r="I45" s="351"/>
      <c r="J45" s="1963"/>
      <c r="K45" s="1964"/>
    </row>
    <row r="46" spans="1:11">
      <c r="A46" s="359"/>
      <c r="B46" s="345"/>
      <c r="C46" s="346"/>
      <c r="D46" s="347"/>
      <c r="E46" s="346"/>
      <c r="F46" s="348"/>
      <c r="G46" s="349"/>
      <c r="H46" s="350"/>
      <c r="I46" s="351"/>
      <c r="J46" s="1963"/>
      <c r="K46" s="1964"/>
    </row>
    <row r="47" spans="1:11">
      <c r="A47" s="359"/>
      <c r="B47" s="345"/>
      <c r="C47" s="346"/>
      <c r="D47" s="347"/>
      <c r="E47" s="346"/>
      <c r="F47" s="348"/>
      <c r="G47" s="349"/>
      <c r="H47" s="350"/>
      <c r="I47" s="351"/>
      <c r="J47" s="1963"/>
      <c r="K47" s="1964"/>
    </row>
    <row r="48" spans="1:11">
      <c r="A48" s="359"/>
      <c r="B48" s="345"/>
      <c r="C48" s="346"/>
      <c r="D48" s="347"/>
      <c r="E48" s="346"/>
      <c r="F48" s="348"/>
      <c r="G48" s="349"/>
      <c r="H48" s="350"/>
      <c r="I48" s="351"/>
      <c r="J48" s="1963"/>
      <c r="K48" s="1964"/>
    </row>
    <row r="49" spans="1:11">
      <c r="A49" s="359"/>
      <c r="B49" s="345"/>
      <c r="C49" s="346"/>
      <c r="D49" s="347"/>
      <c r="E49" s="346"/>
      <c r="F49" s="348"/>
      <c r="G49" s="349"/>
      <c r="H49" s="350"/>
      <c r="I49" s="351"/>
      <c r="J49" s="1963"/>
      <c r="K49" s="1964"/>
    </row>
    <row r="50" spans="1:11">
      <c r="A50" s="359"/>
      <c r="B50" s="345"/>
      <c r="C50" s="346"/>
      <c r="D50" s="347"/>
      <c r="E50" s="346"/>
      <c r="F50" s="348"/>
      <c r="G50" s="349"/>
      <c r="H50" s="350"/>
      <c r="I50" s="351"/>
      <c r="J50" s="1963"/>
      <c r="K50" s="1964"/>
    </row>
    <row r="51" spans="1:11">
      <c r="A51" s="359"/>
      <c r="B51" s="345"/>
      <c r="C51" s="346"/>
      <c r="D51" s="347"/>
      <c r="E51" s="346"/>
      <c r="F51" s="348"/>
      <c r="G51" s="349"/>
      <c r="H51" s="350"/>
      <c r="I51" s="351"/>
      <c r="J51" s="1963"/>
      <c r="K51" s="1964"/>
    </row>
    <row r="52" spans="1:11" ht="15.75" thickBot="1">
      <c r="A52" s="359"/>
      <c r="B52" s="345"/>
      <c r="C52" s="346"/>
      <c r="D52" s="347"/>
      <c r="E52" s="346"/>
      <c r="F52" s="348"/>
      <c r="G52" s="349"/>
      <c r="H52" s="350"/>
      <c r="I52" s="351"/>
      <c r="J52" s="1963"/>
      <c r="K52" s="1964"/>
    </row>
    <row r="53" spans="1:11" ht="20.25" thickBot="1">
      <c r="A53" s="673"/>
      <c r="B53" s="674"/>
      <c r="C53" s="674"/>
      <c r="D53" s="674"/>
      <c r="E53" s="674"/>
      <c r="F53" s="338">
        <f>SUM(F2:F52)</f>
        <v>82729.129999999976</v>
      </c>
      <c r="G53" s="143"/>
      <c r="H53" s="129">
        <f>SUM(H2:H52)</f>
        <v>8190.5299999999988</v>
      </c>
      <c r="I53" s="107">
        <f>SUM(I31:I52)</f>
        <v>357.77</v>
      </c>
      <c r="J53" s="739"/>
      <c r="K53" s="739"/>
    </row>
  </sheetData>
  <mergeCells count="52">
    <mergeCell ref="J47:K47"/>
    <mergeCell ref="J46:K46"/>
    <mergeCell ref="J45:K45"/>
    <mergeCell ref="J43:K43"/>
    <mergeCell ref="J36:K36"/>
    <mergeCell ref="J39:K39"/>
    <mergeCell ref="J40:K40"/>
    <mergeCell ref="J42:K42"/>
    <mergeCell ref="J44:K44"/>
    <mergeCell ref="J38:K38"/>
    <mergeCell ref="J41:K41"/>
    <mergeCell ref="J52:K52"/>
    <mergeCell ref="J51:K51"/>
    <mergeCell ref="J50:K50"/>
    <mergeCell ref="J49:K49"/>
    <mergeCell ref="J48:K48"/>
    <mergeCell ref="J31:K31"/>
    <mergeCell ref="J32:K32"/>
    <mergeCell ref="J34:K34"/>
    <mergeCell ref="J35:K35"/>
    <mergeCell ref="J37:K37"/>
    <mergeCell ref="J33:K33"/>
    <mergeCell ref="J30:K30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18:K18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6:K6"/>
    <mergeCell ref="J1:K1"/>
    <mergeCell ref="J2:K2"/>
    <mergeCell ref="J3:K3"/>
    <mergeCell ref="J4:K4"/>
    <mergeCell ref="J5:K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K56"/>
  <sheetViews>
    <sheetView topLeftCell="A9" zoomScale="85" zoomScaleNormal="85" workbookViewId="0">
      <selection activeCell="C59" sqref="C59"/>
    </sheetView>
  </sheetViews>
  <sheetFormatPr defaultRowHeight="15"/>
  <cols>
    <col min="1" max="1" width="14" bestFit="1" customWidth="1"/>
    <col min="2" max="2" width="11.5703125" bestFit="1" customWidth="1"/>
    <col min="3" max="3" width="51.42578125" customWidth="1"/>
    <col min="4" max="4" width="18.28515625" bestFit="1" customWidth="1"/>
    <col min="5" max="5" width="14.140625" bestFit="1" customWidth="1"/>
    <col min="6" max="6" width="20.42578125" bestFit="1" customWidth="1"/>
    <col min="7" max="7" width="13.42578125" bestFit="1" customWidth="1"/>
    <col min="8" max="8" width="22.5703125" bestFit="1" customWidth="1"/>
    <col min="9" max="9" width="21" bestFit="1" customWidth="1"/>
  </cols>
  <sheetData>
    <row r="1" spans="1:11" ht="15.75" thickBot="1">
      <c r="A1" s="30" t="s">
        <v>1832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86" t="s">
        <v>7</v>
      </c>
      <c r="I1" s="88" t="s">
        <v>307</v>
      </c>
      <c r="J1" s="1969" t="s">
        <v>370</v>
      </c>
      <c r="K1" s="1970"/>
    </row>
    <row r="2" spans="1:11">
      <c r="A2" s="359">
        <v>44524</v>
      </c>
      <c r="B2" s="345">
        <v>44896</v>
      </c>
      <c r="C2" s="346" t="s">
        <v>1919</v>
      </c>
      <c r="D2" s="347" t="s">
        <v>25</v>
      </c>
      <c r="E2" s="346" t="s">
        <v>10</v>
      </c>
      <c r="F2" s="348">
        <v>824.67</v>
      </c>
      <c r="G2" s="349">
        <v>0.15</v>
      </c>
      <c r="H2" s="350">
        <v>113.8</v>
      </c>
      <c r="I2" s="522"/>
      <c r="J2" s="1963"/>
      <c r="K2" s="1964"/>
    </row>
    <row r="3" spans="1:11">
      <c r="A3" s="483">
        <v>44530</v>
      </c>
      <c r="B3" s="484">
        <v>44902</v>
      </c>
      <c r="C3" s="436" t="s">
        <v>1617</v>
      </c>
      <c r="D3" s="1547" t="s">
        <v>61</v>
      </c>
      <c r="E3" s="436" t="s">
        <v>10</v>
      </c>
      <c r="F3" s="485">
        <v>1739.29</v>
      </c>
      <c r="G3" s="486">
        <v>0.15</v>
      </c>
      <c r="H3" s="487">
        <v>240.02</v>
      </c>
      <c r="I3" s="488"/>
      <c r="J3" s="1967"/>
      <c r="K3" s="1968"/>
    </row>
    <row r="4" spans="1:11">
      <c r="A4" s="287">
        <v>44531</v>
      </c>
      <c r="B4" s="288">
        <v>44896</v>
      </c>
      <c r="C4" s="290" t="s">
        <v>1615</v>
      </c>
      <c r="D4" s="289" t="s">
        <v>448</v>
      </c>
      <c r="E4" s="290" t="s">
        <v>10</v>
      </c>
      <c r="F4" s="337">
        <v>956.02</v>
      </c>
      <c r="G4" s="292">
        <v>0.1</v>
      </c>
      <c r="H4" s="293">
        <v>87.95</v>
      </c>
      <c r="I4" s="294"/>
      <c r="J4" s="1967"/>
      <c r="K4" s="1968"/>
    </row>
    <row r="5" spans="1:11" s="731" customFormat="1">
      <c r="A5" s="255">
        <v>44531</v>
      </c>
      <c r="B5" s="256">
        <v>44902</v>
      </c>
      <c r="C5" s="257" t="s">
        <v>1623</v>
      </c>
      <c r="D5" s="258" t="s">
        <v>448</v>
      </c>
      <c r="E5" s="257" t="s">
        <v>10</v>
      </c>
      <c r="F5" s="321">
        <v>1661.84</v>
      </c>
      <c r="G5" s="260">
        <v>0.1</v>
      </c>
      <c r="H5" s="261">
        <v>152.88</v>
      </c>
      <c r="I5" s="582">
        <v>15.28</v>
      </c>
      <c r="J5" s="1971" t="s">
        <v>1426</v>
      </c>
      <c r="K5" s="1972"/>
    </row>
    <row r="6" spans="1:11">
      <c r="A6" s="484">
        <v>44531</v>
      </c>
      <c r="B6" s="484">
        <v>44896</v>
      </c>
      <c r="C6" s="436" t="s">
        <v>1920</v>
      </c>
      <c r="D6" s="1547" t="s">
        <v>9</v>
      </c>
      <c r="E6" s="436" t="s">
        <v>19</v>
      </c>
      <c r="F6" s="485">
        <v>1797.47</v>
      </c>
      <c r="G6" s="486">
        <v>0.1</v>
      </c>
      <c r="H6" s="635">
        <v>165.36</v>
      </c>
      <c r="I6" s="489"/>
      <c r="J6" s="1967"/>
      <c r="K6" s="1968"/>
    </row>
    <row r="7" spans="1:11">
      <c r="A7" s="359">
        <v>44532</v>
      </c>
      <c r="B7" s="345">
        <v>44904</v>
      </c>
      <c r="C7" s="458" t="s">
        <v>1625</v>
      </c>
      <c r="D7" s="347" t="s">
        <v>9</v>
      </c>
      <c r="E7" s="346" t="s">
        <v>143</v>
      </c>
      <c r="F7" s="348">
        <v>1299.77</v>
      </c>
      <c r="G7" s="349">
        <v>0.1</v>
      </c>
      <c r="H7" s="350">
        <v>119.57</v>
      </c>
      <c r="I7" s="351"/>
      <c r="J7" s="1963"/>
      <c r="K7" s="1964"/>
    </row>
    <row r="8" spans="1:11">
      <c r="A8" s="359">
        <v>44533</v>
      </c>
      <c r="B8" s="345">
        <v>44898</v>
      </c>
      <c r="C8" s="346" t="s">
        <v>1445</v>
      </c>
      <c r="D8" s="347" t="s">
        <v>70</v>
      </c>
      <c r="E8" s="346" t="s">
        <v>279</v>
      </c>
      <c r="F8" s="348">
        <v>433.91</v>
      </c>
      <c r="G8" s="349">
        <v>0.1</v>
      </c>
      <c r="H8" s="350">
        <v>39.909999999999997</v>
      </c>
      <c r="I8" s="351"/>
      <c r="J8" s="1963"/>
      <c r="K8" s="1964"/>
    </row>
    <row r="9" spans="1:11">
      <c r="A9" s="287">
        <v>44533</v>
      </c>
      <c r="B9" s="288">
        <v>44899</v>
      </c>
      <c r="C9" s="290" t="s">
        <v>1180</v>
      </c>
      <c r="D9" s="289" t="s">
        <v>14</v>
      </c>
      <c r="E9" s="290" t="s">
        <v>19</v>
      </c>
      <c r="F9" s="337">
        <v>1303.26</v>
      </c>
      <c r="G9" s="292">
        <v>0.15</v>
      </c>
      <c r="H9" s="293">
        <v>179.84</v>
      </c>
      <c r="I9" s="294"/>
      <c r="J9" s="1967"/>
      <c r="K9" s="1968"/>
    </row>
    <row r="10" spans="1:11">
      <c r="A10" s="287">
        <v>44536</v>
      </c>
      <c r="B10" s="288">
        <v>44901</v>
      </c>
      <c r="C10" s="458" t="s">
        <v>1173</v>
      </c>
      <c r="D10" s="289" t="s">
        <v>14</v>
      </c>
      <c r="E10" s="290" t="s">
        <v>22</v>
      </c>
      <c r="F10" s="337">
        <v>1875.28</v>
      </c>
      <c r="G10" s="292">
        <v>0.1</v>
      </c>
      <c r="H10" s="293">
        <v>172.52</v>
      </c>
      <c r="I10" s="580"/>
      <c r="J10" s="1967"/>
      <c r="K10" s="1968"/>
    </row>
    <row r="11" spans="1:11">
      <c r="A11" s="287">
        <v>44537</v>
      </c>
      <c r="B11" s="288">
        <v>44904</v>
      </c>
      <c r="C11" s="744" t="s">
        <v>1624</v>
      </c>
      <c r="D11" s="289" t="s">
        <v>25</v>
      </c>
      <c r="E11" s="290" t="s">
        <v>10</v>
      </c>
      <c r="F11" s="337">
        <v>926.31</v>
      </c>
      <c r="G11" s="292">
        <v>0.14000000000000001</v>
      </c>
      <c r="H11" s="293">
        <v>119.3</v>
      </c>
      <c r="I11" s="580"/>
      <c r="J11" s="1967"/>
      <c r="K11" s="1968"/>
    </row>
    <row r="12" spans="1:11" s="731" customFormat="1">
      <c r="A12" s="255">
        <v>44537</v>
      </c>
      <c r="B12" s="256">
        <v>44904</v>
      </c>
      <c r="C12" s="257" t="s">
        <v>1921</v>
      </c>
      <c r="D12" s="258" t="s">
        <v>448</v>
      </c>
      <c r="E12" s="257" t="s">
        <v>10</v>
      </c>
      <c r="F12" s="321">
        <v>1780.19</v>
      </c>
      <c r="G12" s="260">
        <v>0.1</v>
      </c>
      <c r="H12" s="261">
        <v>163.77000000000001</v>
      </c>
      <c r="I12" s="582">
        <v>16.37</v>
      </c>
      <c r="J12" s="1971" t="s">
        <v>1426</v>
      </c>
      <c r="K12" s="1972"/>
    </row>
    <row r="13" spans="1:11">
      <c r="A13" s="287">
        <v>44539</v>
      </c>
      <c r="B13" s="288">
        <v>44899</v>
      </c>
      <c r="C13" s="290" t="s">
        <v>1922</v>
      </c>
      <c r="D13" s="289" t="s">
        <v>70</v>
      </c>
      <c r="E13" s="290" t="s">
        <v>279</v>
      </c>
      <c r="F13" s="337">
        <v>1322.46</v>
      </c>
      <c r="G13" s="292">
        <v>0.1</v>
      </c>
      <c r="H13" s="293">
        <v>121.66</v>
      </c>
      <c r="I13" s="294">
        <v>60.83</v>
      </c>
      <c r="J13" s="1967" t="s">
        <v>491</v>
      </c>
      <c r="K13" s="1968"/>
    </row>
    <row r="14" spans="1:11">
      <c r="A14" s="359">
        <v>44539</v>
      </c>
      <c r="B14" s="792">
        <v>44904</v>
      </c>
      <c r="C14" s="458" t="s">
        <v>841</v>
      </c>
      <c r="D14" s="347" t="s">
        <v>9</v>
      </c>
      <c r="E14" s="346" t="s">
        <v>10</v>
      </c>
      <c r="F14" s="348">
        <v>2210.9699999999998</v>
      </c>
      <c r="G14" s="349">
        <v>0.1</v>
      </c>
      <c r="H14" s="350">
        <v>203.4</v>
      </c>
      <c r="I14" s="522"/>
      <c r="J14" s="1963"/>
      <c r="K14" s="1964"/>
    </row>
    <row r="15" spans="1:11" s="731" customFormat="1">
      <c r="A15" s="238">
        <v>44539</v>
      </c>
      <c r="B15" s="239">
        <v>44904</v>
      </c>
      <c r="C15" s="531" t="s">
        <v>1923</v>
      </c>
      <c r="D15" s="241" t="s">
        <v>1924</v>
      </c>
      <c r="E15" s="240" t="s">
        <v>10</v>
      </c>
      <c r="F15" s="323">
        <v>1062.4000000000001</v>
      </c>
      <c r="G15" s="243">
        <v>0.1</v>
      </c>
      <c r="H15" s="244">
        <v>97.74</v>
      </c>
      <c r="I15" s="245">
        <v>9.77</v>
      </c>
      <c r="J15" s="1992" t="s">
        <v>1426</v>
      </c>
      <c r="K15" s="1993"/>
    </row>
    <row r="16" spans="1:11">
      <c r="A16" s="459">
        <v>44539</v>
      </c>
      <c r="B16" s="459">
        <v>44910</v>
      </c>
      <c r="C16" s="13" t="s">
        <v>1925</v>
      </c>
      <c r="D16" s="1546" t="s">
        <v>304</v>
      </c>
      <c r="E16" s="458" t="s">
        <v>22</v>
      </c>
      <c r="F16" s="460">
        <v>3741.75</v>
      </c>
      <c r="G16" s="461">
        <v>0.2</v>
      </c>
      <c r="H16" s="462">
        <v>688.48</v>
      </c>
      <c r="I16" s="463">
        <v>344.24</v>
      </c>
      <c r="J16" s="1991" t="s">
        <v>1561</v>
      </c>
      <c r="K16" s="1991"/>
    </row>
    <row r="17" spans="1:11">
      <c r="A17" s="847">
        <v>44540</v>
      </c>
      <c r="B17" s="848">
        <v>44905</v>
      </c>
      <c r="C17" s="744" t="s">
        <v>1926</v>
      </c>
      <c r="D17" s="849" t="s">
        <v>448</v>
      </c>
      <c r="E17" s="550" t="s">
        <v>22</v>
      </c>
      <c r="F17" s="850">
        <v>1381.88</v>
      </c>
      <c r="G17" s="851">
        <v>0.1</v>
      </c>
      <c r="H17" s="852">
        <v>127.13</v>
      </c>
      <c r="I17" s="853"/>
      <c r="J17" s="1989"/>
      <c r="K17" s="1990"/>
    </row>
    <row r="18" spans="1:11">
      <c r="A18" s="359">
        <v>44540</v>
      </c>
      <c r="B18" s="345">
        <v>44905</v>
      </c>
      <c r="C18" s="346" t="s">
        <v>1369</v>
      </c>
      <c r="D18" s="347" t="s">
        <v>448</v>
      </c>
      <c r="E18" s="346" t="s">
        <v>10</v>
      </c>
      <c r="F18" s="348">
        <v>3084.39</v>
      </c>
      <c r="G18" s="349">
        <v>0.1</v>
      </c>
      <c r="H18" s="350">
        <v>283.76</v>
      </c>
      <c r="I18" s="351"/>
      <c r="J18" s="1963"/>
      <c r="K18" s="1964"/>
    </row>
    <row r="19" spans="1:11">
      <c r="A19" s="359">
        <v>44540</v>
      </c>
      <c r="B19" s="345">
        <v>44906</v>
      </c>
      <c r="C19" s="346" t="s">
        <v>1927</v>
      </c>
      <c r="D19" s="347" t="s">
        <v>1862</v>
      </c>
      <c r="E19" s="346" t="s">
        <v>19</v>
      </c>
      <c r="F19" s="348">
        <v>3639.1</v>
      </c>
      <c r="G19" s="349">
        <v>0.1</v>
      </c>
      <c r="H19" s="350">
        <v>334.79</v>
      </c>
      <c r="I19" s="351"/>
      <c r="J19" s="1963"/>
      <c r="K19" s="1964"/>
    </row>
    <row r="20" spans="1:11">
      <c r="A20" s="359">
        <v>44543</v>
      </c>
      <c r="B20" s="345">
        <v>44908</v>
      </c>
      <c r="C20" s="346" t="s">
        <v>1928</v>
      </c>
      <c r="D20" s="347" t="s">
        <v>14</v>
      </c>
      <c r="E20" s="346" t="s">
        <v>10</v>
      </c>
      <c r="F20" s="348">
        <v>1190.8800000000001</v>
      </c>
      <c r="G20" s="349">
        <v>0.1</v>
      </c>
      <c r="H20" s="350">
        <v>109.56</v>
      </c>
      <c r="I20" s="351"/>
      <c r="J20" s="1963"/>
      <c r="K20" s="1964"/>
    </row>
    <row r="21" spans="1:11">
      <c r="A21" s="484">
        <v>44543</v>
      </c>
      <c r="B21" s="484">
        <v>44910</v>
      </c>
      <c r="C21" s="436" t="s">
        <v>972</v>
      </c>
      <c r="D21" s="1547" t="s">
        <v>198</v>
      </c>
      <c r="E21" s="436" t="s">
        <v>438</v>
      </c>
      <c r="F21" s="485">
        <v>1184.8</v>
      </c>
      <c r="G21" s="486">
        <v>0.13</v>
      </c>
      <c r="H21" s="635">
        <v>141.69999999999999</v>
      </c>
      <c r="I21" s="489"/>
      <c r="J21" s="1967"/>
      <c r="K21" s="1968"/>
    </row>
    <row r="22" spans="1:11">
      <c r="A22" s="491">
        <v>44543</v>
      </c>
      <c r="B22" s="492">
        <v>44908</v>
      </c>
      <c r="C22" s="493" t="s">
        <v>1929</v>
      </c>
      <c r="D22" s="494" t="s">
        <v>448</v>
      </c>
      <c r="E22" s="493" t="s">
        <v>10</v>
      </c>
      <c r="F22" s="495">
        <v>2511.67</v>
      </c>
      <c r="G22" s="496">
        <v>0.1</v>
      </c>
      <c r="H22" s="497">
        <v>231.07</v>
      </c>
      <c r="I22" s="498"/>
      <c r="J22" s="1967"/>
      <c r="K22" s="1968"/>
    </row>
    <row r="23" spans="1:11">
      <c r="A23" s="359">
        <v>44543</v>
      </c>
      <c r="B23" s="345">
        <v>44901</v>
      </c>
      <c r="C23" s="501" t="s">
        <v>1930</v>
      </c>
      <c r="D23" s="347" t="s">
        <v>448</v>
      </c>
      <c r="E23" s="346" t="s">
        <v>10</v>
      </c>
      <c r="F23" s="348">
        <v>1544.91</v>
      </c>
      <c r="G23" s="349">
        <v>0.15</v>
      </c>
      <c r="H23" s="502">
        <v>213.19</v>
      </c>
      <c r="I23" s="826"/>
      <c r="J23" s="1963"/>
      <c r="K23" s="1964"/>
    </row>
    <row r="24" spans="1:11">
      <c r="A24" s="359">
        <v>44543</v>
      </c>
      <c r="B24" s="345">
        <v>44913</v>
      </c>
      <c r="C24" s="346" t="s">
        <v>826</v>
      </c>
      <c r="D24" s="347" t="s">
        <v>448</v>
      </c>
      <c r="E24" s="346" t="s">
        <v>22</v>
      </c>
      <c r="F24" s="348">
        <v>2665.06</v>
      </c>
      <c r="G24" s="349">
        <v>0.1</v>
      </c>
      <c r="H24" s="350">
        <v>245.18</v>
      </c>
      <c r="I24" s="351"/>
      <c r="J24" s="1963"/>
      <c r="K24" s="1964"/>
    </row>
    <row r="25" spans="1:11" s="731" customFormat="1">
      <c r="A25" s="238">
        <v>44543</v>
      </c>
      <c r="B25" s="239">
        <v>44913</v>
      </c>
      <c r="C25" s="240" t="s">
        <v>1200</v>
      </c>
      <c r="D25" s="241" t="s">
        <v>448</v>
      </c>
      <c r="E25" s="240" t="s">
        <v>22</v>
      </c>
      <c r="F25" s="323">
        <v>2319.42</v>
      </c>
      <c r="G25" s="243">
        <v>0.1</v>
      </c>
      <c r="H25" s="244">
        <v>213.38</v>
      </c>
      <c r="I25" s="586">
        <v>21.33</v>
      </c>
      <c r="J25" s="1965" t="s">
        <v>1426</v>
      </c>
      <c r="K25" s="1966"/>
    </row>
    <row r="26" spans="1:11">
      <c r="A26" s="359">
        <v>44544</v>
      </c>
      <c r="B26" s="345">
        <v>44909</v>
      </c>
      <c r="C26" s="346" t="s">
        <v>1931</v>
      </c>
      <c r="D26" s="347" t="s">
        <v>14</v>
      </c>
      <c r="E26" s="346" t="s">
        <v>10</v>
      </c>
      <c r="F26" s="348">
        <v>1184.8499999999999</v>
      </c>
      <c r="G26" s="349">
        <v>0.15</v>
      </c>
      <c r="H26" s="350">
        <v>163.5</v>
      </c>
      <c r="I26" s="351"/>
      <c r="J26" s="1963"/>
      <c r="K26" s="1964"/>
    </row>
    <row r="27" spans="1:11">
      <c r="A27" s="287">
        <v>44544</v>
      </c>
      <c r="B27" s="288">
        <v>44915</v>
      </c>
      <c r="C27" s="436" t="s">
        <v>1186</v>
      </c>
      <c r="D27" s="289" t="s">
        <v>25</v>
      </c>
      <c r="E27" s="290" t="s">
        <v>10</v>
      </c>
      <c r="F27" s="337">
        <v>1275.06</v>
      </c>
      <c r="G27" s="292">
        <v>0.15</v>
      </c>
      <c r="H27" s="293">
        <v>175.95</v>
      </c>
      <c r="I27" s="294"/>
      <c r="J27" s="1967"/>
      <c r="K27" s="1968"/>
    </row>
    <row r="28" spans="1:11">
      <c r="A28" s="359">
        <v>44544</v>
      </c>
      <c r="B28" s="345">
        <v>44916</v>
      </c>
      <c r="C28" s="793" t="s">
        <v>1637</v>
      </c>
      <c r="D28" s="347" t="s">
        <v>448</v>
      </c>
      <c r="E28" s="346" t="s">
        <v>22</v>
      </c>
      <c r="F28" s="348">
        <v>1430.05</v>
      </c>
      <c r="G28" s="349">
        <v>0.1</v>
      </c>
      <c r="H28" s="350">
        <v>131.56</v>
      </c>
      <c r="I28" s="351"/>
      <c r="J28" s="1963"/>
      <c r="K28" s="1964"/>
    </row>
    <row r="29" spans="1:11" s="731" customFormat="1">
      <c r="A29" s="238">
        <v>44544</v>
      </c>
      <c r="B29" s="239">
        <v>44910</v>
      </c>
      <c r="C29" s="240" t="s">
        <v>1183</v>
      </c>
      <c r="D29" s="241" t="s">
        <v>61</v>
      </c>
      <c r="E29" s="240" t="s">
        <v>19</v>
      </c>
      <c r="F29" s="323">
        <v>1263.4000000000001</v>
      </c>
      <c r="G29" s="243">
        <v>0.15</v>
      </c>
      <c r="H29" s="244">
        <v>174.34</v>
      </c>
      <c r="I29" s="245">
        <v>17.43</v>
      </c>
      <c r="J29" s="1965" t="s">
        <v>1426</v>
      </c>
      <c r="K29" s="1966"/>
    </row>
    <row r="30" spans="1:11">
      <c r="A30" s="503">
        <v>44545</v>
      </c>
      <c r="B30" s="503">
        <v>44910</v>
      </c>
      <c r="C30" s="458" t="s">
        <v>1932</v>
      </c>
      <c r="D30" s="504" t="s">
        <v>448</v>
      </c>
      <c r="E30" s="505" t="s">
        <v>279</v>
      </c>
      <c r="F30" s="506">
        <v>1310.67</v>
      </c>
      <c r="G30" s="507">
        <v>0.1</v>
      </c>
      <c r="H30" s="506">
        <v>120.58</v>
      </c>
      <c r="I30" s="482"/>
      <c r="J30" s="1963" t="s">
        <v>1561</v>
      </c>
      <c r="K30" s="1964"/>
    </row>
    <row r="31" spans="1:11">
      <c r="A31" s="459">
        <v>44545</v>
      </c>
      <c r="B31" s="790">
        <v>44911</v>
      </c>
      <c r="C31" s="458" t="s">
        <v>1634</v>
      </c>
      <c r="D31" s="1546" t="s">
        <v>25</v>
      </c>
      <c r="E31" s="458" t="s">
        <v>279</v>
      </c>
      <c r="F31" s="508">
        <v>490.68</v>
      </c>
      <c r="G31" s="461">
        <v>0.1</v>
      </c>
      <c r="H31" s="508">
        <v>45.14</v>
      </c>
      <c r="I31" s="482"/>
      <c r="J31" s="1963"/>
      <c r="K31" s="1964"/>
    </row>
    <row r="32" spans="1:11">
      <c r="A32" s="459">
        <v>44545</v>
      </c>
      <c r="B32" s="459">
        <v>44910</v>
      </c>
      <c r="C32" s="458" t="s">
        <v>1933</v>
      </c>
      <c r="D32" s="1546" t="s">
        <v>9</v>
      </c>
      <c r="E32" s="458" t="s">
        <v>438</v>
      </c>
      <c r="F32" s="508">
        <v>2046.63</v>
      </c>
      <c r="G32" s="461">
        <v>0.1</v>
      </c>
      <c r="H32" s="508">
        <v>188.28</v>
      </c>
      <c r="I32" s="482"/>
      <c r="J32" s="1528"/>
      <c r="K32" s="1529"/>
    </row>
    <row r="33" spans="1:11">
      <c r="A33" s="359">
        <v>44546</v>
      </c>
      <c r="B33" s="345">
        <v>44911</v>
      </c>
      <c r="C33" s="346" t="s">
        <v>1934</v>
      </c>
      <c r="D33" s="347" t="s">
        <v>70</v>
      </c>
      <c r="E33" s="346" t="s">
        <v>279</v>
      </c>
      <c r="F33" s="348">
        <v>1033.83</v>
      </c>
      <c r="G33" s="349">
        <v>0.1</v>
      </c>
      <c r="H33" s="350">
        <v>95.11</v>
      </c>
      <c r="I33" s="351">
        <v>47.55</v>
      </c>
      <c r="J33" s="1963" t="s">
        <v>1561</v>
      </c>
      <c r="K33" s="1964"/>
    </row>
    <row r="34" spans="1:11">
      <c r="A34" s="359">
        <v>44546</v>
      </c>
      <c r="B34" s="345">
        <v>44918</v>
      </c>
      <c r="C34" s="346" t="s">
        <v>1082</v>
      </c>
      <c r="D34" s="347" t="s">
        <v>9</v>
      </c>
      <c r="E34" s="346" t="s">
        <v>90</v>
      </c>
      <c r="F34" s="348">
        <v>1638.19</v>
      </c>
      <c r="G34" s="349">
        <v>0.1</v>
      </c>
      <c r="H34" s="350">
        <v>150.71</v>
      </c>
      <c r="I34" s="351"/>
      <c r="J34" s="1963"/>
      <c r="K34" s="1964"/>
    </row>
    <row r="35" spans="1:11" s="731" customFormat="1">
      <c r="A35" s="238">
        <v>44547</v>
      </c>
      <c r="B35" s="239">
        <v>44905</v>
      </c>
      <c r="C35" s="240" t="s">
        <v>1626</v>
      </c>
      <c r="D35" s="241" t="s">
        <v>61</v>
      </c>
      <c r="E35" s="240" t="s">
        <v>10</v>
      </c>
      <c r="F35" s="323">
        <v>1987.85</v>
      </c>
      <c r="G35" s="243">
        <v>0.1</v>
      </c>
      <c r="H35" s="244">
        <v>182.88</v>
      </c>
      <c r="I35" s="245">
        <v>18.28</v>
      </c>
      <c r="J35" s="1965" t="s">
        <v>1426</v>
      </c>
      <c r="K35" s="1966"/>
    </row>
    <row r="36" spans="1:11">
      <c r="A36" s="359">
        <v>44550</v>
      </c>
      <c r="B36" s="345">
        <v>44915</v>
      </c>
      <c r="C36" s="346" t="s">
        <v>1191</v>
      </c>
      <c r="D36" s="347" t="s">
        <v>448</v>
      </c>
      <c r="E36" s="346" t="s">
        <v>19</v>
      </c>
      <c r="F36" s="348">
        <v>1001.41</v>
      </c>
      <c r="G36" s="349">
        <v>0.1</v>
      </c>
      <c r="H36" s="350">
        <v>92.12</v>
      </c>
      <c r="I36" s="351"/>
      <c r="J36" s="1963"/>
      <c r="K36" s="1964"/>
    </row>
    <row r="37" spans="1:11">
      <c r="A37" s="359">
        <v>44550</v>
      </c>
      <c r="B37" s="345">
        <v>44912</v>
      </c>
      <c r="C37" s="346" t="s">
        <v>1935</v>
      </c>
      <c r="D37" s="347" t="s">
        <v>448</v>
      </c>
      <c r="E37" s="346" t="s">
        <v>19</v>
      </c>
      <c r="F37" s="348">
        <v>1870.22</v>
      </c>
      <c r="G37" s="349">
        <v>0.1</v>
      </c>
      <c r="H37" s="350">
        <v>172.06</v>
      </c>
      <c r="I37" s="351"/>
      <c r="J37" s="1963"/>
      <c r="K37" s="1964"/>
    </row>
    <row r="38" spans="1:11">
      <c r="A38" s="287">
        <v>44550</v>
      </c>
      <c r="B38" s="288">
        <v>44918</v>
      </c>
      <c r="C38" s="290" t="s">
        <v>1936</v>
      </c>
      <c r="D38" s="289" t="s">
        <v>21</v>
      </c>
      <c r="E38" s="290" t="s">
        <v>10</v>
      </c>
      <c r="F38" s="337">
        <v>1137.29</v>
      </c>
      <c r="G38" s="292">
        <v>0.1</v>
      </c>
      <c r="H38" s="293">
        <v>104.63</v>
      </c>
      <c r="I38" s="294"/>
      <c r="J38" s="1967"/>
      <c r="K38" s="1968"/>
    </row>
    <row r="39" spans="1:11">
      <c r="A39" s="287">
        <v>44550</v>
      </c>
      <c r="B39" s="288">
        <v>44914</v>
      </c>
      <c r="C39" s="290" t="s">
        <v>1205</v>
      </c>
      <c r="D39" s="289" t="s">
        <v>14</v>
      </c>
      <c r="E39" s="290" t="s">
        <v>22</v>
      </c>
      <c r="F39" s="337">
        <v>2654.25</v>
      </c>
      <c r="G39" s="292">
        <v>0.1</v>
      </c>
      <c r="H39" s="293">
        <v>244.19</v>
      </c>
      <c r="I39" s="294"/>
      <c r="J39" s="1967"/>
      <c r="K39" s="1968"/>
    </row>
    <row r="40" spans="1:11" s="730" customFormat="1">
      <c r="A40" s="297">
        <v>44550</v>
      </c>
      <c r="B40" s="298">
        <v>44915</v>
      </c>
      <c r="C40" s="101" t="s">
        <v>1937</v>
      </c>
      <c r="D40" s="299" t="s">
        <v>448</v>
      </c>
      <c r="E40" s="101" t="s">
        <v>1161</v>
      </c>
      <c r="F40" s="340"/>
      <c r="G40" s="301">
        <v>0.1</v>
      </c>
      <c r="H40" s="302"/>
      <c r="I40" s="303"/>
      <c r="J40" s="1975" t="s">
        <v>1588</v>
      </c>
      <c r="K40" s="1976"/>
    </row>
    <row r="41" spans="1:11" s="731" customFormat="1">
      <c r="A41" s="238">
        <v>44551</v>
      </c>
      <c r="B41" s="239">
        <v>44921</v>
      </c>
      <c r="C41" s="240" t="s">
        <v>1938</v>
      </c>
      <c r="D41" s="241" t="s">
        <v>61</v>
      </c>
      <c r="E41" s="240" t="s">
        <v>19</v>
      </c>
      <c r="F41" s="323">
        <v>1882.9</v>
      </c>
      <c r="G41" s="243">
        <v>0.1</v>
      </c>
      <c r="H41" s="244">
        <v>173.22</v>
      </c>
      <c r="I41" s="245"/>
      <c r="J41" s="1965"/>
      <c r="K41" s="1966"/>
    </row>
    <row r="42" spans="1:11">
      <c r="A42" s="359">
        <v>44551</v>
      </c>
      <c r="B42" s="345">
        <v>44923</v>
      </c>
      <c r="C42" s="346" t="s">
        <v>1208</v>
      </c>
      <c r="D42" s="347" t="s">
        <v>448</v>
      </c>
      <c r="E42" s="346" t="s">
        <v>10</v>
      </c>
      <c r="F42" s="348">
        <v>2156.85</v>
      </c>
      <c r="G42" s="349">
        <v>0.15</v>
      </c>
      <c r="H42" s="350">
        <v>297.64</v>
      </c>
      <c r="I42" s="351"/>
      <c r="J42" s="1528"/>
      <c r="K42" s="1529"/>
    </row>
    <row r="43" spans="1:11">
      <c r="A43" s="359">
        <v>44551</v>
      </c>
      <c r="B43" s="345">
        <v>44923</v>
      </c>
      <c r="C43" s="346" t="s">
        <v>1197</v>
      </c>
      <c r="D43" s="347" t="s">
        <v>149</v>
      </c>
      <c r="E43" s="346" t="s">
        <v>438</v>
      </c>
      <c r="F43" s="348">
        <v>1988.24</v>
      </c>
      <c r="G43" s="349">
        <v>0.1</v>
      </c>
      <c r="H43" s="350">
        <v>182.91</v>
      </c>
      <c r="I43" s="351"/>
      <c r="J43" s="1963"/>
      <c r="K43" s="1964"/>
    </row>
    <row r="44" spans="1:11">
      <c r="A44" s="359">
        <v>44551</v>
      </c>
      <c r="B44" s="345">
        <v>44916</v>
      </c>
      <c r="C44" s="346" t="s">
        <v>165</v>
      </c>
      <c r="D44" s="347" t="s">
        <v>448</v>
      </c>
      <c r="E44" s="346" t="s">
        <v>22</v>
      </c>
      <c r="F44" s="348">
        <v>3321.96</v>
      </c>
      <c r="G44" s="349">
        <v>0.1</v>
      </c>
      <c r="H44" s="350">
        <v>305.62</v>
      </c>
      <c r="I44" s="351"/>
      <c r="J44" s="1528"/>
      <c r="K44" s="1529"/>
    </row>
    <row r="45" spans="1:11" s="731" customFormat="1">
      <c r="A45" s="238">
        <v>44551</v>
      </c>
      <c r="B45" s="239">
        <v>44922</v>
      </c>
      <c r="C45" s="240" t="s">
        <v>638</v>
      </c>
      <c r="D45" s="241" t="s">
        <v>1924</v>
      </c>
      <c r="E45" s="240" t="s">
        <v>10</v>
      </c>
      <c r="F45" s="323">
        <v>1921.05</v>
      </c>
      <c r="G45" s="243">
        <v>0.15</v>
      </c>
      <c r="H45" s="244">
        <v>265.10000000000002</v>
      </c>
      <c r="I45" s="245"/>
      <c r="J45" s="1530"/>
      <c r="K45" s="1531"/>
    </row>
    <row r="46" spans="1:11">
      <c r="A46" s="359">
        <v>44552</v>
      </c>
      <c r="B46" s="345">
        <v>44925</v>
      </c>
      <c r="C46" s="346" t="s">
        <v>1209</v>
      </c>
      <c r="D46" s="347" t="s">
        <v>448</v>
      </c>
      <c r="E46" s="346" t="s">
        <v>10</v>
      </c>
      <c r="F46" s="348">
        <v>1927.55</v>
      </c>
      <c r="G46" s="349">
        <v>0.1</v>
      </c>
      <c r="H46" s="350">
        <v>177.33</v>
      </c>
      <c r="I46" s="351"/>
      <c r="J46" s="1528"/>
      <c r="K46" s="1529"/>
    </row>
    <row r="47" spans="1:11">
      <c r="A47" s="359">
        <v>44552</v>
      </c>
      <c r="B47" s="345">
        <v>44918</v>
      </c>
      <c r="C47" s="346" t="s">
        <v>1198</v>
      </c>
      <c r="D47" s="347" t="s">
        <v>149</v>
      </c>
      <c r="E47" s="346" t="s">
        <v>438</v>
      </c>
      <c r="F47" s="348">
        <v>1081.5</v>
      </c>
      <c r="G47" s="349">
        <v>0.15</v>
      </c>
      <c r="H47" s="350">
        <v>149.24</v>
      </c>
      <c r="I47" s="351"/>
      <c r="J47" s="1528"/>
      <c r="K47" s="1529"/>
    </row>
    <row r="48" spans="1:11">
      <c r="A48" s="359">
        <v>44552</v>
      </c>
      <c r="B48" s="345">
        <v>44921</v>
      </c>
      <c r="C48" s="1" t="s">
        <v>1939</v>
      </c>
      <c r="D48" s="347" t="s">
        <v>25</v>
      </c>
      <c r="E48" s="346" t="s">
        <v>438</v>
      </c>
      <c r="F48" s="348">
        <v>696.46</v>
      </c>
      <c r="G48" s="349">
        <v>0.13</v>
      </c>
      <c r="H48" s="350">
        <v>83.29</v>
      </c>
      <c r="I48" s="351"/>
      <c r="J48" s="1528"/>
      <c r="K48" s="1529"/>
    </row>
    <row r="49" spans="1:11" s="731" customFormat="1">
      <c r="A49" s="238">
        <v>44553</v>
      </c>
      <c r="B49" s="239">
        <v>44923</v>
      </c>
      <c r="C49" s="240" t="s">
        <v>1643</v>
      </c>
      <c r="D49" s="241" t="s">
        <v>14</v>
      </c>
      <c r="E49" s="240" t="s">
        <v>10</v>
      </c>
      <c r="F49" s="323">
        <v>1871.04</v>
      </c>
      <c r="G49" s="243">
        <v>0.13</v>
      </c>
      <c r="H49" s="244">
        <v>223.77</v>
      </c>
      <c r="I49" s="245"/>
      <c r="J49" s="1530"/>
      <c r="K49" s="1531"/>
    </row>
    <row r="50" spans="1:11">
      <c r="A50" s="359">
        <v>44553</v>
      </c>
      <c r="B50" s="345">
        <v>44925</v>
      </c>
      <c r="C50" s="346" t="s">
        <v>1640</v>
      </c>
      <c r="D50" s="347" t="s">
        <v>9</v>
      </c>
      <c r="E50" s="346" t="s">
        <v>29</v>
      </c>
      <c r="F50" s="348">
        <v>1793.27</v>
      </c>
      <c r="G50" s="349">
        <v>0.1</v>
      </c>
      <c r="H50" s="350">
        <v>164.98</v>
      </c>
      <c r="I50" s="351"/>
      <c r="J50" s="1528"/>
      <c r="K50" s="1529"/>
    </row>
    <row r="51" spans="1:11">
      <c r="A51" s="359">
        <v>44557</v>
      </c>
      <c r="B51" s="345">
        <v>44914</v>
      </c>
      <c r="C51" s="346" t="s">
        <v>1677</v>
      </c>
      <c r="D51" s="347" t="s">
        <v>61</v>
      </c>
      <c r="E51" s="346" t="s">
        <v>10</v>
      </c>
      <c r="F51" s="348">
        <v>2466.13</v>
      </c>
      <c r="G51" s="349">
        <v>0.1</v>
      </c>
      <c r="H51" s="350">
        <v>226.88</v>
      </c>
      <c r="I51" s="351"/>
      <c r="J51" s="1528"/>
      <c r="K51" s="1529"/>
    </row>
    <row r="52" spans="1:11">
      <c r="A52" s="359">
        <v>44558</v>
      </c>
      <c r="B52" s="345">
        <v>44923</v>
      </c>
      <c r="C52" s="346" t="s">
        <v>1367</v>
      </c>
      <c r="D52" s="347" t="s">
        <v>448</v>
      </c>
      <c r="E52" s="346" t="s">
        <v>19</v>
      </c>
      <c r="F52" s="348">
        <v>1329.05</v>
      </c>
      <c r="G52" s="349">
        <v>0.1</v>
      </c>
      <c r="H52" s="350">
        <v>122.27</v>
      </c>
      <c r="I52" s="351"/>
      <c r="J52" s="1528"/>
      <c r="K52" s="1529"/>
    </row>
    <row r="53" spans="1:11">
      <c r="A53" s="359">
        <v>44558</v>
      </c>
      <c r="B53" s="345">
        <v>44922</v>
      </c>
      <c r="C53" s="346" t="s">
        <v>1940</v>
      </c>
      <c r="D53" s="347" t="s">
        <v>70</v>
      </c>
      <c r="E53" s="346" t="s">
        <v>279</v>
      </c>
      <c r="F53" s="348">
        <v>494.93</v>
      </c>
      <c r="G53" s="349">
        <v>0.1</v>
      </c>
      <c r="H53" s="350">
        <v>45.53</v>
      </c>
      <c r="I53" s="351"/>
      <c r="J53" s="1544"/>
      <c r="K53" s="1545"/>
    </row>
    <row r="54" spans="1:11" s="329" customFormat="1">
      <c r="A54" s="459">
        <v>44558</v>
      </c>
      <c r="B54" s="459">
        <v>44923</v>
      </c>
      <c r="C54" s="458" t="s">
        <v>1941</v>
      </c>
      <c r="D54" s="1546" t="s">
        <v>14</v>
      </c>
      <c r="E54" s="458" t="s">
        <v>1310</v>
      </c>
      <c r="F54" s="460">
        <v>2052.69</v>
      </c>
      <c r="G54" s="461">
        <v>0.1</v>
      </c>
      <c r="H54" s="462">
        <v>188.84</v>
      </c>
      <c r="I54" s="463"/>
      <c r="J54" s="1546"/>
      <c r="K54" s="1546"/>
    </row>
    <row r="55" spans="1:11">
      <c r="A55" s="912"/>
      <c r="B55" s="912"/>
      <c r="C55" s="744" t="s">
        <v>1942</v>
      </c>
      <c r="D55" s="913" t="s">
        <v>1805</v>
      </c>
      <c r="E55" s="744"/>
      <c r="F55" s="914"/>
      <c r="G55" s="915"/>
      <c r="H55" s="916"/>
      <c r="I55" s="917"/>
      <c r="J55" s="913"/>
      <c r="K55" s="913"/>
    </row>
    <row r="56" spans="1:11" ht="20.25" thickBot="1">
      <c r="A56" s="683"/>
      <c r="B56" s="684"/>
      <c r="C56" s="684"/>
      <c r="D56" s="684"/>
      <c r="E56" s="684"/>
      <c r="F56" s="332">
        <f>SUM(F2:F54)</f>
        <v>87765.700000000041</v>
      </c>
      <c r="G56" s="164"/>
      <c r="H56" s="165">
        <f>SUM(H2:H54)</f>
        <v>9213.630000000001</v>
      </c>
      <c r="I56" s="166">
        <f>SUM(I2:I53)</f>
        <v>551.07999999999993</v>
      </c>
      <c r="J56" s="739"/>
      <c r="K56" s="739"/>
    </row>
  </sheetData>
  <mergeCells count="41">
    <mergeCell ref="J38:K38"/>
    <mergeCell ref="J39:K39"/>
    <mergeCell ref="J41:K41"/>
    <mergeCell ref="J43:K43"/>
    <mergeCell ref="J30:K30"/>
    <mergeCell ref="J31:K31"/>
    <mergeCell ref="J33:K33"/>
    <mergeCell ref="J34:K34"/>
    <mergeCell ref="J36:K36"/>
    <mergeCell ref="J37:K37"/>
    <mergeCell ref="J35:K35"/>
    <mergeCell ref="J40:K40"/>
    <mergeCell ref="J29:K29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17:K17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6:K6"/>
    <mergeCell ref="J1:K1"/>
    <mergeCell ref="J2:K2"/>
    <mergeCell ref="J3:K3"/>
    <mergeCell ref="J4:K4"/>
    <mergeCell ref="J5:K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K52"/>
  <sheetViews>
    <sheetView topLeftCell="A16" zoomScale="85" zoomScaleNormal="85" workbookViewId="0">
      <selection activeCell="C13" sqref="C13"/>
    </sheetView>
  </sheetViews>
  <sheetFormatPr defaultRowHeight="15"/>
  <cols>
    <col min="1" max="1" width="14" bestFit="1" customWidth="1"/>
    <col min="2" max="2" width="11.5703125" bestFit="1" customWidth="1"/>
    <col min="3" max="3" width="47.5703125" bestFit="1" customWidth="1"/>
    <col min="4" max="4" width="18.28515625" bestFit="1" customWidth="1"/>
    <col min="5" max="5" width="14.140625" bestFit="1" customWidth="1"/>
    <col min="6" max="6" width="22" bestFit="1" customWidth="1"/>
    <col min="7" max="7" width="13.42578125" bestFit="1" customWidth="1"/>
    <col min="8" max="8" width="22.5703125" bestFit="1" customWidth="1"/>
    <col min="9" max="9" width="21" bestFit="1" customWidth="1"/>
  </cols>
  <sheetData>
    <row r="1" spans="1:11" ht="15.75" thickBot="1">
      <c r="A1" s="30" t="s">
        <v>1832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114" t="s">
        <v>7</v>
      </c>
      <c r="I1" s="88" t="s">
        <v>307</v>
      </c>
      <c r="J1" s="1969" t="s">
        <v>370</v>
      </c>
      <c r="K1" s="1970"/>
    </row>
    <row r="2" spans="1:11">
      <c r="A2" s="287">
        <v>44585</v>
      </c>
      <c r="B2" s="896">
        <v>44585</v>
      </c>
      <c r="C2" s="290" t="s">
        <v>1943</v>
      </c>
      <c r="D2" s="289" t="s">
        <v>376</v>
      </c>
      <c r="E2" s="290" t="s">
        <v>19</v>
      </c>
      <c r="F2" s="291">
        <v>1841.18</v>
      </c>
      <c r="G2" s="292">
        <v>0.1</v>
      </c>
      <c r="H2" s="906">
        <v>169.38</v>
      </c>
      <c r="I2" s="905"/>
      <c r="J2" s="1967"/>
      <c r="K2" s="1968"/>
    </row>
    <row r="3" spans="1:11" s="731" customFormat="1">
      <c r="A3" s="379">
        <v>44560</v>
      </c>
      <c r="B3" s="567">
        <v>44928</v>
      </c>
      <c r="C3" s="381" t="s">
        <v>1944</v>
      </c>
      <c r="D3" s="382" t="s">
        <v>61</v>
      </c>
      <c r="E3" s="381" t="s">
        <v>10</v>
      </c>
      <c r="F3" s="386">
        <v>1884.6</v>
      </c>
      <c r="G3" s="383">
        <v>0.1</v>
      </c>
      <c r="H3" s="624">
        <v>173.38</v>
      </c>
      <c r="I3" s="918">
        <v>17.329999999999998</v>
      </c>
      <c r="J3" s="1971" t="s">
        <v>1575</v>
      </c>
      <c r="K3" s="1972"/>
    </row>
    <row r="4" spans="1:11">
      <c r="A4" s="287">
        <v>44560</v>
      </c>
      <c r="B4" s="288">
        <v>44929</v>
      </c>
      <c r="C4" s="290" t="s">
        <v>1945</v>
      </c>
      <c r="D4" s="289" t="s">
        <v>25</v>
      </c>
      <c r="E4" s="290" t="s">
        <v>10</v>
      </c>
      <c r="F4" s="337">
        <v>1363.85</v>
      </c>
      <c r="G4" s="292">
        <v>0.1</v>
      </c>
      <c r="H4" s="635">
        <v>125.47</v>
      </c>
      <c r="I4" s="907"/>
      <c r="J4" s="1967"/>
      <c r="K4" s="1968"/>
    </row>
    <row r="5" spans="1:11">
      <c r="A5" s="287">
        <v>44565</v>
      </c>
      <c r="B5" s="288">
        <v>44931</v>
      </c>
      <c r="C5" s="290" t="s">
        <v>1946</v>
      </c>
      <c r="D5" s="289" t="s">
        <v>61</v>
      </c>
      <c r="E5" s="290" t="s">
        <v>19</v>
      </c>
      <c r="F5" s="337">
        <v>1719.29</v>
      </c>
      <c r="G5" s="292">
        <v>0.15</v>
      </c>
      <c r="H5" s="635">
        <v>237.26</v>
      </c>
      <c r="I5" s="905"/>
      <c r="J5" s="1967"/>
      <c r="K5" s="1968"/>
    </row>
    <row r="6" spans="1:11" s="731" customFormat="1">
      <c r="A6" s="1319">
        <v>44566</v>
      </c>
      <c r="B6" s="1319">
        <v>44931</v>
      </c>
      <c r="C6" s="1320" t="s">
        <v>1649</v>
      </c>
      <c r="D6" s="1321" t="s">
        <v>14</v>
      </c>
      <c r="E6" s="1320" t="s">
        <v>10</v>
      </c>
      <c r="F6" s="1322">
        <v>1483.19</v>
      </c>
      <c r="G6" s="1323">
        <v>0.25</v>
      </c>
      <c r="H6" s="919">
        <v>341.13</v>
      </c>
      <c r="I6" s="1324">
        <v>170.56</v>
      </c>
      <c r="J6" s="1994" t="s">
        <v>1650</v>
      </c>
      <c r="K6" s="1995"/>
    </row>
    <row r="7" spans="1:11">
      <c r="A7" s="287">
        <v>44566</v>
      </c>
      <c r="B7" s="288">
        <v>44931</v>
      </c>
      <c r="C7" s="436" t="s">
        <v>1947</v>
      </c>
      <c r="D7" s="289" t="s">
        <v>61</v>
      </c>
      <c r="E7" s="290" t="s">
        <v>279</v>
      </c>
      <c r="F7" s="337">
        <v>983.69</v>
      </c>
      <c r="G7" s="292">
        <v>0.1</v>
      </c>
      <c r="H7" s="635">
        <v>90.49</v>
      </c>
      <c r="I7" s="907"/>
      <c r="J7" s="1967"/>
      <c r="K7" s="1968"/>
    </row>
    <row r="8" spans="1:11">
      <c r="A8" s="255">
        <v>44566</v>
      </c>
      <c r="B8" s="256">
        <v>44931</v>
      </c>
      <c r="C8" s="257" t="s">
        <v>1948</v>
      </c>
      <c r="D8" s="258" t="s">
        <v>61</v>
      </c>
      <c r="E8" s="257" t="s">
        <v>1310</v>
      </c>
      <c r="F8" s="321">
        <v>35503</v>
      </c>
      <c r="G8" s="260">
        <v>0.1</v>
      </c>
      <c r="H8" s="624">
        <v>3266.27</v>
      </c>
      <c r="I8" s="814">
        <v>326.62</v>
      </c>
      <c r="J8" s="1971" t="s">
        <v>1575</v>
      </c>
      <c r="K8" s="1972"/>
    </row>
    <row r="9" spans="1:11" s="920" customFormat="1">
      <c r="A9" s="287">
        <v>44567</v>
      </c>
      <c r="B9" s="288">
        <v>44932</v>
      </c>
      <c r="C9" s="290" t="s">
        <v>1655</v>
      </c>
      <c r="D9" s="289" t="s">
        <v>61</v>
      </c>
      <c r="E9" s="290" t="s">
        <v>438</v>
      </c>
      <c r="F9" s="337">
        <v>1031.3499999999999</v>
      </c>
      <c r="G9" s="292">
        <v>0.1</v>
      </c>
      <c r="H9" s="635">
        <v>94.88</v>
      </c>
      <c r="I9" s="905"/>
      <c r="J9" s="1967"/>
      <c r="K9" s="1968"/>
    </row>
    <row r="10" spans="1:11">
      <c r="A10" s="287">
        <v>44564</v>
      </c>
      <c r="B10" s="288">
        <v>44933</v>
      </c>
      <c r="C10" s="436" t="s">
        <v>1949</v>
      </c>
      <c r="D10" s="289" t="s">
        <v>448</v>
      </c>
      <c r="E10" s="290" t="s">
        <v>10</v>
      </c>
      <c r="F10" s="337">
        <v>1873.93</v>
      </c>
      <c r="G10" s="292">
        <v>0.1</v>
      </c>
      <c r="H10" s="635">
        <v>172.4</v>
      </c>
      <c r="I10" s="905"/>
      <c r="J10" s="1967"/>
      <c r="K10" s="1968"/>
    </row>
    <row r="11" spans="1:11" s="731" customFormat="1">
      <c r="A11" s="287">
        <v>44564</v>
      </c>
      <c r="B11" s="288">
        <v>44934</v>
      </c>
      <c r="C11" s="895" t="s">
        <v>492</v>
      </c>
      <c r="D11" s="289" t="s">
        <v>25</v>
      </c>
      <c r="E11" s="290" t="s">
        <v>22</v>
      </c>
      <c r="F11" s="337">
        <v>1659.42</v>
      </c>
      <c r="G11" s="292">
        <v>0.1</v>
      </c>
      <c r="H11" s="635">
        <v>152.66</v>
      </c>
      <c r="I11" s="907"/>
      <c r="J11" s="1967"/>
      <c r="K11" s="1968"/>
    </row>
    <row r="12" spans="1:11">
      <c r="A12" s="287">
        <v>44568</v>
      </c>
      <c r="B12" s="288">
        <v>44934</v>
      </c>
      <c r="C12" s="290" t="s">
        <v>1217</v>
      </c>
      <c r="D12" s="289" t="s">
        <v>25</v>
      </c>
      <c r="E12" s="290" t="s">
        <v>10</v>
      </c>
      <c r="F12" s="337">
        <v>1022.1</v>
      </c>
      <c r="G12" s="292">
        <v>0.15</v>
      </c>
      <c r="H12" s="635">
        <v>141.04</v>
      </c>
      <c r="I12" s="907"/>
      <c r="J12" s="1967"/>
      <c r="K12" s="1968"/>
    </row>
    <row r="13" spans="1:11">
      <c r="A13" s="255">
        <v>44565</v>
      </c>
      <c r="B13" s="256">
        <v>44935</v>
      </c>
      <c r="C13" s="257" t="s">
        <v>1653</v>
      </c>
      <c r="D13" s="258" t="s">
        <v>25</v>
      </c>
      <c r="E13" s="257" t="s">
        <v>22</v>
      </c>
      <c r="F13" s="321">
        <v>2323.1799999999998</v>
      </c>
      <c r="G13" s="260">
        <v>0.112</v>
      </c>
      <c r="H13" s="624">
        <v>235.1</v>
      </c>
      <c r="I13" s="925">
        <v>23.51</v>
      </c>
      <c r="J13" s="1971" t="s">
        <v>1575</v>
      </c>
      <c r="K13" s="1972"/>
    </row>
    <row r="14" spans="1:11">
      <c r="A14" s="287">
        <v>44565</v>
      </c>
      <c r="B14" s="288">
        <v>44937</v>
      </c>
      <c r="C14" s="436" t="s">
        <v>1950</v>
      </c>
      <c r="D14" s="289" t="s">
        <v>448</v>
      </c>
      <c r="E14" s="290" t="s">
        <v>19</v>
      </c>
      <c r="F14" s="337">
        <v>2128.25</v>
      </c>
      <c r="G14" s="292">
        <v>0.1</v>
      </c>
      <c r="H14" s="635">
        <v>195.79</v>
      </c>
      <c r="I14" s="905"/>
      <c r="J14" s="1967"/>
      <c r="K14" s="1968"/>
    </row>
    <row r="15" spans="1:11">
      <c r="A15" s="287">
        <v>44573</v>
      </c>
      <c r="B15" s="288">
        <v>44939</v>
      </c>
      <c r="C15" s="493" t="s">
        <v>1951</v>
      </c>
      <c r="D15" s="289" t="s">
        <v>448</v>
      </c>
      <c r="E15" s="290" t="s">
        <v>19</v>
      </c>
      <c r="F15" s="337">
        <v>1721.77</v>
      </c>
      <c r="G15" s="292">
        <v>0.1</v>
      </c>
      <c r="H15" s="635">
        <v>158.4</v>
      </c>
      <c r="I15" s="905"/>
      <c r="J15" s="1998"/>
      <c r="K15" s="1999"/>
    </row>
    <row r="16" spans="1:11">
      <c r="A16" s="484">
        <v>44574</v>
      </c>
      <c r="B16" s="484">
        <v>44939</v>
      </c>
      <c r="C16" s="436" t="s">
        <v>1952</v>
      </c>
      <c r="D16" s="1547" t="s">
        <v>448</v>
      </c>
      <c r="E16" s="436" t="s">
        <v>1161</v>
      </c>
      <c r="F16" s="485">
        <v>3480.67</v>
      </c>
      <c r="G16" s="486">
        <v>0.1</v>
      </c>
      <c r="H16" s="635">
        <v>320.22000000000003</v>
      </c>
      <c r="I16" s="908">
        <v>160.11000000000001</v>
      </c>
      <c r="J16" s="2000" t="s">
        <v>1588</v>
      </c>
      <c r="K16" s="2000"/>
    </row>
    <row r="17" spans="1:11">
      <c r="A17" s="491">
        <v>44574</v>
      </c>
      <c r="B17" s="897">
        <v>44939</v>
      </c>
      <c r="C17" s="895" t="s">
        <v>1232</v>
      </c>
      <c r="D17" s="494" t="s">
        <v>9</v>
      </c>
      <c r="E17" s="493" t="s">
        <v>19</v>
      </c>
      <c r="F17" s="495">
        <v>1801.56</v>
      </c>
      <c r="G17" s="496">
        <v>0.1</v>
      </c>
      <c r="H17" s="635">
        <v>165.74</v>
      </c>
      <c r="I17" s="909"/>
      <c r="J17" s="1996"/>
      <c r="K17" s="1997"/>
    </row>
    <row r="18" spans="1:11">
      <c r="A18" s="287">
        <v>44573</v>
      </c>
      <c r="B18" s="896">
        <v>44941</v>
      </c>
      <c r="C18" s="290" t="s">
        <v>1001</v>
      </c>
      <c r="D18" s="289" t="s">
        <v>9</v>
      </c>
      <c r="E18" s="290" t="s">
        <v>22</v>
      </c>
      <c r="F18" s="337">
        <v>1505.55</v>
      </c>
      <c r="G18" s="292">
        <v>0.1</v>
      </c>
      <c r="H18" s="635">
        <v>138.51</v>
      </c>
      <c r="I18" s="907">
        <v>69.25</v>
      </c>
      <c r="J18" s="1967" t="s">
        <v>1588</v>
      </c>
      <c r="K18" s="1968"/>
    </row>
    <row r="19" spans="1:11">
      <c r="A19" s="287">
        <v>44574</v>
      </c>
      <c r="B19" s="288">
        <v>44941</v>
      </c>
      <c r="C19" s="290" t="s">
        <v>1471</v>
      </c>
      <c r="D19" s="289" t="s">
        <v>448</v>
      </c>
      <c r="E19" s="290" t="s">
        <v>10</v>
      </c>
      <c r="F19" s="337">
        <v>1782.31</v>
      </c>
      <c r="G19" s="292">
        <v>0.1</v>
      </c>
      <c r="H19" s="635">
        <v>163.97</v>
      </c>
      <c r="I19" s="905"/>
      <c r="J19" s="1967"/>
      <c r="K19" s="1968"/>
    </row>
    <row r="20" spans="1:11" s="731" customFormat="1">
      <c r="A20" s="255">
        <v>44575</v>
      </c>
      <c r="B20" s="256">
        <v>44941</v>
      </c>
      <c r="C20" s="257" t="s">
        <v>1953</v>
      </c>
      <c r="D20" s="258" t="s">
        <v>9</v>
      </c>
      <c r="E20" s="257" t="s">
        <v>143</v>
      </c>
      <c r="F20" s="321">
        <v>4541.18</v>
      </c>
      <c r="G20" s="260">
        <v>0.1</v>
      </c>
      <c r="H20" s="624">
        <v>417.78</v>
      </c>
      <c r="I20" s="814">
        <v>4.17</v>
      </c>
      <c r="J20" s="1971" t="s">
        <v>1575</v>
      </c>
      <c r="K20" s="1972"/>
    </row>
    <row r="21" spans="1:11">
      <c r="A21" s="484">
        <v>44579</v>
      </c>
      <c r="B21" s="484">
        <v>44944</v>
      </c>
      <c r="C21" s="436" t="s">
        <v>1954</v>
      </c>
      <c r="D21" s="1547" t="s">
        <v>70</v>
      </c>
      <c r="E21" s="436" t="s">
        <v>279</v>
      </c>
      <c r="F21" s="485">
        <v>583.69000000000005</v>
      </c>
      <c r="G21" s="486">
        <v>0.1</v>
      </c>
      <c r="H21" s="635">
        <v>53.69</v>
      </c>
      <c r="I21" s="908"/>
      <c r="J21" s="1967"/>
      <c r="K21" s="1968"/>
    </row>
    <row r="22" spans="1:11">
      <c r="A22" s="491">
        <v>44579</v>
      </c>
      <c r="B22" s="492">
        <v>44944</v>
      </c>
      <c r="C22" s="493" t="s">
        <v>1955</v>
      </c>
      <c r="D22" s="494" t="s">
        <v>61</v>
      </c>
      <c r="E22" s="493" t="s">
        <v>10</v>
      </c>
      <c r="F22" s="495">
        <v>1342.3</v>
      </c>
      <c r="G22" s="496">
        <v>0.15</v>
      </c>
      <c r="H22" s="635">
        <v>185.23</v>
      </c>
      <c r="I22" s="922" t="s">
        <v>1956</v>
      </c>
      <c r="J22" s="1967" t="s">
        <v>1374</v>
      </c>
      <c r="K22" s="1968"/>
    </row>
    <row r="23" spans="1:11">
      <c r="A23" s="287">
        <v>44575</v>
      </c>
      <c r="B23" s="288">
        <v>44945</v>
      </c>
      <c r="C23" s="898" t="s">
        <v>1957</v>
      </c>
      <c r="D23" s="289" t="s">
        <v>9</v>
      </c>
      <c r="E23" s="290" t="s">
        <v>10</v>
      </c>
      <c r="F23" s="337">
        <v>2477.59</v>
      </c>
      <c r="G23" s="292">
        <v>0.1</v>
      </c>
      <c r="H23" s="635">
        <v>227.93</v>
      </c>
      <c r="I23" s="905">
        <v>113.96</v>
      </c>
      <c r="J23" s="1967" t="s">
        <v>1374</v>
      </c>
      <c r="K23" s="1968"/>
    </row>
    <row r="24" spans="1:11" s="731" customFormat="1">
      <c r="A24" s="287">
        <v>44580</v>
      </c>
      <c r="B24" s="288">
        <v>44945</v>
      </c>
      <c r="C24" s="290" t="s">
        <v>1958</v>
      </c>
      <c r="D24" s="289" t="s">
        <v>25</v>
      </c>
      <c r="E24" s="290" t="s">
        <v>22</v>
      </c>
      <c r="F24" s="337">
        <v>1160.3</v>
      </c>
      <c r="G24" s="292">
        <v>0.15</v>
      </c>
      <c r="H24" s="911">
        <v>160.12</v>
      </c>
      <c r="I24" s="910"/>
      <c r="J24" s="1967"/>
      <c r="K24" s="1968"/>
    </row>
    <row r="25" spans="1:11">
      <c r="A25" s="287">
        <v>44581</v>
      </c>
      <c r="B25" s="288">
        <v>44945</v>
      </c>
      <c r="C25" s="290" t="s">
        <v>1959</v>
      </c>
      <c r="D25" s="289" t="s">
        <v>448</v>
      </c>
      <c r="E25" s="290" t="s">
        <v>279</v>
      </c>
      <c r="F25" s="337">
        <v>604.73</v>
      </c>
      <c r="G25" s="292">
        <v>0.1</v>
      </c>
      <c r="H25" s="635">
        <v>55.63</v>
      </c>
      <c r="I25" s="907"/>
      <c r="J25" s="1967"/>
      <c r="K25" s="1968"/>
    </row>
    <row r="26" spans="1:11">
      <c r="A26" s="255">
        <v>44580</v>
      </c>
      <c r="B26" s="256">
        <v>44946</v>
      </c>
      <c r="C26" s="257" t="s">
        <v>1960</v>
      </c>
      <c r="D26" s="258" t="s">
        <v>25</v>
      </c>
      <c r="E26" s="257" t="s">
        <v>22</v>
      </c>
      <c r="F26" s="321">
        <v>1125.4100000000001</v>
      </c>
      <c r="G26" s="260">
        <v>0.15</v>
      </c>
      <c r="H26" s="624">
        <v>155.30000000000001</v>
      </c>
      <c r="I26" s="925">
        <v>15.3</v>
      </c>
      <c r="J26" s="1971" t="s">
        <v>1575</v>
      </c>
      <c r="K26" s="1972"/>
    </row>
    <row r="27" spans="1:11">
      <c r="A27" s="287">
        <v>44581</v>
      </c>
      <c r="B27" s="288">
        <v>44946</v>
      </c>
      <c r="C27" s="436" t="s">
        <v>1961</v>
      </c>
      <c r="D27" s="289" t="s">
        <v>9</v>
      </c>
      <c r="E27" s="290" t="s">
        <v>438</v>
      </c>
      <c r="F27" s="337">
        <v>1391.77</v>
      </c>
      <c r="G27" s="292">
        <v>0.125</v>
      </c>
      <c r="H27" s="635">
        <v>160.05000000000001</v>
      </c>
      <c r="I27" s="905"/>
      <c r="J27" s="1967"/>
      <c r="K27" s="1968"/>
    </row>
    <row r="28" spans="1:11">
      <c r="A28" s="287">
        <v>44582</v>
      </c>
      <c r="B28" s="288">
        <v>44947</v>
      </c>
      <c r="C28" s="899" t="s">
        <v>1962</v>
      </c>
      <c r="D28" s="289" t="s">
        <v>9</v>
      </c>
      <c r="E28" s="290" t="s">
        <v>143</v>
      </c>
      <c r="F28" s="337">
        <v>2594.0100000000002</v>
      </c>
      <c r="G28" s="292">
        <v>0.1</v>
      </c>
      <c r="H28" s="635">
        <v>238.64</v>
      </c>
      <c r="I28" s="905">
        <v>119.32</v>
      </c>
      <c r="J28" s="1967" t="s">
        <v>1561</v>
      </c>
      <c r="K28" s="1968"/>
    </row>
    <row r="29" spans="1:11">
      <c r="A29" s="287">
        <v>44582</v>
      </c>
      <c r="B29" s="288">
        <v>44947</v>
      </c>
      <c r="C29" s="290" t="s">
        <v>1963</v>
      </c>
      <c r="D29" s="289" t="s">
        <v>70</v>
      </c>
      <c r="E29" s="290" t="s">
        <v>279</v>
      </c>
      <c r="F29" s="337">
        <v>2830</v>
      </c>
      <c r="G29" s="292">
        <v>0.1</v>
      </c>
      <c r="H29" s="635">
        <v>260.36</v>
      </c>
      <c r="I29" s="905"/>
      <c r="J29" s="1967"/>
      <c r="K29" s="1968"/>
    </row>
    <row r="30" spans="1:11">
      <c r="A30" s="484">
        <v>44582</v>
      </c>
      <c r="B30" s="484">
        <v>44948</v>
      </c>
      <c r="C30" s="436" t="s">
        <v>1230</v>
      </c>
      <c r="D30" s="1547" t="s">
        <v>9</v>
      </c>
      <c r="E30" s="436" t="s">
        <v>10</v>
      </c>
      <c r="F30" s="485">
        <v>1061.76</v>
      </c>
      <c r="G30" s="486">
        <v>0.15</v>
      </c>
      <c r="H30" s="635">
        <v>146.52000000000001</v>
      </c>
      <c r="I30" s="905"/>
      <c r="J30" s="1967"/>
      <c r="K30" s="1968"/>
    </row>
    <row r="31" spans="1:11">
      <c r="A31" s="900">
        <v>44585</v>
      </c>
      <c r="B31" s="900">
        <v>44950</v>
      </c>
      <c r="C31" s="436" t="s">
        <v>447</v>
      </c>
      <c r="D31" s="901" t="s">
        <v>448</v>
      </c>
      <c r="E31" s="902" t="s">
        <v>22</v>
      </c>
      <c r="F31" s="903">
        <v>10924.93</v>
      </c>
      <c r="G31" s="904">
        <v>0.1</v>
      </c>
      <c r="H31" s="903">
        <v>1005.09</v>
      </c>
      <c r="I31" s="905"/>
      <c r="J31" s="1967"/>
      <c r="K31" s="1968"/>
    </row>
    <row r="32" spans="1:11">
      <c r="A32" s="484">
        <v>44586</v>
      </c>
      <c r="B32" s="484">
        <v>44951</v>
      </c>
      <c r="C32" s="436" t="s">
        <v>1677</v>
      </c>
      <c r="D32" s="1547" t="s">
        <v>9</v>
      </c>
      <c r="E32" s="436" t="s">
        <v>90</v>
      </c>
      <c r="F32" s="485">
        <v>4654.1400000000003</v>
      </c>
      <c r="G32" s="486">
        <v>0.1</v>
      </c>
      <c r="H32" s="635">
        <v>428.18</v>
      </c>
      <c r="I32" s="905"/>
      <c r="J32" s="1532"/>
      <c r="K32" s="1533"/>
    </row>
    <row r="33" spans="1:11">
      <c r="A33" s="287">
        <v>44586</v>
      </c>
      <c r="B33" s="288">
        <v>44952</v>
      </c>
      <c r="C33" s="290" t="s">
        <v>1676</v>
      </c>
      <c r="D33" s="289" t="s">
        <v>448</v>
      </c>
      <c r="E33" s="290" t="s">
        <v>10</v>
      </c>
      <c r="F33" s="337">
        <v>2625.16</v>
      </c>
      <c r="G33" s="292">
        <v>0.11</v>
      </c>
      <c r="H33" s="635">
        <v>265.66000000000003</v>
      </c>
      <c r="I33" s="905"/>
      <c r="J33" s="1967"/>
      <c r="K33" s="1968"/>
    </row>
    <row r="34" spans="1:11">
      <c r="A34" s="287">
        <v>44587</v>
      </c>
      <c r="B34" s="288">
        <v>44952</v>
      </c>
      <c r="C34" s="290" t="s">
        <v>1084</v>
      </c>
      <c r="D34" s="289" t="s">
        <v>9</v>
      </c>
      <c r="E34" s="290" t="s">
        <v>1310</v>
      </c>
      <c r="F34" s="337">
        <v>1715.16</v>
      </c>
      <c r="G34" s="292">
        <v>0.1</v>
      </c>
      <c r="H34" s="635">
        <v>157.79</v>
      </c>
      <c r="I34" s="905"/>
      <c r="J34" s="1967"/>
      <c r="K34" s="1968"/>
    </row>
    <row r="35" spans="1:11">
      <c r="A35" s="287">
        <v>44588</v>
      </c>
      <c r="B35" s="288">
        <v>44952</v>
      </c>
      <c r="C35" s="290" t="s">
        <v>1964</v>
      </c>
      <c r="D35" s="289" t="s">
        <v>25</v>
      </c>
      <c r="E35" s="290" t="s">
        <v>10</v>
      </c>
      <c r="F35" s="337">
        <v>1368.27</v>
      </c>
      <c r="G35" s="292">
        <v>0.1</v>
      </c>
      <c r="H35" s="635">
        <v>125.88</v>
      </c>
      <c r="I35" s="905"/>
      <c r="J35" s="1967"/>
      <c r="K35" s="1968"/>
    </row>
    <row r="36" spans="1:11">
      <c r="A36" s="287">
        <v>44589</v>
      </c>
      <c r="B36" s="288">
        <v>44954</v>
      </c>
      <c r="C36" s="290" t="s">
        <v>1965</v>
      </c>
      <c r="D36" s="289" t="s">
        <v>70</v>
      </c>
      <c r="E36" s="290" t="s">
        <v>279</v>
      </c>
      <c r="F36" s="337">
        <v>978.31</v>
      </c>
      <c r="G36" s="292">
        <v>0.1</v>
      </c>
      <c r="H36" s="635">
        <v>90</v>
      </c>
      <c r="I36" s="905"/>
      <c r="J36" s="1967"/>
      <c r="K36" s="1968"/>
    </row>
    <row r="37" spans="1:11">
      <c r="A37" s="287">
        <v>44589</v>
      </c>
      <c r="B37" s="288">
        <v>44954</v>
      </c>
      <c r="C37" s="290" t="s">
        <v>1966</v>
      </c>
      <c r="D37" s="289" t="s">
        <v>448</v>
      </c>
      <c r="E37" s="290" t="s">
        <v>19</v>
      </c>
      <c r="F37" s="337">
        <v>1869.33</v>
      </c>
      <c r="G37" s="292">
        <v>0.1</v>
      </c>
      <c r="H37" s="635">
        <v>171.97</v>
      </c>
      <c r="I37" s="905"/>
      <c r="J37" s="1967"/>
      <c r="K37" s="1968"/>
    </row>
    <row r="38" spans="1:11">
      <c r="A38" s="287">
        <v>44587</v>
      </c>
      <c r="B38" s="288">
        <v>44955</v>
      </c>
      <c r="C38" s="290" t="s">
        <v>1967</v>
      </c>
      <c r="D38" s="289" t="s">
        <v>448</v>
      </c>
      <c r="E38" s="290" t="s">
        <v>10</v>
      </c>
      <c r="F38" s="337">
        <v>2086.27</v>
      </c>
      <c r="G38" s="292">
        <v>0.1</v>
      </c>
      <c r="H38" s="635">
        <v>191.93</v>
      </c>
      <c r="I38" s="905"/>
      <c r="J38" s="1967"/>
      <c r="K38" s="1968"/>
    </row>
    <row r="39" spans="1:11">
      <c r="A39" s="287">
        <v>44588</v>
      </c>
      <c r="B39" s="288">
        <v>44955</v>
      </c>
      <c r="C39" s="290" t="s">
        <v>1678</v>
      </c>
      <c r="D39" s="289" t="s">
        <v>254</v>
      </c>
      <c r="E39" s="290" t="s">
        <v>10</v>
      </c>
      <c r="F39" s="337">
        <v>1840.2</v>
      </c>
      <c r="G39" s="292">
        <v>0.1</v>
      </c>
      <c r="H39" s="635">
        <v>169.29</v>
      </c>
      <c r="I39" s="905"/>
      <c r="J39" s="1967"/>
      <c r="K39" s="1968"/>
    </row>
    <row r="40" spans="1:11">
      <c r="A40" s="287">
        <v>44589</v>
      </c>
      <c r="B40" s="288">
        <v>44955</v>
      </c>
      <c r="C40" s="290" t="s">
        <v>1968</v>
      </c>
      <c r="D40" s="289" t="s">
        <v>448</v>
      </c>
      <c r="E40" s="290" t="s">
        <v>10</v>
      </c>
      <c r="F40" s="337">
        <v>3965.92</v>
      </c>
      <c r="G40" s="292">
        <v>0.1</v>
      </c>
      <c r="H40" s="635">
        <v>364.86</v>
      </c>
      <c r="I40" s="905"/>
      <c r="J40" s="1967"/>
      <c r="K40" s="1968"/>
    </row>
    <row r="41" spans="1:11">
      <c r="A41" s="287">
        <v>44586</v>
      </c>
      <c r="B41" s="288">
        <v>44956</v>
      </c>
      <c r="C41" s="290" t="s">
        <v>1969</v>
      </c>
      <c r="D41" s="289" t="s">
        <v>9</v>
      </c>
      <c r="E41" s="290" t="s">
        <v>19</v>
      </c>
      <c r="F41" s="291">
        <v>1436.79</v>
      </c>
      <c r="G41" s="292">
        <v>0.15</v>
      </c>
      <c r="H41" s="906">
        <v>198.27</v>
      </c>
      <c r="I41" s="905"/>
      <c r="J41" s="1967"/>
      <c r="K41" s="1968"/>
    </row>
    <row r="42" spans="1:11">
      <c r="A42" s="287">
        <v>44589</v>
      </c>
      <c r="B42" s="288">
        <v>44956</v>
      </c>
      <c r="C42" s="290" t="s">
        <v>652</v>
      </c>
      <c r="D42" s="289" t="s">
        <v>61</v>
      </c>
      <c r="E42" s="290" t="s">
        <v>90</v>
      </c>
      <c r="F42" s="337">
        <v>2173.71</v>
      </c>
      <c r="G42" s="292">
        <v>0.125</v>
      </c>
      <c r="H42" s="635">
        <v>249.97</v>
      </c>
      <c r="I42" s="905"/>
      <c r="J42" s="1532"/>
      <c r="K42" s="1533"/>
    </row>
    <row r="43" spans="1:11">
      <c r="A43" s="287">
        <v>44592</v>
      </c>
      <c r="B43" s="288">
        <v>44957</v>
      </c>
      <c r="C43" s="290" t="s">
        <v>1970</v>
      </c>
      <c r="D43" s="289" t="s">
        <v>25</v>
      </c>
      <c r="E43" s="290" t="s">
        <v>22</v>
      </c>
      <c r="F43" s="337">
        <v>1516.88</v>
      </c>
      <c r="G43" s="292">
        <v>0.1</v>
      </c>
      <c r="H43" s="635">
        <v>139.55000000000001</v>
      </c>
      <c r="I43" s="905"/>
      <c r="J43" s="1967"/>
      <c r="K43" s="1968"/>
    </row>
    <row r="44" spans="1:11">
      <c r="A44" s="287">
        <v>44588</v>
      </c>
      <c r="B44" s="288" t="s">
        <v>510</v>
      </c>
      <c r="C44" s="290" t="s">
        <v>50</v>
      </c>
      <c r="D44" s="289" t="s">
        <v>61</v>
      </c>
      <c r="E44" s="290" t="s">
        <v>29</v>
      </c>
      <c r="F44" s="337">
        <v>1350.85</v>
      </c>
      <c r="G44" s="292">
        <v>0.1</v>
      </c>
      <c r="H44" s="635">
        <v>124.27</v>
      </c>
      <c r="I44" s="905"/>
      <c r="J44" s="1532"/>
      <c r="K44" s="1533"/>
    </row>
    <row r="45" spans="1:11">
      <c r="A45" s="287"/>
      <c r="B45" s="288"/>
      <c r="C45" s="290"/>
      <c r="D45" s="289"/>
      <c r="E45" s="290"/>
      <c r="F45" s="337"/>
      <c r="G45" s="292"/>
      <c r="H45" s="635"/>
      <c r="I45" s="905"/>
      <c r="J45" s="1532"/>
      <c r="K45" s="1533"/>
    </row>
    <row r="46" spans="1:11">
      <c r="A46" s="287"/>
      <c r="B46" s="288"/>
      <c r="C46" s="290"/>
      <c r="D46" s="289"/>
      <c r="E46" s="290"/>
      <c r="F46" s="337"/>
      <c r="G46" s="292"/>
      <c r="H46" s="635"/>
      <c r="I46" s="905"/>
      <c r="J46" s="1532"/>
      <c r="K46" s="1533"/>
    </row>
    <row r="47" spans="1:11">
      <c r="A47" s="287"/>
      <c r="B47" s="288"/>
      <c r="C47" s="436"/>
      <c r="D47" s="289"/>
      <c r="E47" s="290"/>
      <c r="F47" s="337"/>
      <c r="G47" s="292"/>
      <c r="H47" s="635"/>
      <c r="I47" s="905"/>
      <c r="J47" s="1532"/>
      <c r="K47" s="1533"/>
    </row>
    <row r="48" spans="1:11">
      <c r="A48" s="287"/>
      <c r="B48" s="288"/>
      <c r="C48" s="436"/>
      <c r="D48" s="289"/>
      <c r="E48" s="290"/>
      <c r="F48" s="337"/>
      <c r="G48" s="292"/>
      <c r="H48" s="635"/>
      <c r="I48" s="905"/>
      <c r="J48" s="1532"/>
      <c r="K48" s="1533"/>
    </row>
    <row r="49" spans="1:11">
      <c r="A49" s="287"/>
      <c r="B49" s="288"/>
      <c r="C49" s="290"/>
      <c r="D49" s="289"/>
      <c r="E49" s="290"/>
      <c r="F49" s="337"/>
      <c r="G49" s="292"/>
      <c r="H49" s="635"/>
      <c r="I49" s="905"/>
      <c r="J49" s="1532"/>
      <c r="K49" s="1533"/>
    </row>
    <row r="50" spans="1:11">
      <c r="A50" s="287"/>
      <c r="B50" s="288"/>
      <c r="C50" s="290" t="s">
        <v>1971</v>
      </c>
      <c r="D50" s="289"/>
      <c r="E50" s="290"/>
      <c r="F50" s="337"/>
      <c r="G50" s="292"/>
      <c r="H50" s="635"/>
      <c r="I50" s="905"/>
      <c r="J50" s="1532"/>
      <c r="K50" s="1533"/>
    </row>
    <row r="51" spans="1:11" ht="15.75" thickBot="1">
      <c r="A51" s="287"/>
      <c r="B51" s="288"/>
      <c r="C51" s="290" t="s">
        <v>1972</v>
      </c>
      <c r="D51" s="289"/>
      <c r="E51" s="290"/>
      <c r="F51" s="337"/>
      <c r="G51" s="292"/>
      <c r="H51" s="635"/>
      <c r="I51" s="905"/>
      <c r="J51" s="1532"/>
      <c r="K51" s="1533"/>
    </row>
    <row r="52" spans="1:11" ht="20.25" thickBot="1">
      <c r="A52" s="673"/>
      <c r="B52" s="674"/>
      <c r="C52" s="674"/>
      <c r="D52" s="674"/>
      <c r="E52" s="674"/>
      <c r="F52" s="338">
        <f>SUM(F2:F51)</f>
        <v>123327.55000000002</v>
      </c>
      <c r="G52" s="143"/>
      <c r="H52" s="165">
        <f>SUM(H2:H51)</f>
        <v>12086.050000000001</v>
      </c>
      <c r="I52" s="107">
        <f>SUM(I2:I51)</f>
        <v>1020.1299999999999</v>
      </c>
      <c r="J52" s="739"/>
      <c r="K52" s="739"/>
    </row>
  </sheetData>
  <autoFilter ref="A1:K1" xr:uid="{00000000-0001-0000-5C00-000000000000}">
    <filterColumn colId="9" showButton="0"/>
    <sortState xmlns:xlrd2="http://schemas.microsoft.com/office/spreadsheetml/2017/richdata2" ref="A2:K44">
      <sortCondition ref="B1"/>
    </sortState>
  </autoFilter>
  <mergeCells count="41">
    <mergeCell ref="J43:K43"/>
    <mergeCell ref="J30:K30"/>
    <mergeCell ref="J31:K31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29:K29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17:K17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6:K6"/>
    <mergeCell ref="J1:K1"/>
    <mergeCell ref="J2:K2"/>
    <mergeCell ref="J3:K3"/>
    <mergeCell ref="J4:K4"/>
    <mergeCell ref="J5:K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K53"/>
  <sheetViews>
    <sheetView zoomScale="85" zoomScaleNormal="85" workbookViewId="0">
      <selection activeCell="E8" sqref="E8"/>
    </sheetView>
  </sheetViews>
  <sheetFormatPr defaultRowHeight="15"/>
  <cols>
    <col min="1" max="1" width="14" bestFit="1" customWidth="1"/>
    <col min="2" max="2" width="11.5703125" bestFit="1" customWidth="1"/>
    <col min="3" max="3" width="43.5703125" bestFit="1" customWidth="1"/>
    <col min="4" max="4" width="18.28515625" bestFit="1" customWidth="1"/>
    <col min="5" max="5" width="14.140625" bestFit="1" customWidth="1"/>
    <col min="6" max="6" width="22" bestFit="1" customWidth="1"/>
    <col min="7" max="7" width="13.42578125" bestFit="1" customWidth="1"/>
    <col min="8" max="8" width="22.5703125" bestFit="1" customWidth="1"/>
    <col min="9" max="9" width="21" bestFit="1" customWidth="1"/>
    <col min="10" max="10" width="11" style="68" bestFit="1" customWidth="1"/>
  </cols>
  <sheetData>
    <row r="1" spans="1:11" ht="15.75" thickBot="1">
      <c r="A1" s="30" t="s">
        <v>1832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114" t="s">
        <v>7</v>
      </c>
      <c r="I1" s="325" t="s">
        <v>307</v>
      </c>
      <c r="J1" s="20" t="s">
        <v>370</v>
      </c>
      <c r="K1" s="923"/>
    </row>
    <row r="2" spans="1:11">
      <c r="A2" s="287">
        <v>44608</v>
      </c>
      <c r="B2" s="288">
        <v>44973</v>
      </c>
      <c r="C2" s="566" t="s">
        <v>1973</v>
      </c>
      <c r="D2" s="289" t="s">
        <v>448</v>
      </c>
      <c r="E2" s="290" t="s">
        <v>1161</v>
      </c>
      <c r="F2" s="337">
        <v>2448</v>
      </c>
      <c r="G2" s="292">
        <v>0.1</v>
      </c>
      <c r="H2" s="635">
        <v>225.21</v>
      </c>
      <c r="I2" s="905"/>
      <c r="J2" s="1547"/>
      <c r="K2" s="895"/>
    </row>
    <row r="3" spans="1:11">
      <c r="A3" s="483">
        <v>44594</v>
      </c>
      <c r="B3" s="484">
        <v>44959</v>
      </c>
      <c r="C3" s="585" t="s">
        <v>1250</v>
      </c>
      <c r="D3" s="1547" t="s">
        <v>9</v>
      </c>
      <c r="E3" s="436" t="s">
        <v>90</v>
      </c>
      <c r="F3" s="485">
        <v>4343.54</v>
      </c>
      <c r="G3" s="486">
        <v>0.1</v>
      </c>
      <c r="H3" s="635">
        <v>399.6</v>
      </c>
      <c r="I3" s="1166"/>
      <c r="J3" s="1547"/>
      <c r="K3" s="895"/>
    </row>
    <row r="4" spans="1:11">
      <c r="A4" s="287">
        <v>44596</v>
      </c>
      <c r="B4" s="288">
        <v>44961</v>
      </c>
      <c r="C4" s="566" t="s">
        <v>1974</v>
      </c>
      <c r="D4" s="289" t="s">
        <v>70</v>
      </c>
      <c r="E4" s="290" t="s">
        <v>90</v>
      </c>
      <c r="F4" s="337">
        <v>1928.57</v>
      </c>
      <c r="G4" s="292">
        <v>0.1</v>
      </c>
      <c r="H4" s="635">
        <v>177.42</v>
      </c>
      <c r="I4" s="905">
        <v>88.71</v>
      </c>
      <c r="J4" s="1547" t="s">
        <v>1561</v>
      </c>
      <c r="K4" s="895"/>
    </row>
    <row r="5" spans="1:11">
      <c r="A5" s="255">
        <v>44599</v>
      </c>
      <c r="B5" s="256">
        <v>44964</v>
      </c>
      <c r="C5" s="412" t="s">
        <v>1975</v>
      </c>
      <c r="D5" s="258" t="s">
        <v>25</v>
      </c>
      <c r="E5" s="257" t="s">
        <v>90</v>
      </c>
      <c r="F5" s="321">
        <v>2517.2399999999998</v>
      </c>
      <c r="G5" s="260">
        <v>0.1</v>
      </c>
      <c r="H5" s="624">
        <v>231.58</v>
      </c>
      <c r="I5" s="925">
        <v>23.15</v>
      </c>
      <c r="J5" s="382" t="s">
        <v>1513</v>
      </c>
      <c r="K5" s="921"/>
    </row>
    <row r="6" spans="1:11">
      <c r="A6" s="484">
        <v>44603</v>
      </c>
      <c r="B6" s="484">
        <v>44968</v>
      </c>
      <c r="C6" s="585" t="s">
        <v>1694</v>
      </c>
      <c r="D6" s="1547" t="s">
        <v>9</v>
      </c>
      <c r="E6" s="436" t="s">
        <v>90</v>
      </c>
      <c r="F6" s="485">
        <v>3126.38</v>
      </c>
      <c r="G6" s="486">
        <v>0.1</v>
      </c>
      <c r="H6" s="635">
        <v>287.62</v>
      </c>
      <c r="I6" s="1166"/>
      <c r="J6" s="1547"/>
      <c r="K6" s="895"/>
    </row>
    <row r="7" spans="1:11">
      <c r="A7" s="287">
        <v>44616</v>
      </c>
      <c r="B7" s="288">
        <v>44983</v>
      </c>
      <c r="C7" s="585" t="s">
        <v>1705</v>
      </c>
      <c r="D7" s="289" t="s">
        <v>9</v>
      </c>
      <c r="E7" s="290" t="s">
        <v>90</v>
      </c>
      <c r="F7" s="337">
        <v>4046.9</v>
      </c>
      <c r="G7" s="292">
        <v>0.1</v>
      </c>
      <c r="H7" s="635">
        <v>372.31</v>
      </c>
      <c r="I7" s="905"/>
      <c r="J7" s="1547"/>
      <c r="K7" s="924"/>
    </row>
    <row r="8" spans="1:11">
      <c r="A8" s="287">
        <v>44593</v>
      </c>
      <c r="B8" s="288">
        <v>44958</v>
      </c>
      <c r="C8" s="566" t="s">
        <v>1976</v>
      </c>
      <c r="D8" s="289" t="s">
        <v>9</v>
      </c>
      <c r="E8" s="290" t="s">
        <v>10</v>
      </c>
      <c r="F8" s="337">
        <v>1108.3900000000001</v>
      </c>
      <c r="G8" s="292">
        <v>0.1</v>
      </c>
      <c r="H8" s="635">
        <v>101.97</v>
      </c>
      <c r="I8" s="905"/>
      <c r="J8" s="1547"/>
      <c r="K8" s="895"/>
    </row>
    <row r="9" spans="1:11">
      <c r="A9" s="287">
        <v>44587</v>
      </c>
      <c r="B9" s="288">
        <v>44959</v>
      </c>
      <c r="C9" s="566" t="s">
        <v>1253</v>
      </c>
      <c r="D9" s="289" t="s">
        <v>61</v>
      </c>
      <c r="E9" s="290" t="s">
        <v>10</v>
      </c>
      <c r="F9" s="337">
        <v>3094.32</v>
      </c>
      <c r="G9" s="292">
        <v>0.1</v>
      </c>
      <c r="H9" s="635">
        <v>284.67</v>
      </c>
      <c r="I9" s="907"/>
      <c r="J9" s="1547"/>
      <c r="K9" s="895"/>
    </row>
    <row r="10" spans="1:11">
      <c r="A10" s="287">
        <v>44594</v>
      </c>
      <c r="B10" s="288">
        <v>44960</v>
      </c>
      <c r="C10" s="585" t="s">
        <v>1977</v>
      </c>
      <c r="D10" s="289" t="s">
        <v>448</v>
      </c>
      <c r="E10" s="290" t="s">
        <v>10</v>
      </c>
      <c r="F10" s="337">
        <v>4374.5200000000004</v>
      </c>
      <c r="G10" s="292">
        <v>0.1</v>
      </c>
      <c r="H10" s="635">
        <v>402.45</v>
      </c>
      <c r="I10" s="905"/>
      <c r="J10" s="1547"/>
      <c r="K10" s="895"/>
    </row>
    <row r="11" spans="1:11">
      <c r="A11" s="287">
        <v>44596</v>
      </c>
      <c r="B11" s="288">
        <v>44960</v>
      </c>
      <c r="C11" s="933" t="s">
        <v>1257</v>
      </c>
      <c r="D11" s="289" t="s">
        <v>448</v>
      </c>
      <c r="E11" s="290" t="s">
        <v>10</v>
      </c>
      <c r="F11" s="337">
        <v>1293.08</v>
      </c>
      <c r="G11" s="292">
        <v>0.1</v>
      </c>
      <c r="H11" s="635">
        <v>118.96</v>
      </c>
      <c r="I11" s="905"/>
      <c r="J11" s="1547"/>
      <c r="K11" s="895"/>
    </row>
    <row r="12" spans="1:11">
      <c r="A12" s="287">
        <v>44599</v>
      </c>
      <c r="B12" s="288">
        <v>44961</v>
      </c>
      <c r="C12" s="566" t="s">
        <v>1978</v>
      </c>
      <c r="D12" s="289" t="s">
        <v>9</v>
      </c>
      <c r="E12" s="290" t="s">
        <v>10</v>
      </c>
      <c r="F12" s="337">
        <v>2243.4</v>
      </c>
      <c r="G12" s="292">
        <v>0.1</v>
      </c>
      <c r="H12" s="635">
        <v>206.39</v>
      </c>
      <c r="I12" s="905"/>
      <c r="J12" s="1547"/>
      <c r="K12" s="895"/>
    </row>
    <row r="13" spans="1:11">
      <c r="A13" s="287">
        <v>44596</v>
      </c>
      <c r="B13" s="288">
        <v>44962</v>
      </c>
      <c r="C13" s="566" t="s">
        <v>1268</v>
      </c>
      <c r="D13" s="289" t="s">
        <v>70</v>
      </c>
      <c r="E13" s="290" t="s">
        <v>10</v>
      </c>
      <c r="F13" s="337">
        <v>1165.79</v>
      </c>
      <c r="G13" s="292">
        <v>0.15</v>
      </c>
      <c r="H13" s="635">
        <v>160.87</v>
      </c>
      <c r="I13" s="905"/>
      <c r="J13" s="1547"/>
      <c r="K13" s="895"/>
    </row>
    <row r="14" spans="1:11">
      <c r="A14" s="255">
        <v>44599</v>
      </c>
      <c r="B14" s="256">
        <v>44963</v>
      </c>
      <c r="C14" s="440" t="s">
        <v>1249</v>
      </c>
      <c r="D14" s="258" t="s">
        <v>9</v>
      </c>
      <c r="E14" s="257" t="s">
        <v>10</v>
      </c>
      <c r="F14" s="321">
        <v>1053.82</v>
      </c>
      <c r="G14" s="260">
        <v>0.1</v>
      </c>
      <c r="H14" s="624">
        <v>96.95</v>
      </c>
      <c r="I14" s="814">
        <v>9.69</v>
      </c>
      <c r="J14" s="382" t="s">
        <v>1513</v>
      </c>
      <c r="K14" s="921"/>
    </row>
    <row r="15" spans="1:11">
      <c r="A15" s="287">
        <v>44593</v>
      </c>
      <c r="B15" s="288">
        <v>44963</v>
      </c>
      <c r="C15" s="796" t="s">
        <v>1248</v>
      </c>
      <c r="D15" s="289" t="s">
        <v>448</v>
      </c>
      <c r="E15" s="290" t="s">
        <v>10</v>
      </c>
      <c r="F15" s="337">
        <v>886.69</v>
      </c>
      <c r="G15" s="292">
        <v>0.1</v>
      </c>
      <c r="H15" s="635">
        <v>81.569999999999993</v>
      </c>
      <c r="I15" s="905"/>
      <c r="J15" s="1547"/>
      <c r="K15" s="895"/>
    </row>
    <row r="16" spans="1:11">
      <c r="A16" s="484">
        <v>44600</v>
      </c>
      <c r="B16" s="484">
        <v>44966</v>
      </c>
      <c r="C16" s="585" t="s">
        <v>1690</v>
      </c>
      <c r="D16" s="1547" t="s">
        <v>448</v>
      </c>
      <c r="E16" s="436" t="s">
        <v>10</v>
      </c>
      <c r="F16" s="485">
        <v>1744.15</v>
      </c>
      <c r="G16" s="486">
        <v>0.1</v>
      </c>
      <c r="H16" s="635">
        <v>160.46</v>
      </c>
      <c r="I16" s="953"/>
      <c r="J16" s="1547"/>
      <c r="K16" s="895"/>
    </row>
    <row r="17" spans="1:11" s="731" customFormat="1">
      <c r="A17" s="491">
        <v>44600</v>
      </c>
      <c r="B17" s="897">
        <v>44970</v>
      </c>
      <c r="C17" s="933" t="s">
        <v>1698</v>
      </c>
      <c r="D17" s="494" t="s">
        <v>70</v>
      </c>
      <c r="E17" s="493" t="s">
        <v>10</v>
      </c>
      <c r="F17" s="495">
        <v>1395.68</v>
      </c>
      <c r="G17" s="496">
        <v>0.17</v>
      </c>
      <c r="H17" s="911">
        <v>218.28</v>
      </c>
      <c r="I17" s="1171"/>
      <c r="J17" s="1547"/>
      <c r="K17" s="895"/>
    </row>
    <row r="18" spans="1:11" s="730" customFormat="1">
      <c r="A18" s="287">
        <v>44613</v>
      </c>
      <c r="B18" s="288">
        <v>44971</v>
      </c>
      <c r="C18" s="566" t="s">
        <v>1700</v>
      </c>
      <c r="D18" s="289" t="s">
        <v>21</v>
      </c>
      <c r="E18" s="290" t="s">
        <v>10</v>
      </c>
      <c r="F18" s="337">
        <v>1527.96</v>
      </c>
      <c r="G18" s="292">
        <v>0.1</v>
      </c>
      <c r="H18" s="635">
        <v>140.57</v>
      </c>
      <c r="I18" s="905"/>
      <c r="J18" s="1547"/>
      <c r="K18" s="924"/>
    </row>
    <row r="19" spans="1:11">
      <c r="A19" s="287">
        <v>44608</v>
      </c>
      <c r="B19" s="288">
        <v>44974</v>
      </c>
      <c r="C19" s="566" t="s">
        <v>1278</v>
      </c>
      <c r="D19" s="289" t="s">
        <v>448</v>
      </c>
      <c r="E19" s="290" t="s">
        <v>10</v>
      </c>
      <c r="F19" s="337">
        <v>1597.59</v>
      </c>
      <c r="G19" s="292">
        <v>0.1</v>
      </c>
      <c r="H19" s="635">
        <v>146.97</v>
      </c>
      <c r="I19" s="905"/>
      <c r="J19" s="1547"/>
      <c r="K19" s="895"/>
    </row>
    <row r="20" spans="1:11" s="731" customFormat="1">
      <c r="A20" s="287">
        <v>44608</v>
      </c>
      <c r="B20" s="288">
        <v>44974</v>
      </c>
      <c r="C20" s="566" t="s">
        <v>1693</v>
      </c>
      <c r="D20" s="289" t="s">
        <v>1924</v>
      </c>
      <c r="E20" s="290" t="s">
        <v>10</v>
      </c>
      <c r="F20" s="337">
        <v>4432.46</v>
      </c>
      <c r="G20" s="292">
        <v>0.1</v>
      </c>
      <c r="H20" s="635">
        <v>407.78</v>
      </c>
      <c r="I20" s="905"/>
      <c r="J20" s="1547"/>
      <c r="K20" s="895"/>
    </row>
    <row r="21" spans="1:11">
      <c r="A21" s="484">
        <v>44608</v>
      </c>
      <c r="B21" s="484">
        <v>44975</v>
      </c>
      <c r="C21" s="585" t="s">
        <v>1701</v>
      </c>
      <c r="D21" s="1547" t="s">
        <v>448</v>
      </c>
      <c r="E21" s="436" t="s">
        <v>10</v>
      </c>
      <c r="F21" s="485">
        <v>1942.63</v>
      </c>
      <c r="G21" s="486">
        <v>0.1</v>
      </c>
      <c r="H21" s="635">
        <v>178.72</v>
      </c>
      <c r="I21" s="1166"/>
      <c r="J21" s="1547"/>
      <c r="K21" s="895"/>
    </row>
    <row r="22" spans="1:11">
      <c r="A22" s="491">
        <v>44608</v>
      </c>
      <c r="B22" s="492">
        <v>44976</v>
      </c>
      <c r="C22" s="796" t="s">
        <v>1979</v>
      </c>
      <c r="D22" s="494" t="s">
        <v>9</v>
      </c>
      <c r="E22" s="493" t="s">
        <v>10</v>
      </c>
      <c r="F22" s="495">
        <v>1322.4</v>
      </c>
      <c r="G22" s="496">
        <v>0.1</v>
      </c>
      <c r="H22" s="635">
        <v>121.66</v>
      </c>
      <c r="I22" s="909"/>
      <c r="J22" s="1547"/>
      <c r="K22" s="895"/>
    </row>
    <row r="23" spans="1:11">
      <c r="A23" s="255">
        <v>44608</v>
      </c>
      <c r="B23" s="256">
        <v>44977</v>
      </c>
      <c r="C23" s="1169" t="s">
        <v>1703</v>
      </c>
      <c r="D23" s="258" t="s">
        <v>448</v>
      </c>
      <c r="E23" s="257" t="s">
        <v>10</v>
      </c>
      <c r="F23" s="321">
        <v>1567.74</v>
      </c>
      <c r="G23" s="260">
        <v>0.1</v>
      </c>
      <c r="H23" s="624">
        <v>144.22999999999999</v>
      </c>
      <c r="I23" s="925">
        <v>14.42</v>
      </c>
      <c r="J23" s="382" t="s">
        <v>1513</v>
      </c>
      <c r="K23" s="921"/>
    </row>
    <row r="24" spans="1:11">
      <c r="A24" s="287">
        <v>44613</v>
      </c>
      <c r="B24" s="288">
        <v>44983</v>
      </c>
      <c r="C24" s="566" t="s">
        <v>1287</v>
      </c>
      <c r="D24" s="289" t="s">
        <v>448</v>
      </c>
      <c r="E24" s="290" t="s">
        <v>10</v>
      </c>
      <c r="F24" s="337">
        <v>1585.65</v>
      </c>
      <c r="G24" s="292">
        <v>0.14499999999999999</v>
      </c>
      <c r="H24" s="635">
        <v>218.81</v>
      </c>
      <c r="I24" s="905"/>
      <c r="J24" s="1547"/>
      <c r="K24" s="924"/>
    </row>
    <row r="25" spans="1:11">
      <c r="A25" s="287">
        <v>44615</v>
      </c>
      <c r="B25" s="288">
        <v>44983</v>
      </c>
      <c r="C25" s="566" t="s">
        <v>1980</v>
      </c>
      <c r="D25" s="289" t="s">
        <v>448</v>
      </c>
      <c r="E25" s="290" t="s">
        <v>10</v>
      </c>
      <c r="F25" s="337">
        <v>1461.55</v>
      </c>
      <c r="G25" s="292">
        <v>0.1</v>
      </c>
      <c r="H25" s="635">
        <v>134.46</v>
      </c>
      <c r="I25" s="905"/>
      <c r="J25" s="1547"/>
      <c r="K25" s="924"/>
    </row>
    <row r="26" spans="1:11">
      <c r="A26" s="287">
        <v>44616</v>
      </c>
      <c r="B26" s="288" t="s">
        <v>1805</v>
      </c>
      <c r="C26" s="436" t="s">
        <v>1981</v>
      </c>
      <c r="D26" s="289" t="s">
        <v>25</v>
      </c>
      <c r="E26" s="290" t="s">
        <v>10</v>
      </c>
      <c r="F26" s="337">
        <v>168.93</v>
      </c>
      <c r="G26" s="292">
        <v>0.1</v>
      </c>
      <c r="H26" s="635">
        <v>15.54</v>
      </c>
      <c r="I26" s="905">
        <v>7.77</v>
      </c>
      <c r="J26" s="1547" t="s">
        <v>1482</v>
      </c>
      <c r="K26" s="924"/>
    </row>
    <row r="27" spans="1:11">
      <c r="A27" s="532">
        <v>44603</v>
      </c>
      <c r="B27" s="533">
        <v>44968</v>
      </c>
      <c r="C27" s="1170" t="s">
        <v>507</v>
      </c>
      <c r="D27" s="534" t="s">
        <v>9</v>
      </c>
      <c r="E27" s="414" t="s">
        <v>15</v>
      </c>
      <c r="F27" s="535">
        <v>1488.84</v>
      </c>
      <c r="G27" s="536">
        <v>0.12</v>
      </c>
      <c r="H27" s="1137">
        <v>164.36</v>
      </c>
      <c r="I27" s="1138"/>
      <c r="J27" s="593"/>
      <c r="K27" s="927"/>
    </row>
    <row r="28" spans="1:11">
      <c r="A28" s="287">
        <v>44606</v>
      </c>
      <c r="B28" s="288">
        <v>44971</v>
      </c>
      <c r="C28" s="566" t="s">
        <v>1274</v>
      </c>
      <c r="D28" s="289" t="s">
        <v>61</v>
      </c>
      <c r="E28" s="290" t="s">
        <v>29</v>
      </c>
      <c r="F28" s="291">
        <v>1160.1199999999999</v>
      </c>
      <c r="G28" s="292">
        <v>0.1</v>
      </c>
      <c r="H28" s="906">
        <v>106.73</v>
      </c>
      <c r="I28" s="905"/>
      <c r="J28" s="1547"/>
      <c r="K28" s="924"/>
    </row>
    <row r="29" spans="1:11" s="730" customFormat="1">
      <c r="A29" s="893">
        <v>44614</v>
      </c>
      <c r="B29" s="893">
        <v>44983</v>
      </c>
      <c r="C29" s="457" t="s">
        <v>1982</v>
      </c>
      <c r="D29" s="593" t="s">
        <v>25</v>
      </c>
      <c r="E29" s="457" t="s">
        <v>45</v>
      </c>
      <c r="F29" s="594">
        <v>596.98</v>
      </c>
      <c r="G29" s="595">
        <v>0.1</v>
      </c>
      <c r="H29" s="1137">
        <v>54.92</v>
      </c>
      <c r="I29" s="1138"/>
      <c r="J29" s="593"/>
      <c r="K29" s="1139"/>
    </row>
    <row r="30" spans="1:11">
      <c r="A30" s="567">
        <v>44599</v>
      </c>
      <c r="B30" s="567">
        <v>44964</v>
      </c>
      <c r="C30" s="440" t="s">
        <v>1983</v>
      </c>
      <c r="D30" s="382" t="s">
        <v>14</v>
      </c>
      <c r="E30" s="381" t="s">
        <v>143</v>
      </c>
      <c r="F30" s="386">
        <v>5781.81</v>
      </c>
      <c r="G30" s="383">
        <v>0.1</v>
      </c>
      <c r="H30" s="624">
        <v>531.91999999999996</v>
      </c>
      <c r="I30" s="814">
        <v>53.19</v>
      </c>
      <c r="J30" s="382" t="s">
        <v>1513</v>
      </c>
      <c r="K30" s="921"/>
    </row>
    <row r="31" spans="1:11" s="730" customFormat="1">
      <c r="A31" s="893">
        <v>44599</v>
      </c>
      <c r="B31" s="893">
        <v>44964</v>
      </c>
      <c r="C31" s="457" t="s">
        <v>1984</v>
      </c>
      <c r="D31" s="593" t="s">
        <v>9</v>
      </c>
      <c r="E31" s="457" t="s">
        <v>143</v>
      </c>
      <c r="F31" s="594">
        <v>832.5</v>
      </c>
      <c r="G31" s="595">
        <v>0.1</v>
      </c>
      <c r="H31" s="1137">
        <v>76.59</v>
      </c>
      <c r="I31" s="1138"/>
      <c r="J31" s="593"/>
      <c r="K31" s="927"/>
    </row>
    <row r="32" spans="1:11">
      <c r="A32" s="532">
        <v>44603</v>
      </c>
      <c r="B32" s="533">
        <v>44969</v>
      </c>
      <c r="C32" s="414" t="s">
        <v>1985</v>
      </c>
      <c r="D32" s="534" t="s">
        <v>9</v>
      </c>
      <c r="E32" s="414" t="s">
        <v>143</v>
      </c>
      <c r="F32" s="535">
        <v>2041.12</v>
      </c>
      <c r="G32" s="536">
        <v>0.1</v>
      </c>
      <c r="H32" s="1137">
        <v>187.78</v>
      </c>
      <c r="I32" s="1138"/>
      <c r="J32" s="593"/>
      <c r="K32" s="927"/>
    </row>
    <row r="33" spans="1:11" s="730" customFormat="1">
      <c r="A33" s="287">
        <v>44607</v>
      </c>
      <c r="B33" s="288">
        <v>44972</v>
      </c>
      <c r="C33" s="566" t="s">
        <v>1986</v>
      </c>
      <c r="D33" s="289" t="s">
        <v>9</v>
      </c>
      <c r="E33" s="290" t="s">
        <v>143</v>
      </c>
      <c r="F33" s="337">
        <v>1036.31</v>
      </c>
      <c r="G33" s="292">
        <v>0.1</v>
      </c>
      <c r="H33" s="635">
        <v>95.34</v>
      </c>
      <c r="I33" s="905"/>
      <c r="J33" s="1547"/>
      <c r="K33" s="895"/>
    </row>
    <row r="34" spans="1:11">
      <c r="A34" s="532">
        <v>44615</v>
      </c>
      <c r="B34" s="533">
        <v>44980</v>
      </c>
      <c r="C34" s="414" t="s">
        <v>1987</v>
      </c>
      <c r="D34" s="534" t="s">
        <v>9</v>
      </c>
      <c r="E34" s="414" t="s">
        <v>143</v>
      </c>
      <c r="F34" s="535">
        <v>4333.34</v>
      </c>
      <c r="G34" s="536">
        <v>0.1</v>
      </c>
      <c r="H34" s="1137">
        <v>398.66</v>
      </c>
      <c r="I34" s="1138"/>
      <c r="J34" s="593"/>
      <c r="K34" s="1139"/>
    </row>
    <row r="35" spans="1:11">
      <c r="A35" s="287">
        <v>44593</v>
      </c>
      <c r="B35" s="288">
        <v>44958</v>
      </c>
      <c r="C35" s="566" t="s">
        <v>1988</v>
      </c>
      <c r="D35" s="289" t="s">
        <v>448</v>
      </c>
      <c r="E35" s="290" t="s">
        <v>22</v>
      </c>
      <c r="F35" s="337">
        <v>1823.89</v>
      </c>
      <c r="G35" s="292">
        <v>0.1</v>
      </c>
      <c r="H35" s="635">
        <v>167.79</v>
      </c>
      <c r="I35" s="905">
        <v>83.89</v>
      </c>
      <c r="J35" s="1547" t="s">
        <v>1588</v>
      </c>
      <c r="K35" s="895"/>
    </row>
    <row r="36" spans="1:11">
      <c r="A36" s="287">
        <v>44593</v>
      </c>
      <c r="B36" s="288">
        <v>44958</v>
      </c>
      <c r="C36" s="566" t="s">
        <v>230</v>
      </c>
      <c r="D36" s="289" t="s">
        <v>9</v>
      </c>
      <c r="E36" s="290" t="s">
        <v>22</v>
      </c>
      <c r="F36" s="337">
        <v>3280.56</v>
      </c>
      <c r="G36" s="292">
        <v>0.1</v>
      </c>
      <c r="H36" s="635">
        <v>301.81</v>
      </c>
      <c r="I36" s="907"/>
      <c r="J36" s="1547"/>
      <c r="K36" s="895"/>
    </row>
    <row r="37" spans="1:11">
      <c r="A37" s="287">
        <v>44595</v>
      </c>
      <c r="B37" s="288">
        <v>44962</v>
      </c>
      <c r="C37" s="566" t="s">
        <v>1162</v>
      </c>
      <c r="D37" s="289" t="s">
        <v>9</v>
      </c>
      <c r="E37" s="290" t="s">
        <v>22</v>
      </c>
      <c r="F37" s="337">
        <v>703.19</v>
      </c>
      <c r="G37" s="292">
        <v>0.1</v>
      </c>
      <c r="H37" s="635">
        <v>64.69</v>
      </c>
      <c r="I37" s="907"/>
      <c r="J37" s="1547"/>
      <c r="K37" s="895"/>
    </row>
    <row r="38" spans="1:11">
      <c r="A38" s="287">
        <v>44608</v>
      </c>
      <c r="B38" s="288">
        <v>44965</v>
      </c>
      <c r="C38" s="566" t="s">
        <v>1989</v>
      </c>
      <c r="D38" s="289" t="s">
        <v>9</v>
      </c>
      <c r="E38" s="290" t="s">
        <v>22</v>
      </c>
      <c r="F38" s="337">
        <v>2636.6</v>
      </c>
      <c r="G38" s="292">
        <v>0.1</v>
      </c>
      <c r="H38" s="635">
        <v>242.56</v>
      </c>
      <c r="I38" s="905"/>
      <c r="J38" s="1547"/>
      <c r="K38" s="895"/>
    </row>
    <row r="39" spans="1:11" s="731" customFormat="1">
      <c r="A39" s="287">
        <v>44595</v>
      </c>
      <c r="B39" s="288">
        <v>44963</v>
      </c>
      <c r="C39" s="566" t="s">
        <v>1263</v>
      </c>
      <c r="D39" s="289" t="s">
        <v>25</v>
      </c>
      <c r="E39" s="290" t="s">
        <v>438</v>
      </c>
      <c r="F39" s="337">
        <v>900.79</v>
      </c>
      <c r="G39" s="292">
        <v>0.1</v>
      </c>
      <c r="H39" s="635">
        <v>82.87</v>
      </c>
      <c r="I39" s="907">
        <v>41.43</v>
      </c>
      <c r="J39" s="1547" t="s">
        <v>1588</v>
      </c>
      <c r="K39" s="895"/>
    </row>
    <row r="40" spans="1:11">
      <c r="A40" s="287">
        <v>44606</v>
      </c>
      <c r="B40" s="896">
        <v>44971</v>
      </c>
      <c r="C40" s="566" t="s">
        <v>1227</v>
      </c>
      <c r="D40" s="289" t="s">
        <v>25</v>
      </c>
      <c r="E40" s="290" t="s">
        <v>438</v>
      </c>
      <c r="F40" s="291">
        <v>1221.8499999999999</v>
      </c>
      <c r="G40" s="292">
        <v>0.1</v>
      </c>
      <c r="H40" s="906">
        <v>112.41</v>
      </c>
      <c r="I40" s="905"/>
      <c r="J40" s="1547"/>
      <c r="K40" s="895"/>
    </row>
    <row r="41" spans="1:11">
      <c r="A41" s="287">
        <v>44595</v>
      </c>
      <c r="B41" s="288">
        <v>44960</v>
      </c>
      <c r="C41" s="566" t="s">
        <v>1990</v>
      </c>
      <c r="D41" s="289" t="s">
        <v>70</v>
      </c>
      <c r="E41" s="290" t="s">
        <v>279</v>
      </c>
      <c r="F41" s="337">
        <v>2885.95</v>
      </c>
      <c r="G41" s="292">
        <v>0.1</v>
      </c>
      <c r="H41" s="635">
        <v>265.5</v>
      </c>
      <c r="I41" s="907"/>
      <c r="J41" s="1547"/>
      <c r="K41" s="895"/>
    </row>
    <row r="42" spans="1:11">
      <c r="A42" s="287">
        <v>44596</v>
      </c>
      <c r="B42" s="896">
        <v>44961</v>
      </c>
      <c r="C42" s="566" t="s">
        <v>1291</v>
      </c>
      <c r="D42" s="289" t="s">
        <v>61</v>
      </c>
      <c r="E42" s="290" t="s">
        <v>279</v>
      </c>
      <c r="F42" s="337">
        <v>995.41</v>
      </c>
      <c r="G42" s="292">
        <v>0.1</v>
      </c>
      <c r="H42" s="635">
        <v>91.57</v>
      </c>
      <c r="I42" s="907"/>
      <c r="J42" s="1547"/>
      <c r="K42" s="895"/>
    </row>
    <row r="43" spans="1:11" s="730" customFormat="1">
      <c r="A43" s="287">
        <v>44600</v>
      </c>
      <c r="B43" s="288">
        <v>44965</v>
      </c>
      <c r="C43" s="566" t="s">
        <v>1688</v>
      </c>
      <c r="D43" s="289" t="s">
        <v>448</v>
      </c>
      <c r="E43" s="290" t="s">
        <v>279</v>
      </c>
      <c r="F43" s="337">
        <v>1302.73</v>
      </c>
      <c r="G43" s="292">
        <v>0.1</v>
      </c>
      <c r="H43" s="635">
        <v>119.85</v>
      </c>
      <c r="I43" s="905">
        <v>59.92</v>
      </c>
      <c r="J43" s="1547" t="s">
        <v>1588</v>
      </c>
      <c r="K43" s="895"/>
    </row>
    <row r="44" spans="1:11">
      <c r="A44" s="287">
        <v>44594</v>
      </c>
      <c r="B44" s="288">
        <v>44965</v>
      </c>
      <c r="C44" s="566" t="s">
        <v>858</v>
      </c>
      <c r="D44" s="289" t="s">
        <v>70</v>
      </c>
      <c r="E44" s="290" t="s">
        <v>279</v>
      </c>
      <c r="F44" s="337">
        <v>1037.3</v>
      </c>
      <c r="G44" s="292">
        <v>0.1</v>
      </c>
      <c r="H44" s="635">
        <v>95.43</v>
      </c>
      <c r="I44" s="905"/>
      <c r="J44" s="1547"/>
      <c r="K44" s="895"/>
    </row>
    <row r="45" spans="1:11">
      <c r="A45" s="1133">
        <v>44603</v>
      </c>
      <c r="B45" s="1134">
        <v>44968</v>
      </c>
      <c r="C45" s="566" t="s">
        <v>1291</v>
      </c>
      <c r="D45" s="1012" t="s">
        <v>198</v>
      </c>
      <c r="E45" s="1099" t="s">
        <v>279</v>
      </c>
      <c r="F45" s="1135">
        <v>1019.72</v>
      </c>
      <c r="G45" s="1136">
        <v>0.1</v>
      </c>
      <c r="H45" s="903">
        <v>93.81</v>
      </c>
      <c r="I45" s="905"/>
      <c r="J45" s="1547"/>
      <c r="K45" s="895"/>
    </row>
    <row r="46" spans="1:11">
      <c r="A46" s="532">
        <v>44604</v>
      </c>
      <c r="B46" s="533">
        <v>44969</v>
      </c>
      <c r="C46" s="457" t="s">
        <v>1699</v>
      </c>
      <c r="D46" s="534" t="s">
        <v>448</v>
      </c>
      <c r="E46" s="414" t="s">
        <v>279</v>
      </c>
      <c r="F46" s="535">
        <v>1330.92</v>
      </c>
      <c r="G46" s="536">
        <v>0.1</v>
      </c>
      <c r="H46" s="1137">
        <v>122.44</v>
      </c>
      <c r="I46" s="1138">
        <v>61.22</v>
      </c>
      <c r="J46" s="593" t="s">
        <v>1588</v>
      </c>
      <c r="K46" s="927"/>
    </row>
    <row r="47" spans="1:11">
      <c r="A47" s="255">
        <v>44982</v>
      </c>
      <c r="B47" s="256">
        <v>44983</v>
      </c>
      <c r="C47" s="381" t="s">
        <v>1983</v>
      </c>
      <c r="D47" s="258" t="s">
        <v>70</v>
      </c>
      <c r="E47" s="257" t="s">
        <v>279</v>
      </c>
      <c r="F47" s="321">
        <v>3488.23</v>
      </c>
      <c r="G47" s="260">
        <v>0.1</v>
      </c>
      <c r="H47" s="624">
        <v>320.91000000000003</v>
      </c>
      <c r="I47" s="925">
        <v>32.090000000000003</v>
      </c>
      <c r="J47" s="382" t="s">
        <v>1513</v>
      </c>
      <c r="K47" s="945"/>
    </row>
    <row r="48" spans="1:11" s="730" customFormat="1">
      <c r="A48" s="287">
        <v>44617</v>
      </c>
      <c r="B48" s="288">
        <v>44985</v>
      </c>
      <c r="C48" s="566" t="s">
        <v>1294</v>
      </c>
      <c r="D48" s="289" t="s">
        <v>448</v>
      </c>
      <c r="E48" s="290" t="s">
        <v>279</v>
      </c>
      <c r="F48" s="337">
        <v>1391.41</v>
      </c>
      <c r="G48" s="292">
        <v>0.1</v>
      </c>
      <c r="H48" s="635">
        <v>128</v>
      </c>
      <c r="I48" s="905"/>
      <c r="J48" s="1547"/>
      <c r="K48" s="924"/>
    </row>
    <row r="49" spans="1:11">
      <c r="A49" s="287">
        <v>44601</v>
      </c>
      <c r="B49" s="288" t="s">
        <v>1805</v>
      </c>
      <c r="C49" s="290" t="s">
        <v>1991</v>
      </c>
      <c r="D49" s="289" t="s">
        <v>70</v>
      </c>
      <c r="E49" s="290" t="s">
        <v>279</v>
      </c>
      <c r="F49" s="337">
        <v>224.73</v>
      </c>
      <c r="G49" s="292">
        <v>0.1</v>
      </c>
      <c r="H49" s="635">
        <v>20.67</v>
      </c>
      <c r="I49" s="907">
        <v>10.33</v>
      </c>
      <c r="J49" s="1547" t="s">
        <v>1561</v>
      </c>
      <c r="K49" s="895"/>
    </row>
    <row r="50" spans="1:11" s="731" customFormat="1">
      <c r="A50" s="484">
        <v>44608</v>
      </c>
      <c r="B50" s="484">
        <v>44978</v>
      </c>
      <c r="C50" s="585" t="s">
        <v>1283</v>
      </c>
      <c r="D50" s="1547" t="s">
        <v>448</v>
      </c>
      <c r="E50" s="436" t="s">
        <v>19</v>
      </c>
      <c r="F50" s="485">
        <v>3133.24</v>
      </c>
      <c r="G50" s="486">
        <v>0.15</v>
      </c>
      <c r="H50" s="635">
        <v>432.38</v>
      </c>
      <c r="I50" s="489"/>
      <c r="J50" s="1547"/>
      <c r="K50" s="924"/>
    </row>
    <row r="51" spans="1:11">
      <c r="A51" s="484">
        <v>44613</v>
      </c>
      <c r="B51" s="484">
        <v>44979</v>
      </c>
      <c r="C51" s="585" t="s">
        <v>1284</v>
      </c>
      <c r="D51" s="1547" t="s">
        <v>61</v>
      </c>
      <c r="E51" s="436" t="s">
        <v>19</v>
      </c>
      <c r="F51" s="485">
        <v>1267.81</v>
      </c>
      <c r="G51" s="486">
        <v>0.15</v>
      </c>
      <c r="H51" s="635">
        <v>174.95</v>
      </c>
      <c r="I51" s="489"/>
      <c r="J51" s="1547"/>
      <c r="K51" s="895"/>
    </row>
    <row r="52" spans="1:11">
      <c r="A52" s="484"/>
      <c r="B52" s="484"/>
      <c r="C52" s="436"/>
      <c r="D52" s="1547"/>
      <c r="E52" s="436"/>
      <c r="F52" s="485"/>
      <c r="G52" s="486" t="s">
        <v>442</v>
      </c>
      <c r="H52" s="635"/>
      <c r="I52" s="489"/>
      <c r="J52" s="1547"/>
      <c r="K52" s="924"/>
    </row>
    <row r="53" spans="1:11" ht="20.25" thickBot="1">
      <c r="A53" s="683"/>
      <c r="B53" s="684"/>
      <c r="C53" s="684"/>
      <c r="D53" s="684"/>
      <c r="E53" s="684"/>
      <c r="F53" s="332">
        <f>SUM(F2:F51)</f>
        <v>98292.73000000001</v>
      </c>
      <c r="G53" s="164"/>
      <c r="H53" s="165">
        <f>SUM(H2:H51)</f>
        <v>9488.989999999998</v>
      </c>
      <c r="I53" s="944">
        <f>SUM(I2:I50)</f>
        <v>485.81</v>
      </c>
      <c r="J53" s="930"/>
      <c r="K53" s="739"/>
    </row>
  </sheetData>
  <autoFilter ref="A1:K1" xr:uid="{00000000-0001-0000-5D00-000000000000}">
    <sortState xmlns:xlrd2="http://schemas.microsoft.com/office/spreadsheetml/2017/richdata2" ref="A2:K53">
      <sortCondition ref="E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0759-5AF0-4EFE-9971-A33228F932B3}">
  <dimension ref="A1:K52"/>
  <sheetViews>
    <sheetView topLeftCell="A31" zoomScale="85" zoomScaleNormal="85" workbookViewId="0">
      <selection activeCell="C38" sqref="C38"/>
    </sheetView>
  </sheetViews>
  <sheetFormatPr defaultRowHeight="15.75"/>
  <cols>
    <col min="1" max="1" width="14" bestFit="1" customWidth="1"/>
    <col min="2" max="2" width="11.5703125" bestFit="1" customWidth="1"/>
    <col min="3" max="3" width="44.7109375" bestFit="1" customWidth="1"/>
    <col min="4" max="4" width="18.28515625" bestFit="1" customWidth="1"/>
    <col min="5" max="5" width="14.140625" bestFit="1" customWidth="1"/>
    <col min="6" max="6" width="22" bestFit="1" customWidth="1"/>
    <col min="7" max="7" width="13.42578125" bestFit="1" customWidth="1"/>
    <col min="8" max="8" width="22.5703125" bestFit="1" customWidth="1"/>
    <col min="9" max="9" width="21" style="68" bestFit="1" customWidth="1"/>
    <col min="10" max="10" width="11" bestFit="1" customWidth="1"/>
    <col min="11" max="11" width="15.140625" style="948" bestFit="1" customWidth="1"/>
  </cols>
  <sheetData>
    <row r="1" spans="1:11" ht="16.5" thickBot="1">
      <c r="A1" s="30" t="s">
        <v>1832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114" t="s">
        <v>7</v>
      </c>
      <c r="I1" s="950" t="s">
        <v>307</v>
      </c>
      <c r="J1" s="20" t="s">
        <v>370</v>
      </c>
    </row>
    <row r="2" spans="1:11">
      <c r="A2" s="1141">
        <v>44617</v>
      </c>
      <c r="B2" s="740">
        <v>44986</v>
      </c>
      <c r="C2" s="168" t="s">
        <v>1297</v>
      </c>
      <c r="D2" s="209" t="s">
        <v>25</v>
      </c>
      <c r="E2" s="169" t="s">
        <v>10</v>
      </c>
      <c r="F2" s="320">
        <v>1896.1</v>
      </c>
      <c r="G2" s="211">
        <v>0.1</v>
      </c>
      <c r="H2" s="935">
        <v>174.44</v>
      </c>
      <c r="I2" s="936"/>
      <c r="J2" s="218"/>
      <c r="K2" s="948" t="s">
        <v>1992</v>
      </c>
    </row>
    <row r="3" spans="1:11">
      <c r="A3" s="171">
        <v>44623</v>
      </c>
      <c r="B3" s="1142">
        <v>44988</v>
      </c>
      <c r="C3" s="172" t="s">
        <v>1715</v>
      </c>
      <c r="D3" s="218" t="s">
        <v>70</v>
      </c>
      <c r="E3" s="217" t="s">
        <v>279</v>
      </c>
      <c r="F3" s="310">
        <v>483.19</v>
      </c>
      <c r="G3" s="220">
        <v>0.15</v>
      </c>
      <c r="H3" s="935">
        <v>66.680000000000007</v>
      </c>
      <c r="I3" s="951">
        <v>33.340000000000003</v>
      </c>
      <c r="J3" s="218" t="s">
        <v>1482</v>
      </c>
      <c r="K3" s="948" t="s">
        <v>1992</v>
      </c>
    </row>
    <row r="4" spans="1:11">
      <c r="A4" s="1141">
        <v>44623</v>
      </c>
      <c r="B4" s="740">
        <v>44988</v>
      </c>
      <c r="C4" s="168" t="s">
        <v>1993</v>
      </c>
      <c r="D4" s="209" t="s">
        <v>70</v>
      </c>
      <c r="E4" s="169" t="s">
        <v>279</v>
      </c>
      <c r="F4" s="320">
        <v>1524.47</v>
      </c>
      <c r="G4" s="211">
        <v>0.1</v>
      </c>
      <c r="H4" s="935">
        <v>140.25</v>
      </c>
      <c r="I4" s="936">
        <v>70.12</v>
      </c>
      <c r="J4" s="218" t="s">
        <v>1482</v>
      </c>
      <c r="K4" s="948" t="s">
        <v>1992</v>
      </c>
    </row>
    <row r="5" spans="1:11">
      <c r="A5" s="1145">
        <v>44631</v>
      </c>
      <c r="B5" s="1148">
        <v>44989</v>
      </c>
      <c r="C5" s="521" t="s">
        <v>1994</v>
      </c>
      <c r="D5" s="534" t="s">
        <v>112</v>
      </c>
      <c r="E5" s="414" t="s">
        <v>19</v>
      </c>
      <c r="F5" s="535">
        <v>1778.38</v>
      </c>
      <c r="G5" s="536">
        <v>0.1</v>
      </c>
      <c r="H5" s="1137">
        <v>163.61000000000001</v>
      </c>
      <c r="I5" s="995">
        <v>81.8</v>
      </c>
      <c r="J5" s="593" t="s">
        <v>1482</v>
      </c>
      <c r="K5" s="948" t="s">
        <v>1992</v>
      </c>
    </row>
    <row r="6" spans="1:11">
      <c r="A6" s="1142">
        <v>44622</v>
      </c>
      <c r="B6" s="1142">
        <v>44989</v>
      </c>
      <c r="C6" s="172" t="s">
        <v>1299</v>
      </c>
      <c r="D6" s="218" t="s">
        <v>25</v>
      </c>
      <c r="E6" s="217" t="s">
        <v>19</v>
      </c>
      <c r="F6" s="310">
        <v>1151.3499999999999</v>
      </c>
      <c r="G6" s="220">
        <v>0.1</v>
      </c>
      <c r="H6" s="935">
        <v>105.92</v>
      </c>
      <c r="I6" s="951"/>
      <c r="J6" s="218"/>
      <c r="K6" s="948" t="s">
        <v>1992</v>
      </c>
    </row>
    <row r="7" spans="1:11" s="730" customFormat="1">
      <c r="A7" s="1141">
        <v>44622</v>
      </c>
      <c r="B7" s="740">
        <v>44989</v>
      </c>
      <c r="C7" s="172" t="s">
        <v>1995</v>
      </c>
      <c r="D7" s="209" t="s">
        <v>448</v>
      </c>
      <c r="E7" s="169" t="s">
        <v>10</v>
      </c>
      <c r="F7" s="320">
        <v>1609.66</v>
      </c>
      <c r="G7" s="211">
        <v>0.1</v>
      </c>
      <c r="H7" s="935">
        <v>148.08000000000001</v>
      </c>
      <c r="I7" s="936"/>
      <c r="J7" s="218"/>
      <c r="K7" s="1147" t="s">
        <v>1992</v>
      </c>
    </row>
    <row r="8" spans="1:11">
      <c r="A8" s="1141">
        <v>44622</v>
      </c>
      <c r="B8" s="740">
        <v>44990</v>
      </c>
      <c r="C8" s="168" t="s">
        <v>1717</v>
      </c>
      <c r="D8" s="209" t="s">
        <v>9</v>
      </c>
      <c r="E8" s="169" t="s">
        <v>143</v>
      </c>
      <c r="F8" s="320">
        <v>2346.39</v>
      </c>
      <c r="G8" s="211">
        <v>0.1</v>
      </c>
      <c r="H8" s="935">
        <v>215.86</v>
      </c>
      <c r="I8" s="936">
        <v>107.93</v>
      </c>
      <c r="J8" s="218" t="s">
        <v>1996</v>
      </c>
      <c r="K8" s="948" t="s">
        <v>1992</v>
      </c>
    </row>
    <row r="9" spans="1:11">
      <c r="A9" s="623">
        <v>44624</v>
      </c>
      <c r="B9" s="618">
        <v>44991</v>
      </c>
      <c r="C9" s="412" t="s">
        <v>1385</v>
      </c>
      <c r="D9" s="258" t="s">
        <v>61</v>
      </c>
      <c r="E9" s="257" t="s">
        <v>15</v>
      </c>
      <c r="F9" s="321">
        <v>5839.58</v>
      </c>
      <c r="G9" s="260">
        <v>0.1</v>
      </c>
      <c r="H9" s="624">
        <v>537.24</v>
      </c>
      <c r="I9" s="814">
        <v>53.72</v>
      </c>
      <c r="J9" s="382" t="s">
        <v>1470</v>
      </c>
      <c r="K9" s="948" t="s">
        <v>1992</v>
      </c>
    </row>
    <row r="10" spans="1:11" s="731" customFormat="1">
      <c r="A10" s="1141">
        <v>44624</v>
      </c>
      <c r="B10" s="740">
        <v>44991</v>
      </c>
      <c r="C10" s="172" t="s">
        <v>1997</v>
      </c>
      <c r="D10" s="209" t="s">
        <v>61</v>
      </c>
      <c r="E10" s="169" t="s">
        <v>10</v>
      </c>
      <c r="F10" s="320">
        <v>1215.73</v>
      </c>
      <c r="G10" s="211">
        <v>0.13</v>
      </c>
      <c r="H10" s="935">
        <v>145.4</v>
      </c>
      <c r="I10" s="936"/>
      <c r="J10" s="218"/>
      <c r="K10" s="949" t="s">
        <v>1992</v>
      </c>
    </row>
    <row r="11" spans="1:11">
      <c r="A11" s="1141">
        <v>44624</v>
      </c>
      <c r="B11" s="740">
        <v>44991</v>
      </c>
      <c r="C11" s="52" t="s">
        <v>1998</v>
      </c>
      <c r="D11" s="209" t="s">
        <v>14</v>
      </c>
      <c r="E11" s="169" t="s">
        <v>10</v>
      </c>
      <c r="F11" s="320">
        <v>1290.48</v>
      </c>
      <c r="G11" s="211">
        <v>0.1</v>
      </c>
      <c r="H11" s="935">
        <v>118.72</v>
      </c>
      <c r="I11" s="936"/>
      <c r="J11" s="218"/>
      <c r="K11" s="948" t="s">
        <v>1992</v>
      </c>
    </row>
    <row r="12" spans="1:11">
      <c r="A12" s="1141">
        <v>44624</v>
      </c>
      <c r="B12" s="740">
        <v>44991</v>
      </c>
      <c r="C12" s="168" t="s">
        <v>1999</v>
      </c>
      <c r="D12" s="209" t="s">
        <v>9</v>
      </c>
      <c r="E12" s="169" t="s">
        <v>15</v>
      </c>
      <c r="F12" s="320">
        <v>1894.73</v>
      </c>
      <c r="G12" s="211">
        <v>0.1</v>
      </c>
      <c r="H12" s="935">
        <v>174.31</v>
      </c>
      <c r="I12" s="936"/>
      <c r="J12" s="218"/>
      <c r="K12" s="948" t="s">
        <v>1992</v>
      </c>
    </row>
    <row r="13" spans="1:11">
      <c r="A13" s="1141">
        <v>44627</v>
      </c>
      <c r="B13" s="740">
        <v>44991</v>
      </c>
      <c r="C13" s="168" t="s">
        <v>1309</v>
      </c>
      <c r="D13" s="209" t="s">
        <v>25</v>
      </c>
      <c r="E13" s="169" t="s">
        <v>10</v>
      </c>
      <c r="F13" s="320">
        <v>1109.08</v>
      </c>
      <c r="G13" s="211">
        <v>0.12</v>
      </c>
      <c r="H13" s="935">
        <v>122.44</v>
      </c>
      <c r="I13" s="936"/>
      <c r="J13" s="218"/>
      <c r="K13" s="948" t="s">
        <v>1992</v>
      </c>
    </row>
    <row r="14" spans="1:11" s="731" customFormat="1">
      <c r="A14" s="1145">
        <v>44628</v>
      </c>
      <c r="B14" s="1146">
        <v>44993</v>
      </c>
      <c r="C14" s="1167" t="s">
        <v>1721</v>
      </c>
      <c r="D14" s="534" t="s">
        <v>448</v>
      </c>
      <c r="E14" s="414" t="s">
        <v>10</v>
      </c>
      <c r="F14" s="535">
        <v>1899.79</v>
      </c>
      <c r="G14" s="536">
        <v>0.1</v>
      </c>
      <c r="H14" s="1137">
        <v>174.78</v>
      </c>
      <c r="I14" s="995">
        <v>17.47</v>
      </c>
      <c r="J14" s="593" t="s">
        <v>1470</v>
      </c>
      <c r="K14" s="949" t="s">
        <v>1992</v>
      </c>
    </row>
    <row r="15" spans="1:11" s="730" customFormat="1">
      <c r="A15" s="1141">
        <v>44627</v>
      </c>
      <c r="B15" s="740">
        <v>44993</v>
      </c>
      <c r="C15" s="353" t="s">
        <v>1720</v>
      </c>
      <c r="D15" s="209" t="s">
        <v>448</v>
      </c>
      <c r="E15" s="169" t="s">
        <v>19</v>
      </c>
      <c r="F15" s="320">
        <v>7182.64</v>
      </c>
      <c r="G15" s="211">
        <v>0.1</v>
      </c>
      <c r="H15" s="935">
        <v>660.8</v>
      </c>
      <c r="I15" s="936">
        <v>330.4</v>
      </c>
      <c r="J15" s="218" t="s">
        <v>1996</v>
      </c>
      <c r="K15" s="1147" t="s">
        <v>2000</v>
      </c>
    </row>
    <row r="16" spans="1:11">
      <c r="A16" s="1142">
        <v>44629</v>
      </c>
      <c r="B16" s="1142">
        <v>44994</v>
      </c>
      <c r="C16" s="172" t="s">
        <v>2001</v>
      </c>
      <c r="D16" s="218" t="s">
        <v>70</v>
      </c>
      <c r="E16" s="217" t="s">
        <v>19</v>
      </c>
      <c r="F16" s="310">
        <v>1109.51</v>
      </c>
      <c r="G16" s="220">
        <v>0.1</v>
      </c>
      <c r="H16" s="935">
        <v>102.07</v>
      </c>
      <c r="I16" s="951"/>
      <c r="J16" s="218"/>
      <c r="K16" s="948" t="s">
        <v>2000</v>
      </c>
    </row>
    <row r="17" spans="1:11">
      <c r="A17" s="1143">
        <v>44629</v>
      </c>
      <c r="B17" s="335">
        <v>44994</v>
      </c>
      <c r="C17" s="52" t="s">
        <v>2002</v>
      </c>
      <c r="D17" s="420" t="s">
        <v>9</v>
      </c>
      <c r="E17" s="286" t="s">
        <v>143</v>
      </c>
      <c r="F17" s="421">
        <v>1780.27</v>
      </c>
      <c r="G17" s="422">
        <v>0.1</v>
      </c>
      <c r="H17" s="935">
        <v>163.78</v>
      </c>
      <c r="I17" s="937"/>
      <c r="J17" s="218"/>
      <c r="K17" s="948" t="s">
        <v>1992</v>
      </c>
    </row>
    <row r="18" spans="1:11">
      <c r="A18" s="1141">
        <v>44630</v>
      </c>
      <c r="B18" s="740">
        <v>44995</v>
      </c>
      <c r="C18" s="168" t="s">
        <v>1316</v>
      </c>
      <c r="D18" s="209" t="s">
        <v>61</v>
      </c>
      <c r="E18" s="169" t="s">
        <v>10</v>
      </c>
      <c r="F18" s="320">
        <v>1729.59</v>
      </c>
      <c r="G18" s="211">
        <v>0.1</v>
      </c>
      <c r="H18" s="935">
        <v>159.12</v>
      </c>
      <c r="I18" s="936"/>
      <c r="J18" s="218"/>
      <c r="K18" s="948" t="s">
        <v>1992</v>
      </c>
    </row>
    <row r="19" spans="1:11">
      <c r="A19" s="1141">
        <v>44631</v>
      </c>
      <c r="B19" s="740">
        <v>44996</v>
      </c>
      <c r="C19" s="168" t="s">
        <v>876</v>
      </c>
      <c r="D19" s="209" t="s">
        <v>448</v>
      </c>
      <c r="E19" s="169" t="s">
        <v>19</v>
      </c>
      <c r="F19" s="320">
        <v>934.37</v>
      </c>
      <c r="G19" s="211">
        <v>0.1</v>
      </c>
      <c r="H19" s="935">
        <v>85.96</v>
      </c>
      <c r="I19" s="936"/>
      <c r="J19" s="218"/>
      <c r="K19" s="948" t="s">
        <v>1992</v>
      </c>
    </row>
    <row r="20" spans="1:11">
      <c r="A20" s="1141">
        <v>44630</v>
      </c>
      <c r="B20" s="740">
        <v>44998</v>
      </c>
      <c r="C20" s="168" t="s">
        <v>1722</v>
      </c>
      <c r="D20" s="209" t="s">
        <v>9</v>
      </c>
      <c r="E20" s="169" t="s">
        <v>10</v>
      </c>
      <c r="F20" s="320">
        <v>1928.12</v>
      </c>
      <c r="G20" s="211">
        <v>0.1</v>
      </c>
      <c r="H20" s="935">
        <v>177.38</v>
      </c>
      <c r="I20" s="936"/>
      <c r="J20" s="218"/>
      <c r="K20" s="948" t="s">
        <v>1992</v>
      </c>
    </row>
    <row r="21" spans="1:11">
      <c r="A21" s="1142">
        <v>44630</v>
      </c>
      <c r="B21" s="1142">
        <v>44999</v>
      </c>
      <c r="C21" s="172" t="s">
        <v>2003</v>
      </c>
      <c r="D21" s="218" t="s">
        <v>9</v>
      </c>
      <c r="E21" s="217" t="s">
        <v>29</v>
      </c>
      <c r="F21" s="310">
        <v>1296.6400000000001</v>
      </c>
      <c r="G21" s="220">
        <v>0.1</v>
      </c>
      <c r="H21" s="935">
        <v>119.29</v>
      </c>
      <c r="I21" s="951"/>
      <c r="J21" s="218"/>
      <c r="K21" s="948" t="s">
        <v>1992</v>
      </c>
    </row>
    <row r="22" spans="1:11">
      <c r="A22" s="1143">
        <v>44634</v>
      </c>
      <c r="B22" s="1144">
        <v>44999</v>
      </c>
      <c r="C22" s="353" t="s">
        <v>1273</v>
      </c>
      <c r="D22" s="420" t="s">
        <v>9</v>
      </c>
      <c r="E22" s="286" t="s">
        <v>15</v>
      </c>
      <c r="F22" s="421">
        <v>2003.5</v>
      </c>
      <c r="G22" s="422">
        <v>0.1</v>
      </c>
      <c r="H22" s="938">
        <v>184.32</v>
      </c>
      <c r="I22" s="1168"/>
      <c r="J22" s="218"/>
      <c r="K22" s="948" t="s">
        <v>2004</v>
      </c>
    </row>
    <row r="23" spans="1:11">
      <c r="A23" s="1141">
        <v>44634</v>
      </c>
      <c r="B23" s="740">
        <v>44999</v>
      </c>
      <c r="C23" s="358" t="s">
        <v>2005</v>
      </c>
      <c r="D23" s="209" t="s">
        <v>9</v>
      </c>
      <c r="E23" s="169" t="s">
        <v>10</v>
      </c>
      <c r="F23" s="320">
        <v>3178.34</v>
      </c>
      <c r="G23" s="211">
        <v>0.1</v>
      </c>
      <c r="H23" s="935">
        <v>292.39999999999998</v>
      </c>
      <c r="I23" s="936"/>
      <c r="J23" s="218"/>
      <c r="K23" s="948" t="s">
        <v>2004</v>
      </c>
    </row>
    <row r="24" spans="1:11">
      <c r="A24" s="1141">
        <v>44971</v>
      </c>
      <c r="B24" s="740">
        <v>45000</v>
      </c>
      <c r="C24" s="168" t="s">
        <v>676</v>
      </c>
      <c r="D24" s="209" t="s">
        <v>14</v>
      </c>
      <c r="E24" s="169" t="s">
        <v>438</v>
      </c>
      <c r="F24" s="320">
        <v>962.83</v>
      </c>
      <c r="G24" s="211">
        <v>0.1</v>
      </c>
      <c r="H24" s="935">
        <v>88.58</v>
      </c>
      <c r="I24" s="936"/>
      <c r="J24" s="218"/>
      <c r="K24" s="948" t="s">
        <v>2004</v>
      </c>
    </row>
    <row r="25" spans="1:11">
      <c r="A25" s="1141">
        <v>44636</v>
      </c>
      <c r="B25" s="740">
        <v>45001</v>
      </c>
      <c r="C25" s="168" t="s">
        <v>2006</v>
      </c>
      <c r="D25" s="209" t="s">
        <v>70</v>
      </c>
      <c r="E25" s="169" t="s">
        <v>279</v>
      </c>
      <c r="F25" s="320">
        <v>965.16</v>
      </c>
      <c r="G25" s="211">
        <v>0.1</v>
      </c>
      <c r="H25" s="935">
        <v>88.79</v>
      </c>
      <c r="I25" s="936">
        <v>44.39</v>
      </c>
      <c r="J25" s="218" t="s">
        <v>1759</v>
      </c>
      <c r="K25" s="948" t="s">
        <v>2004</v>
      </c>
    </row>
    <row r="26" spans="1:11">
      <c r="A26" s="1141">
        <v>44636</v>
      </c>
      <c r="B26" s="740">
        <v>45001</v>
      </c>
      <c r="C26" s="168" t="s">
        <v>2007</v>
      </c>
      <c r="D26" s="209" t="s">
        <v>21</v>
      </c>
      <c r="E26" s="169" t="s">
        <v>10</v>
      </c>
      <c r="F26" s="320">
        <v>1919.76</v>
      </c>
      <c r="G26" s="211">
        <v>0.1</v>
      </c>
      <c r="H26" s="935">
        <v>176.61</v>
      </c>
      <c r="I26" s="936"/>
      <c r="J26" s="218"/>
      <c r="K26" s="948" t="s">
        <v>2000</v>
      </c>
    </row>
    <row r="27" spans="1:11">
      <c r="A27" s="1180">
        <v>44637</v>
      </c>
      <c r="B27" s="1181">
        <v>45002</v>
      </c>
      <c r="C27" s="440" t="s">
        <v>1385</v>
      </c>
      <c r="D27" s="279" t="s">
        <v>9</v>
      </c>
      <c r="E27" s="1149" t="s">
        <v>143</v>
      </c>
      <c r="F27" s="280">
        <v>14465.87</v>
      </c>
      <c r="G27" s="1150">
        <v>0.1</v>
      </c>
      <c r="H27" s="947">
        <v>1330.86</v>
      </c>
      <c r="I27" s="814" t="s">
        <v>1539</v>
      </c>
      <c r="J27" s="382" t="s">
        <v>1470</v>
      </c>
      <c r="K27" s="948" t="s">
        <v>2000</v>
      </c>
    </row>
    <row r="28" spans="1:11">
      <c r="A28" s="1141">
        <v>44637</v>
      </c>
      <c r="B28" s="740">
        <v>45002</v>
      </c>
      <c r="C28" s="336" t="s">
        <v>2008</v>
      </c>
      <c r="D28" s="209" t="s">
        <v>14</v>
      </c>
      <c r="E28" s="169" t="s">
        <v>15</v>
      </c>
      <c r="F28" s="320">
        <v>6543.72</v>
      </c>
      <c r="G28" s="211">
        <v>0.1</v>
      </c>
      <c r="H28" s="935">
        <v>602.02</v>
      </c>
      <c r="I28" s="936">
        <v>301.01</v>
      </c>
      <c r="J28" s="218" t="s">
        <v>1996</v>
      </c>
      <c r="K28" s="948" t="s">
        <v>2004</v>
      </c>
    </row>
    <row r="29" spans="1:11">
      <c r="A29" s="1141">
        <v>44637</v>
      </c>
      <c r="B29" s="740">
        <v>45002</v>
      </c>
      <c r="C29" s="168" t="s">
        <v>2009</v>
      </c>
      <c r="D29" s="209" t="s">
        <v>448</v>
      </c>
      <c r="E29" s="169" t="s">
        <v>10</v>
      </c>
      <c r="F29" s="320">
        <v>2796.52</v>
      </c>
      <c r="G29" s="211">
        <v>0.1</v>
      </c>
      <c r="H29" s="935">
        <v>257.27</v>
      </c>
      <c r="I29" s="936"/>
      <c r="J29" s="218"/>
      <c r="K29" s="948" t="s">
        <v>2010</v>
      </c>
    </row>
    <row r="30" spans="1:11" s="731" customFormat="1">
      <c r="A30" s="1142">
        <v>44637</v>
      </c>
      <c r="B30" s="1142">
        <v>45002</v>
      </c>
      <c r="C30" s="172" t="s">
        <v>2011</v>
      </c>
      <c r="D30" s="218" t="s">
        <v>25</v>
      </c>
      <c r="E30" s="217" t="s">
        <v>10</v>
      </c>
      <c r="F30" s="310">
        <v>2019.19</v>
      </c>
      <c r="G30" s="220">
        <v>0.1</v>
      </c>
      <c r="H30" s="935">
        <v>185.76</v>
      </c>
      <c r="I30" s="936"/>
      <c r="J30" s="218"/>
      <c r="K30" s="949" t="s">
        <v>2012</v>
      </c>
    </row>
    <row r="31" spans="1:11">
      <c r="A31" s="1142">
        <v>44638</v>
      </c>
      <c r="B31" s="1142">
        <v>45003</v>
      </c>
      <c r="C31" s="172" t="s">
        <v>2013</v>
      </c>
      <c r="D31" s="218" t="s">
        <v>70</v>
      </c>
      <c r="E31" s="217" t="s">
        <v>279</v>
      </c>
      <c r="F31" s="310">
        <v>721.93</v>
      </c>
      <c r="G31" s="220">
        <v>0.1</v>
      </c>
      <c r="H31" s="935">
        <v>66.41</v>
      </c>
      <c r="I31" s="936"/>
      <c r="J31" s="218"/>
      <c r="K31" s="948" t="s">
        <v>2012</v>
      </c>
    </row>
    <row r="32" spans="1:11">
      <c r="A32" s="1142">
        <v>44638</v>
      </c>
      <c r="B32" s="1182">
        <v>45005</v>
      </c>
      <c r="C32" s="172" t="s">
        <v>1728</v>
      </c>
      <c r="D32" s="218" t="s">
        <v>61</v>
      </c>
      <c r="E32" s="217" t="s">
        <v>438</v>
      </c>
      <c r="F32" s="219">
        <v>2376.33</v>
      </c>
      <c r="G32" s="220">
        <v>0.1</v>
      </c>
      <c r="H32" s="219">
        <v>218.62</v>
      </c>
      <c r="I32" s="936"/>
      <c r="J32" s="218"/>
      <c r="K32" s="948" t="s">
        <v>2012</v>
      </c>
    </row>
    <row r="33" spans="1:11">
      <c r="A33" s="207">
        <v>44642</v>
      </c>
      <c r="B33" s="208">
        <v>45007</v>
      </c>
      <c r="C33" s="414" t="s">
        <v>881</v>
      </c>
      <c r="D33" s="209" t="s">
        <v>61</v>
      </c>
      <c r="E33" s="169" t="s">
        <v>19</v>
      </c>
      <c r="F33" s="320">
        <v>1406.3</v>
      </c>
      <c r="G33" s="211">
        <v>0.1</v>
      </c>
      <c r="H33" s="935">
        <v>129.37</v>
      </c>
      <c r="I33" s="936"/>
      <c r="J33" s="218"/>
      <c r="K33" s="948" t="s">
        <v>2012</v>
      </c>
    </row>
    <row r="34" spans="1:11">
      <c r="A34" s="623">
        <v>44643</v>
      </c>
      <c r="B34" s="618">
        <v>45008</v>
      </c>
      <c r="C34" s="412" t="s">
        <v>2014</v>
      </c>
      <c r="D34" s="258" t="s">
        <v>21</v>
      </c>
      <c r="E34" s="257" t="s">
        <v>279</v>
      </c>
      <c r="F34" s="321">
        <v>1660.39</v>
      </c>
      <c r="G34" s="260">
        <v>0.1</v>
      </c>
      <c r="H34" s="624">
        <v>152.75</v>
      </c>
      <c r="I34" s="814" t="s">
        <v>1539</v>
      </c>
      <c r="J34" s="382" t="s">
        <v>1470</v>
      </c>
      <c r="K34" s="948" t="s">
        <v>2012</v>
      </c>
    </row>
    <row r="35" spans="1:11">
      <c r="A35" s="1141">
        <v>44644</v>
      </c>
      <c r="B35" s="740">
        <v>45008</v>
      </c>
      <c r="C35" s="168" t="s">
        <v>879</v>
      </c>
      <c r="D35" s="209" t="s">
        <v>448</v>
      </c>
      <c r="E35" s="169" t="s">
        <v>19</v>
      </c>
      <c r="F35" s="320">
        <v>2209.4</v>
      </c>
      <c r="G35" s="211">
        <v>0.1</v>
      </c>
      <c r="H35" s="935">
        <v>203.26</v>
      </c>
      <c r="I35" s="936">
        <v>101.63</v>
      </c>
      <c r="J35" s="218" t="s">
        <v>1482</v>
      </c>
      <c r="K35" s="948" t="s">
        <v>2012</v>
      </c>
    </row>
    <row r="36" spans="1:11">
      <c r="A36" s="1141">
        <v>44642</v>
      </c>
      <c r="B36" s="740">
        <v>45008</v>
      </c>
      <c r="C36" s="168" t="s">
        <v>882</v>
      </c>
      <c r="D36" s="209" t="s">
        <v>149</v>
      </c>
      <c r="E36" s="169" t="s">
        <v>22</v>
      </c>
      <c r="F36" s="320">
        <v>1686.12</v>
      </c>
      <c r="G36" s="211">
        <v>0.1</v>
      </c>
      <c r="H36" s="935">
        <v>155.04</v>
      </c>
      <c r="I36" s="936"/>
      <c r="J36" s="218"/>
      <c r="K36" s="948" t="s">
        <v>2012</v>
      </c>
    </row>
    <row r="37" spans="1:11" s="731" customFormat="1">
      <c r="A37" s="1141">
        <v>44644</v>
      </c>
      <c r="B37" s="740">
        <v>45008</v>
      </c>
      <c r="C37" s="168" t="s">
        <v>1579</v>
      </c>
      <c r="D37" s="209" t="s">
        <v>14</v>
      </c>
      <c r="E37" s="169" t="s">
        <v>10</v>
      </c>
      <c r="F37" s="320">
        <v>1415.1</v>
      </c>
      <c r="G37" s="211">
        <v>0.1</v>
      </c>
      <c r="H37" s="935">
        <v>130.18</v>
      </c>
      <c r="I37" s="936"/>
      <c r="J37" s="218"/>
      <c r="K37" s="949" t="s">
        <v>2015</v>
      </c>
    </row>
    <row r="38" spans="1:11">
      <c r="A38" s="623">
        <v>44644</v>
      </c>
      <c r="B38" s="618">
        <v>45009</v>
      </c>
      <c r="C38" s="412" t="s">
        <v>1385</v>
      </c>
      <c r="D38" s="258" t="s">
        <v>9</v>
      </c>
      <c r="E38" s="257" t="s">
        <v>143</v>
      </c>
      <c r="F38" s="321">
        <v>20834.650000000001</v>
      </c>
      <c r="G38" s="260">
        <v>0.1</v>
      </c>
      <c r="H38" s="624">
        <v>1916.78</v>
      </c>
      <c r="I38" s="814">
        <v>19.16</v>
      </c>
      <c r="J38" s="382" t="s">
        <v>1470</v>
      </c>
      <c r="K38" s="948" t="s">
        <v>2015</v>
      </c>
    </row>
    <row r="39" spans="1:11">
      <c r="A39" s="207">
        <v>44638</v>
      </c>
      <c r="B39" s="208">
        <v>45009</v>
      </c>
      <c r="C39" s="414" t="s">
        <v>1692</v>
      </c>
      <c r="D39" s="209" t="s">
        <v>448</v>
      </c>
      <c r="E39" s="169" t="s">
        <v>10</v>
      </c>
      <c r="F39" s="210">
        <v>1416.96</v>
      </c>
      <c r="G39" s="211">
        <v>0.1</v>
      </c>
      <c r="H39" s="219">
        <v>130.36000000000001</v>
      </c>
      <c r="I39" s="936"/>
      <c r="J39" s="218"/>
      <c r="K39" s="948" t="s">
        <v>2012</v>
      </c>
    </row>
    <row r="40" spans="1:11" s="731" customFormat="1">
      <c r="A40" s="1141">
        <v>44644</v>
      </c>
      <c r="B40" s="740">
        <v>45010</v>
      </c>
      <c r="C40" s="168" t="s">
        <v>2016</v>
      </c>
      <c r="D40" s="209" t="s">
        <v>61</v>
      </c>
      <c r="E40" s="169" t="s">
        <v>1151</v>
      </c>
      <c r="F40" s="320">
        <v>1524.18</v>
      </c>
      <c r="G40" s="211">
        <v>0.1</v>
      </c>
      <c r="H40" s="935">
        <v>140.22</v>
      </c>
      <c r="I40" s="936"/>
      <c r="J40" s="218"/>
      <c r="K40" s="949" t="s">
        <v>2015</v>
      </c>
    </row>
    <row r="41" spans="1:11">
      <c r="A41" s="207">
        <v>44645</v>
      </c>
      <c r="B41" s="208">
        <v>45010</v>
      </c>
      <c r="C41" s="414" t="s">
        <v>2017</v>
      </c>
      <c r="D41" s="209" t="s">
        <v>61</v>
      </c>
      <c r="E41" s="169" t="s">
        <v>15</v>
      </c>
      <c r="F41" s="320">
        <v>4231.4399999999996</v>
      </c>
      <c r="G41" s="211">
        <v>0.1</v>
      </c>
      <c r="H41" s="935">
        <v>389.29</v>
      </c>
      <c r="I41" s="936"/>
      <c r="J41" s="218"/>
      <c r="K41" s="948" t="s">
        <v>2012</v>
      </c>
    </row>
    <row r="42" spans="1:11">
      <c r="A42" s="1141">
        <v>44644</v>
      </c>
      <c r="B42" s="740">
        <v>45011</v>
      </c>
      <c r="C42" s="168" t="s">
        <v>885</v>
      </c>
      <c r="D42" s="209" t="s">
        <v>448</v>
      </c>
      <c r="E42" s="169" t="s">
        <v>10</v>
      </c>
      <c r="F42" s="320">
        <v>1667.89</v>
      </c>
      <c r="G42" s="211">
        <v>0.1</v>
      </c>
      <c r="H42" s="935">
        <v>153.44</v>
      </c>
      <c r="I42" s="936"/>
      <c r="J42" s="218"/>
      <c r="K42" s="948" t="s">
        <v>2012</v>
      </c>
    </row>
    <row r="43" spans="1:11">
      <c r="A43" s="1141">
        <v>44652</v>
      </c>
      <c r="B43" s="740">
        <v>45012</v>
      </c>
      <c r="C43" s="168" t="s">
        <v>1731</v>
      </c>
      <c r="D43" s="209" t="s">
        <v>25</v>
      </c>
      <c r="E43" s="169" t="s">
        <v>22</v>
      </c>
      <c r="F43" s="320">
        <v>2303.27</v>
      </c>
      <c r="G43" s="211">
        <v>0.1</v>
      </c>
      <c r="H43" s="935">
        <v>211.9</v>
      </c>
      <c r="I43" s="936"/>
      <c r="J43" s="218"/>
      <c r="K43" s="948" t="s">
        <v>2012</v>
      </c>
    </row>
    <row r="44" spans="1:11">
      <c r="A44" s="255">
        <v>44645</v>
      </c>
      <c r="B44" s="256">
        <v>45014</v>
      </c>
      <c r="C44" s="414" t="s">
        <v>1326</v>
      </c>
      <c r="D44" s="258" t="s">
        <v>14</v>
      </c>
      <c r="E44" s="257" t="s">
        <v>90</v>
      </c>
      <c r="F44" s="321">
        <v>1661.31</v>
      </c>
      <c r="G44" s="260">
        <v>0.1</v>
      </c>
      <c r="H44" s="624">
        <v>152.84</v>
      </c>
      <c r="I44" s="814">
        <v>15.28</v>
      </c>
      <c r="J44" s="382" t="s">
        <v>1470</v>
      </c>
      <c r="K44" s="948" t="s">
        <v>2012</v>
      </c>
    </row>
    <row r="45" spans="1:11" s="731" customFormat="1">
      <c r="A45" s="207">
        <v>44645</v>
      </c>
      <c r="B45" s="208">
        <v>45014</v>
      </c>
      <c r="C45" s="414" t="s">
        <v>1088</v>
      </c>
      <c r="D45" s="209" t="s">
        <v>448</v>
      </c>
      <c r="E45" s="169" t="s">
        <v>19</v>
      </c>
      <c r="F45" s="320">
        <v>1793.11</v>
      </c>
      <c r="G45" s="211">
        <v>0.1</v>
      </c>
      <c r="H45" s="935">
        <v>164.96</v>
      </c>
      <c r="I45" s="936">
        <v>82.48</v>
      </c>
      <c r="J45" s="218" t="s">
        <v>1482</v>
      </c>
      <c r="K45" s="949" t="s">
        <v>2012</v>
      </c>
    </row>
    <row r="46" spans="1:11" s="731" customFormat="1">
      <c r="A46" s="1141">
        <v>44642</v>
      </c>
      <c r="B46" s="740">
        <v>45014</v>
      </c>
      <c r="C46" s="168" t="s">
        <v>524</v>
      </c>
      <c r="D46" s="209" t="s">
        <v>61</v>
      </c>
      <c r="E46" s="169" t="s">
        <v>10</v>
      </c>
      <c r="F46" s="320">
        <v>943.13</v>
      </c>
      <c r="G46" s="211">
        <v>0.1</v>
      </c>
      <c r="H46" s="935">
        <v>86.76</v>
      </c>
      <c r="I46" s="936"/>
      <c r="J46" s="218"/>
      <c r="K46" s="949" t="s">
        <v>510</v>
      </c>
    </row>
    <row r="47" spans="1:11">
      <c r="A47" s="207">
        <v>44649</v>
      </c>
      <c r="B47" s="208">
        <v>45014</v>
      </c>
      <c r="C47" s="217" t="s">
        <v>1438</v>
      </c>
      <c r="D47" s="209" t="s">
        <v>304</v>
      </c>
      <c r="E47" s="169" t="s">
        <v>22</v>
      </c>
      <c r="F47" s="320">
        <v>2614.62</v>
      </c>
      <c r="G47" s="211">
        <v>0.1</v>
      </c>
      <c r="H47" s="935">
        <v>240.54</v>
      </c>
      <c r="I47" s="936"/>
      <c r="J47" s="218"/>
      <c r="K47" s="948" t="s">
        <v>2010</v>
      </c>
    </row>
    <row r="48" spans="1:11">
      <c r="A48" s="623">
        <v>44650</v>
      </c>
      <c r="B48" s="618">
        <v>45015</v>
      </c>
      <c r="C48" s="440" t="s">
        <v>2018</v>
      </c>
      <c r="D48" s="258" t="s">
        <v>448</v>
      </c>
      <c r="E48" s="257" t="s">
        <v>2019</v>
      </c>
      <c r="F48" s="321">
        <v>8269.31</v>
      </c>
      <c r="G48" s="260">
        <v>0.1</v>
      </c>
      <c r="H48" s="624">
        <v>760.77</v>
      </c>
      <c r="I48" s="814">
        <v>76.069999999999993</v>
      </c>
      <c r="J48" s="382" t="s">
        <v>1470</v>
      </c>
      <c r="K48" s="948" t="s">
        <v>2010</v>
      </c>
    </row>
    <row r="49" spans="1:11">
      <c r="A49" s="1141">
        <v>44650</v>
      </c>
      <c r="B49" s="740">
        <v>45015</v>
      </c>
      <c r="C49" s="168" t="s">
        <v>2020</v>
      </c>
      <c r="D49" s="209" t="s">
        <v>448</v>
      </c>
      <c r="E49" s="169" t="s">
        <v>10</v>
      </c>
      <c r="F49" s="320">
        <v>5478.62</v>
      </c>
      <c r="G49" s="211">
        <v>0.1</v>
      </c>
      <c r="H49" s="935">
        <v>504.03</v>
      </c>
      <c r="I49" s="936">
        <f>252.01+30</f>
        <v>282.01</v>
      </c>
      <c r="J49" s="218" t="s">
        <v>1996</v>
      </c>
      <c r="K49" s="948" t="s">
        <v>2021</v>
      </c>
    </row>
    <row r="50" spans="1:11" s="731" customFormat="1">
      <c r="A50" s="207">
        <v>44645</v>
      </c>
      <c r="B50" s="208">
        <v>45015</v>
      </c>
      <c r="C50" s="414" t="s">
        <v>1732</v>
      </c>
      <c r="D50" s="209" t="s">
        <v>448</v>
      </c>
      <c r="E50" s="169" t="s">
        <v>10</v>
      </c>
      <c r="F50" s="320">
        <v>2149.9</v>
      </c>
      <c r="G50" s="211">
        <v>0.1</v>
      </c>
      <c r="H50" s="935">
        <v>197.79</v>
      </c>
      <c r="I50" s="936"/>
      <c r="J50" s="218"/>
      <c r="K50" s="949" t="s">
        <v>2012</v>
      </c>
    </row>
    <row r="51" spans="1:11" ht="16.5" thickBot="1">
      <c r="A51" s="255">
        <v>44644</v>
      </c>
      <c r="B51" s="256" t="s">
        <v>510</v>
      </c>
      <c r="C51" s="257" t="s">
        <v>1326</v>
      </c>
      <c r="D51" s="258" t="s">
        <v>14</v>
      </c>
      <c r="E51" s="257" t="s">
        <v>22</v>
      </c>
      <c r="F51" s="321">
        <v>749.12</v>
      </c>
      <c r="G51" s="260">
        <v>0.1</v>
      </c>
      <c r="H51" s="624">
        <v>68.91</v>
      </c>
      <c r="I51" s="814">
        <v>6.89</v>
      </c>
      <c r="J51" s="382" t="s">
        <v>1470</v>
      </c>
      <c r="K51" s="948" t="s">
        <v>2012</v>
      </c>
    </row>
    <row r="52" spans="1:11" ht="20.25" thickBot="1">
      <c r="A52" s="939"/>
      <c r="B52" s="940"/>
      <c r="C52" s="940"/>
      <c r="D52" s="940"/>
      <c r="E52" s="940"/>
      <c r="F52" s="941">
        <f>SUM(F2:F51)</f>
        <v>141968.04</v>
      </c>
      <c r="G52" s="942"/>
      <c r="H52" s="943">
        <f>SUM(H51:H51)</f>
        <v>68.91</v>
      </c>
      <c r="I52" s="952">
        <f>SUM(I51:I51)</f>
        <v>6.89</v>
      </c>
      <c r="J52" s="162" t="s">
        <v>442</v>
      </c>
    </row>
  </sheetData>
  <autoFilter ref="A1:J1" xr:uid="{638F0759-5AF0-4EFE-9971-A33228F932B3}">
    <sortState xmlns:xlrd2="http://schemas.microsoft.com/office/spreadsheetml/2017/richdata2" ref="A2:J52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CE34-A372-40A9-8194-B00E9006D421}">
  <dimension ref="A1:K51"/>
  <sheetViews>
    <sheetView zoomScale="85" zoomScaleNormal="85" workbookViewId="0">
      <selection activeCell="I17" sqref="I17"/>
    </sheetView>
  </sheetViews>
  <sheetFormatPr defaultRowHeight="15"/>
  <cols>
    <col min="1" max="1" width="14" bestFit="1" customWidth="1"/>
    <col min="2" max="2" width="17" bestFit="1" customWidth="1"/>
    <col min="3" max="3" width="43" bestFit="1" customWidth="1"/>
    <col min="4" max="4" width="18.28515625" bestFit="1" customWidth="1"/>
    <col min="5" max="5" width="14.28515625" bestFit="1" customWidth="1"/>
    <col min="6" max="6" width="20.7109375" bestFit="1" customWidth="1"/>
    <col min="7" max="7" width="13.42578125" bestFit="1" customWidth="1"/>
    <col min="8" max="8" width="22.5703125" bestFit="1" customWidth="1"/>
    <col min="9" max="9" width="21" bestFit="1" customWidth="1"/>
    <col min="10" max="10" width="11" bestFit="1" customWidth="1"/>
    <col min="11" max="11" width="19" bestFit="1" customWidth="1"/>
  </cols>
  <sheetData>
    <row r="1" spans="1:11" ht="16.5" thickBot="1">
      <c r="A1" s="30" t="s">
        <v>1832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114" t="s">
        <v>7</v>
      </c>
      <c r="I1" s="950" t="s">
        <v>307</v>
      </c>
      <c r="J1" s="20" t="s">
        <v>370</v>
      </c>
      <c r="K1" s="948"/>
    </row>
    <row r="2" spans="1:11" ht="15.75">
      <c r="A2" s="972">
        <v>44655</v>
      </c>
      <c r="B2" s="973">
        <v>45020</v>
      </c>
      <c r="C2" s="619" t="s">
        <v>2022</v>
      </c>
      <c r="D2" s="258" t="s">
        <v>9</v>
      </c>
      <c r="E2" s="258" t="s">
        <v>143</v>
      </c>
      <c r="F2" s="974">
        <v>2175.29</v>
      </c>
      <c r="G2" s="975">
        <v>0.1</v>
      </c>
      <c r="H2" s="976">
        <v>200.12</v>
      </c>
      <c r="I2" s="814" t="s">
        <v>1539</v>
      </c>
      <c r="J2" s="382" t="s">
        <v>1470</v>
      </c>
      <c r="K2" s="977" t="s">
        <v>2015</v>
      </c>
    </row>
    <row r="3" spans="1:11" ht="15.75">
      <c r="A3" s="1187">
        <v>44670</v>
      </c>
      <c r="B3" s="978">
        <v>45029</v>
      </c>
      <c r="C3" s="1186" t="s">
        <v>2023</v>
      </c>
      <c r="D3" s="382" t="s">
        <v>112</v>
      </c>
      <c r="E3" s="382" t="s">
        <v>10</v>
      </c>
      <c r="F3" s="979">
        <v>1835.68</v>
      </c>
      <c r="G3" s="980">
        <v>0.1</v>
      </c>
      <c r="H3" s="976">
        <v>168.88</v>
      </c>
      <c r="I3" s="981">
        <v>16.88</v>
      </c>
      <c r="J3" s="382" t="s">
        <v>1470</v>
      </c>
      <c r="K3" s="977" t="s">
        <v>2015</v>
      </c>
    </row>
    <row r="4" spans="1:11" ht="15.75">
      <c r="A4" s="972">
        <v>44665</v>
      </c>
      <c r="B4" s="973">
        <v>45034</v>
      </c>
      <c r="C4" s="619" t="s">
        <v>2024</v>
      </c>
      <c r="D4" s="258" t="s">
        <v>61</v>
      </c>
      <c r="E4" s="258" t="s">
        <v>10</v>
      </c>
      <c r="F4" s="974">
        <v>1494.24</v>
      </c>
      <c r="G4" s="975">
        <v>0.1</v>
      </c>
      <c r="H4" s="976">
        <v>137.47</v>
      </c>
      <c r="I4" s="814">
        <v>13.74</v>
      </c>
      <c r="J4" s="382" t="s">
        <v>1470</v>
      </c>
      <c r="K4" s="977" t="s">
        <v>2015</v>
      </c>
    </row>
    <row r="5" spans="1:11" s="731" customFormat="1" ht="15.75">
      <c r="A5" s="972">
        <v>44678</v>
      </c>
      <c r="B5" s="973">
        <v>45042</v>
      </c>
      <c r="C5" s="619" t="s">
        <v>1360</v>
      </c>
      <c r="D5" s="258" t="s">
        <v>9</v>
      </c>
      <c r="E5" s="258" t="s">
        <v>948</v>
      </c>
      <c r="F5" s="974">
        <v>2017.65</v>
      </c>
      <c r="G5" s="975">
        <v>0.1</v>
      </c>
      <c r="H5" s="976">
        <v>185.62</v>
      </c>
      <c r="I5" s="814">
        <v>18.559999999999999</v>
      </c>
      <c r="J5" s="382" t="s">
        <v>1470</v>
      </c>
      <c r="K5" s="977" t="s">
        <v>2015</v>
      </c>
    </row>
    <row r="6" spans="1:11" ht="15.75">
      <c r="A6" s="960">
        <v>44680</v>
      </c>
      <c r="B6" s="960">
        <v>45046</v>
      </c>
      <c r="C6" s="1177" t="s">
        <v>2025</v>
      </c>
      <c r="D6" s="1547" t="s">
        <v>448</v>
      </c>
      <c r="E6" s="1547" t="s">
        <v>10</v>
      </c>
      <c r="F6" s="961">
        <v>1964.31</v>
      </c>
      <c r="G6" s="962">
        <v>0.15</v>
      </c>
      <c r="H6" s="958">
        <v>271.07</v>
      </c>
      <c r="I6" s="953">
        <v>135.53</v>
      </c>
      <c r="J6" s="1547" t="s">
        <v>1219</v>
      </c>
      <c r="K6" s="959" t="s">
        <v>2015</v>
      </c>
    </row>
    <row r="7" spans="1:11" ht="15.75">
      <c r="A7" s="954">
        <v>44659</v>
      </c>
      <c r="B7" s="955" t="s">
        <v>1805</v>
      </c>
      <c r="C7" s="1547" t="s">
        <v>2026</v>
      </c>
      <c r="D7" s="289" t="s">
        <v>25</v>
      </c>
      <c r="E7" s="289" t="s">
        <v>90</v>
      </c>
      <c r="F7" s="956">
        <v>161.09</v>
      </c>
      <c r="G7" s="957">
        <v>0.1</v>
      </c>
      <c r="H7" s="958">
        <v>14.82</v>
      </c>
      <c r="I7" s="907">
        <v>7.4</v>
      </c>
      <c r="J7" s="1547" t="s">
        <v>1996</v>
      </c>
      <c r="K7" s="959" t="s">
        <v>1805</v>
      </c>
    </row>
    <row r="8" spans="1:11" ht="15.75">
      <c r="A8" s="954">
        <v>44671</v>
      </c>
      <c r="B8" s="955">
        <v>45036</v>
      </c>
      <c r="C8" s="1176" t="s">
        <v>1354</v>
      </c>
      <c r="D8" s="289" t="s">
        <v>25</v>
      </c>
      <c r="E8" s="289" t="s">
        <v>90</v>
      </c>
      <c r="F8" s="956">
        <v>1599.53</v>
      </c>
      <c r="G8" s="957">
        <v>0.12</v>
      </c>
      <c r="H8" s="958">
        <v>176.58</v>
      </c>
      <c r="I8" s="907">
        <v>88.29</v>
      </c>
      <c r="J8" s="1547" t="s">
        <v>491</v>
      </c>
      <c r="K8" s="959" t="s">
        <v>2015</v>
      </c>
    </row>
    <row r="9" spans="1:11" ht="15.75">
      <c r="A9" s="954">
        <v>44676</v>
      </c>
      <c r="B9" s="955">
        <v>45041</v>
      </c>
      <c r="C9" s="1176" t="s">
        <v>1747</v>
      </c>
      <c r="D9" s="289" t="s">
        <v>25</v>
      </c>
      <c r="E9" s="289" t="s">
        <v>10</v>
      </c>
      <c r="F9" s="1003">
        <v>1277.72</v>
      </c>
      <c r="G9" s="957">
        <v>0.1</v>
      </c>
      <c r="H9" s="971">
        <v>117.55</v>
      </c>
      <c r="I9" s="907">
        <v>58.77</v>
      </c>
      <c r="J9" s="1547" t="s">
        <v>491</v>
      </c>
      <c r="K9" s="959" t="s">
        <v>2015</v>
      </c>
    </row>
    <row r="10" spans="1:11" ht="15.75">
      <c r="A10" s="954">
        <v>44677</v>
      </c>
      <c r="B10" s="955" t="s">
        <v>2027</v>
      </c>
      <c r="C10" s="1547" t="s">
        <v>1645</v>
      </c>
      <c r="D10" s="289" t="s">
        <v>25</v>
      </c>
      <c r="E10" s="289" t="s">
        <v>10</v>
      </c>
      <c r="F10" s="1003"/>
      <c r="G10" s="957">
        <v>0.1</v>
      </c>
      <c r="H10" s="971">
        <v>-152.15</v>
      </c>
      <c r="I10" s="907">
        <v>-76.069999999999993</v>
      </c>
      <c r="J10" s="1547" t="s">
        <v>491</v>
      </c>
      <c r="K10" s="959" t="s">
        <v>2027</v>
      </c>
    </row>
    <row r="11" spans="1:11" ht="15.75">
      <c r="A11" s="954">
        <v>44677</v>
      </c>
      <c r="B11" s="955" t="s">
        <v>1805</v>
      </c>
      <c r="C11" s="289" t="s">
        <v>1399</v>
      </c>
      <c r="D11" s="289" t="s">
        <v>304</v>
      </c>
      <c r="E11" s="289" t="s">
        <v>10</v>
      </c>
      <c r="F11" s="956">
        <v>199.48</v>
      </c>
      <c r="G11" s="957">
        <v>0.1</v>
      </c>
      <c r="H11" s="958">
        <v>18.350000000000001</v>
      </c>
      <c r="I11" s="907">
        <v>9.17</v>
      </c>
      <c r="J11" s="1547" t="s">
        <v>491</v>
      </c>
      <c r="K11" s="959" t="s">
        <v>1805</v>
      </c>
    </row>
    <row r="12" spans="1:11" ht="15.75">
      <c r="A12" s="954">
        <v>44656</v>
      </c>
      <c r="B12" s="955">
        <v>45023</v>
      </c>
      <c r="C12" s="1176" t="s">
        <v>2028</v>
      </c>
      <c r="D12" s="289" t="s">
        <v>9</v>
      </c>
      <c r="E12" s="289" t="s">
        <v>90</v>
      </c>
      <c r="F12" s="956">
        <v>2125.9499999999998</v>
      </c>
      <c r="G12" s="957">
        <v>0.1</v>
      </c>
      <c r="H12" s="958">
        <v>195.58</v>
      </c>
      <c r="I12" s="907">
        <v>97.79</v>
      </c>
      <c r="J12" s="1547" t="s">
        <v>1482</v>
      </c>
      <c r="K12" s="959" t="s">
        <v>2015</v>
      </c>
    </row>
    <row r="13" spans="1:11" ht="15.75">
      <c r="A13" s="954">
        <v>44652</v>
      </c>
      <c r="B13" s="955">
        <v>45017</v>
      </c>
      <c r="C13" s="1177" t="s">
        <v>1329</v>
      </c>
      <c r="D13" s="289" t="s">
        <v>25</v>
      </c>
      <c r="E13" s="289" t="s">
        <v>10</v>
      </c>
      <c r="F13" s="956">
        <v>772.03</v>
      </c>
      <c r="G13" s="957">
        <v>0.1</v>
      </c>
      <c r="H13" s="958">
        <v>71.02</v>
      </c>
      <c r="I13" s="907"/>
      <c r="J13" s="1547"/>
      <c r="K13" s="959" t="s">
        <v>2015</v>
      </c>
    </row>
    <row r="14" spans="1:11" ht="15.75">
      <c r="A14" s="954">
        <v>44652</v>
      </c>
      <c r="B14" s="955">
        <v>45019</v>
      </c>
      <c r="C14" s="1178" t="s">
        <v>1748</v>
      </c>
      <c r="D14" s="289" t="s">
        <v>9</v>
      </c>
      <c r="E14" s="289" t="s">
        <v>279</v>
      </c>
      <c r="F14" s="956">
        <v>625.95000000000005</v>
      </c>
      <c r="G14" s="957">
        <v>0.1</v>
      </c>
      <c r="H14" s="958">
        <v>57.58</v>
      </c>
      <c r="I14" s="907"/>
      <c r="J14" s="1547"/>
      <c r="K14" s="959" t="s">
        <v>2015</v>
      </c>
    </row>
    <row r="15" spans="1:11" s="731" customFormat="1" ht="15.75">
      <c r="A15" s="960">
        <v>44652</v>
      </c>
      <c r="B15" s="960">
        <v>45021</v>
      </c>
      <c r="C15" s="1177" t="s">
        <v>593</v>
      </c>
      <c r="D15" s="1547" t="s">
        <v>9</v>
      </c>
      <c r="E15" s="1547" t="s">
        <v>10</v>
      </c>
      <c r="F15" s="961">
        <v>2953.69</v>
      </c>
      <c r="G15" s="962">
        <v>0.1</v>
      </c>
      <c r="H15" s="958">
        <v>271.73</v>
      </c>
      <c r="I15" s="953"/>
      <c r="J15" s="1547"/>
      <c r="K15" s="959" t="s">
        <v>2015</v>
      </c>
    </row>
    <row r="16" spans="1:11" ht="15.75">
      <c r="A16" s="963">
        <v>44659</v>
      </c>
      <c r="B16" s="964">
        <v>45025</v>
      </c>
      <c r="C16" s="1188" t="s">
        <v>1338</v>
      </c>
      <c r="D16" s="494" t="s">
        <v>448</v>
      </c>
      <c r="E16" s="494" t="s">
        <v>19</v>
      </c>
      <c r="F16" s="965">
        <v>2548.29</v>
      </c>
      <c r="G16" s="966">
        <v>0.1</v>
      </c>
      <c r="H16" s="958">
        <v>234.44</v>
      </c>
      <c r="I16" s="922">
        <v>117.22</v>
      </c>
      <c r="J16" s="1547" t="s">
        <v>1759</v>
      </c>
      <c r="K16" s="959" t="s">
        <v>2015</v>
      </c>
    </row>
    <row r="17" spans="1:11" ht="15.75">
      <c r="A17" s="954">
        <v>44662</v>
      </c>
      <c r="B17" s="955">
        <v>45025</v>
      </c>
      <c r="C17" s="1176" t="s">
        <v>1954</v>
      </c>
      <c r="D17" s="289" t="s">
        <v>448</v>
      </c>
      <c r="E17" s="289" t="s">
        <v>279</v>
      </c>
      <c r="F17" s="956">
        <v>2937.1</v>
      </c>
      <c r="G17" s="957">
        <v>0.1</v>
      </c>
      <c r="H17" s="958">
        <v>270.20999999999998</v>
      </c>
      <c r="I17" s="907"/>
      <c r="J17" s="1547"/>
      <c r="K17" s="959" t="s">
        <v>2010</v>
      </c>
    </row>
    <row r="18" spans="1:11" ht="15.75">
      <c r="A18" s="954">
        <v>44659</v>
      </c>
      <c r="B18" s="955">
        <v>45025</v>
      </c>
      <c r="C18" s="1176" t="s">
        <v>2029</v>
      </c>
      <c r="D18" s="289" t="s">
        <v>9</v>
      </c>
      <c r="E18" s="289" t="s">
        <v>22</v>
      </c>
      <c r="F18" s="956">
        <v>5831.8</v>
      </c>
      <c r="G18" s="957">
        <v>0.1</v>
      </c>
      <c r="H18" s="958">
        <v>536.52</v>
      </c>
      <c r="I18" s="907"/>
      <c r="J18" s="1547"/>
      <c r="K18" s="959" t="s">
        <v>2015</v>
      </c>
    </row>
    <row r="19" spans="1:11" ht="15.75">
      <c r="A19" s="954">
        <v>44657</v>
      </c>
      <c r="B19" s="955">
        <v>45026</v>
      </c>
      <c r="C19" s="1176" t="s">
        <v>695</v>
      </c>
      <c r="D19" s="289" t="s">
        <v>448</v>
      </c>
      <c r="E19" s="289" t="s">
        <v>10</v>
      </c>
      <c r="F19" s="956">
        <v>1920.62</v>
      </c>
      <c r="G19" s="957">
        <v>0.1</v>
      </c>
      <c r="H19" s="958">
        <v>176.69</v>
      </c>
      <c r="I19" s="907"/>
      <c r="J19" s="1547"/>
      <c r="K19" s="959" t="s">
        <v>2015</v>
      </c>
    </row>
    <row r="20" spans="1:11" ht="15.75">
      <c r="A20" s="960">
        <v>44663</v>
      </c>
      <c r="B20" s="960">
        <v>45028</v>
      </c>
      <c r="C20" s="1177" t="s">
        <v>2030</v>
      </c>
      <c r="D20" s="1547" t="s">
        <v>61</v>
      </c>
      <c r="E20" s="1547" t="s">
        <v>945</v>
      </c>
      <c r="F20" s="961">
        <v>3809.77</v>
      </c>
      <c r="G20" s="962">
        <v>0.1</v>
      </c>
      <c r="H20" s="958">
        <v>350.49</v>
      </c>
      <c r="I20" s="953"/>
      <c r="J20" s="1547"/>
      <c r="K20" s="959" t="s">
        <v>2015</v>
      </c>
    </row>
    <row r="21" spans="1:11" s="731" customFormat="1" ht="15.75">
      <c r="A21" s="963">
        <v>44664</v>
      </c>
      <c r="B21" s="967">
        <v>45029</v>
      </c>
      <c r="C21" s="1178" t="s">
        <v>268</v>
      </c>
      <c r="D21" s="494" t="s">
        <v>61</v>
      </c>
      <c r="E21" s="494" t="s">
        <v>279</v>
      </c>
      <c r="F21" s="965">
        <v>999.41</v>
      </c>
      <c r="G21" s="966">
        <v>0.1</v>
      </c>
      <c r="H21" s="958">
        <v>91.94</v>
      </c>
      <c r="I21" s="922"/>
      <c r="J21" s="1547"/>
      <c r="K21" s="959" t="s">
        <v>2015</v>
      </c>
    </row>
    <row r="22" spans="1:11" ht="15.75">
      <c r="A22" s="954">
        <v>44669</v>
      </c>
      <c r="B22" s="955">
        <v>45030</v>
      </c>
      <c r="C22" s="1179" t="s">
        <v>2031</v>
      </c>
      <c r="D22" s="289" t="s">
        <v>9</v>
      </c>
      <c r="E22" s="289" t="s">
        <v>458</v>
      </c>
      <c r="F22" s="956">
        <v>1430.77</v>
      </c>
      <c r="G22" s="957">
        <v>0.1</v>
      </c>
      <c r="H22" s="958">
        <v>131.63</v>
      </c>
      <c r="I22" s="907"/>
      <c r="J22" s="1547"/>
      <c r="K22" s="959" t="s">
        <v>2015</v>
      </c>
    </row>
    <row r="23" spans="1:11" ht="15.75">
      <c r="A23" s="954">
        <v>44665</v>
      </c>
      <c r="B23" s="955">
        <v>45030</v>
      </c>
      <c r="C23" s="1176" t="s">
        <v>531</v>
      </c>
      <c r="D23" s="289" t="s">
        <v>448</v>
      </c>
      <c r="E23" s="289" t="s">
        <v>45</v>
      </c>
      <c r="F23" s="956">
        <v>3357.25</v>
      </c>
      <c r="G23" s="957">
        <v>0.1</v>
      </c>
      <c r="H23" s="958">
        <v>308.86</v>
      </c>
      <c r="I23" s="907"/>
      <c r="J23" s="1547"/>
      <c r="K23" s="959" t="s">
        <v>2015</v>
      </c>
    </row>
    <row r="24" spans="1:11" ht="15.75">
      <c r="A24" s="954">
        <v>44665</v>
      </c>
      <c r="B24" s="955">
        <v>45031</v>
      </c>
      <c r="C24" s="1176" t="s">
        <v>2032</v>
      </c>
      <c r="D24" s="289" t="s">
        <v>9</v>
      </c>
      <c r="E24" s="289" t="s">
        <v>10</v>
      </c>
      <c r="F24" s="956">
        <v>2463.16</v>
      </c>
      <c r="G24" s="957">
        <v>0.1</v>
      </c>
      <c r="H24" s="958">
        <v>226.61</v>
      </c>
      <c r="I24" s="907"/>
      <c r="J24" s="1547"/>
      <c r="K24" s="959" t="s">
        <v>2015</v>
      </c>
    </row>
    <row r="25" spans="1:11" ht="15.75">
      <c r="A25" s="954">
        <v>44669</v>
      </c>
      <c r="B25" s="955">
        <v>45034</v>
      </c>
      <c r="C25" s="1176" t="s">
        <v>1364</v>
      </c>
      <c r="D25" s="289" t="s">
        <v>448</v>
      </c>
      <c r="E25" s="289" t="s">
        <v>22</v>
      </c>
      <c r="F25" s="956">
        <v>1910.75</v>
      </c>
      <c r="G25" s="957">
        <v>0.1</v>
      </c>
      <c r="H25" s="958">
        <v>175.78</v>
      </c>
      <c r="I25" s="907"/>
      <c r="J25" s="1547"/>
      <c r="K25" s="959" t="s">
        <v>2015</v>
      </c>
    </row>
    <row r="26" spans="1:11" ht="15.75">
      <c r="A26" s="954">
        <v>44670</v>
      </c>
      <c r="B26" s="955">
        <v>45035</v>
      </c>
      <c r="C26" s="1177" t="s">
        <v>1351</v>
      </c>
      <c r="D26" s="289" t="s">
        <v>448</v>
      </c>
      <c r="E26" s="289" t="s">
        <v>19</v>
      </c>
      <c r="F26" s="956">
        <v>3988.72</v>
      </c>
      <c r="G26" s="957">
        <v>0.1</v>
      </c>
      <c r="H26" s="969">
        <v>366.96</v>
      </c>
      <c r="I26" s="910"/>
      <c r="J26" s="1547"/>
      <c r="K26" s="959" t="s">
        <v>2015</v>
      </c>
    </row>
    <row r="27" spans="1:11" ht="17.25" customHeight="1">
      <c r="A27" s="954">
        <v>44671</v>
      </c>
      <c r="B27" s="955">
        <v>45038</v>
      </c>
      <c r="C27" s="1185" t="s">
        <v>1352</v>
      </c>
      <c r="D27" s="289" t="s">
        <v>61</v>
      </c>
      <c r="E27" s="289" t="s">
        <v>19</v>
      </c>
      <c r="F27" s="956">
        <v>1789.5</v>
      </c>
      <c r="G27" s="957">
        <v>0.15</v>
      </c>
      <c r="H27" s="958">
        <v>164.63</v>
      </c>
      <c r="I27" s="907"/>
      <c r="J27" s="1547"/>
      <c r="K27" s="959" t="s">
        <v>2015</v>
      </c>
    </row>
    <row r="28" spans="1:11" ht="15.75">
      <c r="A28" s="954">
        <v>44671</v>
      </c>
      <c r="B28" s="955">
        <v>45038</v>
      </c>
      <c r="C28" s="1176" t="s">
        <v>1752</v>
      </c>
      <c r="D28" s="289" t="s">
        <v>9</v>
      </c>
      <c r="E28" s="289" t="s">
        <v>22</v>
      </c>
      <c r="F28" s="956">
        <v>2422.8000000000002</v>
      </c>
      <c r="G28" s="957">
        <v>0.1</v>
      </c>
      <c r="H28" s="958">
        <v>222.89</v>
      </c>
      <c r="I28" s="907"/>
      <c r="J28" s="1547"/>
      <c r="K28" s="959" t="s">
        <v>2015</v>
      </c>
    </row>
    <row r="29" spans="1:11" ht="15.75">
      <c r="A29" s="960">
        <v>44671</v>
      </c>
      <c r="B29" s="960">
        <v>45038</v>
      </c>
      <c r="C29" s="1177" t="s">
        <v>2033</v>
      </c>
      <c r="D29" s="1547" t="s">
        <v>25</v>
      </c>
      <c r="E29" s="1547" t="s">
        <v>10</v>
      </c>
      <c r="F29" s="961">
        <v>1371.74</v>
      </c>
      <c r="G29" s="962">
        <v>0.1</v>
      </c>
      <c r="H29" s="958">
        <v>126.2</v>
      </c>
      <c r="I29" s="907"/>
      <c r="J29" s="1547"/>
      <c r="K29" s="959" t="s">
        <v>2015</v>
      </c>
    </row>
    <row r="30" spans="1:11" ht="15.75">
      <c r="A30" s="960">
        <v>44671</v>
      </c>
      <c r="B30" s="960">
        <v>45039</v>
      </c>
      <c r="C30" s="1177" t="s">
        <v>1753</v>
      </c>
      <c r="D30" s="1547" t="s">
        <v>9</v>
      </c>
      <c r="E30" s="1547" t="s">
        <v>143</v>
      </c>
      <c r="F30" s="961">
        <v>3980.73</v>
      </c>
      <c r="G30" s="962">
        <v>0.1</v>
      </c>
      <c r="H30" s="958">
        <v>366.22</v>
      </c>
      <c r="I30" s="907"/>
      <c r="J30" s="1547"/>
      <c r="K30" s="959" t="s">
        <v>2015</v>
      </c>
    </row>
    <row r="31" spans="1:11" ht="15.75">
      <c r="A31" s="960">
        <v>44670</v>
      </c>
      <c r="B31" s="960">
        <v>45041</v>
      </c>
      <c r="C31" s="1177" t="s">
        <v>910</v>
      </c>
      <c r="D31" s="1547" t="s">
        <v>25</v>
      </c>
      <c r="E31" s="1547" t="s">
        <v>10</v>
      </c>
      <c r="F31" s="961">
        <v>1040.48</v>
      </c>
      <c r="G31" s="962">
        <v>0.1</v>
      </c>
      <c r="H31" s="958">
        <v>95.72</v>
      </c>
      <c r="I31" s="907"/>
      <c r="J31" s="1547"/>
      <c r="K31" s="959" t="s">
        <v>2015</v>
      </c>
    </row>
    <row r="32" spans="1:11" s="731" customFormat="1" ht="15.75">
      <c r="A32" s="954">
        <v>44684</v>
      </c>
      <c r="B32" s="955">
        <v>45044</v>
      </c>
      <c r="C32" s="1176" t="s">
        <v>1353</v>
      </c>
      <c r="D32" s="289" t="s">
        <v>9</v>
      </c>
      <c r="E32" s="289" t="s">
        <v>10</v>
      </c>
      <c r="F32" s="956">
        <v>2154.17</v>
      </c>
      <c r="G32" s="957">
        <v>0.1</v>
      </c>
      <c r="H32" s="958">
        <v>198.18</v>
      </c>
      <c r="I32" s="907"/>
      <c r="J32" s="1547"/>
      <c r="K32" s="959" t="s">
        <v>2015</v>
      </c>
    </row>
    <row r="33" spans="1:11" ht="15.75">
      <c r="A33" s="954">
        <v>44680</v>
      </c>
      <c r="B33" s="955">
        <v>45045</v>
      </c>
      <c r="C33" s="1176" t="s">
        <v>2034</v>
      </c>
      <c r="D33" s="289" t="s">
        <v>70</v>
      </c>
      <c r="E33" s="289" t="s">
        <v>279</v>
      </c>
      <c r="F33" s="956">
        <v>2041.68</v>
      </c>
      <c r="G33" s="957">
        <v>0.1</v>
      </c>
      <c r="H33" s="958">
        <v>187.82</v>
      </c>
      <c r="I33" s="907"/>
      <c r="J33" s="1547"/>
      <c r="K33" s="959" t="s">
        <v>2010</v>
      </c>
    </row>
    <row r="34" spans="1:11" ht="15.75">
      <c r="A34" s="954">
        <v>44678</v>
      </c>
      <c r="B34" s="955">
        <v>45046</v>
      </c>
      <c r="C34" s="1176" t="s">
        <v>2035</v>
      </c>
      <c r="D34" s="289" t="s">
        <v>448</v>
      </c>
      <c r="E34" s="289" t="s">
        <v>22</v>
      </c>
      <c r="F34" s="956">
        <v>2300.92</v>
      </c>
      <c r="G34" s="957">
        <v>0.1</v>
      </c>
      <c r="H34" s="958">
        <v>211.68</v>
      </c>
      <c r="I34" s="907"/>
      <c r="J34" s="1547"/>
      <c r="K34" s="959" t="s">
        <v>2015</v>
      </c>
    </row>
    <row r="35" spans="1:11" ht="15.75">
      <c r="A35" s="954">
        <v>44684</v>
      </c>
      <c r="B35" s="955">
        <v>45046</v>
      </c>
      <c r="C35" s="289" t="s">
        <v>49</v>
      </c>
      <c r="D35" s="289" t="s">
        <v>61</v>
      </c>
      <c r="E35" s="289" t="s">
        <v>22</v>
      </c>
      <c r="F35" s="956">
        <v>1338.07</v>
      </c>
      <c r="G35" s="957">
        <v>0.1</v>
      </c>
      <c r="H35" s="958">
        <v>123.1</v>
      </c>
      <c r="I35" s="907"/>
      <c r="J35" s="1547"/>
      <c r="K35" s="959" t="s">
        <v>2015</v>
      </c>
    </row>
    <row r="36" spans="1:11" ht="15.75">
      <c r="A36" s="954">
        <v>44655</v>
      </c>
      <c r="B36" s="955" t="s">
        <v>1805</v>
      </c>
      <c r="C36" s="289" t="s">
        <v>1903</v>
      </c>
      <c r="D36" s="289" t="s">
        <v>14</v>
      </c>
      <c r="E36" s="289" t="s">
        <v>10</v>
      </c>
      <c r="F36" s="956">
        <v>1006.52</v>
      </c>
      <c r="G36" s="957">
        <v>0.1</v>
      </c>
      <c r="H36" s="958">
        <v>92.59</v>
      </c>
      <c r="I36" s="907"/>
      <c r="J36" s="1547"/>
      <c r="K36" s="959" t="s">
        <v>1805</v>
      </c>
    </row>
    <row r="37" spans="1:11" ht="15.75">
      <c r="A37" s="954">
        <v>44677</v>
      </c>
      <c r="B37" s="955" t="s">
        <v>1805</v>
      </c>
      <c r="C37" s="289" t="s">
        <v>2036</v>
      </c>
      <c r="D37" s="289" t="s">
        <v>381</v>
      </c>
      <c r="E37" s="289" t="s">
        <v>90</v>
      </c>
      <c r="F37" s="1003">
        <v>720.56</v>
      </c>
      <c r="G37" s="957">
        <v>0.1</v>
      </c>
      <c r="H37" s="971">
        <v>66.290000000000006</v>
      </c>
      <c r="I37" s="907"/>
      <c r="J37" s="1547"/>
      <c r="K37" s="959" t="s">
        <v>1805</v>
      </c>
    </row>
    <row r="38" spans="1:11" ht="15.75">
      <c r="A38" s="954"/>
      <c r="B38" s="955"/>
      <c r="C38" s="289"/>
      <c r="D38" s="289"/>
      <c r="E38" s="289"/>
      <c r="F38" s="956"/>
      <c r="G38" s="957"/>
      <c r="H38" s="958"/>
      <c r="I38" s="907"/>
      <c r="J38" s="1547"/>
      <c r="K38" s="959"/>
    </row>
    <row r="39" spans="1:11" ht="15.75">
      <c r="A39" s="954"/>
      <c r="B39" s="955"/>
      <c r="C39" s="289"/>
      <c r="D39" s="289"/>
      <c r="E39" s="289"/>
      <c r="F39" s="956"/>
      <c r="G39" s="957"/>
      <c r="H39" s="958"/>
      <c r="I39" s="907"/>
      <c r="J39" s="1547"/>
      <c r="K39" s="959"/>
    </row>
    <row r="40" spans="1:11" ht="15.75">
      <c r="A40" s="954"/>
      <c r="B40" s="955"/>
      <c r="C40" s="289"/>
      <c r="D40" s="289"/>
      <c r="E40" s="289"/>
      <c r="F40" s="956"/>
      <c r="G40" s="957"/>
      <c r="H40" s="958"/>
      <c r="I40" s="907"/>
      <c r="J40" s="1547"/>
      <c r="K40" s="959"/>
    </row>
    <row r="41" spans="1:11" ht="15.75">
      <c r="A41" s="954"/>
      <c r="B41" s="955"/>
      <c r="C41" s="289"/>
      <c r="D41" s="289"/>
      <c r="E41" s="289"/>
      <c r="F41" s="956"/>
      <c r="G41" s="957"/>
      <c r="H41" s="958"/>
      <c r="I41" s="907"/>
      <c r="J41" s="1547"/>
      <c r="K41" s="959"/>
    </row>
    <row r="42" spans="1:11" ht="15.75">
      <c r="A42" s="954"/>
      <c r="B42" s="955"/>
      <c r="C42" s="289"/>
      <c r="D42" s="289"/>
      <c r="E42" s="289"/>
      <c r="F42" s="956"/>
      <c r="G42" s="957"/>
      <c r="H42" s="958"/>
      <c r="I42" s="907"/>
      <c r="J42" s="1547"/>
      <c r="K42" s="959"/>
    </row>
    <row r="43" spans="1:11" ht="15.75">
      <c r="A43" s="954"/>
      <c r="B43" s="955"/>
      <c r="C43" s="289"/>
      <c r="D43" s="289"/>
      <c r="E43" s="289"/>
      <c r="F43" s="956"/>
      <c r="G43" s="957"/>
      <c r="H43" s="958"/>
      <c r="I43" s="907"/>
      <c r="J43" s="1547"/>
      <c r="K43" s="959"/>
    </row>
    <row r="44" spans="1:11" ht="15.75">
      <c r="A44" s="954"/>
      <c r="B44" s="955"/>
      <c r="C44" s="289"/>
      <c r="D44" s="289"/>
      <c r="E44" s="289"/>
      <c r="F44" s="956"/>
      <c r="G44" s="957"/>
      <c r="H44" s="958"/>
      <c r="I44" s="907"/>
      <c r="J44" s="1547"/>
      <c r="K44" s="959"/>
    </row>
    <row r="45" spans="1:11" ht="15.75">
      <c r="A45" s="954"/>
      <c r="B45" s="955"/>
      <c r="C45" s="289"/>
      <c r="D45" s="289"/>
      <c r="E45" s="289"/>
      <c r="F45" s="956"/>
      <c r="G45" s="957"/>
      <c r="H45" s="958"/>
      <c r="I45" s="907"/>
      <c r="J45" s="1547"/>
      <c r="K45" s="959"/>
    </row>
    <row r="46" spans="1:11" ht="15.75">
      <c r="A46" s="954"/>
      <c r="B46" s="955"/>
      <c r="C46" s="1547"/>
      <c r="D46" s="289"/>
      <c r="E46" s="289"/>
      <c r="F46" s="956"/>
      <c r="G46" s="957"/>
      <c r="H46" s="958"/>
      <c r="I46" s="907"/>
      <c r="J46" s="1547"/>
      <c r="K46" s="959"/>
    </row>
    <row r="47" spans="1:11" ht="15.75">
      <c r="A47" s="954"/>
      <c r="B47" s="955"/>
      <c r="C47" s="1547"/>
      <c r="D47" s="289"/>
      <c r="E47" s="289"/>
      <c r="F47" s="956"/>
      <c r="G47" s="957"/>
      <c r="H47" s="958"/>
      <c r="I47" s="907"/>
      <c r="J47" s="1547"/>
      <c r="K47" s="959"/>
    </row>
    <row r="48" spans="1:11" ht="15.75">
      <c r="A48" s="954"/>
      <c r="B48" s="955"/>
      <c r="C48" s="289"/>
      <c r="D48" s="289"/>
      <c r="E48" s="289"/>
      <c r="F48" s="956"/>
      <c r="G48" s="957"/>
      <c r="H48" s="958"/>
      <c r="I48" s="907"/>
      <c r="J48" s="1547"/>
      <c r="K48" s="959"/>
    </row>
    <row r="49" spans="1:11" ht="15.75">
      <c r="A49" s="954"/>
      <c r="B49" s="955"/>
      <c r="C49" s="289"/>
      <c r="D49" s="289"/>
      <c r="E49" s="289"/>
      <c r="F49" s="956"/>
      <c r="G49" s="957"/>
      <c r="H49" s="958"/>
      <c r="I49" s="907"/>
      <c r="J49" s="1547"/>
      <c r="K49" s="959"/>
    </row>
    <row r="50" spans="1:11" ht="16.5" thickBot="1">
      <c r="A50" s="954"/>
      <c r="B50" s="955"/>
      <c r="C50" s="289"/>
      <c r="D50" s="289"/>
      <c r="E50" s="289"/>
      <c r="F50" s="956"/>
      <c r="G50" s="957"/>
      <c r="H50" s="958"/>
      <c r="I50" s="907"/>
      <c r="J50" s="1547"/>
      <c r="K50" s="959"/>
    </row>
    <row r="51" spans="1:11" ht="20.25" thickBot="1">
      <c r="A51" s="939"/>
      <c r="B51" s="940"/>
      <c r="C51" s="940"/>
      <c r="D51" s="940"/>
      <c r="E51" s="940"/>
      <c r="F51" s="941">
        <f>SUM(F2:F50)</f>
        <v>70567.420000000013</v>
      </c>
      <c r="G51" s="942"/>
      <c r="H51" s="943">
        <f>SUM(H2:H50)</f>
        <v>6459.6700000000019</v>
      </c>
      <c r="I51" s="952">
        <f>SUM(I2:I50)</f>
        <v>487.28</v>
      </c>
      <c r="J51" s="162"/>
      <c r="K51" s="948"/>
    </row>
  </sheetData>
  <autoFilter ref="A1:K1" xr:uid="{ADF0CE34-A372-40A9-8194-B00E9006D421}">
    <sortState xmlns:xlrd2="http://schemas.microsoft.com/office/spreadsheetml/2017/richdata2" ref="A2:K37">
      <sortCondition ref="J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88305-4981-4114-A0C0-31F11E470455}">
  <dimension ref="A1:L51"/>
  <sheetViews>
    <sheetView zoomScale="85" zoomScaleNormal="85" workbookViewId="0">
      <selection activeCell="G10" sqref="G10"/>
    </sheetView>
  </sheetViews>
  <sheetFormatPr defaultRowHeight="15"/>
  <cols>
    <col min="1" max="1" width="14" bestFit="1" customWidth="1"/>
    <col min="2" max="2" width="17" bestFit="1" customWidth="1"/>
    <col min="3" max="3" width="43.7109375" bestFit="1" customWidth="1"/>
    <col min="4" max="4" width="18.28515625" bestFit="1" customWidth="1"/>
    <col min="5" max="5" width="14.140625" bestFit="1" customWidth="1"/>
    <col min="6" max="6" width="19.28515625" bestFit="1" customWidth="1"/>
    <col min="7" max="7" width="13.42578125" bestFit="1" customWidth="1"/>
    <col min="8" max="8" width="22.5703125" bestFit="1" customWidth="1"/>
    <col min="9" max="9" width="21" bestFit="1" customWidth="1"/>
    <col min="10" max="10" width="11" bestFit="1" customWidth="1"/>
    <col min="11" max="11" width="19" bestFit="1" customWidth="1"/>
    <col min="12" max="12" width="12.85546875" bestFit="1" customWidth="1"/>
  </cols>
  <sheetData>
    <row r="1" spans="1:12" ht="16.5" thickBot="1">
      <c r="A1" s="30" t="s">
        <v>1832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114" t="s">
        <v>7</v>
      </c>
      <c r="I1" s="950" t="s">
        <v>307</v>
      </c>
      <c r="J1" s="20" t="s">
        <v>370</v>
      </c>
      <c r="K1" s="948"/>
    </row>
    <row r="2" spans="1:12" ht="15.75">
      <c r="A2" s="982">
        <v>44693</v>
      </c>
      <c r="B2" s="983">
        <v>45058</v>
      </c>
      <c r="C2" s="575" t="s">
        <v>2037</v>
      </c>
      <c r="D2" s="575" t="s">
        <v>448</v>
      </c>
      <c r="E2" s="575" t="s">
        <v>22</v>
      </c>
      <c r="F2" s="984" t="s">
        <v>2038</v>
      </c>
      <c r="G2" s="985" t="s">
        <v>2039</v>
      </c>
      <c r="H2" s="986" t="s">
        <v>2039</v>
      </c>
      <c r="I2" s="987" t="s">
        <v>2039</v>
      </c>
      <c r="J2" s="777" t="s">
        <v>2039</v>
      </c>
      <c r="K2" s="988" t="s">
        <v>2039</v>
      </c>
      <c r="L2" s="747"/>
    </row>
    <row r="3" spans="1:12" ht="15.75">
      <c r="A3" s="1187">
        <v>44701</v>
      </c>
      <c r="B3" s="978">
        <v>45068</v>
      </c>
      <c r="C3" s="1186" t="s">
        <v>2040</v>
      </c>
      <c r="D3" s="382" t="s">
        <v>61</v>
      </c>
      <c r="E3" s="382" t="s">
        <v>1310</v>
      </c>
      <c r="F3" s="989">
        <v>4009.87</v>
      </c>
      <c r="G3" s="980">
        <v>0.15</v>
      </c>
      <c r="H3" s="989">
        <v>553.36</v>
      </c>
      <c r="I3" s="981">
        <v>55.33</v>
      </c>
      <c r="J3" s="382" t="s">
        <v>1470</v>
      </c>
      <c r="K3" s="977" t="s">
        <v>2015</v>
      </c>
      <c r="L3" s="731" t="s">
        <v>1665</v>
      </c>
    </row>
    <row r="4" spans="1:12" ht="15.75">
      <c r="A4" s="972">
        <v>44706</v>
      </c>
      <c r="B4" s="973">
        <v>45070</v>
      </c>
      <c r="C4" s="619" t="s">
        <v>1756</v>
      </c>
      <c r="D4" s="258" t="s">
        <v>61</v>
      </c>
      <c r="E4" s="258" t="s">
        <v>948</v>
      </c>
      <c r="F4" s="974">
        <v>1564.27</v>
      </c>
      <c r="G4" s="975">
        <v>0.2</v>
      </c>
      <c r="H4" s="976">
        <v>287.82</v>
      </c>
      <c r="I4" s="814">
        <v>28.78</v>
      </c>
      <c r="J4" s="382" t="s">
        <v>1470</v>
      </c>
      <c r="K4" s="977" t="s">
        <v>2015</v>
      </c>
      <c r="L4" s="731" t="s">
        <v>1665</v>
      </c>
    </row>
    <row r="5" spans="1:12" ht="15.75">
      <c r="A5" s="954">
        <v>44693</v>
      </c>
      <c r="B5" s="955">
        <v>45058</v>
      </c>
      <c r="C5" s="1176" t="s">
        <v>2041</v>
      </c>
      <c r="D5" s="289" t="s">
        <v>448</v>
      </c>
      <c r="E5" s="289" t="s">
        <v>945</v>
      </c>
      <c r="F5" s="956">
        <v>1407.35</v>
      </c>
      <c r="G5" s="957">
        <v>0.2</v>
      </c>
      <c r="H5" s="958">
        <v>258.95</v>
      </c>
      <c r="I5" s="907">
        <v>129.47</v>
      </c>
      <c r="J5" s="1547" t="s">
        <v>1577</v>
      </c>
      <c r="K5" s="959" t="s">
        <v>2015</v>
      </c>
      <c r="L5" t="s">
        <v>1647</v>
      </c>
    </row>
    <row r="6" spans="1:12" ht="15.75">
      <c r="A6" s="960">
        <v>44690</v>
      </c>
      <c r="B6" s="960">
        <v>45055</v>
      </c>
      <c r="C6" s="1177" t="s">
        <v>2042</v>
      </c>
      <c r="D6" s="1547" t="s">
        <v>448</v>
      </c>
      <c r="E6" s="1547" t="s">
        <v>948</v>
      </c>
      <c r="F6" s="961">
        <v>4021.98</v>
      </c>
      <c r="G6" s="962">
        <v>0.1</v>
      </c>
      <c r="H6" s="958">
        <v>370.02</v>
      </c>
      <c r="I6" s="953">
        <v>185.01</v>
      </c>
      <c r="J6" s="1547" t="s">
        <v>1759</v>
      </c>
      <c r="K6" s="959" t="s">
        <v>1472</v>
      </c>
    </row>
    <row r="7" spans="1:12" ht="15.75">
      <c r="A7" s="954">
        <v>44707</v>
      </c>
      <c r="B7" s="955">
        <v>45073</v>
      </c>
      <c r="C7" s="1177" t="s">
        <v>1758</v>
      </c>
      <c r="D7" s="289" t="s">
        <v>70</v>
      </c>
      <c r="E7" s="289" t="s">
        <v>279</v>
      </c>
      <c r="F7" s="956">
        <v>1446.93</v>
      </c>
      <c r="G7" s="957">
        <v>0.1</v>
      </c>
      <c r="H7" s="958">
        <v>133.11000000000001</v>
      </c>
      <c r="I7" s="907">
        <v>66.55</v>
      </c>
      <c r="J7" s="1547" t="s">
        <v>1759</v>
      </c>
      <c r="K7" s="959" t="s">
        <v>2015</v>
      </c>
      <c r="L7" t="s">
        <v>1665</v>
      </c>
    </row>
    <row r="8" spans="1:12" ht="15.75">
      <c r="A8" s="954">
        <v>44694</v>
      </c>
      <c r="B8" s="955">
        <v>45060</v>
      </c>
      <c r="C8" s="1176" t="s">
        <v>1373</v>
      </c>
      <c r="D8" s="289" t="s">
        <v>61</v>
      </c>
      <c r="E8" s="289" t="s">
        <v>22</v>
      </c>
      <c r="F8" s="956">
        <v>1948.78</v>
      </c>
      <c r="G8" s="957">
        <v>0.12</v>
      </c>
      <c r="H8" s="958">
        <v>215.14</v>
      </c>
      <c r="I8" s="907">
        <v>107.57</v>
      </c>
      <c r="J8" s="1547" t="s">
        <v>491</v>
      </c>
      <c r="K8" s="959" t="s">
        <v>2015</v>
      </c>
      <c r="L8" t="s">
        <v>1647</v>
      </c>
    </row>
    <row r="9" spans="1:12" ht="15.75">
      <c r="A9" s="954">
        <v>44685</v>
      </c>
      <c r="B9" s="955">
        <v>45050</v>
      </c>
      <c r="C9" s="1176" t="s">
        <v>2043</v>
      </c>
      <c r="D9" s="289" t="s">
        <v>21</v>
      </c>
      <c r="E9" s="289" t="s">
        <v>279</v>
      </c>
      <c r="F9" s="956">
        <v>607.04</v>
      </c>
      <c r="G9" s="957">
        <v>0.1</v>
      </c>
      <c r="H9" s="958">
        <v>55.84</v>
      </c>
      <c r="I9" s="907">
        <v>27.92</v>
      </c>
      <c r="J9" s="1547" t="s">
        <v>1482</v>
      </c>
      <c r="K9" s="959" t="s">
        <v>2015</v>
      </c>
      <c r="L9" t="s">
        <v>1647</v>
      </c>
    </row>
    <row r="10" spans="1:12" ht="15.75">
      <c r="A10" s="954">
        <v>44708</v>
      </c>
      <c r="B10" s="955">
        <v>45073</v>
      </c>
      <c r="C10" s="1177" t="s">
        <v>1763</v>
      </c>
      <c r="D10" s="289" t="s">
        <v>9</v>
      </c>
      <c r="E10" s="289" t="s">
        <v>29</v>
      </c>
      <c r="F10" s="956">
        <v>1969.97</v>
      </c>
      <c r="G10" s="957">
        <v>0.15</v>
      </c>
      <c r="H10" s="958">
        <v>271.85000000000002</v>
      </c>
      <c r="I10" s="907">
        <v>135.91999999999999</v>
      </c>
      <c r="J10" s="1547" t="s">
        <v>1482</v>
      </c>
      <c r="K10" s="959" t="s">
        <v>2015</v>
      </c>
      <c r="L10" t="s">
        <v>1665</v>
      </c>
    </row>
    <row r="11" spans="1:12" ht="15.75">
      <c r="A11" s="954">
        <v>44683</v>
      </c>
      <c r="B11" s="955">
        <v>45048</v>
      </c>
      <c r="C11" s="1176" t="s">
        <v>2044</v>
      </c>
      <c r="D11" s="289" t="s">
        <v>9</v>
      </c>
      <c r="E11" s="289" t="s">
        <v>948</v>
      </c>
      <c r="F11" s="956">
        <v>1422.05</v>
      </c>
      <c r="G11" s="957">
        <v>0.1</v>
      </c>
      <c r="H11" s="958">
        <v>130.82</v>
      </c>
      <c r="I11" s="907"/>
      <c r="J11" s="1547"/>
      <c r="K11" s="959" t="s">
        <v>2015</v>
      </c>
      <c r="L11" t="s">
        <v>1647</v>
      </c>
    </row>
    <row r="12" spans="1:12" ht="15.75">
      <c r="A12" s="954">
        <v>44684</v>
      </c>
      <c r="B12" s="955">
        <v>45049</v>
      </c>
      <c r="C12" s="1176" t="s">
        <v>2045</v>
      </c>
      <c r="D12" s="289" t="s">
        <v>9</v>
      </c>
      <c r="E12" s="289" t="s">
        <v>143</v>
      </c>
      <c r="F12" s="956">
        <v>4430.22</v>
      </c>
      <c r="G12" s="957">
        <v>0.1</v>
      </c>
      <c r="H12" s="958">
        <v>407.58</v>
      </c>
      <c r="I12" s="907"/>
      <c r="J12" s="1547"/>
      <c r="K12" s="959" t="s">
        <v>1472</v>
      </c>
    </row>
    <row r="13" spans="1:12" ht="15.75">
      <c r="A13" s="954">
        <v>44678</v>
      </c>
      <c r="B13" s="955">
        <v>45050</v>
      </c>
      <c r="C13" s="1177" t="s">
        <v>1767</v>
      </c>
      <c r="D13" s="289" t="s">
        <v>448</v>
      </c>
      <c r="E13" s="289" t="s">
        <v>22</v>
      </c>
      <c r="F13" s="956">
        <v>1855.09</v>
      </c>
      <c r="G13" s="957">
        <v>0.1</v>
      </c>
      <c r="H13" s="958">
        <v>170.66</v>
      </c>
      <c r="I13" s="907"/>
      <c r="J13" s="1547"/>
      <c r="K13" s="959" t="s">
        <v>2015</v>
      </c>
      <c r="L13" t="s">
        <v>1647</v>
      </c>
    </row>
    <row r="14" spans="1:12" ht="15.75">
      <c r="A14" s="954">
        <v>44685</v>
      </c>
      <c r="B14" s="955">
        <v>45050</v>
      </c>
      <c r="C14" s="1178" t="s">
        <v>1581</v>
      </c>
      <c r="D14" s="289" t="s">
        <v>9</v>
      </c>
      <c r="E14" s="289" t="s">
        <v>1310</v>
      </c>
      <c r="F14" s="956">
        <v>3686.59</v>
      </c>
      <c r="G14" s="957">
        <v>0.1</v>
      </c>
      <c r="H14" s="958">
        <v>339.16</v>
      </c>
      <c r="I14" s="907"/>
      <c r="J14" s="1547"/>
      <c r="K14" s="959" t="s">
        <v>1472</v>
      </c>
    </row>
    <row r="15" spans="1:12" ht="15.75">
      <c r="A15" s="960">
        <v>44685</v>
      </c>
      <c r="B15" s="960">
        <v>45050</v>
      </c>
      <c r="C15" s="1177" t="s">
        <v>2046</v>
      </c>
      <c r="D15" s="1547" t="s">
        <v>149</v>
      </c>
      <c r="E15" s="1547" t="s">
        <v>279</v>
      </c>
      <c r="F15" s="961">
        <v>2092.37</v>
      </c>
      <c r="G15" s="962">
        <v>0.1</v>
      </c>
      <c r="H15" s="958">
        <v>192.49</v>
      </c>
      <c r="I15" s="953"/>
      <c r="J15" s="1547"/>
      <c r="K15" s="959" t="s">
        <v>1472</v>
      </c>
    </row>
    <row r="16" spans="1:12" ht="15.75">
      <c r="A16" s="963">
        <v>44686</v>
      </c>
      <c r="B16" s="964">
        <v>45051</v>
      </c>
      <c r="C16" s="1188" t="s">
        <v>1366</v>
      </c>
      <c r="D16" s="494" t="s">
        <v>448</v>
      </c>
      <c r="E16" s="494" t="s">
        <v>948</v>
      </c>
      <c r="F16" s="965">
        <v>2573.87</v>
      </c>
      <c r="G16" s="966">
        <v>0.1</v>
      </c>
      <c r="H16" s="958">
        <v>236.79</v>
      </c>
      <c r="I16" s="922"/>
      <c r="J16" s="1547"/>
      <c r="K16" s="959" t="s">
        <v>2015</v>
      </c>
      <c r="L16" t="s">
        <v>1647</v>
      </c>
    </row>
    <row r="17" spans="1:12" ht="15.75">
      <c r="A17" s="954">
        <v>44686</v>
      </c>
      <c r="B17" s="955">
        <v>45051</v>
      </c>
      <c r="C17" s="1176" t="s">
        <v>2047</v>
      </c>
      <c r="D17" s="289" t="s">
        <v>448</v>
      </c>
      <c r="E17" s="289" t="s">
        <v>948</v>
      </c>
      <c r="F17" s="956">
        <v>2466.0700000000002</v>
      </c>
      <c r="G17" s="957">
        <v>0.2</v>
      </c>
      <c r="H17" s="958">
        <v>453.75</v>
      </c>
      <c r="I17" s="907"/>
      <c r="J17" s="1547"/>
      <c r="K17" s="959" t="s">
        <v>2015</v>
      </c>
      <c r="L17" t="s">
        <v>1647</v>
      </c>
    </row>
    <row r="18" spans="1:12" s="747" customFormat="1" ht="15.75">
      <c r="A18" s="954">
        <v>44686</v>
      </c>
      <c r="B18" s="955">
        <v>45052</v>
      </c>
      <c r="C18" s="1176" t="s">
        <v>542</v>
      </c>
      <c r="D18" s="289" t="s">
        <v>9</v>
      </c>
      <c r="E18" s="289" t="s">
        <v>22</v>
      </c>
      <c r="F18" s="956">
        <v>1232.31</v>
      </c>
      <c r="G18" s="957">
        <v>0.1</v>
      </c>
      <c r="H18" s="958">
        <v>113.37</v>
      </c>
      <c r="I18" s="907"/>
      <c r="J18" s="1547"/>
      <c r="K18" s="959" t="s">
        <v>2015</v>
      </c>
      <c r="L18" t="s">
        <v>1647</v>
      </c>
    </row>
    <row r="19" spans="1:12" ht="15.75">
      <c r="A19" s="954">
        <v>44685</v>
      </c>
      <c r="B19" s="955">
        <v>45053</v>
      </c>
      <c r="C19" s="1176" t="s">
        <v>1383</v>
      </c>
      <c r="D19" s="289" t="s">
        <v>448</v>
      </c>
      <c r="E19" s="289" t="s">
        <v>22</v>
      </c>
      <c r="F19" s="956">
        <v>2066.5500000000002</v>
      </c>
      <c r="G19" s="957">
        <v>0.1</v>
      </c>
      <c r="H19" s="958">
        <v>190.12</v>
      </c>
      <c r="I19" s="907"/>
      <c r="J19" s="1547"/>
      <c r="K19" s="959" t="s">
        <v>2015</v>
      </c>
      <c r="L19" t="s">
        <v>1647</v>
      </c>
    </row>
    <row r="20" spans="1:12" ht="15.75">
      <c r="A20" s="960">
        <v>44686</v>
      </c>
      <c r="B20" s="960">
        <v>45053</v>
      </c>
      <c r="C20" s="1177" t="s">
        <v>1316</v>
      </c>
      <c r="D20" s="1547" t="s">
        <v>61</v>
      </c>
      <c r="E20" s="1547" t="s">
        <v>948</v>
      </c>
      <c r="F20" s="961">
        <v>1978.75</v>
      </c>
      <c r="G20" s="962">
        <v>0.1</v>
      </c>
      <c r="H20" s="958">
        <v>182.04</v>
      </c>
      <c r="I20" s="953"/>
      <c r="J20" s="1547"/>
      <c r="K20" s="959" t="s">
        <v>2015</v>
      </c>
      <c r="L20" t="s">
        <v>1647</v>
      </c>
    </row>
    <row r="21" spans="1:12" ht="15.75">
      <c r="A21" s="963">
        <v>44686</v>
      </c>
      <c r="B21" s="967">
        <v>45055</v>
      </c>
      <c r="C21" s="1178" t="s">
        <v>1494</v>
      </c>
      <c r="D21" s="494" t="s">
        <v>61</v>
      </c>
      <c r="E21" s="494" t="s">
        <v>948</v>
      </c>
      <c r="F21" s="965">
        <v>1370.36</v>
      </c>
      <c r="G21" s="966">
        <v>0.1</v>
      </c>
      <c r="H21" s="958">
        <v>126.07</v>
      </c>
      <c r="I21" s="922"/>
      <c r="J21" s="1547"/>
      <c r="K21" s="959" t="s">
        <v>2015</v>
      </c>
      <c r="L21" t="s">
        <v>1647</v>
      </c>
    </row>
    <row r="22" spans="1:12" ht="15.75">
      <c r="A22" s="954">
        <v>44686</v>
      </c>
      <c r="B22" s="955">
        <v>45055</v>
      </c>
      <c r="C22" s="1179" t="s">
        <v>1379</v>
      </c>
      <c r="D22" s="289" t="s">
        <v>198</v>
      </c>
      <c r="E22" s="289" t="s">
        <v>948</v>
      </c>
      <c r="F22" s="956">
        <v>1104.3699999999999</v>
      </c>
      <c r="G22" s="957">
        <v>0.1</v>
      </c>
      <c r="H22" s="958">
        <v>101.6</v>
      </c>
      <c r="I22" s="907"/>
      <c r="J22" s="1547"/>
      <c r="K22" s="959" t="s">
        <v>2015</v>
      </c>
      <c r="L22" t="s">
        <v>1647</v>
      </c>
    </row>
    <row r="23" spans="1:12" ht="15.75">
      <c r="A23" s="954">
        <v>44694</v>
      </c>
      <c r="B23" s="955">
        <v>45056</v>
      </c>
      <c r="C23" s="1176" t="s">
        <v>709</v>
      </c>
      <c r="D23" s="289" t="s">
        <v>448</v>
      </c>
      <c r="E23" s="289" t="s">
        <v>948</v>
      </c>
      <c r="F23" s="956">
        <v>2225.64</v>
      </c>
      <c r="G23" s="957">
        <v>0.15</v>
      </c>
      <c r="H23" s="958">
        <v>204.75</v>
      </c>
      <c r="I23" s="907"/>
      <c r="J23" s="1547"/>
      <c r="K23" s="959" t="s">
        <v>2015</v>
      </c>
      <c r="L23" t="s">
        <v>1665</v>
      </c>
    </row>
    <row r="24" spans="1:12" ht="15.75">
      <c r="A24" s="954">
        <v>44692</v>
      </c>
      <c r="B24" s="955">
        <v>45060</v>
      </c>
      <c r="C24" s="1176" t="s">
        <v>1770</v>
      </c>
      <c r="D24" s="289" t="s">
        <v>25</v>
      </c>
      <c r="E24" s="289" t="s">
        <v>22</v>
      </c>
      <c r="F24" s="956">
        <v>1818.78</v>
      </c>
      <c r="G24" s="957">
        <v>0.1</v>
      </c>
      <c r="H24" s="958">
        <v>167.32</v>
      </c>
      <c r="I24" s="907"/>
      <c r="J24" s="1547"/>
      <c r="K24" s="959" t="s">
        <v>2015</v>
      </c>
      <c r="L24" t="s">
        <v>1647</v>
      </c>
    </row>
    <row r="25" spans="1:12" ht="15.75">
      <c r="A25" s="954">
        <v>44694</v>
      </c>
      <c r="B25" s="955">
        <v>45061</v>
      </c>
      <c r="C25" s="1176" t="s">
        <v>1769</v>
      </c>
      <c r="D25" s="289" t="s">
        <v>448</v>
      </c>
      <c r="E25" s="289" t="s">
        <v>22</v>
      </c>
      <c r="F25" s="956">
        <v>1944.19</v>
      </c>
      <c r="G25" s="957">
        <v>0.1</v>
      </c>
      <c r="H25" s="958">
        <v>178.86</v>
      </c>
      <c r="I25" s="907"/>
      <c r="J25" s="1547"/>
      <c r="K25" s="959" t="s">
        <v>2015</v>
      </c>
      <c r="L25" t="s">
        <v>1665</v>
      </c>
    </row>
    <row r="26" spans="1:12" ht="15.75">
      <c r="A26" s="954">
        <v>44697</v>
      </c>
      <c r="B26" s="955">
        <v>45062</v>
      </c>
      <c r="C26" s="1177" t="s">
        <v>1375</v>
      </c>
      <c r="D26" s="289" t="s">
        <v>61</v>
      </c>
      <c r="E26" s="289" t="s">
        <v>22</v>
      </c>
      <c r="F26" s="956">
        <v>2010.9</v>
      </c>
      <c r="G26" s="957">
        <v>0.1</v>
      </c>
      <c r="H26" s="958">
        <v>185</v>
      </c>
      <c r="I26" s="907"/>
      <c r="J26" s="1547"/>
      <c r="K26" s="959" t="s">
        <v>2015</v>
      </c>
      <c r="L26" t="s">
        <v>1665</v>
      </c>
    </row>
    <row r="27" spans="1:12" ht="15.75">
      <c r="A27" s="954">
        <v>44697</v>
      </c>
      <c r="B27" s="955">
        <v>45062</v>
      </c>
      <c r="C27" s="1185" t="s">
        <v>2048</v>
      </c>
      <c r="D27" s="289" t="s">
        <v>9</v>
      </c>
      <c r="E27" s="289" t="s">
        <v>945</v>
      </c>
      <c r="F27" s="956">
        <v>2406.54</v>
      </c>
      <c r="G27" s="957">
        <v>0.1</v>
      </c>
      <c r="H27" s="958">
        <v>221.4</v>
      </c>
      <c r="I27" s="907"/>
      <c r="J27" s="1547"/>
      <c r="K27" s="959" t="s">
        <v>2015</v>
      </c>
      <c r="L27" t="s">
        <v>1665</v>
      </c>
    </row>
    <row r="28" spans="1:12" ht="15.75">
      <c r="A28" s="954">
        <v>44699</v>
      </c>
      <c r="B28" s="955">
        <v>45064</v>
      </c>
      <c r="C28" s="1176" t="s">
        <v>2049</v>
      </c>
      <c r="D28" s="289" t="s">
        <v>70</v>
      </c>
      <c r="E28" s="289" t="s">
        <v>279</v>
      </c>
      <c r="F28" s="956">
        <v>1434.4</v>
      </c>
      <c r="G28" s="957">
        <v>0.1</v>
      </c>
      <c r="H28" s="958">
        <v>131.96</v>
      </c>
      <c r="I28" s="907"/>
      <c r="J28" s="1547"/>
      <c r="K28" s="959" t="s">
        <v>1472</v>
      </c>
    </row>
    <row r="29" spans="1:12" s="731" customFormat="1" ht="15.75">
      <c r="A29" s="960">
        <v>44699</v>
      </c>
      <c r="B29" s="960">
        <v>45065</v>
      </c>
      <c r="C29" s="1177" t="s">
        <v>2050</v>
      </c>
      <c r="D29" s="1547" t="s">
        <v>448</v>
      </c>
      <c r="E29" s="1547" t="s">
        <v>948</v>
      </c>
      <c r="F29" s="961">
        <v>1486.8</v>
      </c>
      <c r="G29" s="962">
        <v>0.2</v>
      </c>
      <c r="H29" s="958">
        <v>273.57</v>
      </c>
      <c r="I29" s="907"/>
      <c r="J29" s="1547"/>
      <c r="K29" s="959" t="s">
        <v>2015</v>
      </c>
      <c r="L29" t="s">
        <v>1665</v>
      </c>
    </row>
    <row r="30" spans="1:12" ht="15.75">
      <c r="A30" s="960">
        <v>44700</v>
      </c>
      <c r="B30" s="960">
        <v>45065</v>
      </c>
      <c r="C30" s="1177" t="s">
        <v>2051</v>
      </c>
      <c r="D30" s="1547" t="s">
        <v>70</v>
      </c>
      <c r="E30" s="1547" t="s">
        <v>279</v>
      </c>
      <c r="F30" s="961">
        <v>1331.12</v>
      </c>
      <c r="G30" s="962">
        <v>0.1</v>
      </c>
      <c r="H30" s="958">
        <v>122.46</v>
      </c>
      <c r="I30" s="907"/>
      <c r="J30" s="1547"/>
      <c r="K30" s="959" t="s">
        <v>1472</v>
      </c>
    </row>
    <row r="31" spans="1:12" ht="15.75">
      <c r="A31" s="960">
        <v>44697</v>
      </c>
      <c r="B31" s="960">
        <v>45067</v>
      </c>
      <c r="C31" s="1177" t="s">
        <v>1375</v>
      </c>
      <c r="D31" s="1547" t="s">
        <v>61</v>
      </c>
      <c r="E31" s="1547" t="s">
        <v>438</v>
      </c>
      <c r="F31" s="961">
        <v>1340.45</v>
      </c>
      <c r="G31" s="962">
        <v>0.1</v>
      </c>
      <c r="H31" s="969">
        <v>123.32</v>
      </c>
      <c r="I31" s="910"/>
      <c r="J31" s="1547"/>
      <c r="K31" s="959" t="s">
        <v>2015</v>
      </c>
      <c r="L31" t="s">
        <v>1665</v>
      </c>
    </row>
    <row r="32" spans="1:12" ht="15.75">
      <c r="A32" s="954">
        <v>44697</v>
      </c>
      <c r="B32" s="955">
        <v>45067</v>
      </c>
      <c r="C32" s="1176" t="s">
        <v>1162</v>
      </c>
      <c r="D32" s="289" t="s">
        <v>61</v>
      </c>
      <c r="E32" s="289" t="s">
        <v>948</v>
      </c>
      <c r="F32" s="956">
        <v>4595.1400000000003</v>
      </c>
      <c r="G32" s="957">
        <v>0.1</v>
      </c>
      <c r="H32" s="958">
        <v>422.75</v>
      </c>
      <c r="I32" s="907"/>
      <c r="J32" s="1547"/>
      <c r="K32" s="959" t="s">
        <v>2015</v>
      </c>
      <c r="L32" t="s">
        <v>1665</v>
      </c>
    </row>
    <row r="33" spans="1:12" ht="15.75">
      <c r="A33" s="954">
        <v>44707</v>
      </c>
      <c r="B33" s="955">
        <v>45067</v>
      </c>
      <c r="C33" s="1176" t="s">
        <v>1386</v>
      </c>
      <c r="D33" s="289" t="s">
        <v>61</v>
      </c>
      <c r="E33" s="289" t="s">
        <v>948</v>
      </c>
      <c r="F33" s="956">
        <v>1511.96</v>
      </c>
      <c r="G33" s="957">
        <v>0.14499999999999999</v>
      </c>
      <c r="H33" s="958">
        <v>201.69</v>
      </c>
      <c r="I33" s="907"/>
      <c r="J33" s="1547"/>
      <c r="K33" s="959" t="s">
        <v>2015</v>
      </c>
      <c r="L33" t="s">
        <v>1665</v>
      </c>
    </row>
    <row r="34" spans="1:12" s="731" customFormat="1" ht="15.75">
      <c r="A34" s="954">
        <v>44701</v>
      </c>
      <c r="B34" s="955">
        <v>45068</v>
      </c>
      <c r="C34" s="1176" t="s">
        <v>1384</v>
      </c>
      <c r="D34" s="289" t="s">
        <v>448</v>
      </c>
      <c r="E34" s="289" t="s">
        <v>22</v>
      </c>
      <c r="F34" s="1003">
        <v>2276.86</v>
      </c>
      <c r="G34" s="957">
        <v>0.1</v>
      </c>
      <c r="H34" s="971">
        <v>209.47</v>
      </c>
      <c r="I34" s="907"/>
      <c r="J34" s="1547"/>
      <c r="K34" s="959" t="s">
        <v>2015</v>
      </c>
      <c r="L34" t="s">
        <v>1665</v>
      </c>
    </row>
    <row r="35" spans="1:12" ht="15.75">
      <c r="A35" s="954">
        <v>44704</v>
      </c>
      <c r="B35" s="955">
        <v>45069</v>
      </c>
      <c r="C35" s="1176" t="s">
        <v>1772</v>
      </c>
      <c r="D35" s="289" t="s">
        <v>14</v>
      </c>
      <c r="E35" s="289" t="s">
        <v>948</v>
      </c>
      <c r="F35" s="1003">
        <v>2041.22</v>
      </c>
      <c r="G35" s="957">
        <v>0.15</v>
      </c>
      <c r="H35" s="971">
        <v>281.68</v>
      </c>
      <c r="I35" s="907"/>
      <c r="J35" s="1547"/>
      <c r="K35" s="959" t="s">
        <v>2015</v>
      </c>
      <c r="L35" t="s">
        <v>1665</v>
      </c>
    </row>
    <row r="36" spans="1:12" ht="15.75">
      <c r="A36" s="954">
        <v>44705</v>
      </c>
      <c r="B36" s="955">
        <v>45070</v>
      </c>
      <c r="C36" s="1176" t="s">
        <v>2052</v>
      </c>
      <c r="D36" s="289" t="s">
        <v>25</v>
      </c>
      <c r="E36" s="289" t="s">
        <v>948</v>
      </c>
      <c r="F36" s="956">
        <v>1214.49</v>
      </c>
      <c r="G36" s="957">
        <v>0.15</v>
      </c>
      <c r="H36" s="958">
        <v>167.59</v>
      </c>
      <c r="I36" s="907"/>
      <c r="J36" s="1547"/>
      <c r="K36" s="959" t="s">
        <v>2015</v>
      </c>
      <c r="L36" t="s">
        <v>1665</v>
      </c>
    </row>
    <row r="37" spans="1:12" ht="15.75">
      <c r="A37" s="954">
        <v>44705</v>
      </c>
      <c r="B37" s="955">
        <v>45070</v>
      </c>
      <c r="C37" s="1176" t="s">
        <v>2053</v>
      </c>
      <c r="D37" s="289" t="s">
        <v>33</v>
      </c>
      <c r="E37" s="289" t="s">
        <v>948</v>
      </c>
      <c r="F37" s="956">
        <v>1105.55</v>
      </c>
      <c r="G37" s="957">
        <v>0.1</v>
      </c>
      <c r="H37" s="958">
        <v>101.71</v>
      </c>
      <c r="I37" s="907"/>
      <c r="J37" s="1547"/>
      <c r="K37" s="959" t="s">
        <v>1472</v>
      </c>
    </row>
    <row r="38" spans="1:12" ht="15.75">
      <c r="A38" s="954">
        <v>44708</v>
      </c>
      <c r="B38" s="955">
        <v>45073</v>
      </c>
      <c r="C38" s="1176" t="s">
        <v>2054</v>
      </c>
      <c r="D38" s="289" t="s">
        <v>14</v>
      </c>
      <c r="E38" s="289" t="s">
        <v>22</v>
      </c>
      <c r="F38" s="956">
        <v>3057.82</v>
      </c>
      <c r="G38" s="957">
        <v>0.1</v>
      </c>
      <c r="H38" s="958">
        <v>281.31</v>
      </c>
      <c r="I38" s="907"/>
      <c r="J38" s="1547"/>
      <c r="K38" s="959" t="s">
        <v>2015</v>
      </c>
      <c r="L38" t="s">
        <v>2055</v>
      </c>
    </row>
    <row r="39" spans="1:12" ht="15.75">
      <c r="A39" s="954">
        <v>44708</v>
      </c>
      <c r="B39" s="955">
        <v>45073</v>
      </c>
      <c r="C39" s="1176" t="s">
        <v>2056</v>
      </c>
      <c r="D39" s="289" t="s">
        <v>448</v>
      </c>
      <c r="E39" s="289" t="s">
        <v>279</v>
      </c>
      <c r="F39" s="956">
        <v>917.07</v>
      </c>
      <c r="G39" s="957">
        <v>0.25</v>
      </c>
      <c r="H39" s="958">
        <v>210.92</v>
      </c>
      <c r="I39" s="907"/>
      <c r="J39" s="1547"/>
      <c r="K39" s="959" t="s">
        <v>1472</v>
      </c>
    </row>
    <row r="40" spans="1:12" ht="15.75">
      <c r="A40" s="954">
        <v>44708</v>
      </c>
      <c r="B40" s="955">
        <v>45074</v>
      </c>
      <c r="C40" s="1176" t="s">
        <v>2057</v>
      </c>
      <c r="D40" s="289" t="s">
        <v>61</v>
      </c>
      <c r="E40" s="289" t="s">
        <v>948</v>
      </c>
      <c r="F40" s="956">
        <v>2027.6</v>
      </c>
      <c r="G40" s="957">
        <v>0.15</v>
      </c>
      <c r="H40" s="958">
        <v>279.8</v>
      </c>
      <c r="I40" s="907"/>
      <c r="J40" s="1547"/>
      <c r="K40" s="959" t="s">
        <v>2015</v>
      </c>
      <c r="L40" t="s">
        <v>1665</v>
      </c>
    </row>
    <row r="41" spans="1:12" ht="15.75">
      <c r="A41" s="954">
        <v>44708</v>
      </c>
      <c r="B41" s="955">
        <v>45075</v>
      </c>
      <c r="C41" s="1176" t="s">
        <v>1393</v>
      </c>
      <c r="D41" s="289" t="s">
        <v>61</v>
      </c>
      <c r="E41" s="289" t="s">
        <v>438</v>
      </c>
      <c r="F41" s="956">
        <v>1536.54</v>
      </c>
      <c r="G41" s="957">
        <v>0.2</v>
      </c>
      <c r="H41" s="958">
        <v>282.72000000000003</v>
      </c>
      <c r="I41" s="907"/>
      <c r="J41" s="1547"/>
      <c r="K41" s="959" t="s">
        <v>2015</v>
      </c>
      <c r="L41" t="s">
        <v>1665</v>
      </c>
    </row>
    <row r="42" spans="1:12" ht="15.75">
      <c r="A42" s="954">
        <v>44711</v>
      </c>
      <c r="B42" s="955">
        <v>45076</v>
      </c>
      <c r="C42" s="1176" t="s">
        <v>1392</v>
      </c>
      <c r="D42" s="289" t="s">
        <v>61</v>
      </c>
      <c r="E42" s="289" t="s">
        <v>948</v>
      </c>
      <c r="F42" s="956">
        <v>2302.33</v>
      </c>
      <c r="G42" s="957">
        <v>0.2</v>
      </c>
      <c r="H42" s="958">
        <v>423.62</v>
      </c>
      <c r="I42" s="907"/>
      <c r="J42" s="1547"/>
      <c r="K42" s="959" t="s">
        <v>2015</v>
      </c>
      <c r="L42" t="s">
        <v>1665</v>
      </c>
    </row>
    <row r="43" spans="1:12" ht="15.75">
      <c r="A43" s="954"/>
      <c r="B43" s="955"/>
      <c r="C43" s="289"/>
      <c r="D43" s="289"/>
      <c r="E43" s="289"/>
      <c r="F43" s="956"/>
      <c r="G43" s="957"/>
      <c r="H43" s="958"/>
      <c r="I43" s="907"/>
      <c r="J43" s="1547"/>
      <c r="K43" s="959"/>
    </row>
    <row r="44" spans="1:12" ht="15.75">
      <c r="A44" s="954"/>
      <c r="B44" s="955"/>
      <c r="C44" s="289"/>
      <c r="D44" s="289"/>
      <c r="E44" s="289"/>
      <c r="F44" s="956"/>
      <c r="G44" s="957"/>
      <c r="H44" s="958"/>
      <c r="I44" s="907"/>
      <c r="J44" s="1547"/>
      <c r="K44" s="959"/>
    </row>
    <row r="45" spans="1:12" ht="15.75">
      <c r="A45" s="954"/>
      <c r="B45" s="955"/>
      <c r="C45" s="289"/>
      <c r="D45" s="289"/>
      <c r="E45" s="289"/>
      <c r="F45" s="956"/>
      <c r="G45" s="957"/>
      <c r="H45" s="958"/>
      <c r="I45" s="907"/>
      <c r="J45" s="1547"/>
      <c r="K45" s="959"/>
    </row>
    <row r="46" spans="1:12" ht="15.75">
      <c r="A46" s="954"/>
      <c r="B46" s="955"/>
      <c r="C46" s="1547"/>
      <c r="D46" s="289"/>
      <c r="E46" s="289"/>
      <c r="F46" s="956"/>
      <c r="G46" s="957"/>
      <c r="H46" s="958"/>
      <c r="I46" s="907"/>
      <c r="J46" s="1547"/>
      <c r="K46" s="959"/>
    </row>
    <row r="47" spans="1:12" ht="15.75">
      <c r="A47" s="954"/>
      <c r="B47" s="955"/>
      <c r="C47" s="1547"/>
      <c r="D47" s="289"/>
      <c r="E47" s="289"/>
      <c r="F47" s="956"/>
      <c r="G47" s="957"/>
      <c r="H47" s="958"/>
      <c r="I47" s="907"/>
      <c r="J47" s="1547"/>
      <c r="K47" s="959"/>
    </row>
    <row r="48" spans="1:12" ht="15.75">
      <c r="A48" s="954"/>
      <c r="B48" s="955"/>
      <c r="C48" s="289"/>
      <c r="D48" s="289"/>
      <c r="E48" s="289"/>
      <c r="F48" s="956"/>
      <c r="G48" s="957"/>
      <c r="H48" s="958"/>
      <c r="I48" s="907"/>
      <c r="J48" s="1547"/>
      <c r="K48" s="959"/>
    </row>
    <row r="49" spans="1:11" ht="15.75">
      <c r="A49" s="954"/>
      <c r="B49" s="955"/>
      <c r="C49" s="289"/>
      <c r="D49" s="289"/>
      <c r="E49" s="289"/>
      <c r="F49" s="956"/>
      <c r="G49" s="957"/>
      <c r="H49" s="958"/>
      <c r="I49" s="907"/>
      <c r="J49" s="1547"/>
      <c r="K49" s="959"/>
    </row>
    <row r="50" spans="1:11" ht="16.5" thickBot="1">
      <c r="A50" s="954"/>
      <c r="B50" s="955"/>
      <c r="C50" s="289"/>
      <c r="D50" s="289"/>
      <c r="E50" s="289"/>
      <c r="F50" s="956"/>
      <c r="G50" s="957"/>
      <c r="H50" s="958"/>
      <c r="I50" s="907"/>
      <c r="J50" s="1547"/>
      <c r="K50" s="959"/>
    </row>
    <row r="51" spans="1:11" ht="20.25" thickBot="1">
      <c r="A51" s="939"/>
      <c r="B51" s="940"/>
      <c r="C51" s="940"/>
      <c r="D51" s="940"/>
      <c r="E51" s="940"/>
      <c r="F51" s="941">
        <f>SUM(F19:F50,F2:F17)</f>
        <v>80607.87999999999</v>
      </c>
      <c r="G51" s="942"/>
      <c r="H51" s="943">
        <f>SUM(H19:H50,H2:H17)</f>
        <v>9149.07</v>
      </c>
      <c r="I51" s="952">
        <f>SUM(I40:I50,I19:I39,I2:I17)</f>
        <v>736.55</v>
      </c>
      <c r="J51" s="162"/>
      <c r="K51" s="948"/>
    </row>
  </sheetData>
  <autoFilter ref="A1:L1" xr:uid="{3E388305-4981-4114-A0C0-31F11E470455}">
    <sortState xmlns:xlrd2="http://schemas.microsoft.com/office/spreadsheetml/2017/richdata2" ref="A2:L42">
      <sortCondition ref="J1"/>
    </sortState>
  </autoFilter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35DC-74A0-45A0-A0D4-B51048F915D1}">
  <dimension ref="A1:K51"/>
  <sheetViews>
    <sheetView zoomScale="85" zoomScaleNormal="85" workbookViewId="0">
      <selection activeCell="J32" sqref="J32"/>
    </sheetView>
  </sheetViews>
  <sheetFormatPr defaultRowHeight="15"/>
  <cols>
    <col min="1" max="1" width="14" bestFit="1" customWidth="1"/>
    <col min="2" max="2" width="11.5703125" bestFit="1" customWidth="1"/>
    <col min="3" max="3" width="49" bestFit="1" customWidth="1"/>
    <col min="4" max="4" width="18.28515625" bestFit="1" customWidth="1"/>
    <col min="5" max="5" width="14.140625" bestFit="1" customWidth="1"/>
    <col min="6" max="6" width="19.28515625" bestFit="1" customWidth="1"/>
    <col min="7" max="7" width="13.42578125" bestFit="1" customWidth="1"/>
    <col min="8" max="8" width="22.5703125" bestFit="1" customWidth="1"/>
    <col min="9" max="9" width="21" bestFit="1" customWidth="1"/>
    <col min="10" max="10" width="11" bestFit="1" customWidth="1"/>
    <col min="11" max="11" width="17.140625" bestFit="1" customWidth="1"/>
  </cols>
  <sheetData>
    <row r="1" spans="1:11" ht="16.5" thickBot="1">
      <c r="A1" s="30" t="s">
        <v>1832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114" t="s">
        <v>7</v>
      </c>
      <c r="I1" s="950" t="s">
        <v>307</v>
      </c>
      <c r="J1" s="20" t="s">
        <v>370</v>
      </c>
      <c r="K1" s="948"/>
    </row>
    <row r="2" spans="1:11" s="731" customFormat="1" ht="15.75">
      <c r="A2" s="972">
        <v>44714</v>
      </c>
      <c r="B2" s="973">
        <v>45079</v>
      </c>
      <c r="C2" s="619" t="s">
        <v>2058</v>
      </c>
      <c r="D2" s="258" t="s">
        <v>25</v>
      </c>
      <c r="E2" s="258" t="s">
        <v>1593</v>
      </c>
      <c r="F2" s="974">
        <v>3702</v>
      </c>
      <c r="G2" s="975">
        <v>0.19</v>
      </c>
      <c r="H2" s="976">
        <v>647.1</v>
      </c>
      <c r="I2" s="814">
        <v>64.709999999999994</v>
      </c>
      <c r="J2" s="382" t="s">
        <v>1470</v>
      </c>
      <c r="K2" s="977" t="s">
        <v>2015</v>
      </c>
    </row>
    <row r="3" spans="1:11" s="739" customFormat="1" ht="15.75">
      <c r="A3" s="1187">
        <v>44711</v>
      </c>
      <c r="B3" s="978">
        <v>45083</v>
      </c>
      <c r="C3" s="1186" t="s">
        <v>1779</v>
      </c>
      <c r="D3" s="382" t="s">
        <v>448</v>
      </c>
      <c r="E3" s="382" t="s">
        <v>10</v>
      </c>
      <c r="F3" s="979">
        <v>1418.75</v>
      </c>
      <c r="G3" s="980">
        <v>0.1</v>
      </c>
      <c r="H3" s="976">
        <v>130.52000000000001</v>
      </c>
      <c r="I3" s="981"/>
      <c r="J3" s="382" t="s">
        <v>1513</v>
      </c>
      <c r="K3" s="977" t="s">
        <v>2015</v>
      </c>
    </row>
    <row r="4" spans="1:11" s="739" customFormat="1" ht="15.75">
      <c r="A4" s="972">
        <v>44722</v>
      </c>
      <c r="B4" s="973">
        <v>45087</v>
      </c>
      <c r="C4" s="619" t="s">
        <v>1788</v>
      </c>
      <c r="D4" s="258" t="s">
        <v>448</v>
      </c>
      <c r="E4" s="258" t="s">
        <v>2059</v>
      </c>
      <c r="F4" s="974">
        <v>139.88999999999999</v>
      </c>
      <c r="G4" s="975">
        <v>0.04</v>
      </c>
      <c r="H4" s="976">
        <v>5</v>
      </c>
      <c r="I4" s="814" t="s">
        <v>1621</v>
      </c>
      <c r="J4" s="382" t="s">
        <v>1513</v>
      </c>
      <c r="K4" s="977" t="s">
        <v>1472</v>
      </c>
    </row>
    <row r="5" spans="1:11" s="731" customFormat="1" ht="15.75">
      <c r="A5" s="972">
        <v>44734</v>
      </c>
      <c r="B5" s="973">
        <v>45099</v>
      </c>
      <c r="C5" s="619" t="s">
        <v>2060</v>
      </c>
      <c r="D5" s="258" t="s">
        <v>70</v>
      </c>
      <c r="E5" s="258" t="s">
        <v>279</v>
      </c>
      <c r="F5" s="974">
        <v>1473.53</v>
      </c>
      <c r="G5" s="975">
        <v>0.1</v>
      </c>
      <c r="H5" s="976">
        <v>135.56</v>
      </c>
      <c r="I5" s="814"/>
      <c r="J5" s="382" t="s">
        <v>1513</v>
      </c>
      <c r="K5" s="977" t="s">
        <v>2015</v>
      </c>
    </row>
    <row r="6" spans="1:11" s="739" customFormat="1" ht="15.75">
      <c r="A6" s="978">
        <v>44739</v>
      </c>
      <c r="B6" s="978">
        <v>45101</v>
      </c>
      <c r="C6" s="1186" t="s">
        <v>1795</v>
      </c>
      <c r="D6" s="382" t="s">
        <v>448</v>
      </c>
      <c r="E6" s="382" t="s">
        <v>10</v>
      </c>
      <c r="F6" s="979">
        <v>2559.37</v>
      </c>
      <c r="G6" s="980">
        <v>0.15</v>
      </c>
      <c r="H6" s="976">
        <v>353.19</v>
      </c>
      <c r="I6" s="981"/>
      <c r="J6" s="382" t="s">
        <v>1513</v>
      </c>
      <c r="K6" s="977" t="s">
        <v>2015</v>
      </c>
    </row>
    <row r="7" spans="1:11" s="739" customFormat="1" ht="15.75">
      <c r="A7" s="972">
        <v>44736</v>
      </c>
      <c r="B7" s="973">
        <v>45103</v>
      </c>
      <c r="C7" s="1186" t="s">
        <v>1793</v>
      </c>
      <c r="D7" s="258" t="s">
        <v>448</v>
      </c>
      <c r="E7" s="258" t="s">
        <v>948</v>
      </c>
      <c r="F7" s="1002">
        <v>2171.85</v>
      </c>
      <c r="G7" s="975">
        <v>0.14000000000000001</v>
      </c>
      <c r="H7" s="989">
        <v>279.73</v>
      </c>
      <c r="I7" s="814"/>
      <c r="J7" s="382" t="s">
        <v>1513</v>
      </c>
      <c r="K7" s="977" t="s">
        <v>2015</v>
      </c>
    </row>
    <row r="8" spans="1:11" s="739" customFormat="1" ht="15.75">
      <c r="A8" s="954">
        <v>44712</v>
      </c>
      <c r="B8" s="955">
        <v>45079</v>
      </c>
      <c r="C8" s="1176" t="s">
        <v>1465</v>
      </c>
      <c r="D8" s="289" t="s">
        <v>9</v>
      </c>
      <c r="E8" s="289" t="s">
        <v>15</v>
      </c>
      <c r="F8" s="956">
        <v>1722.5</v>
      </c>
      <c r="G8" s="957">
        <v>0.1</v>
      </c>
      <c r="H8" s="958">
        <v>158.47</v>
      </c>
      <c r="I8" s="907">
        <v>79.23</v>
      </c>
      <c r="J8" s="1547" t="s">
        <v>491</v>
      </c>
      <c r="K8" s="959" t="s">
        <v>2015</v>
      </c>
    </row>
    <row r="9" spans="1:11" s="739" customFormat="1" ht="15.75">
      <c r="A9" s="954">
        <v>44714</v>
      </c>
      <c r="B9" s="955">
        <v>45080</v>
      </c>
      <c r="C9" s="1176" t="s">
        <v>2061</v>
      </c>
      <c r="D9" s="289" t="s">
        <v>14</v>
      </c>
      <c r="E9" s="289" t="s">
        <v>10</v>
      </c>
      <c r="F9" s="956">
        <v>1892.66</v>
      </c>
      <c r="G9" s="957">
        <v>0.1</v>
      </c>
      <c r="H9" s="958">
        <v>174.12</v>
      </c>
      <c r="I9" s="907">
        <v>87.06</v>
      </c>
      <c r="J9" s="1547" t="s">
        <v>491</v>
      </c>
      <c r="K9" s="959" t="s">
        <v>2015</v>
      </c>
    </row>
    <row r="10" spans="1:11" s="739" customFormat="1" ht="15.75">
      <c r="A10" s="954">
        <v>44722</v>
      </c>
      <c r="B10" s="955">
        <v>45089</v>
      </c>
      <c r="C10" s="1177" t="s">
        <v>1789</v>
      </c>
      <c r="D10" s="289" t="s">
        <v>9</v>
      </c>
      <c r="E10" s="289" t="s">
        <v>1593</v>
      </c>
      <c r="F10" s="956">
        <v>2171.37</v>
      </c>
      <c r="G10" s="957">
        <v>0.1</v>
      </c>
      <c r="H10" s="958">
        <v>199.76</v>
      </c>
      <c r="I10" s="907">
        <v>99.88</v>
      </c>
      <c r="J10" s="1547" t="s">
        <v>491</v>
      </c>
      <c r="K10" s="959" t="s">
        <v>2015</v>
      </c>
    </row>
    <row r="11" spans="1:11" s="739" customFormat="1" ht="15.75">
      <c r="A11" s="954">
        <v>44727</v>
      </c>
      <c r="B11" s="955">
        <v>45092</v>
      </c>
      <c r="C11" s="1176" t="s">
        <v>1786</v>
      </c>
      <c r="D11" s="289" t="s">
        <v>9</v>
      </c>
      <c r="E11" s="289" t="s">
        <v>10</v>
      </c>
      <c r="F11" s="956">
        <v>1665.08</v>
      </c>
      <c r="G11" s="957">
        <v>0.19</v>
      </c>
      <c r="H11" s="958">
        <v>291.05</v>
      </c>
      <c r="I11" s="907">
        <v>145.52000000000001</v>
      </c>
      <c r="J11" s="1547" t="s">
        <v>491</v>
      </c>
      <c r="K11" s="959" t="s">
        <v>2015</v>
      </c>
    </row>
    <row r="12" spans="1:11" s="739" customFormat="1" ht="15.75">
      <c r="A12" s="954">
        <v>44734</v>
      </c>
      <c r="B12" s="955">
        <v>45092</v>
      </c>
      <c r="C12" s="1176" t="s">
        <v>1406</v>
      </c>
      <c r="D12" s="289" t="s">
        <v>21</v>
      </c>
      <c r="E12" s="289" t="s">
        <v>10</v>
      </c>
      <c r="F12" s="956">
        <v>1583.17</v>
      </c>
      <c r="G12" s="957">
        <v>0.15</v>
      </c>
      <c r="H12" s="958">
        <v>218.47</v>
      </c>
      <c r="I12" s="907">
        <v>109.23</v>
      </c>
      <c r="J12" s="1547" t="s">
        <v>491</v>
      </c>
      <c r="K12" s="959" t="s">
        <v>2015</v>
      </c>
    </row>
    <row r="13" spans="1:11" s="731" customFormat="1" ht="15.75">
      <c r="A13" s="954">
        <v>44736</v>
      </c>
      <c r="B13" s="955">
        <v>45101</v>
      </c>
      <c r="C13" s="1177" t="s">
        <v>1781</v>
      </c>
      <c r="D13" s="289" t="s">
        <v>61</v>
      </c>
      <c r="E13" s="289" t="s">
        <v>15</v>
      </c>
      <c r="F13" s="1003">
        <v>1309.6400000000001</v>
      </c>
      <c r="G13" s="957">
        <v>0.1</v>
      </c>
      <c r="H13" s="971">
        <v>120.48</v>
      </c>
      <c r="I13" s="907">
        <v>60.24</v>
      </c>
      <c r="J13" s="1547" t="s">
        <v>1482</v>
      </c>
      <c r="K13" s="959" t="s">
        <v>2015</v>
      </c>
    </row>
    <row r="14" spans="1:11" s="739" customFormat="1" ht="15.75">
      <c r="A14" s="954">
        <v>44736</v>
      </c>
      <c r="B14" s="955">
        <v>45102</v>
      </c>
      <c r="C14" s="1178" t="s">
        <v>2062</v>
      </c>
      <c r="D14" s="289" t="s">
        <v>70</v>
      </c>
      <c r="E14" s="289" t="s">
        <v>279</v>
      </c>
      <c r="F14" s="1003">
        <v>1594.14</v>
      </c>
      <c r="G14" s="957">
        <v>0.1</v>
      </c>
      <c r="H14" s="971">
        <v>146.66</v>
      </c>
      <c r="I14" s="907">
        <v>73.33</v>
      </c>
      <c r="J14" s="1547" t="s">
        <v>1482</v>
      </c>
      <c r="K14" s="959" t="s">
        <v>1472</v>
      </c>
    </row>
    <row r="15" spans="1:11" s="739" customFormat="1" ht="15.75">
      <c r="A15" s="960">
        <v>44715</v>
      </c>
      <c r="B15" s="960">
        <v>45078</v>
      </c>
      <c r="C15" s="1177" t="s">
        <v>2063</v>
      </c>
      <c r="D15" s="1547" t="s">
        <v>448</v>
      </c>
      <c r="E15" s="1547" t="s">
        <v>2059</v>
      </c>
      <c r="F15" s="961">
        <v>1498.55</v>
      </c>
      <c r="G15" s="962">
        <v>0.1</v>
      </c>
      <c r="H15" s="958">
        <v>137.86000000000001</v>
      </c>
      <c r="I15" s="953"/>
      <c r="J15" s="1547"/>
      <c r="K15" s="959" t="s">
        <v>1472</v>
      </c>
    </row>
    <row r="16" spans="1:11" s="739" customFormat="1" ht="15.75">
      <c r="A16" s="963">
        <v>44714</v>
      </c>
      <c r="B16" s="964">
        <v>45079</v>
      </c>
      <c r="C16" s="1188" t="s">
        <v>2064</v>
      </c>
      <c r="D16" s="494" t="s">
        <v>448</v>
      </c>
      <c r="E16" s="494" t="s">
        <v>10</v>
      </c>
      <c r="F16" s="965">
        <v>2524.65</v>
      </c>
      <c r="G16" s="966">
        <v>0.1</v>
      </c>
      <c r="H16" s="958">
        <v>232.26</v>
      </c>
      <c r="I16" s="922"/>
      <c r="J16" s="1547"/>
      <c r="K16" s="959" t="s">
        <v>2015</v>
      </c>
    </row>
    <row r="17" spans="1:11" s="739" customFormat="1" ht="15.75">
      <c r="A17" s="954">
        <v>44715</v>
      </c>
      <c r="B17" s="955">
        <v>45081</v>
      </c>
      <c r="C17" s="1176" t="s">
        <v>727</v>
      </c>
      <c r="D17" s="289" t="s">
        <v>448</v>
      </c>
      <c r="E17" s="289" t="s">
        <v>10</v>
      </c>
      <c r="F17" s="956">
        <v>1396.88</v>
      </c>
      <c r="G17" s="957">
        <v>0.15</v>
      </c>
      <c r="H17" s="958">
        <v>192.76</v>
      </c>
      <c r="I17" s="907"/>
      <c r="J17" s="1547"/>
      <c r="K17" s="959" t="s">
        <v>2015</v>
      </c>
    </row>
    <row r="18" spans="1:11" s="739" customFormat="1" ht="15.75">
      <c r="A18" s="954">
        <v>44720</v>
      </c>
      <c r="B18" s="955">
        <v>45081</v>
      </c>
      <c r="C18" s="1176" t="s">
        <v>2065</v>
      </c>
      <c r="D18" s="289" t="s">
        <v>9</v>
      </c>
      <c r="E18" s="289" t="s">
        <v>10</v>
      </c>
      <c r="F18" s="956">
        <v>2722.4</v>
      </c>
      <c r="G18" s="957">
        <v>0.1</v>
      </c>
      <c r="H18" s="958">
        <v>250.46</v>
      </c>
      <c r="I18" s="907"/>
      <c r="J18" s="1547"/>
      <c r="K18" s="959" t="s">
        <v>2015</v>
      </c>
    </row>
    <row r="19" spans="1:11" s="739" customFormat="1" ht="15.75">
      <c r="A19" s="954">
        <v>44719</v>
      </c>
      <c r="B19" s="955">
        <v>45084</v>
      </c>
      <c r="C19" s="1176" t="s">
        <v>2066</v>
      </c>
      <c r="D19" s="289" t="s">
        <v>448</v>
      </c>
      <c r="E19" s="289" t="s">
        <v>945</v>
      </c>
      <c r="F19" s="956">
        <v>2704.18</v>
      </c>
      <c r="G19" s="957">
        <v>0.1</v>
      </c>
      <c r="H19" s="958">
        <v>248.78</v>
      </c>
      <c r="I19" s="907"/>
      <c r="J19" s="1547"/>
      <c r="K19" s="959" t="s">
        <v>2015</v>
      </c>
    </row>
    <row r="20" spans="1:11" s="739" customFormat="1" ht="15.75">
      <c r="A20" s="960">
        <v>44715</v>
      </c>
      <c r="B20" s="960">
        <v>45086</v>
      </c>
      <c r="C20" s="1177" t="s">
        <v>1405</v>
      </c>
      <c r="D20" s="1547" t="s">
        <v>61</v>
      </c>
      <c r="E20" s="1547" t="s">
        <v>945</v>
      </c>
      <c r="F20" s="961">
        <v>1373.36</v>
      </c>
      <c r="G20" s="962">
        <v>0.15</v>
      </c>
      <c r="H20" s="958">
        <v>189.52</v>
      </c>
      <c r="I20" s="953"/>
      <c r="J20" s="1547"/>
      <c r="K20" s="959" t="s">
        <v>2015</v>
      </c>
    </row>
    <row r="21" spans="1:11" s="739" customFormat="1" ht="15.75">
      <c r="A21" s="963">
        <v>44725</v>
      </c>
      <c r="B21" s="967">
        <v>45090</v>
      </c>
      <c r="C21" s="1178" t="s">
        <v>1403</v>
      </c>
      <c r="D21" s="494" t="s">
        <v>70</v>
      </c>
      <c r="E21" s="494" t="s">
        <v>22</v>
      </c>
      <c r="F21" s="965">
        <v>1572.62</v>
      </c>
      <c r="G21" s="966">
        <v>0.15</v>
      </c>
      <c r="H21" s="958">
        <v>217.02</v>
      </c>
      <c r="I21" s="922"/>
      <c r="J21" s="1547"/>
      <c r="K21" s="959" t="s">
        <v>2015</v>
      </c>
    </row>
    <row r="22" spans="1:11" s="739" customFormat="1" ht="15.75">
      <c r="A22" s="954">
        <v>44722</v>
      </c>
      <c r="B22" s="955">
        <v>45091</v>
      </c>
      <c r="C22" s="1179" t="s">
        <v>1401</v>
      </c>
      <c r="D22" s="289" t="s">
        <v>25</v>
      </c>
      <c r="E22" s="289" t="s">
        <v>945</v>
      </c>
      <c r="F22" s="956">
        <v>1238.4100000000001</v>
      </c>
      <c r="G22" s="957">
        <v>0.15</v>
      </c>
      <c r="H22" s="958">
        <v>170.9</v>
      </c>
      <c r="I22" s="907"/>
      <c r="J22" s="1547"/>
      <c r="K22" s="959" t="s">
        <v>2015</v>
      </c>
    </row>
    <row r="23" spans="1:11" s="739" customFormat="1" ht="15.75">
      <c r="A23" s="954">
        <v>44727</v>
      </c>
      <c r="B23" s="955">
        <v>45092</v>
      </c>
      <c r="C23" s="1176" t="s">
        <v>939</v>
      </c>
      <c r="D23" s="289" t="s">
        <v>14</v>
      </c>
      <c r="E23" s="289" t="s">
        <v>22</v>
      </c>
      <c r="F23" s="956">
        <v>1200.75</v>
      </c>
      <c r="G23" s="957">
        <v>0.1</v>
      </c>
      <c r="H23" s="958">
        <v>112.07</v>
      </c>
      <c r="I23" s="907"/>
      <c r="J23" s="1547"/>
      <c r="K23" s="959" t="s">
        <v>2015</v>
      </c>
    </row>
    <row r="24" spans="1:11" s="739" customFormat="1" ht="15.75">
      <c r="A24" s="954">
        <v>44726</v>
      </c>
      <c r="B24" s="955">
        <v>45093</v>
      </c>
      <c r="C24" s="1176" t="s">
        <v>1404</v>
      </c>
      <c r="D24" s="289" t="s">
        <v>21</v>
      </c>
      <c r="E24" s="289" t="s">
        <v>945</v>
      </c>
      <c r="F24" s="956">
        <v>2164.8200000000002</v>
      </c>
      <c r="G24" s="957">
        <v>0.13</v>
      </c>
      <c r="H24" s="958">
        <v>258.91000000000003</v>
      </c>
      <c r="I24" s="907"/>
      <c r="J24" s="1547"/>
      <c r="K24" s="959" t="s">
        <v>2015</v>
      </c>
    </row>
    <row r="25" spans="1:11" s="739" customFormat="1" ht="15.75">
      <c r="A25" s="954">
        <v>44729</v>
      </c>
      <c r="B25" s="955">
        <v>45094</v>
      </c>
      <c r="C25" s="1176" t="s">
        <v>1792</v>
      </c>
      <c r="D25" s="289" t="s">
        <v>448</v>
      </c>
      <c r="E25" s="289" t="s">
        <v>948</v>
      </c>
      <c r="F25" s="956">
        <v>3658.87</v>
      </c>
      <c r="G25" s="957">
        <v>0.1</v>
      </c>
      <c r="H25" s="958">
        <v>336.61</v>
      </c>
      <c r="I25" s="907"/>
      <c r="J25" s="1547"/>
      <c r="K25" s="959" t="s">
        <v>2015</v>
      </c>
    </row>
    <row r="26" spans="1:11" s="739" customFormat="1" ht="15.75">
      <c r="A26" s="954">
        <v>44733</v>
      </c>
      <c r="B26" s="955">
        <v>45097</v>
      </c>
      <c r="C26" s="1177" t="s">
        <v>2067</v>
      </c>
      <c r="D26" s="289" t="s">
        <v>9</v>
      </c>
      <c r="E26" s="289" t="s">
        <v>10</v>
      </c>
      <c r="F26" s="956">
        <v>1263.4100000000001</v>
      </c>
      <c r="G26" s="957">
        <v>0.1</v>
      </c>
      <c r="H26" s="958">
        <v>116.23</v>
      </c>
      <c r="I26" s="907"/>
      <c r="J26" s="1547"/>
      <c r="K26" s="959" t="s">
        <v>2015</v>
      </c>
    </row>
    <row r="27" spans="1:11" s="731" customFormat="1" ht="15.75">
      <c r="A27" s="954">
        <v>44732</v>
      </c>
      <c r="B27" s="955">
        <v>45098</v>
      </c>
      <c r="C27" s="1185" t="s">
        <v>949</v>
      </c>
      <c r="D27" s="289" t="s">
        <v>448</v>
      </c>
      <c r="E27" s="289" t="s">
        <v>10</v>
      </c>
      <c r="F27" s="956">
        <v>2337.6999999999998</v>
      </c>
      <c r="G27" s="957">
        <v>0.15</v>
      </c>
      <c r="H27" s="958">
        <v>322.60000000000002</v>
      </c>
      <c r="I27" s="907"/>
      <c r="J27" s="1547"/>
      <c r="K27" s="959" t="s">
        <v>2015</v>
      </c>
    </row>
    <row r="28" spans="1:11" s="739" customFormat="1" ht="15.75">
      <c r="A28" s="954">
        <v>44733</v>
      </c>
      <c r="B28" s="955">
        <v>45098</v>
      </c>
      <c r="C28" s="289" t="s">
        <v>447</v>
      </c>
      <c r="D28" s="289" t="s">
        <v>448</v>
      </c>
      <c r="E28" s="289" t="s">
        <v>22</v>
      </c>
      <c r="F28" s="956">
        <v>10261.620000000001</v>
      </c>
      <c r="G28" s="957">
        <v>0.1</v>
      </c>
      <c r="H28" s="969">
        <v>977.18</v>
      </c>
      <c r="I28" s="910"/>
      <c r="J28" s="1547"/>
      <c r="K28" s="959" t="s">
        <v>1472</v>
      </c>
    </row>
    <row r="29" spans="1:11" s="739" customFormat="1" ht="15.75">
      <c r="A29" s="960">
        <v>44734</v>
      </c>
      <c r="B29" s="960">
        <v>45099</v>
      </c>
      <c r="C29" s="1177" t="s">
        <v>733</v>
      </c>
      <c r="D29" s="1547" t="s">
        <v>61</v>
      </c>
      <c r="E29" s="1547" t="s">
        <v>1552</v>
      </c>
      <c r="F29" s="961">
        <v>876.55</v>
      </c>
      <c r="G29" s="962">
        <v>0.1</v>
      </c>
      <c r="H29" s="958">
        <v>80.64</v>
      </c>
      <c r="I29" s="907"/>
      <c r="J29" s="1547"/>
      <c r="K29" s="959" t="s">
        <v>2015</v>
      </c>
    </row>
    <row r="30" spans="1:11" s="731" customFormat="1" ht="15.75">
      <c r="A30" s="960">
        <v>44734</v>
      </c>
      <c r="B30" s="960">
        <v>45099</v>
      </c>
      <c r="C30" s="1177" t="s">
        <v>947</v>
      </c>
      <c r="D30" s="1547" t="s">
        <v>14</v>
      </c>
      <c r="E30" s="1547" t="s">
        <v>10</v>
      </c>
      <c r="F30" s="961">
        <v>2343.15</v>
      </c>
      <c r="G30" s="962">
        <v>0.1</v>
      </c>
      <c r="H30" s="958">
        <v>215.56</v>
      </c>
      <c r="I30" s="907"/>
      <c r="J30" s="1547"/>
      <c r="K30" s="959" t="s">
        <v>2015</v>
      </c>
    </row>
    <row r="31" spans="1:11" s="739" customFormat="1" ht="15.75">
      <c r="A31" s="960">
        <v>44732</v>
      </c>
      <c r="B31" s="960">
        <v>45100</v>
      </c>
      <c r="C31" s="1177" t="s">
        <v>946</v>
      </c>
      <c r="D31" s="1547" t="s">
        <v>448</v>
      </c>
      <c r="E31" s="1547" t="s">
        <v>10</v>
      </c>
      <c r="F31" s="961">
        <v>2204.16</v>
      </c>
      <c r="G31" s="962">
        <v>0.15</v>
      </c>
      <c r="H31" s="958">
        <v>304.17</v>
      </c>
      <c r="I31" s="907"/>
      <c r="J31" s="1547"/>
      <c r="K31" s="959" t="s">
        <v>2015</v>
      </c>
    </row>
    <row r="32" spans="1:11" s="739" customFormat="1" ht="15.75">
      <c r="A32" s="954">
        <v>44735</v>
      </c>
      <c r="B32" s="955">
        <v>45100</v>
      </c>
      <c r="C32" s="289" t="s">
        <v>1771</v>
      </c>
      <c r="D32" s="289" t="s">
        <v>14</v>
      </c>
      <c r="E32" s="289" t="s">
        <v>10</v>
      </c>
      <c r="F32" s="956">
        <v>2119.6799999999998</v>
      </c>
      <c r="G32" s="957">
        <v>0.1</v>
      </c>
      <c r="H32" s="958">
        <v>195.01</v>
      </c>
      <c r="I32" s="907"/>
      <c r="J32" s="1547"/>
      <c r="K32" s="959" t="s">
        <v>2015</v>
      </c>
    </row>
    <row r="33" spans="1:11" s="731" customFormat="1" ht="15.75">
      <c r="A33" s="954">
        <v>44740</v>
      </c>
      <c r="B33" s="955">
        <v>45101</v>
      </c>
      <c r="C33" s="1176" t="s">
        <v>950</v>
      </c>
      <c r="D33" s="289" t="s">
        <v>9</v>
      </c>
      <c r="E33" s="289" t="s">
        <v>15</v>
      </c>
      <c r="F33" s="956">
        <v>2403.79</v>
      </c>
      <c r="G33" s="957">
        <v>0.1</v>
      </c>
      <c r="H33" s="958">
        <v>221.14</v>
      </c>
      <c r="I33" s="907"/>
      <c r="J33" s="1547"/>
      <c r="K33" s="959" t="s">
        <v>2015</v>
      </c>
    </row>
    <row r="34" spans="1:11" s="739" customFormat="1" ht="15.75">
      <c r="A34" s="954">
        <v>44739</v>
      </c>
      <c r="B34" s="955">
        <v>45104</v>
      </c>
      <c r="C34" s="1176" t="s">
        <v>2068</v>
      </c>
      <c r="D34" s="289" t="s">
        <v>448</v>
      </c>
      <c r="E34" s="289" t="s">
        <v>2059</v>
      </c>
      <c r="F34" s="956">
        <v>153.28</v>
      </c>
      <c r="G34" s="957">
        <v>0.61970000000000003</v>
      </c>
      <c r="H34" s="958">
        <v>94.99</v>
      </c>
      <c r="I34" s="907"/>
      <c r="J34" s="1547"/>
      <c r="K34" s="959" t="s">
        <v>1472</v>
      </c>
    </row>
    <row r="35" spans="1:11" s="739" customFormat="1" ht="15.75">
      <c r="A35" s="954">
        <v>44739</v>
      </c>
      <c r="B35" s="955">
        <v>45105</v>
      </c>
      <c r="C35" s="1176" t="s">
        <v>1417</v>
      </c>
      <c r="D35" s="289" t="s">
        <v>448</v>
      </c>
      <c r="E35" s="289" t="s">
        <v>945</v>
      </c>
      <c r="F35" s="956">
        <v>1084.92</v>
      </c>
      <c r="G35" s="957">
        <v>0.1</v>
      </c>
      <c r="H35" s="958">
        <v>99.81</v>
      </c>
      <c r="I35" s="907"/>
      <c r="J35" s="1547"/>
      <c r="K35" s="959" t="s">
        <v>2015</v>
      </c>
    </row>
    <row r="36" spans="1:11" s="739" customFormat="1" ht="15.75">
      <c r="A36" s="954">
        <v>44833</v>
      </c>
      <c r="B36" s="955">
        <v>45106</v>
      </c>
      <c r="C36" s="1176" t="s">
        <v>952</v>
      </c>
      <c r="D36" s="289" t="s">
        <v>61</v>
      </c>
      <c r="E36" s="289" t="s">
        <v>22</v>
      </c>
      <c r="F36" s="956">
        <v>1602.57</v>
      </c>
      <c r="G36" s="957">
        <v>0.2</v>
      </c>
      <c r="H36" s="958">
        <v>294.87</v>
      </c>
      <c r="I36" s="907"/>
      <c r="J36" s="1547"/>
      <c r="K36" s="959" t="s">
        <v>2015</v>
      </c>
    </row>
    <row r="37" spans="1:11" s="739" customFormat="1" ht="15.75">
      <c r="A37" s="954">
        <v>44741</v>
      </c>
      <c r="B37" s="955">
        <v>45106</v>
      </c>
      <c r="C37" s="289" t="s">
        <v>953</v>
      </c>
      <c r="D37" s="289" t="s">
        <v>448</v>
      </c>
      <c r="E37" s="289" t="s">
        <v>22</v>
      </c>
      <c r="F37" s="956">
        <v>1895.05</v>
      </c>
      <c r="G37" s="957">
        <v>0.2</v>
      </c>
      <c r="H37" s="958">
        <v>348.68</v>
      </c>
      <c r="I37" s="907" t="s">
        <v>442</v>
      </c>
      <c r="J37" s="1547"/>
      <c r="K37" s="959" t="s">
        <v>2015</v>
      </c>
    </row>
    <row r="38" spans="1:11" s="739" customFormat="1" ht="15.75">
      <c r="A38" s="954">
        <v>44742</v>
      </c>
      <c r="B38" s="955">
        <v>48760</v>
      </c>
      <c r="C38" s="289" t="s">
        <v>1903</v>
      </c>
      <c r="D38" s="289" t="s">
        <v>448</v>
      </c>
      <c r="E38" s="289" t="s">
        <v>45</v>
      </c>
      <c r="F38" s="956">
        <v>11733.15</v>
      </c>
      <c r="G38" s="957">
        <v>0.1</v>
      </c>
      <c r="H38" s="958">
        <v>1079.44</v>
      </c>
      <c r="I38" s="907"/>
      <c r="J38" s="1547"/>
      <c r="K38" s="959" t="s">
        <v>1472</v>
      </c>
    </row>
    <row r="39" spans="1:11" s="739" customFormat="1" ht="15.75">
      <c r="A39" s="954">
        <v>44741</v>
      </c>
      <c r="B39" s="955" t="s">
        <v>1805</v>
      </c>
      <c r="C39" s="289" t="s">
        <v>1401</v>
      </c>
      <c r="D39" s="289" t="s">
        <v>25</v>
      </c>
      <c r="E39" s="289" t="s">
        <v>945</v>
      </c>
      <c r="F39" s="956">
        <v>1736.54</v>
      </c>
      <c r="G39" s="957">
        <v>0.15</v>
      </c>
      <c r="H39" s="958">
        <v>239.64</v>
      </c>
      <c r="I39" s="907"/>
      <c r="J39" s="1547"/>
      <c r="K39" s="959" t="s">
        <v>1805</v>
      </c>
    </row>
    <row r="40" spans="1:11" s="739" customFormat="1" ht="15.75">
      <c r="A40" s="954"/>
      <c r="B40" s="955"/>
      <c r="C40" s="289"/>
      <c r="D40" s="289"/>
      <c r="E40" s="289"/>
      <c r="F40" s="956"/>
      <c r="G40" s="957"/>
      <c r="H40" s="958"/>
      <c r="I40" s="907"/>
      <c r="J40" s="1547"/>
      <c r="K40" s="959"/>
    </row>
    <row r="41" spans="1:11" s="739" customFormat="1" ht="15.75">
      <c r="A41" s="954"/>
      <c r="B41" s="955"/>
      <c r="C41" s="289"/>
      <c r="D41" s="289"/>
      <c r="E41" s="289"/>
      <c r="F41" s="956"/>
      <c r="G41" s="957"/>
      <c r="H41" s="958"/>
      <c r="I41" s="907"/>
      <c r="J41" s="1547"/>
      <c r="K41" s="959"/>
    </row>
    <row r="42" spans="1:11" s="739" customFormat="1" ht="15.75">
      <c r="A42" s="954"/>
      <c r="B42" s="955"/>
      <c r="C42" s="289"/>
      <c r="D42" s="289"/>
      <c r="E42" s="289"/>
      <c r="F42" s="956"/>
      <c r="G42" s="957"/>
      <c r="H42" s="958"/>
      <c r="I42" s="907"/>
      <c r="J42" s="1547"/>
      <c r="K42" s="959"/>
    </row>
    <row r="43" spans="1:11" s="739" customFormat="1" ht="15.75">
      <c r="A43" s="954"/>
      <c r="B43" s="955"/>
      <c r="C43" s="289"/>
      <c r="D43" s="289"/>
      <c r="E43" s="289"/>
      <c r="F43" s="956"/>
      <c r="G43" s="957"/>
      <c r="H43" s="958"/>
      <c r="I43" s="907"/>
      <c r="J43" s="1547"/>
      <c r="K43" s="959"/>
    </row>
    <row r="44" spans="1:11" s="739" customFormat="1" ht="15.75">
      <c r="A44" s="954"/>
      <c r="B44" s="955"/>
      <c r="C44" s="289"/>
      <c r="D44" s="289"/>
      <c r="E44" s="289"/>
      <c r="F44" s="956"/>
      <c r="G44" s="957"/>
      <c r="H44" s="958"/>
      <c r="I44" s="907"/>
      <c r="J44" s="1547"/>
      <c r="K44" s="959"/>
    </row>
    <row r="45" spans="1:11" s="739" customFormat="1" ht="15.75">
      <c r="A45" s="954"/>
      <c r="B45" s="955"/>
      <c r="C45" s="289"/>
      <c r="D45" s="289"/>
      <c r="E45" s="289"/>
      <c r="F45" s="956"/>
      <c r="G45" s="957"/>
      <c r="H45" s="958"/>
      <c r="I45" s="907"/>
      <c r="J45" s="1547"/>
      <c r="K45" s="959"/>
    </row>
    <row r="46" spans="1:11" s="739" customFormat="1" ht="15.75">
      <c r="A46" s="954"/>
      <c r="B46" s="955"/>
      <c r="C46" s="1547"/>
      <c r="D46" s="289"/>
      <c r="E46" s="289"/>
      <c r="F46" s="956"/>
      <c r="G46" s="957"/>
      <c r="H46" s="958"/>
      <c r="I46" s="907"/>
      <c r="J46" s="1547"/>
      <c r="K46" s="959"/>
    </row>
    <row r="47" spans="1:11" s="739" customFormat="1" ht="15.75">
      <c r="A47" s="954"/>
      <c r="B47" s="955"/>
      <c r="C47" s="1547"/>
      <c r="D47" s="289"/>
      <c r="E47" s="289"/>
      <c r="F47" s="956"/>
      <c r="G47" s="957"/>
      <c r="H47" s="958"/>
      <c r="I47" s="907"/>
      <c r="J47" s="1547"/>
      <c r="K47" s="959"/>
    </row>
    <row r="48" spans="1:11" s="739" customFormat="1" ht="15.75">
      <c r="A48" s="954"/>
      <c r="B48" s="955"/>
      <c r="C48" s="289"/>
      <c r="D48" s="289"/>
      <c r="E48" s="289"/>
      <c r="F48" s="956"/>
      <c r="G48" s="957"/>
      <c r="H48" s="958"/>
      <c r="I48" s="907"/>
      <c r="J48" s="1547"/>
      <c r="K48" s="959"/>
    </row>
    <row r="49" spans="1:11" s="739" customFormat="1" ht="15.75">
      <c r="A49" s="954"/>
      <c r="B49" s="955"/>
      <c r="C49" s="289"/>
      <c r="D49" s="289"/>
      <c r="E49" s="289"/>
      <c r="F49" s="956"/>
      <c r="G49" s="957"/>
      <c r="H49" s="958"/>
      <c r="I49" s="907"/>
      <c r="J49" s="1547"/>
      <c r="K49" s="959"/>
    </row>
    <row r="50" spans="1:11" s="739" customFormat="1" ht="16.5" thickBot="1">
      <c r="A50" s="954"/>
      <c r="B50" s="955"/>
      <c r="C50" s="289"/>
      <c r="D50" s="289"/>
      <c r="E50" s="289"/>
      <c r="F50" s="956"/>
      <c r="G50" s="957"/>
      <c r="H50" s="958"/>
      <c r="I50" s="907"/>
      <c r="J50" s="1547"/>
      <c r="K50" s="959"/>
    </row>
    <row r="51" spans="1:11" ht="20.25" thickBot="1">
      <c r="A51" s="939"/>
      <c r="B51" s="940"/>
      <c r="C51" s="940"/>
      <c r="D51" s="940"/>
      <c r="E51" s="940"/>
      <c r="F51" s="941">
        <f>SUM(F2:F50)</f>
        <v>87475.01</v>
      </c>
      <c r="G51" s="942"/>
      <c r="H51" s="943">
        <f>SUM(H2:H50)</f>
        <v>9797.2200000000012</v>
      </c>
      <c r="I51" s="952">
        <f>SUM(I2:I50)</f>
        <v>719.2</v>
      </c>
      <c r="J51" s="162"/>
      <c r="K51" s="948"/>
    </row>
  </sheetData>
  <autoFilter ref="A1:K1" xr:uid="{5A1B35DC-74A0-45A0-A0D4-B51048F915D1}">
    <sortState xmlns:xlrd2="http://schemas.microsoft.com/office/spreadsheetml/2017/richdata2" ref="A2:K39">
      <sortCondition ref="J1"/>
    </sortState>
  </autoFilter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561C5-C1F5-4804-ACB6-AEFBB127B2CD}">
  <dimension ref="A1:M51"/>
  <sheetViews>
    <sheetView topLeftCell="A20" zoomScale="85" zoomScaleNormal="85" workbookViewId="0">
      <selection activeCell="I12" sqref="I12"/>
    </sheetView>
  </sheetViews>
  <sheetFormatPr defaultRowHeight="15"/>
  <cols>
    <col min="1" max="1" width="14" bestFit="1" customWidth="1"/>
    <col min="2" max="2" width="11.5703125" bestFit="1" customWidth="1"/>
    <col min="3" max="3" width="41" bestFit="1" customWidth="1"/>
    <col min="4" max="4" width="18.28515625" bestFit="1" customWidth="1"/>
    <col min="5" max="5" width="14.140625" bestFit="1" customWidth="1"/>
    <col min="6" max="6" width="22" bestFit="1" customWidth="1"/>
    <col min="7" max="7" width="13.42578125" bestFit="1" customWidth="1"/>
    <col min="8" max="8" width="22.5703125" bestFit="1" customWidth="1"/>
    <col min="9" max="9" width="21" bestFit="1" customWidth="1"/>
    <col min="10" max="10" width="11" bestFit="1" customWidth="1"/>
    <col min="11" max="11" width="17" bestFit="1" customWidth="1"/>
  </cols>
  <sheetData>
    <row r="1" spans="1:13" ht="16.5" thickBot="1">
      <c r="A1" s="30" t="s">
        <v>1832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114" t="s">
        <v>7</v>
      </c>
      <c r="I1" s="950" t="s">
        <v>307</v>
      </c>
      <c r="J1" s="20" t="s">
        <v>370</v>
      </c>
      <c r="K1" s="948"/>
    </row>
    <row r="2" spans="1:13" ht="15.75">
      <c r="A2" s="954">
        <v>44749</v>
      </c>
      <c r="B2" s="955">
        <v>45109</v>
      </c>
      <c r="C2" s="289" t="s">
        <v>2069</v>
      </c>
      <c r="D2" s="289" t="s">
        <v>9</v>
      </c>
      <c r="E2" s="289" t="s">
        <v>10</v>
      </c>
      <c r="F2" s="956">
        <v>1730.08</v>
      </c>
      <c r="G2" s="957">
        <v>0.1</v>
      </c>
      <c r="H2" s="958">
        <v>159.16</v>
      </c>
      <c r="I2" s="907">
        <v>60</v>
      </c>
      <c r="J2" s="1547" t="s">
        <v>1478</v>
      </c>
      <c r="K2" s="959" t="s">
        <v>1472</v>
      </c>
      <c r="L2" s="739"/>
      <c r="M2" s="739" t="s">
        <v>442</v>
      </c>
    </row>
    <row r="3" spans="1:13" s="730" customFormat="1" ht="15.75">
      <c r="A3" s="1187">
        <v>44772</v>
      </c>
      <c r="B3" s="978">
        <v>45137</v>
      </c>
      <c r="C3" s="382" t="s">
        <v>1443</v>
      </c>
      <c r="D3" s="382" t="s">
        <v>448</v>
      </c>
      <c r="E3" s="382" t="s">
        <v>279</v>
      </c>
      <c r="F3" s="979">
        <v>2041.96</v>
      </c>
      <c r="G3" s="980">
        <v>0.1</v>
      </c>
      <c r="H3" s="976">
        <v>196.19</v>
      </c>
      <c r="I3" s="981">
        <v>19.61</v>
      </c>
      <c r="J3" s="382" t="s">
        <v>1470</v>
      </c>
      <c r="K3" s="977" t="s">
        <v>1472</v>
      </c>
      <c r="L3" s="731"/>
      <c r="M3" s="731"/>
    </row>
    <row r="4" spans="1:13" ht="15.75">
      <c r="A4" s="972">
        <v>44746</v>
      </c>
      <c r="B4" s="973">
        <v>45112</v>
      </c>
      <c r="C4" s="258" t="s">
        <v>1425</v>
      </c>
      <c r="D4" s="258" t="s">
        <v>448</v>
      </c>
      <c r="E4" s="258" t="s">
        <v>945</v>
      </c>
      <c r="F4" s="974">
        <v>2122.65</v>
      </c>
      <c r="G4" s="975">
        <v>0.15</v>
      </c>
      <c r="H4" s="976">
        <v>292.92</v>
      </c>
      <c r="I4" s="814">
        <v>29.29</v>
      </c>
      <c r="J4" s="382" t="s">
        <v>2070</v>
      </c>
      <c r="K4" s="977" t="s">
        <v>2015</v>
      </c>
      <c r="L4" s="731"/>
      <c r="M4" s="731"/>
    </row>
    <row r="5" spans="1:13" s="739" customFormat="1" ht="15.75">
      <c r="A5" s="972">
        <v>44747</v>
      </c>
      <c r="B5" s="973">
        <v>45114</v>
      </c>
      <c r="C5" s="258" t="s">
        <v>1524</v>
      </c>
      <c r="D5" s="258" t="s">
        <v>14</v>
      </c>
      <c r="E5" s="258" t="s">
        <v>10</v>
      </c>
      <c r="F5" s="974">
        <v>1574.78</v>
      </c>
      <c r="G5" s="975">
        <v>0.1</v>
      </c>
      <c r="H5" s="976">
        <v>144.87</v>
      </c>
      <c r="I5" s="814">
        <v>14.48</v>
      </c>
      <c r="J5" s="382" t="s">
        <v>2070</v>
      </c>
      <c r="K5" s="977" t="s">
        <v>2015</v>
      </c>
      <c r="L5" s="731"/>
      <c r="M5" s="731"/>
    </row>
    <row r="6" spans="1:13" s="731" customFormat="1" ht="15.75">
      <c r="A6" s="978">
        <v>44747</v>
      </c>
      <c r="B6" s="978">
        <v>45115</v>
      </c>
      <c r="C6" s="382" t="s">
        <v>1434</v>
      </c>
      <c r="D6" s="382" t="s">
        <v>14</v>
      </c>
      <c r="E6" s="382" t="s">
        <v>10</v>
      </c>
      <c r="F6" s="979">
        <v>1301.54</v>
      </c>
      <c r="G6" s="980">
        <v>0.15</v>
      </c>
      <c r="H6" s="976">
        <v>179.61</v>
      </c>
      <c r="I6" s="981">
        <v>17.96</v>
      </c>
      <c r="J6" s="382" t="s">
        <v>2070</v>
      </c>
      <c r="K6" s="977" t="s">
        <v>2015</v>
      </c>
    </row>
    <row r="7" spans="1:13" ht="15.75">
      <c r="A7" s="972">
        <v>44756</v>
      </c>
      <c r="B7" s="973">
        <v>45121</v>
      </c>
      <c r="C7" s="382" t="s">
        <v>1443</v>
      </c>
      <c r="D7" s="258" t="s">
        <v>9</v>
      </c>
      <c r="E7" s="258" t="s">
        <v>29</v>
      </c>
      <c r="F7" s="974">
        <v>2339.85</v>
      </c>
      <c r="G7" s="975">
        <v>0.1</v>
      </c>
      <c r="H7" s="976">
        <v>215.26</v>
      </c>
      <c r="I7" s="814">
        <v>21.52</v>
      </c>
      <c r="J7" s="382" t="s">
        <v>2070</v>
      </c>
      <c r="K7" s="977" t="s">
        <v>2015</v>
      </c>
      <c r="L7" s="731"/>
      <c r="M7" s="731"/>
    </row>
    <row r="8" spans="1:13" s="731" customFormat="1" ht="15.75">
      <c r="A8" s="990">
        <v>44760</v>
      </c>
      <c r="B8" s="991">
        <v>45119</v>
      </c>
      <c r="C8" s="534" t="s">
        <v>2071</v>
      </c>
      <c r="D8" s="534" t="s">
        <v>448</v>
      </c>
      <c r="E8" s="534" t="s">
        <v>10</v>
      </c>
      <c r="F8" s="992">
        <v>1683.88</v>
      </c>
      <c r="G8" s="993">
        <v>0.1</v>
      </c>
      <c r="H8" s="994">
        <v>154.91</v>
      </c>
      <c r="I8" s="995">
        <v>77.45</v>
      </c>
      <c r="J8" s="593" t="s">
        <v>1996</v>
      </c>
      <c r="K8" s="996" t="s">
        <v>2015</v>
      </c>
      <c r="L8" s="730"/>
      <c r="M8" s="730"/>
    </row>
    <row r="9" spans="1:13" s="731" customFormat="1" ht="15.75">
      <c r="A9" s="990">
        <v>44755</v>
      </c>
      <c r="B9" s="991">
        <v>45120</v>
      </c>
      <c r="C9" s="534" t="s">
        <v>1815</v>
      </c>
      <c r="D9" s="534" t="s">
        <v>9</v>
      </c>
      <c r="E9" s="534" t="s">
        <v>90</v>
      </c>
      <c r="F9" s="992">
        <v>3041.49</v>
      </c>
      <c r="G9" s="993">
        <v>0.1</v>
      </c>
      <c r="H9" s="994">
        <v>279.81</v>
      </c>
      <c r="I9" s="995">
        <v>139.9</v>
      </c>
      <c r="J9" s="593" t="s">
        <v>1996</v>
      </c>
      <c r="K9" s="996" t="s">
        <v>2015</v>
      </c>
      <c r="L9" s="730"/>
      <c r="M9" s="730"/>
    </row>
    <row r="10" spans="1:13" ht="15.75">
      <c r="A10" s="954">
        <v>44756</v>
      </c>
      <c r="B10" s="955">
        <v>45123</v>
      </c>
      <c r="C10" s="1547" t="s">
        <v>1824</v>
      </c>
      <c r="D10" s="289" t="s">
        <v>448</v>
      </c>
      <c r="E10" s="289" t="s">
        <v>10</v>
      </c>
      <c r="F10" s="956">
        <v>1999.12</v>
      </c>
      <c r="G10" s="957">
        <v>0.15</v>
      </c>
      <c r="H10" s="958">
        <v>275.87</v>
      </c>
      <c r="I10" s="907">
        <v>137.93</v>
      </c>
      <c r="J10" s="1547" t="s">
        <v>1996</v>
      </c>
      <c r="K10" s="959" t="s">
        <v>2015</v>
      </c>
    </row>
    <row r="11" spans="1:13" ht="15.75">
      <c r="A11" s="954">
        <v>44754</v>
      </c>
      <c r="B11" s="955">
        <v>45123</v>
      </c>
      <c r="C11" s="289" t="s">
        <v>1715</v>
      </c>
      <c r="D11" s="289" t="s">
        <v>448</v>
      </c>
      <c r="E11" s="289" t="s">
        <v>10</v>
      </c>
      <c r="F11" s="956">
        <v>3392.24</v>
      </c>
      <c r="G11" s="957">
        <v>0.1</v>
      </c>
      <c r="H11" s="958">
        <v>312.08</v>
      </c>
      <c r="I11" s="907">
        <v>156.04</v>
      </c>
      <c r="J11" s="1547" t="s">
        <v>1482</v>
      </c>
      <c r="K11" s="959" t="s">
        <v>2015</v>
      </c>
    </row>
    <row r="12" spans="1:13" ht="15.75">
      <c r="A12" s="990">
        <v>44769</v>
      </c>
      <c r="B12" s="991" t="s">
        <v>1547</v>
      </c>
      <c r="C12" s="534" t="s">
        <v>2072</v>
      </c>
      <c r="D12" s="534" t="s">
        <v>25</v>
      </c>
      <c r="E12" s="534" t="s">
        <v>945</v>
      </c>
      <c r="F12" s="992"/>
      <c r="G12" s="993"/>
      <c r="H12" s="994"/>
      <c r="I12" s="995"/>
      <c r="J12" s="593" t="s">
        <v>1482</v>
      </c>
      <c r="K12" s="996" t="s">
        <v>2027</v>
      </c>
      <c r="L12" s="730"/>
      <c r="M12" s="730"/>
    </row>
    <row r="13" spans="1:13" s="739" customFormat="1" ht="15.75">
      <c r="A13" s="990">
        <v>44733</v>
      </c>
      <c r="B13" s="991">
        <v>45109</v>
      </c>
      <c r="C13" s="593" t="s">
        <v>2073</v>
      </c>
      <c r="D13" s="534" t="s">
        <v>448</v>
      </c>
      <c r="E13" s="534" t="s">
        <v>10</v>
      </c>
      <c r="F13" s="992">
        <v>1758.22</v>
      </c>
      <c r="G13" s="993">
        <v>0.1</v>
      </c>
      <c r="H13" s="994">
        <v>161.75</v>
      </c>
      <c r="I13" s="995"/>
      <c r="J13" s="593"/>
      <c r="K13" s="996" t="s">
        <v>2074</v>
      </c>
      <c r="L13" s="730"/>
      <c r="M13" s="730"/>
    </row>
    <row r="14" spans="1:13" s="731" customFormat="1" ht="15.75">
      <c r="A14" s="954">
        <v>44743</v>
      </c>
      <c r="B14" s="955">
        <v>45110</v>
      </c>
      <c r="C14" s="494" t="s">
        <v>1431</v>
      </c>
      <c r="D14" s="289" t="s">
        <v>9</v>
      </c>
      <c r="E14" s="289" t="s">
        <v>90</v>
      </c>
      <c r="F14" s="956">
        <v>2392.4</v>
      </c>
      <c r="G14" s="957">
        <v>0.1</v>
      </c>
      <c r="H14" s="958">
        <v>220.1</v>
      </c>
      <c r="I14" s="907"/>
      <c r="J14" s="1547"/>
      <c r="K14" s="959" t="s">
        <v>2015</v>
      </c>
      <c r="L14"/>
      <c r="M14"/>
    </row>
    <row r="15" spans="1:13" ht="15.75">
      <c r="A15" s="960">
        <v>44743</v>
      </c>
      <c r="B15" s="960">
        <v>45110</v>
      </c>
      <c r="C15" s="1547" t="s">
        <v>1999</v>
      </c>
      <c r="D15" s="1547" t="s">
        <v>448</v>
      </c>
      <c r="E15" s="1547" t="s">
        <v>945</v>
      </c>
      <c r="F15" s="961">
        <v>1799.32</v>
      </c>
      <c r="G15" s="962">
        <v>0.1</v>
      </c>
      <c r="H15" s="958">
        <v>165.53</v>
      </c>
      <c r="I15" s="953"/>
      <c r="J15" s="1547"/>
      <c r="K15" s="959" t="s">
        <v>2015</v>
      </c>
      <c r="L15" s="739"/>
      <c r="M15" s="739"/>
    </row>
    <row r="16" spans="1:13" s="730" customFormat="1" ht="15.75">
      <c r="A16" s="963">
        <v>44750</v>
      </c>
      <c r="B16" s="964">
        <v>45110</v>
      </c>
      <c r="C16" s="924" t="s">
        <v>2075</v>
      </c>
      <c r="D16" s="494" t="s">
        <v>9</v>
      </c>
      <c r="E16" s="494" t="s">
        <v>22</v>
      </c>
      <c r="F16" s="965">
        <v>1558.67</v>
      </c>
      <c r="G16" s="966">
        <v>0.1</v>
      </c>
      <c r="H16" s="958">
        <v>143.38999999999999</v>
      </c>
      <c r="I16" s="922"/>
      <c r="J16" s="1547"/>
      <c r="K16" s="959" t="s">
        <v>2015</v>
      </c>
      <c r="L16"/>
      <c r="M16"/>
    </row>
    <row r="17" spans="1:13" ht="15.75">
      <c r="A17" s="954">
        <v>44742</v>
      </c>
      <c r="B17" s="955">
        <v>45112</v>
      </c>
      <c r="C17" s="289" t="s">
        <v>734</v>
      </c>
      <c r="D17" s="289" t="s">
        <v>25</v>
      </c>
      <c r="E17" s="289" t="s">
        <v>22</v>
      </c>
      <c r="F17" s="956">
        <v>3607.82</v>
      </c>
      <c r="G17" s="957">
        <v>0.15</v>
      </c>
      <c r="H17" s="958">
        <v>497.87</v>
      </c>
      <c r="I17" s="907"/>
      <c r="J17" s="1547"/>
      <c r="K17" s="959" t="s">
        <v>2015</v>
      </c>
    </row>
    <row r="18" spans="1:13" s="730" customFormat="1" ht="15.75">
      <c r="A18" s="954">
        <v>44748</v>
      </c>
      <c r="B18" s="955">
        <v>45113</v>
      </c>
      <c r="C18" s="289" t="s">
        <v>1814</v>
      </c>
      <c r="D18" s="289" t="s">
        <v>448</v>
      </c>
      <c r="E18" s="289" t="s">
        <v>945</v>
      </c>
      <c r="F18" s="956">
        <v>3208.38</v>
      </c>
      <c r="G18" s="957">
        <v>0.13</v>
      </c>
      <c r="H18" s="958">
        <v>383.72</v>
      </c>
      <c r="I18" s="907"/>
      <c r="J18" s="1547"/>
      <c r="K18" s="959" t="s">
        <v>2015</v>
      </c>
      <c r="L18"/>
      <c r="M18"/>
    </row>
    <row r="19" spans="1:13" ht="15.75">
      <c r="A19" s="954">
        <v>44749</v>
      </c>
      <c r="B19" s="955">
        <v>45114</v>
      </c>
      <c r="C19" s="289" t="s">
        <v>1359</v>
      </c>
      <c r="D19" s="289" t="s">
        <v>9</v>
      </c>
      <c r="E19" s="289" t="s">
        <v>279</v>
      </c>
      <c r="F19" s="956">
        <v>1782.4</v>
      </c>
      <c r="G19" s="957">
        <v>0.2</v>
      </c>
      <c r="H19" s="958">
        <v>327.96</v>
      </c>
      <c r="I19" s="907"/>
      <c r="J19" s="1547"/>
      <c r="K19" s="959" t="s">
        <v>1472</v>
      </c>
    </row>
    <row r="20" spans="1:13" ht="15.75">
      <c r="A20" s="960">
        <v>44747</v>
      </c>
      <c r="B20" s="960">
        <v>45115</v>
      </c>
      <c r="C20" s="1547" t="s">
        <v>1435</v>
      </c>
      <c r="D20" s="1547" t="s">
        <v>21</v>
      </c>
      <c r="E20" s="1547" t="s">
        <v>22</v>
      </c>
      <c r="F20" s="961">
        <v>2539.63</v>
      </c>
      <c r="G20" s="962">
        <v>0.1</v>
      </c>
      <c r="H20" s="958">
        <v>233.64</v>
      </c>
      <c r="I20" s="953"/>
      <c r="J20" s="1547"/>
      <c r="K20" s="959" t="s">
        <v>2015</v>
      </c>
    </row>
    <row r="21" spans="1:13" s="730" customFormat="1" ht="15.75">
      <c r="A21" s="963">
        <v>45115</v>
      </c>
      <c r="B21" s="967">
        <v>45116</v>
      </c>
      <c r="C21" s="494" t="s">
        <v>960</v>
      </c>
      <c r="D21" s="494" t="s">
        <v>9</v>
      </c>
      <c r="E21" s="494" t="s">
        <v>22</v>
      </c>
      <c r="F21" s="965">
        <v>1950.33</v>
      </c>
      <c r="G21" s="966">
        <v>0.11</v>
      </c>
      <c r="H21" s="958">
        <v>197.37</v>
      </c>
      <c r="I21" s="922"/>
      <c r="J21" s="1547"/>
      <c r="K21" s="959" t="s">
        <v>2015</v>
      </c>
      <c r="L21"/>
      <c r="M21"/>
    </row>
    <row r="22" spans="1:13" ht="15.75">
      <c r="A22" s="954">
        <v>44746</v>
      </c>
      <c r="B22" s="955">
        <v>45117</v>
      </c>
      <c r="C22" s="968" t="s">
        <v>2076</v>
      </c>
      <c r="D22" s="289" t="s">
        <v>21</v>
      </c>
      <c r="E22" s="289" t="s">
        <v>945</v>
      </c>
      <c r="F22" s="956">
        <v>697.44</v>
      </c>
      <c r="G22" s="957">
        <v>0.25</v>
      </c>
      <c r="H22" s="958">
        <v>160.41</v>
      </c>
      <c r="I22" s="907"/>
      <c r="J22" s="1547"/>
      <c r="K22" s="959" t="s">
        <v>2015</v>
      </c>
    </row>
    <row r="23" spans="1:13" ht="15.75">
      <c r="A23" s="990">
        <v>44750</v>
      </c>
      <c r="B23" s="991">
        <v>45117</v>
      </c>
      <c r="C23" s="534" t="s">
        <v>2077</v>
      </c>
      <c r="D23" s="534" t="s">
        <v>9</v>
      </c>
      <c r="E23" s="534" t="s">
        <v>90</v>
      </c>
      <c r="F23" s="992">
        <v>18612.740000000002</v>
      </c>
      <c r="G23" s="993">
        <v>0.1</v>
      </c>
      <c r="H23" s="994">
        <v>1712.37</v>
      </c>
      <c r="I23" s="995"/>
      <c r="J23" s="593"/>
      <c r="K23" s="996" t="s">
        <v>1667</v>
      </c>
      <c r="L23" s="730"/>
      <c r="M23" s="730"/>
    </row>
    <row r="24" spans="1:13" ht="15.75">
      <c r="A24" s="954">
        <v>44750</v>
      </c>
      <c r="B24" s="955">
        <v>45117</v>
      </c>
      <c r="C24" s="289" t="s">
        <v>964</v>
      </c>
      <c r="D24" s="289" t="s">
        <v>70</v>
      </c>
      <c r="E24" s="289" t="s">
        <v>279</v>
      </c>
      <c r="F24" s="956">
        <v>2451.85</v>
      </c>
      <c r="G24" s="957">
        <v>0.1</v>
      </c>
      <c r="H24" s="958">
        <v>225.57</v>
      </c>
      <c r="I24" s="907"/>
      <c r="J24" s="1547"/>
      <c r="K24" s="959" t="s">
        <v>2015</v>
      </c>
    </row>
    <row r="25" spans="1:13" ht="15.75">
      <c r="A25" s="954">
        <v>44753</v>
      </c>
      <c r="B25" s="955">
        <v>45119</v>
      </c>
      <c r="C25" s="289" t="s">
        <v>2078</v>
      </c>
      <c r="D25" s="289" t="s">
        <v>61</v>
      </c>
      <c r="E25" s="289" t="s">
        <v>22</v>
      </c>
      <c r="F25" s="956">
        <v>2354.37</v>
      </c>
      <c r="G25" s="957">
        <v>0.15</v>
      </c>
      <c r="H25" s="958">
        <v>324.89999999999998</v>
      </c>
      <c r="I25" s="907"/>
      <c r="J25" s="1547"/>
      <c r="K25" s="959" t="s">
        <v>2015</v>
      </c>
    </row>
    <row r="26" spans="1:13" ht="15.75">
      <c r="A26" s="954">
        <v>44755</v>
      </c>
      <c r="B26" s="955">
        <v>45119</v>
      </c>
      <c r="C26" s="1547" t="s">
        <v>1810</v>
      </c>
      <c r="D26" s="289" t="s">
        <v>448</v>
      </c>
      <c r="E26" s="289" t="s">
        <v>945</v>
      </c>
      <c r="F26" s="956">
        <v>2741.9</v>
      </c>
      <c r="G26" s="957">
        <v>0.1</v>
      </c>
      <c r="H26" s="969">
        <v>252.25</v>
      </c>
      <c r="I26" s="910"/>
      <c r="J26" s="1547"/>
      <c r="K26" s="959" t="s">
        <v>2015</v>
      </c>
    </row>
    <row r="27" spans="1:13" ht="15.75">
      <c r="A27" s="954">
        <v>44755</v>
      </c>
      <c r="B27" s="955">
        <v>45120</v>
      </c>
      <c r="C27" s="970" t="s">
        <v>1816</v>
      </c>
      <c r="D27" s="289" t="s">
        <v>9</v>
      </c>
      <c r="E27" s="289" t="s">
        <v>10</v>
      </c>
      <c r="F27" s="956">
        <v>2854.66</v>
      </c>
      <c r="G27" s="957">
        <v>0.1</v>
      </c>
      <c r="H27" s="958">
        <v>262.62</v>
      </c>
      <c r="I27" s="907"/>
      <c r="J27" s="1547"/>
      <c r="K27" s="959" t="s">
        <v>2015</v>
      </c>
    </row>
    <row r="28" spans="1:13" s="731" customFormat="1" ht="15.75">
      <c r="A28" s="954">
        <v>44755</v>
      </c>
      <c r="B28" s="955">
        <v>45120</v>
      </c>
      <c r="C28" s="289" t="s">
        <v>1811</v>
      </c>
      <c r="D28" s="289" t="s">
        <v>25</v>
      </c>
      <c r="E28" s="289" t="s">
        <v>10</v>
      </c>
      <c r="F28" s="956">
        <v>1258.42</v>
      </c>
      <c r="G28" s="957">
        <v>0.1</v>
      </c>
      <c r="H28" s="958">
        <v>115.77</v>
      </c>
      <c r="I28" s="907"/>
      <c r="J28" s="1547"/>
      <c r="K28" s="959" t="s">
        <v>2015</v>
      </c>
      <c r="L28"/>
      <c r="M28"/>
    </row>
    <row r="29" spans="1:13" ht="15.75">
      <c r="A29" s="960">
        <v>44755</v>
      </c>
      <c r="B29" s="960">
        <v>45120</v>
      </c>
      <c r="C29" s="1547" t="s">
        <v>1441</v>
      </c>
      <c r="D29" s="1547" t="s">
        <v>9</v>
      </c>
      <c r="E29" s="1547" t="s">
        <v>90</v>
      </c>
      <c r="F29" s="961">
        <v>2187.02</v>
      </c>
      <c r="G29" s="962">
        <v>0.1</v>
      </c>
      <c r="H29" s="958">
        <v>201.2</v>
      </c>
      <c r="I29" s="907"/>
      <c r="J29" s="1547"/>
      <c r="K29" s="959" t="s">
        <v>2015</v>
      </c>
    </row>
    <row r="30" spans="1:13" s="739" customFormat="1" ht="15.75">
      <c r="A30" s="960">
        <v>44757</v>
      </c>
      <c r="B30" s="960">
        <v>45122</v>
      </c>
      <c r="C30" s="1547" t="s">
        <v>1437</v>
      </c>
      <c r="D30" s="1547" t="s">
        <v>21</v>
      </c>
      <c r="E30" s="1547" t="s">
        <v>945</v>
      </c>
      <c r="F30" s="971">
        <v>1210.24</v>
      </c>
      <c r="G30" s="962">
        <v>0.2</v>
      </c>
      <c r="H30" s="971">
        <v>222.68</v>
      </c>
      <c r="I30" s="907"/>
      <c r="J30" s="1547"/>
      <c r="K30" s="959" t="s">
        <v>2015</v>
      </c>
      <c r="L30"/>
      <c r="M30"/>
    </row>
    <row r="31" spans="1:13" ht="15.75">
      <c r="A31" s="960">
        <v>44757</v>
      </c>
      <c r="B31" s="960">
        <v>45122</v>
      </c>
      <c r="C31" s="1547" t="s">
        <v>2079</v>
      </c>
      <c r="D31" s="1547" t="s">
        <v>14</v>
      </c>
      <c r="E31" s="1547" t="s">
        <v>22</v>
      </c>
      <c r="F31" s="971">
        <v>1733.07</v>
      </c>
      <c r="G31" s="962">
        <v>0.15</v>
      </c>
      <c r="H31" s="971">
        <v>239.16</v>
      </c>
      <c r="I31" s="907"/>
      <c r="J31" s="1547"/>
      <c r="K31" s="959" t="s">
        <v>2015</v>
      </c>
    </row>
    <row r="32" spans="1:13" ht="15.75">
      <c r="A32" s="954">
        <v>44756</v>
      </c>
      <c r="B32" s="955">
        <v>45124</v>
      </c>
      <c r="C32" s="289" t="s">
        <v>1438</v>
      </c>
      <c r="D32" s="289" t="s">
        <v>61</v>
      </c>
      <c r="E32" s="289" t="s">
        <v>10</v>
      </c>
      <c r="F32" s="956">
        <v>2526.65</v>
      </c>
      <c r="G32" s="957">
        <v>0.1</v>
      </c>
      <c r="H32" s="958">
        <v>232.45</v>
      </c>
      <c r="I32" s="907"/>
      <c r="J32" s="1547"/>
      <c r="K32" s="959" t="s">
        <v>2015</v>
      </c>
      <c r="L32" s="739"/>
      <c r="M32" s="739"/>
    </row>
    <row r="33" spans="1:13" ht="15.75">
      <c r="A33" s="954">
        <v>44757</v>
      </c>
      <c r="B33" s="955">
        <v>45124</v>
      </c>
      <c r="C33" s="289" t="s">
        <v>2080</v>
      </c>
      <c r="D33" s="289" t="s">
        <v>448</v>
      </c>
      <c r="E33" s="289" t="s">
        <v>10</v>
      </c>
      <c r="F33" s="956">
        <v>1252.3599999999999</v>
      </c>
      <c r="G33" s="957">
        <v>0.1</v>
      </c>
      <c r="H33" s="958">
        <v>115.21</v>
      </c>
      <c r="I33" s="907"/>
      <c r="J33" s="1547"/>
      <c r="K33" s="959" t="s">
        <v>2015</v>
      </c>
    </row>
    <row r="34" spans="1:13" ht="15.75">
      <c r="A34" s="954">
        <v>44762</v>
      </c>
      <c r="B34" s="955">
        <v>45127</v>
      </c>
      <c r="C34" s="289" t="s">
        <v>1826</v>
      </c>
      <c r="D34" s="289" t="s">
        <v>9</v>
      </c>
      <c r="E34" s="289" t="s">
        <v>90</v>
      </c>
      <c r="F34" s="956">
        <v>3013.92</v>
      </c>
      <c r="G34" s="957">
        <v>0.1</v>
      </c>
      <c r="H34" s="958">
        <v>277.27999999999997</v>
      </c>
      <c r="I34" s="907"/>
      <c r="J34" s="1547"/>
      <c r="K34" s="959" t="s">
        <v>2015</v>
      </c>
    </row>
    <row r="35" spans="1:13" ht="15.75">
      <c r="A35" s="954">
        <v>44757</v>
      </c>
      <c r="B35" s="955">
        <v>45128</v>
      </c>
      <c r="C35" s="289" t="s">
        <v>2081</v>
      </c>
      <c r="D35" s="289" t="s">
        <v>448</v>
      </c>
      <c r="E35" s="289" t="s">
        <v>22</v>
      </c>
      <c r="F35" s="1003">
        <v>2135.6799999999998</v>
      </c>
      <c r="G35" s="957">
        <v>0.1</v>
      </c>
      <c r="H35" s="971">
        <v>196.48</v>
      </c>
      <c r="I35" s="907"/>
      <c r="J35" s="1547"/>
      <c r="K35" s="959" t="s">
        <v>1472</v>
      </c>
    </row>
    <row r="36" spans="1:13" ht="15.75">
      <c r="A36" s="954">
        <v>44763</v>
      </c>
      <c r="B36" s="955">
        <v>45129</v>
      </c>
      <c r="C36" s="289" t="s">
        <v>2082</v>
      </c>
      <c r="D36" s="289" t="s">
        <v>448</v>
      </c>
      <c r="E36" s="289" t="s">
        <v>10</v>
      </c>
      <c r="F36" s="956">
        <v>2700.24</v>
      </c>
      <c r="G36" s="957">
        <v>0.15</v>
      </c>
      <c r="H36" s="958">
        <v>372.63</v>
      </c>
      <c r="I36" s="907"/>
      <c r="J36" s="1547"/>
      <c r="K36" s="959" t="s">
        <v>2015</v>
      </c>
    </row>
    <row r="37" spans="1:13" ht="15.75">
      <c r="A37" s="954">
        <v>44764</v>
      </c>
      <c r="B37" s="955">
        <v>45129</v>
      </c>
      <c r="C37" s="289" t="s">
        <v>972</v>
      </c>
      <c r="D37" s="289" t="s">
        <v>198</v>
      </c>
      <c r="E37" s="289" t="s">
        <v>22</v>
      </c>
      <c r="F37" s="956">
        <v>1434.39</v>
      </c>
      <c r="G37" s="957">
        <v>0.15</v>
      </c>
      <c r="H37" s="958">
        <v>197.94</v>
      </c>
      <c r="I37" s="907"/>
      <c r="J37" s="1547"/>
      <c r="K37" s="959" t="s">
        <v>2015</v>
      </c>
    </row>
    <row r="38" spans="1:13" ht="15.75">
      <c r="A38" s="954">
        <v>44764</v>
      </c>
      <c r="B38" s="955">
        <v>45129</v>
      </c>
      <c r="C38" s="289" t="s">
        <v>2083</v>
      </c>
      <c r="D38" s="289" t="s">
        <v>70</v>
      </c>
      <c r="E38" s="289" t="s">
        <v>279</v>
      </c>
      <c r="F38" s="956">
        <v>1243.92</v>
      </c>
      <c r="G38" s="957">
        <v>0.1</v>
      </c>
      <c r="H38" s="958">
        <v>114.44</v>
      </c>
      <c r="I38" s="907"/>
      <c r="J38" s="1547"/>
      <c r="K38" s="959" t="s">
        <v>2015</v>
      </c>
    </row>
    <row r="39" spans="1:13" ht="15.75">
      <c r="A39" s="954">
        <v>44771</v>
      </c>
      <c r="B39" s="955">
        <v>45129</v>
      </c>
      <c r="C39" s="289" t="s">
        <v>976</v>
      </c>
      <c r="D39" s="289" t="s">
        <v>61</v>
      </c>
      <c r="E39" s="289" t="s">
        <v>22</v>
      </c>
      <c r="F39" s="956">
        <v>3253.87</v>
      </c>
      <c r="G39" s="957">
        <v>0.1</v>
      </c>
      <c r="H39" s="958">
        <v>299.35000000000002</v>
      </c>
      <c r="I39" s="907"/>
      <c r="J39" s="1547"/>
      <c r="K39" s="959" t="s">
        <v>2015</v>
      </c>
    </row>
    <row r="40" spans="1:13" s="730" customFormat="1" ht="15.75">
      <c r="A40" s="954">
        <v>44763</v>
      </c>
      <c r="B40" s="955">
        <v>45131</v>
      </c>
      <c r="C40" s="289" t="s">
        <v>2084</v>
      </c>
      <c r="D40" s="289" t="s">
        <v>14</v>
      </c>
      <c r="E40" s="289" t="s">
        <v>143</v>
      </c>
      <c r="F40" s="956">
        <v>2572.88</v>
      </c>
      <c r="G40" s="957">
        <v>0.06</v>
      </c>
      <c r="H40" s="958">
        <v>142.02000000000001</v>
      </c>
      <c r="I40" s="907"/>
      <c r="J40" s="1547"/>
      <c r="K40" s="959" t="s">
        <v>2015</v>
      </c>
      <c r="L40"/>
      <c r="M40"/>
    </row>
    <row r="41" spans="1:13" ht="15.75">
      <c r="A41" s="954">
        <v>44769</v>
      </c>
      <c r="B41" s="955">
        <v>45134</v>
      </c>
      <c r="C41" s="289" t="s">
        <v>748</v>
      </c>
      <c r="D41" s="289" t="s">
        <v>14</v>
      </c>
      <c r="E41" s="289" t="s">
        <v>22</v>
      </c>
      <c r="F41" s="956">
        <v>1569.33</v>
      </c>
      <c r="G41" s="957">
        <v>0.15</v>
      </c>
      <c r="H41" s="958">
        <v>144.37</v>
      </c>
      <c r="I41" s="907"/>
      <c r="J41" s="1547"/>
      <c r="K41" s="959" t="s">
        <v>2015</v>
      </c>
    </row>
    <row r="42" spans="1:13" s="731" customFormat="1" ht="15.75">
      <c r="A42" s="954">
        <v>44755</v>
      </c>
      <c r="B42" s="955" t="s">
        <v>510</v>
      </c>
      <c r="C42" s="289" t="s">
        <v>2085</v>
      </c>
      <c r="D42" s="289" t="s">
        <v>61</v>
      </c>
      <c r="E42" s="289" t="s">
        <v>10</v>
      </c>
      <c r="F42" s="956">
        <v>1473.62</v>
      </c>
      <c r="G42" s="957">
        <v>0.15</v>
      </c>
      <c r="H42" s="958">
        <v>203.35</v>
      </c>
      <c r="I42" s="907"/>
      <c r="J42" s="1547"/>
      <c r="K42" s="959" t="s">
        <v>510</v>
      </c>
      <c r="L42"/>
      <c r="M42"/>
    </row>
    <row r="43" spans="1:13" ht="15.75">
      <c r="A43" s="954"/>
      <c r="B43" s="955" t="s">
        <v>1805</v>
      </c>
      <c r="C43" s="289" t="s">
        <v>2086</v>
      </c>
      <c r="D43" s="289" t="s">
        <v>25</v>
      </c>
      <c r="E43" s="289" t="s">
        <v>458</v>
      </c>
      <c r="F43" s="956"/>
      <c r="G43" s="957"/>
      <c r="H43" s="958"/>
      <c r="I43" s="907"/>
      <c r="J43" s="1547"/>
      <c r="K43" s="959"/>
    </row>
    <row r="44" spans="1:13" ht="15.75">
      <c r="A44" s="954"/>
      <c r="B44" s="955"/>
      <c r="C44" s="289"/>
      <c r="D44" s="289"/>
      <c r="E44" s="289"/>
      <c r="F44" s="956"/>
      <c r="G44" s="957"/>
      <c r="H44" s="958"/>
      <c r="I44" s="907"/>
      <c r="J44" s="1547"/>
      <c r="K44" s="959"/>
    </row>
    <row r="45" spans="1:13" ht="15.75">
      <c r="A45" s="954"/>
      <c r="B45" s="955"/>
      <c r="C45" s="289"/>
      <c r="D45" s="289"/>
      <c r="E45" s="289"/>
      <c r="F45" s="956"/>
      <c r="G45" s="957"/>
      <c r="H45" s="958"/>
      <c r="I45" s="907"/>
      <c r="J45" s="1547"/>
      <c r="K45" s="959"/>
    </row>
    <row r="46" spans="1:13" ht="15.75">
      <c r="A46" s="954"/>
      <c r="B46" s="955"/>
      <c r="C46" s="1547"/>
      <c r="D46" s="289"/>
      <c r="E46" s="289"/>
      <c r="F46" s="956"/>
      <c r="G46" s="957"/>
      <c r="H46" s="958"/>
      <c r="I46" s="907"/>
      <c r="J46" s="1547"/>
      <c r="K46" s="959"/>
    </row>
    <row r="47" spans="1:13" ht="15.75">
      <c r="A47" s="954"/>
      <c r="B47" s="955"/>
      <c r="C47" s="1547"/>
      <c r="D47" s="289"/>
      <c r="E47" s="289"/>
      <c r="F47" s="956"/>
      <c r="G47" s="957"/>
      <c r="H47" s="958"/>
      <c r="I47" s="907"/>
      <c r="J47" s="1547"/>
      <c r="K47" s="959"/>
    </row>
    <row r="48" spans="1:13" ht="15.75">
      <c r="A48" s="954"/>
      <c r="B48" s="955"/>
      <c r="C48" s="289"/>
      <c r="D48" s="289"/>
      <c r="E48" s="289"/>
      <c r="F48" s="956"/>
      <c r="G48" s="957"/>
      <c r="H48" s="958"/>
      <c r="I48" s="907"/>
      <c r="J48" s="1547"/>
      <c r="K48" s="959"/>
    </row>
    <row r="49" spans="1:11" ht="15.75">
      <c r="A49" s="954"/>
      <c r="B49" s="955"/>
      <c r="C49" s="289"/>
      <c r="D49" s="289"/>
      <c r="E49" s="289"/>
      <c r="F49" s="956"/>
      <c r="G49" s="957"/>
      <c r="H49" s="958"/>
      <c r="I49" s="907"/>
      <c r="J49" s="1547"/>
      <c r="K49" s="959"/>
    </row>
    <row r="50" spans="1:11" ht="16.5" thickBot="1">
      <c r="A50" s="954"/>
      <c r="B50" s="955"/>
      <c r="C50" s="289"/>
      <c r="D50" s="289"/>
      <c r="E50" s="289"/>
      <c r="F50" s="956"/>
      <c r="G50" s="957"/>
      <c r="H50" s="958"/>
      <c r="I50" s="907"/>
      <c r="J50" s="1547"/>
      <c r="K50" s="959"/>
    </row>
    <row r="51" spans="1:11" ht="20.25" thickBot="1">
      <c r="A51" s="939"/>
      <c r="B51" s="940"/>
      <c r="C51" s="940"/>
      <c r="D51" s="940"/>
      <c r="E51" s="940"/>
      <c r="F51" s="941">
        <f>SUM(F2:F50)</f>
        <v>101103.33</v>
      </c>
      <c r="G51" s="942"/>
      <c r="H51" s="943">
        <f>SUM(H2:H50)</f>
        <v>10554.460000000003</v>
      </c>
      <c r="I51" s="952">
        <f>SUM(I2:I50)</f>
        <v>674.18000000000006</v>
      </c>
      <c r="J51" s="162"/>
      <c r="K51" s="948"/>
    </row>
  </sheetData>
  <autoFilter ref="A1:M1" xr:uid="{64F561C5-C1F5-4804-ACB6-AEFBB127B2CD}">
    <sortState xmlns:xlrd2="http://schemas.microsoft.com/office/spreadsheetml/2017/richdata2" ref="A2:M43">
      <sortCondition ref="J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B1B15-65B0-44B8-B433-31668F722FEC}">
  <dimension ref="A1:M50"/>
  <sheetViews>
    <sheetView zoomScale="90" zoomScaleNormal="90" workbookViewId="0">
      <selection activeCell="J46" sqref="J46"/>
    </sheetView>
  </sheetViews>
  <sheetFormatPr defaultRowHeight="15"/>
  <cols>
    <col min="1" max="1" width="14" bestFit="1" customWidth="1"/>
    <col min="2" max="2" width="12.5703125" bestFit="1" customWidth="1"/>
    <col min="3" max="3" width="45.42578125" style="1035" bestFit="1" customWidth="1"/>
    <col min="4" max="4" width="18.28515625" bestFit="1" customWidth="1"/>
    <col min="5" max="5" width="14.140625" bestFit="1" customWidth="1"/>
    <col min="6" max="6" width="20.42578125" bestFit="1" customWidth="1"/>
    <col min="7" max="7" width="13.42578125" bestFit="1" customWidth="1"/>
    <col min="8" max="8" width="22.5703125" bestFit="1" customWidth="1"/>
    <col min="9" max="9" width="21" bestFit="1" customWidth="1"/>
    <col min="10" max="10" width="11" bestFit="1" customWidth="1"/>
    <col min="11" max="11" width="17" bestFit="1" customWidth="1"/>
  </cols>
  <sheetData>
    <row r="1" spans="1:13" ht="16.5" thickBot="1">
      <c r="A1" s="30" t="s">
        <v>1832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114" t="s">
        <v>7</v>
      </c>
      <c r="I1" s="950" t="s">
        <v>307</v>
      </c>
      <c r="J1" s="20" t="s">
        <v>370</v>
      </c>
      <c r="K1" s="948"/>
    </row>
    <row r="2" spans="1:13" ht="15.75">
      <c r="A2" s="1244">
        <v>44789</v>
      </c>
      <c r="B2" s="1245">
        <v>45154</v>
      </c>
      <c r="C2" s="1246" t="s">
        <v>2087</v>
      </c>
      <c r="D2" s="289" t="s">
        <v>448</v>
      </c>
      <c r="E2" s="289" t="s">
        <v>10</v>
      </c>
      <c r="F2" s="956">
        <v>2036.55</v>
      </c>
      <c r="G2" s="957">
        <v>0.15</v>
      </c>
      <c r="H2" s="958">
        <v>281.04000000000002</v>
      </c>
      <c r="I2" s="907">
        <v>6</v>
      </c>
      <c r="J2" s="1547" t="s">
        <v>2088</v>
      </c>
      <c r="K2" s="959" t="s">
        <v>2015</v>
      </c>
    </row>
    <row r="3" spans="1:13" ht="15.75">
      <c r="A3" s="1281">
        <v>44778</v>
      </c>
      <c r="B3" s="1282">
        <v>45143</v>
      </c>
      <c r="C3" s="1283" t="s">
        <v>1462</v>
      </c>
      <c r="D3" s="382" t="s">
        <v>70</v>
      </c>
      <c r="E3" s="382" t="s">
        <v>90</v>
      </c>
      <c r="F3" s="979">
        <v>2884.59</v>
      </c>
      <c r="G3" s="980">
        <v>0.1</v>
      </c>
      <c r="H3" s="976">
        <v>265.38</v>
      </c>
      <c r="I3" s="981">
        <v>26.53</v>
      </c>
      <c r="J3" s="382" t="s">
        <v>1470</v>
      </c>
      <c r="K3" s="977" t="s">
        <v>2015</v>
      </c>
      <c r="L3" s="731"/>
      <c r="M3" s="731"/>
    </row>
    <row r="4" spans="1:13" s="731" customFormat="1" ht="15.75">
      <c r="A4" s="1256">
        <v>44799</v>
      </c>
      <c r="B4" s="1257">
        <v>45164</v>
      </c>
      <c r="C4" s="1258" t="s">
        <v>2089</v>
      </c>
      <c r="D4" s="258" t="s">
        <v>149</v>
      </c>
      <c r="E4" s="258" t="s">
        <v>945</v>
      </c>
      <c r="F4" s="974">
        <v>1427.02</v>
      </c>
      <c r="G4" s="975">
        <v>0.1</v>
      </c>
      <c r="H4" s="976">
        <v>131.28</v>
      </c>
      <c r="I4" s="814"/>
      <c r="J4" s="382" t="s">
        <v>1470</v>
      </c>
      <c r="K4" s="977" t="s">
        <v>1472</v>
      </c>
    </row>
    <row r="5" spans="1:13" s="739" customFormat="1" ht="15.75">
      <c r="A5" s="1256">
        <v>44792</v>
      </c>
      <c r="B5" s="1257">
        <v>45157</v>
      </c>
      <c r="C5" s="1258" t="s">
        <v>2090</v>
      </c>
      <c r="D5" s="258" t="s">
        <v>14</v>
      </c>
      <c r="E5" s="258" t="s">
        <v>10</v>
      </c>
      <c r="F5" s="1002">
        <v>5716.12</v>
      </c>
      <c r="G5" s="975">
        <v>0.1</v>
      </c>
      <c r="H5" s="989">
        <v>525.88</v>
      </c>
      <c r="I5" s="814"/>
      <c r="J5" s="382" t="s">
        <v>1513</v>
      </c>
      <c r="K5" s="977" t="s">
        <v>1472</v>
      </c>
      <c r="L5" s="731"/>
      <c r="M5" s="731"/>
    </row>
    <row r="6" spans="1:13" ht="15.75">
      <c r="A6" s="1282">
        <v>44804</v>
      </c>
      <c r="B6" s="1282">
        <v>45169</v>
      </c>
      <c r="C6" s="1283" t="s">
        <v>2091</v>
      </c>
      <c r="D6" s="382" t="s">
        <v>9</v>
      </c>
      <c r="E6" s="382" t="s">
        <v>1310</v>
      </c>
      <c r="F6" s="979">
        <v>2349.16</v>
      </c>
      <c r="G6" s="980">
        <v>0.17</v>
      </c>
      <c r="H6" s="976">
        <v>367.4</v>
      </c>
      <c r="I6" s="981"/>
      <c r="J6" s="382" t="s">
        <v>1470</v>
      </c>
      <c r="K6" s="997" t="s">
        <v>2015</v>
      </c>
      <c r="L6" s="741"/>
      <c r="M6" s="741"/>
    </row>
    <row r="7" spans="1:13" ht="15.75">
      <c r="A7" s="1244">
        <v>44790</v>
      </c>
      <c r="B7" s="1245">
        <v>45156</v>
      </c>
      <c r="C7" s="1248" t="s">
        <v>2092</v>
      </c>
      <c r="D7" s="289" t="s">
        <v>61</v>
      </c>
      <c r="E7" s="289" t="s">
        <v>1310</v>
      </c>
      <c r="F7" s="956">
        <v>2191.61</v>
      </c>
      <c r="G7" s="957">
        <v>0.1</v>
      </c>
      <c r="H7" s="958">
        <v>201.62</v>
      </c>
      <c r="I7" s="907">
        <v>100.81</v>
      </c>
      <c r="J7" s="1547" t="s">
        <v>1577</v>
      </c>
      <c r="K7" s="959" t="s">
        <v>2015</v>
      </c>
    </row>
    <row r="8" spans="1:13" s="731" customFormat="1" ht="15.75">
      <c r="A8" s="1244">
        <v>44803</v>
      </c>
      <c r="B8" s="1245">
        <v>45149</v>
      </c>
      <c r="C8" s="1246" t="s">
        <v>1845</v>
      </c>
      <c r="D8" s="289" t="s">
        <v>198</v>
      </c>
      <c r="E8" s="289" t="s">
        <v>22</v>
      </c>
      <c r="F8" s="956">
        <v>2450.09</v>
      </c>
      <c r="G8" s="957">
        <v>0.1</v>
      </c>
      <c r="H8" s="958">
        <v>225.4</v>
      </c>
      <c r="I8" s="907">
        <v>112.7</v>
      </c>
      <c r="J8" s="1547" t="s">
        <v>491</v>
      </c>
      <c r="K8" s="959" t="s">
        <v>2015</v>
      </c>
      <c r="L8"/>
      <c r="M8"/>
    </row>
    <row r="9" spans="1:13" s="731" customFormat="1" ht="15.75">
      <c r="A9" s="1244">
        <v>44795</v>
      </c>
      <c r="B9" s="1245">
        <v>45160</v>
      </c>
      <c r="C9" s="1246" t="s">
        <v>1465</v>
      </c>
      <c r="D9" s="289" t="s">
        <v>9</v>
      </c>
      <c r="E9" s="289" t="s">
        <v>1310</v>
      </c>
      <c r="F9" s="956">
        <v>2641.67</v>
      </c>
      <c r="G9" s="957">
        <v>0.15</v>
      </c>
      <c r="H9" s="958">
        <v>364.55</v>
      </c>
      <c r="I9" s="907">
        <v>182.27</v>
      </c>
      <c r="J9" s="1547" t="s">
        <v>491</v>
      </c>
      <c r="K9" s="959" t="s">
        <v>2015</v>
      </c>
      <c r="L9"/>
      <c r="M9"/>
    </row>
    <row r="10" spans="1:13" ht="15.75">
      <c r="A10" s="1244">
        <v>44797</v>
      </c>
      <c r="B10" s="1245">
        <v>45162</v>
      </c>
      <c r="C10" s="1248" t="s">
        <v>1645</v>
      </c>
      <c r="D10" s="289" t="s">
        <v>448</v>
      </c>
      <c r="E10" s="289" t="s">
        <v>279</v>
      </c>
      <c r="F10" s="956">
        <v>1511.4</v>
      </c>
      <c r="G10" s="957">
        <v>0.1</v>
      </c>
      <c r="H10" s="958">
        <v>139.04</v>
      </c>
      <c r="I10" s="907">
        <v>69.52</v>
      </c>
      <c r="J10" s="1547" t="s">
        <v>491</v>
      </c>
      <c r="K10" s="959" t="s">
        <v>1472</v>
      </c>
    </row>
    <row r="11" spans="1:13" ht="15.75">
      <c r="A11" s="1244">
        <v>44802</v>
      </c>
      <c r="B11" s="1245">
        <v>45165</v>
      </c>
      <c r="C11" s="1246" t="s">
        <v>2093</v>
      </c>
      <c r="D11" s="289" t="s">
        <v>198</v>
      </c>
      <c r="E11" s="289" t="s">
        <v>945</v>
      </c>
      <c r="F11" s="956">
        <v>1284.8699999999999</v>
      </c>
      <c r="G11" s="957">
        <v>0.1</v>
      </c>
      <c r="H11" s="958">
        <v>118.2</v>
      </c>
      <c r="I11" s="907">
        <v>59.1</v>
      </c>
      <c r="J11" s="1547" t="s">
        <v>2094</v>
      </c>
      <c r="K11" s="959" t="s">
        <v>2015</v>
      </c>
    </row>
    <row r="12" spans="1:13" ht="15.75">
      <c r="A12" s="1244">
        <v>44783</v>
      </c>
      <c r="B12" s="1245">
        <v>45149</v>
      </c>
      <c r="C12" s="1246" t="s">
        <v>991</v>
      </c>
      <c r="D12" s="289" t="s">
        <v>9</v>
      </c>
      <c r="E12" s="289" t="s">
        <v>90</v>
      </c>
      <c r="F12" s="956">
        <v>2645.32</v>
      </c>
      <c r="G12" s="957">
        <v>0.1</v>
      </c>
      <c r="H12" s="958">
        <v>243.36</v>
      </c>
      <c r="I12" s="907">
        <v>121.68</v>
      </c>
      <c r="J12" s="1547" t="s">
        <v>1482</v>
      </c>
      <c r="K12" s="959" t="s">
        <v>2015</v>
      </c>
    </row>
    <row r="13" spans="1:13" s="739" customFormat="1" ht="15.75">
      <c r="A13" s="1244">
        <v>44791</v>
      </c>
      <c r="B13" s="1245">
        <v>45160</v>
      </c>
      <c r="C13" s="1248" t="s">
        <v>2095</v>
      </c>
      <c r="D13" s="289" t="s">
        <v>9</v>
      </c>
      <c r="E13" s="289" t="s">
        <v>1641</v>
      </c>
      <c r="F13" s="1003">
        <v>2582.09</v>
      </c>
      <c r="G13" s="957">
        <v>0.15</v>
      </c>
      <c r="H13" s="971">
        <v>356.32</v>
      </c>
      <c r="I13" s="907">
        <v>178.16</v>
      </c>
      <c r="J13" s="1547" t="s">
        <v>1482</v>
      </c>
      <c r="K13" s="959" t="s">
        <v>2015</v>
      </c>
      <c r="L13"/>
      <c r="M13"/>
    </row>
    <row r="14" spans="1:13" s="731" customFormat="1" ht="15.75">
      <c r="A14" s="1244">
        <v>44788</v>
      </c>
      <c r="B14" s="1245">
        <v>45151</v>
      </c>
      <c r="C14" s="1249" t="s">
        <v>1001</v>
      </c>
      <c r="D14" s="289" t="s">
        <v>61</v>
      </c>
      <c r="E14" s="289" t="s">
        <v>10</v>
      </c>
      <c r="F14" s="956">
        <v>1556.39</v>
      </c>
      <c r="G14" s="957">
        <v>0.1</v>
      </c>
      <c r="H14" s="958">
        <v>143.18</v>
      </c>
      <c r="I14" s="907">
        <v>71.59</v>
      </c>
      <c r="J14" s="1547" t="s">
        <v>1396</v>
      </c>
      <c r="K14" s="959" t="s">
        <v>2015</v>
      </c>
      <c r="L14"/>
      <c r="M14"/>
    </row>
    <row r="15" spans="1:13" ht="15.75">
      <c r="A15" s="1247">
        <v>44777</v>
      </c>
      <c r="B15" s="1247">
        <v>45143</v>
      </c>
      <c r="C15" s="1248" t="s">
        <v>987</v>
      </c>
      <c r="D15" s="1547" t="s">
        <v>25</v>
      </c>
      <c r="E15" s="1547" t="s">
        <v>10</v>
      </c>
      <c r="F15" s="961">
        <v>1951.97</v>
      </c>
      <c r="G15" s="962">
        <v>0.1</v>
      </c>
      <c r="H15" s="958">
        <v>179.58</v>
      </c>
      <c r="I15" s="953"/>
      <c r="J15" s="1547"/>
      <c r="K15" s="959" t="s">
        <v>2015</v>
      </c>
    </row>
    <row r="16" spans="1:13" ht="15.75">
      <c r="A16" s="1250">
        <v>44778</v>
      </c>
      <c r="B16" s="1251">
        <v>45144</v>
      </c>
      <c r="C16" s="1252" t="s">
        <v>330</v>
      </c>
      <c r="D16" s="494" t="s">
        <v>9</v>
      </c>
      <c r="E16" s="494" t="s">
        <v>1310</v>
      </c>
      <c r="F16" s="965">
        <v>2077.83</v>
      </c>
      <c r="G16" s="966">
        <v>0.1</v>
      </c>
      <c r="H16" s="958">
        <v>191.16</v>
      </c>
      <c r="I16" s="922"/>
      <c r="J16" s="1547"/>
      <c r="K16" s="959" t="s">
        <v>2015</v>
      </c>
    </row>
    <row r="17" spans="1:13" ht="15.75">
      <c r="A17" s="1244">
        <v>44781</v>
      </c>
      <c r="B17" s="1245">
        <v>45146</v>
      </c>
      <c r="C17" s="1246" t="s">
        <v>1469</v>
      </c>
      <c r="D17" s="289" t="s">
        <v>448</v>
      </c>
      <c r="E17" s="289" t="s">
        <v>10</v>
      </c>
      <c r="F17" s="956">
        <v>2491.79</v>
      </c>
      <c r="G17" s="957">
        <v>0.1</v>
      </c>
      <c r="H17" s="958">
        <v>229.24</v>
      </c>
      <c r="I17" s="907"/>
      <c r="J17" s="1547"/>
      <c r="K17" s="959" t="s">
        <v>2015</v>
      </c>
      <c r="L17" s="739"/>
      <c r="M17" s="739"/>
    </row>
    <row r="18" spans="1:13" ht="15.75">
      <c r="A18" s="1244">
        <v>44781</v>
      </c>
      <c r="B18" s="1245">
        <v>45146</v>
      </c>
      <c r="C18" s="1246" t="s">
        <v>953</v>
      </c>
      <c r="D18" s="289" t="s">
        <v>61</v>
      </c>
      <c r="E18" s="289" t="s">
        <v>1641</v>
      </c>
      <c r="F18" s="956">
        <v>3827.4</v>
      </c>
      <c r="G18" s="957">
        <v>0.1</v>
      </c>
      <c r="H18" s="958">
        <v>352.12</v>
      </c>
      <c r="I18" s="907"/>
      <c r="J18" s="1547"/>
      <c r="K18" s="959" t="s">
        <v>2015</v>
      </c>
    </row>
    <row r="19" spans="1:13" ht="15.75">
      <c r="A19" s="1244">
        <v>44781</v>
      </c>
      <c r="B19" s="1245">
        <v>45146</v>
      </c>
      <c r="C19" s="1246" t="s">
        <v>2096</v>
      </c>
      <c r="D19" s="289" t="s">
        <v>9</v>
      </c>
      <c r="E19" s="289" t="s">
        <v>1641</v>
      </c>
      <c r="F19" s="956">
        <v>2676.92</v>
      </c>
      <c r="G19" s="957">
        <v>0.1</v>
      </c>
      <c r="H19" s="958">
        <v>246.27</v>
      </c>
      <c r="I19" s="907" t="s">
        <v>442</v>
      </c>
      <c r="J19" s="1547"/>
      <c r="K19" s="959" t="s">
        <v>2015</v>
      </c>
    </row>
    <row r="20" spans="1:13" ht="15.75">
      <c r="A20" s="1247">
        <v>44782</v>
      </c>
      <c r="B20" s="1247">
        <v>45147</v>
      </c>
      <c r="C20" s="1248" t="s">
        <v>2097</v>
      </c>
      <c r="D20" s="1547" t="s">
        <v>149</v>
      </c>
      <c r="E20" s="1547" t="s">
        <v>10</v>
      </c>
      <c r="F20" s="961">
        <v>1685.18</v>
      </c>
      <c r="G20" s="962">
        <v>0.1</v>
      </c>
      <c r="H20" s="958">
        <v>155.03</v>
      </c>
      <c r="I20" s="953"/>
      <c r="J20" s="1547"/>
      <c r="K20" s="959" t="s">
        <v>2015</v>
      </c>
      <c r="L20" s="731"/>
      <c r="M20" s="731"/>
    </row>
    <row r="21" spans="1:13" ht="15.75">
      <c r="A21" s="1250">
        <v>44783</v>
      </c>
      <c r="B21" s="1253">
        <v>45148</v>
      </c>
      <c r="C21" s="1249" t="s">
        <v>1842</v>
      </c>
      <c r="D21" s="494" t="s">
        <v>448</v>
      </c>
      <c r="E21" s="494" t="s">
        <v>945</v>
      </c>
      <c r="F21" s="965">
        <v>3218.46</v>
      </c>
      <c r="G21" s="966">
        <v>0.15</v>
      </c>
      <c r="H21" s="958">
        <v>444.14</v>
      </c>
      <c r="I21" s="922"/>
      <c r="J21" s="1547"/>
      <c r="K21" s="959" t="s">
        <v>2015</v>
      </c>
    </row>
    <row r="22" spans="1:13" ht="15.75">
      <c r="A22" s="1244">
        <v>44784</v>
      </c>
      <c r="B22" s="1245">
        <v>45148</v>
      </c>
      <c r="C22" s="1254" t="s">
        <v>994</v>
      </c>
      <c r="D22" s="289" t="s">
        <v>9</v>
      </c>
      <c r="E22" s="289" t="s">
        <v>1552</v>
      </c>
      <c r="F22" s="956">
        <v>2587.37</v>
      </c>
      <c r="G22" s="957">
        <v>0.1</v>
      </c>
      <c r="H22" s="958">
        <v>238.03</v>
      </c>
      <c r="I22" s="907"/>
      <c r="J22" s="1547"/>
      <c r="K22" s="959" t="s">
        <v>2015</v>
      </c>
    </row>
    <row r="23" spans="1:13" ht="15.75">
      <c r="A23" s="1244">
        <v>44783</v>
      </c>
      <c r="B23" s="1245">
        <v>45150</v>
      </c>
      <c r="C23" s="1246" t="s">
        <v>1840</v>
      </c>
      <c r="D23" s="289" t="s">
        <v>448</v>
      </c>
      <c r="E23" s="289" t="s">
        <v>10</v>
      </c>
      <c r="F23" s="956">
        <v>1752.24</v>
      </c>
      <c r="G23" s="957">
        <v>0.1</v>
      </c>
      <c r="H23" s="958">
        <v>161.19999999999999</v>
      </c>
      <c r="I23" s="907"/>
      <c r="J23" s="1547"/>
      <c r="K23" s="959" t="s">
        <v>2015</v>
      </c>
      <c r="L23" s="731"/>
      <c r="M23" s="731"/>
    </row>
    <row r="24" spans="1:13" ht="15.75">
      <c r="A24" s="1244">
        <v>44784</v>
      </c>
      <c r="B24" s="1245">
        <v>45150</v>
      </c>
      <c r="C24" s="1246" t="s">
        <v>1186</v>
      </c>
      <c r="D24" s="289" t="s">
        <v>448</v>
      </c>
      <c r="E24" s="289" t="s">
        <v>10</v>
      </c>
      <c r="F24" s="956">
        <v>1924.84</v>
      </c>
      <c r="G24" s="957">
        <v>0.1</v>
      </c>
      <c r="H24" s="958">
        <v>177.08</v>
      </c>
      <c r="I24" s="907"/>
      <c r="J24" s="1547"/>
      <c r="K24" s="959" t="s">
        <v>2015</v>
      </c>
      <c r="L24" s="739"/>
      <c r="M24" s="739" t="s">
        <v>442</v>
      </c>
    </row>
    <row r="25" spans="1:13" ht="15.75">
      <c r="A25" s="1244">
        <v>44789</v>
      </c>
      <c r="B25" s="1245">
        <v>45151</v>
      </c>
      <c r="C25" s="1246" t="s">
        <v>1486</v>
      </c>
      <c r="D25" s="289" t="s">
        <v>448</v>
      </c>
      <c r="E25" s="289" t="s">
        <v>10</v>
      </c>
      <c r="F25" s="956">
        <v>2692.6</v>
      </c>
      <c r="G25" s="957">
        <v>0.1</v>
      </c>
      <c r="H25" s="969">
        <v>247.71</v>
      </c>
      <c r="I25" s="910"/>
      <c r="J25" s="1547"/>
      <c r="K25" s="959" t="s">
        <v>2015</v>
      </c>
    </row>
    <row r="26" spans="1:13" ht="15.75">
      <c r="A26" s="1244">
        <v>44788</v>
      </c>
      <c r="B26" s="1245">
        <v>45152</v>
      </c>
      <c r="C26" s="1248" t="s">
        <v>1848</v>
      </c>
      <c r="D26" s="289" t="s">
        <v>149</v>
      </c>
      <c r="E26" s="289" t="s">
        <v>1641</v>
      </c>
      <c r="F26" s="956">
        <v>2474.09</v>
      </c>
      <c r="G26" s="957">
        <v>0.1</v>
      </c>
      <c r="H26" s="958">
        <v>227.61</v>
      </c>
      <c r="I26" s="907"/>
      <c r="J26" s="1547"/>
      <c r="K26" s="959" t="s">
        <v>2015</v>
      </c>
    </row>
    <row r="27" spans="1:13" ht="15.75">
      <c r="A27" s="1244">
        <v>44788</v>
      </c>
      <c r="B27" s="1245">
        <v>45153</v>
      </c>
      <c r="C27" s="1255" t="s">
        <v>1847</v>
      </c>
      <c r="D27" s="289" t="s">
        <v>61</v>
      </c>
      <c r="E27" s="289" t="s">
        <v>1641</v>
      </c>
      <c r="F27" s="956">
        <v>3388.31</v>
      </c>
      <c r="G27" s="957">
        <v>0.1</v>
      </c>
      <c r="H27" s="958">
        <v>311.72000000000003</v>
      </c>
      <c r="I27" s="907"/>
      <c r="J27" s="1547"/>
      <c r="K27" s="959" t="s">
        <v>2015</v>
      </c>
    </row>
    <row r="28" spans="1:13" s="731" customFormat="1" ht="15" customHeight="1">
      <c r="A28" s="1244">
        <v>44788</v>
      </c>
      <c r="B28" s="1245">
        <v>45153</v>
      </c>
      <c r="C28" s="1246" t="s">
        <v>998</v>
      </c>
      <c r="D28" s="289" t="s">
        <v>448</v>
      </c>
      <c r="E28" s="289" t="s">
        <v>945</v>
      </c>
      <c r="F28" s="956">
        <v>2753.97</v>
      </c>
      <c r="G28" s="957">
        <v>0.15</v>
      </c>
      <c r="H28" s="958">
        <v>380.04</v>
      </c>
      <c r="I28" s="907"/>
      <c r="J28" s="1547"/>
      <c r="K28" s="959" t="s">
        <v>2015</v>
      </c>
      <c r="L28"/>
      <c r="M28"/>
    </row>
    <row r="29" spans="1:13" ht="15.75">
      <c r="A29" s="1247">
        <v>44788</v>
      </c>
      <c r="B29" s="1247">
        <v>45153</v>
      </c>
      <c r="C29" s="1248" t="s">
        <v>1846</v>
      </c>
      <c r="D29" s="1547" t="s">
        <v>61</v>
      </c>
      <c r="E29" s="1547" t="s">
        <v>10</v>
      </c>
      <c r="F29" s="961">
        <v>1369.27</v>
      </c>
      <c r="G29" s="962">
        <v>0.1</v>
      </c>
      <c r="H29" s="958">
        <v>125.97</v>
      </c>
      <c r="I29" s="907"/>
      <c r="J29" s="1547"/>
      <c r="K29" s="959" t="s">
        <v>2015</v>
      </c>
    </row>
    <row r="30" spans="1:13" s="731" customFormat="1" ht="15.75">
      <c r="A30" s="1247">
        <v>44788</v>
      </c>
      <c r="B30" s="1247">
        <v>45153</v>
      </c>
      <c r="C30" s="1248" t="s">
        <v>759</v>
      </c>
      <c r="D30" s="1547" t="s">
        <v>61</v>
      </c>
      <c r="E30" s="1547" t="s">
        <v>22</v>
      </c>
      <c r="F30" s="961">
        <v>1623.85</v>
      </c>
      <c r="G30" s="962">
        <v>0.1</v>
      </c>
      <c r="H30" s="958">
        <v>149.38999999999999</v>
      </c>
      <c r="I30" s="907"/>
      <c r="J30" s="1547"/>
      <c r="K30" s="959" t="s">
        <v>2015</v>
      </c>
      <c r="L30"/>
      <c r="M30"/>
    </row>
    <row r="31" spans="1:13" ht="15.75">
      <c r="A31" s="1247">
        <v>44789</v>
      </c>
      <c r="B31" s="1247">
        <v>45154</v>
      </c>
      <c r="C31" s="1248" t="s">
        <v>1489</v>
      </c>
      <c r="D31" s="1547" t="s">
        <v>448</v>
      </c>
      <c r="E31" s="1547" t="s">
        <v>10</v>
      </c>
      <c r="F31" s="961">
        <v>1922.36</v>
      </c>
      <c r="G31" s="962">
        <v>0.1</v>
      </c>
      <c r="H31" s="958">
        <v>176.85</v>
      </c>
      <c r="I31" s="907"/>
      <c r="J31" s="1547"/>
      <c r="K31" s="959" t="s">
        <v>2015</v>
      </c>
    </row>
    <row r="32" spans="1:13" ht="15.75">
      <c r="A32" s="1244">
        <v>44789</v>
      </c>
      <c r="B32" s="1245">
        <v>45154</v>
      </c>
      <c r="C32" s="1246" t="s">
        <v>760</v>
      </c>
      <c r="D32" s="289" t="s">
        <v>21</v>
      </c>
      <c r="E32" s="289" t="s">
        <v>279</v>
      </c>
      <c r="F32" s="956">
        <v>2062.5300000000002</v>
      </c>
      <c r="G32" s="957">
        <v>0.1</v>
      </c>
      <c r="H32" s="958">
        <v>189.75</v>
      </c>
      <c r="I32" s="907"/>
      <c r="J32" s="1547"/>
      <c r="K32" s="959" t="s">
        <v>2015</v>
      </c>
    </row>
    <row r="33" spans="1:13" ht="15.75">
      <c r="A33" s="1244">
        <v>44790</v>
      </c>
      <c r="B33" s="1245">
        <v>45156</v>
      </c>
      <c r="C33" s="1246" t="s">
        <v>1353</v>
      </c>
      <c r="D33" s="289" t="s">
        <v>9</v>
      </c>
      <c r="E33" s="289" t="s">
        <v>10</v>
      </c>
      <c r="F33" s="956">
        <v>1356.43</v>
      </c>
      <c r="G33" s="957">
        <v>0.15</v>
      </c>
      <c r="H33" s="958">
        <v>187.18</v>
      </c>
      <c r="I33" s="907"/>
      <c r="J33" s="1547"/>
      <c r="K33" s="959" t="s">
        <v>2015</v>
      </c>
    </row>
    <row r="34" spans="1:13" ht="15.75">
      <c r="A34" s="1244">
        <v>44790</v>
      </c>
      <c r="B34" s="1245">
        <v>45157</v>
      </c>
      <c r="C34" s="1246" t="s">
        <v>1495</v>
      </c>
      <c r="D34" s="289" t="s">
        <v>448</v>
      </c>
      <c r="E34" s="289" t="s">
        <v>10</v>
      </c>
      <c r="F34" s="956">
        <v>2210.85</v>
      </c>
      <c r="G34" s="957">
        <v>0.1</v>
      </c>
      <c r="H34" s="958">
        <v>203.39</v>
      </c>
      <c r="I34" s="907"/>
      <c r="J34" s="1547"/>
      <c r="K34" s="959" t="s">
        <v>2015</v>
      </c>
    </row>
    <row r="35" spans="1:13" ht="15.75">
      <c r="A35" s="1244">
        <v>44791</v>
      </c>
      <c r="B35" s="1245">
        <v>45158</v>
      </c>
      <c r="C35" s="1246" t="s">
        <v>1855</v>
      </c>
      <c r="D35" s="289" t="s">
        <v>14</v>
      </c>
      <c r="E35" s="289" t="s">
        <v>438</v>
      </c>
      <c r="F35" s="956">
        <v>1517.9</v>
      </c>
      <c r="G35" s="957">
        <v>0.1</v>
      </c>
      <c r="H35" s="958">
        <v>139.63999999999999</v>
      </c>
      <c r="I35" s="907"/>
      <c r="J35" s="1547"/>
      <c r="K35" s="959" t="s">
        <v>2015</v>
      </c>
      <c r="L35" s="731"/>
      <c r="M35" s="731"/>
    </row>
    <row r="36" spans="1:13" ht="15.75">
      <c r="A36" s="1244">
        <v>44797</v>
      </c>
      <c r="B36" s="1245">
        <v>45162</v>
      </c>
      <c r="C36" s="1246" t="s">
        <v>1019</v>
      </c>
      <c r="D36" s="289" t="s">
        <v>448</v>
      </c>
      <c r="E36" s="289" t="s">
        <v>10</v>
      </c>
      <c r="F36" s="1003">
        <v>1871.04</v>
      </c>
      <c r="G36" s="957">
        <v>0.15</v>
      </c>
      <c r="H36" s="971">
        <v>258.2</v>
      </c>
      <c r="I36" s="907"/>
      <c r="J36" s="1547"/>
      <c r="K36" s="959" t="s">
        <v>2015</v>
      </c>
    </row>
    <row r="37" spans="1:13" ht="15.75">
      <c r="A37" s="1244">
        <v>44799</v>
      </c>
      <c r="B37" s="1245">
        <v>45164</v>
      </c>
      <c r="C37" s="1246" t="s">
        <v>2098</v>
      </c>
      <c r="D37" s="289" t="s">
        <v>9</v>
      </c>
      <c r="E37" s="289" t="s">
        <v>279</v>
      </c>
      <c r="F37" s="956">
        <v>1220.33</v>
      </c>
      <c r="G37" s="957">
        <v>0.1</v>
      </c>
      <c r="H37" s="958">
        <v>112.27</v>
      </c>
      <c r="I37" s="907"/>
      <c r="J37" s="1547"/>
      <c r="K37" s="959" t="s">
        <v>2015</v>
      </c>
    </row>
    <row r="38" spans="1:13" ht="15.75">
      <c r="A38" s="1244">
        <v>44799</v>
      </c>
      <c r="B38" s="1245">
        <v>45164</v>
      </c>
      <c r="C38" s="1246" t="s">
        <v>2099</v>
      </c>
      <c r="D38" s="289" t="s">
        <v>448</v>
      </c>
      <c r="E38" s="289" t="s">
        <v>279</v>
      </c>
      <c r="F38" s="956">
        <v>1592.13</v>
      </c>
      <c r="G38" s="957">
        <v>0.1</v>
      </c>
      <c r="H38" s="958">
        <v>146.47</v>
      </c>
      <c r="I38" s="907"/>
      <c r="J38" s="1547"/>
      <c r="K38" s="959" t="s">
        <v>1472</v>
      </c>
    </row>
    <row r="39" spans="1:13" ht="15.75">
      <c r="A39" s="1244">
        <v>44797</v>
      </c>
      <c r="B39" s="1245">
        <v>45165</v>
      </c>
      <c r="C39" s="1246" t="s">
        <v>1025</v>
      </c>
      <c r="D39" s="289" t="s">
        <v>448</v>
      </c>
      <c r="E39" s="289" t="s">
        <v>10</v>
      </c>
      <c r="F39" s="956">
        <v>1581.66</v>
      </c>
      <c r="G39" s="957">
        <v>0.2</v>
      </c>
      <c r="H39" s="958">
        <v>291.02</v>
      </c>
      <c r="I39" s="907"/>
      <c r="J39" s="1547"/>
      <c r="K39" s="959" t="s">
        <v>2015</v>
      </c>
    </row>
    <row r="40" spans="1:13" ht="15.75">
      <c r="A40" s="1244">
        <v>44799</v>
      </c>
      <c r="B40" s="1245">
        <v>45165</v>
      </c>
      <c r="C40" s="1246" t="s">
        <v>2100</v>
      </c>
      <c r="D40" s="289" t="s">
        <v>448</v>
      </c>
      <c r="E40" s="289" t="s">
        <v>279</v>
      </c>
      <c r="F40" s="956">
        <v>2719.43</v>
      </c>
      <c r="G40" s="957">
        <v>0.1</v>
      </c>
      <c r="H40" s="958">
        <v>250.18</v>
      </c>
      <c r="I40" s="907"/>
      <c r="J40" s="1547"/>
      <c r="K40" s="959" t="s">
        <v>2015</v>
      </c>
    </row>
    <row r="41" spans="1:13" s="741" customFormat="1" ht="15.75">
      <c r="A41" s="1244">
        <v>44802</v>
      </c>
      <c r="B41" s="1245">
        <v>45167</v>
      </c>
      <c r="C41" s="1246" t="s">
        <v>1026</v>
      </c>
      <c r="D41" s="289" t="s">
        <v>14</v>
      </c>
      <c r="E41" s="289" t="s">
        <v>1310</v>
      </c>
      <c r="F41" s="956">
        <v>2816.44</v>
      </c>
      <c r="G41" s="957">
        <v>0.1</v>
      </c>
      <c r="H41" s="958">
        <v>259.11</v>
      </c>
      <c r="I41" s="907"/>
      <c r="J41" s="1547"/>
      <c r="K41" s="959" t="s">
        <v>2015</v>
      </c>
      <c r="L41"/>
      <c r="M41"/>
    </row>
    <row r="42" spans="1:13" ht="15.75">
      <c r="A42" s="1244">
        <v>44797</v>
      </c>
      <c r="B42" s="1245">
        <v>45169</v>
      </c>
      <c r="C42" s="1246" t="s">
        <v>1857</v>
      </c>
      <c r="D42" s="289" t="s">
        <v>448</v>
      </c>
      <c r="E42" s="289" t="s">
        <v>10</v>
      </c>
      <c r="F42" s="956">
        <v>2391.37</v>
      </c>
      <c r="G42" s="957">
        <v>0.1</v>
      </c>
      <c r="H42" s="958">
        <v>220</v>
      </c>
      <c r="I42" s="907"/>
      <c r="J42" s="1547"/>
      <c r="K42" s="959" t="s">
        <v>2015</v>
      </c>
    </row>
    <row r="43" spans="1:13" ht="15.75">
      <c r="A43" s="1244">
        <v>44804</v>
      </c>
      <c r="B43" s="1245">
        <v>45169</v>
      </c>
      <c r="C43" s="1246" t="s">
        <v>1504</v>
      </c>
      <c r="D43" s="289" t="s">
        <v>9</v>
      </c>
      <c r="E43" s="289" t="s">
        <v>90</v>
      </c>
      <c r="F43" s="956">
        <v>2417.36</v>
      </c>
      <c r="G43" s="957">
        <v>0.15</v>
      </c>
      <c r="H43" s="958">
        <v>333.59</v>
      </c>
      <c r="I43" s="907"/>
      <c r="J43" s="1547"/>
      <c r="K43" s="959" t="s">
        <v>2015</v>
      </c>
    </row>
    <row r="44" spans="1:13" ht="15.75">
      <c r="A44" s="954"/>
      <c r="B44" s="955"/>
      <c r="C44" s="1026"/>
      <c r="D44" s="289"/>
      <c r="E44" s="289"/>
      <c r="F44" s="956"/>
      <c r="G44" s="957"/>
      <c r="H44" s="958"/>
      <c r="I44" s="907"/>
      <c r="J44" s="1547"/>
      <c r="K44" s="959"/>
    </row>
    <row r="45" spans="1:13" ht="15.75">
      <c r="A45" s="954"/>
      <c r="B45" s="955"/>
      <c r="C45" s="1025"/>
      <c r="D45" s="289"/>
      <c r="E45" s="289"/>
      <c r="F45" s="956"/>
      <c r="G45" s="957"/>
      <c r="H45" s="958"/>
      <c r="I45" s="907"/>
      <c r="J45" s="1547"/>
      <c r="K45" s="959"/>
    </row>
    <row r="46" spans="1:13" ht="15.75">
      <c r="A46" s="954"/>
      <c r="B46" s="955"/>
      <c r="C46" s="1025"/>
      <c r="D46" s="289"/>
      <c r="E46" s="289"/>
      <c r="F46" s="956"/>
      <c r="G46" s="957"/>
      <c r="H46" s="958"/>
      <c r="I46" s="907"/>
      <c r="J46" s="1547"/>
      <c r="K46" s="959"/>
    </row>
    <row r="47" spans="1:13" ht="15.75">
      <c r="A47" s="954"/>
      <c r="B47" s="955"/>
      <c r="C47" s="1026"/>
      <c r="D47" s="289"/>
      <c r="E47" s="289"/>
      <c r="F47" s="956"/>
      <c r="G47" s="957"/>
      <c r="H47" s="958"/>
      <c r="I47" s="907"/>
      <c r="J47" s="1547"/>
      <c r="K47" s="959"/>
    </row>
    <row r="48" spans="1:13" ht="15.75">
      <c r="A48" s="954"/>
      <c r="B48" s="955"/>
      <c r="C48" s="1026"/>
      <c r="D48" s="289"/>
      <c r="E48" s="289"/>
      <c r="F48" s="956"/>
      <c r="G48" s="957"/>
      <c r="H48" s="958"/>
      <c r="I48" s="907"/>
      <c r="J48" s="1547"/>
      <c r="K48" s="959"/>
    </row>
    <row r="49" spans="1:11" ht="16.5" thickBot="1">
      <c r="A49" s="954"/>
      <c r="B49" s="955"/>
      <c r="C49" s="1026"/>
      <c r="D49" s="289"/>
      <c r="E49" s="289"/>
      <c r="F49" s="956"/>
      <c r="G49" s="957"/>
      <c r="H49" s="958"/>
      <c r="I49" s="907"/>
      <c r="J49" s="1547"/>
      <c r="K49" s="959"/>
    </row>
    <row r="50" spans="1:11" ht="20.25" thickBot="1">
      <c r="A50" s="939"/>
      <c r="B50" s="940"/>
      <c r="C50" s="1034"/>
      <c r="D50" s="940"/>
      <c r="E50" s="940"/>
      <c r="F50" s="941">
        <f>SUM(F2:F49)</f>
        <v>95452.799999999988</v>
      </c>
      <c r="G50" s="942"/>
      <c r="H50" s="943">
        <f>SUM(H2:H49)</f>
        <v>9946.5900000000038</v>
      </c>
      <c r="I50" s="952">
        <f>SUM(I2:I49)</f>
        <v>928.36000000000013</v>
      </c>
      <c r="J50" s="162"/>
      <c r="K50" s="948"/>
    </row>
  </sheetData>
  <autoFilter ref="A1:M1" xr:uid="{073B1B15-65B0-44B8-B433-31668F722FEC}">
    <sortState xmlns:xlrd2="http://schemas.microsoft.com/office/spreadsheetml/2017/richdata2" ref="A2:M43">
      <sortCondition ref="J1"/>
    </sortState>
  </autoFilter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53A0F-5868-4FBA-8E12-C929E3FD6763}">
  <dimension ref="A1:K49"/>
  <sheetViews>
    <sheetView topLeftCell="A23" zoomScale="85" zoomScaleNormal="85" workbookViewId="0">
      <selection activeCell="J20" sqref="J20"/>
    </sheetView>
  </sheetViews>
  <sheetFormatPr defaultRowHeight="15"/>
  <cols>
    <col min="1" max="1" width="14" bestFit="1" customWidth="1"/>
    <col min="2" max="2" width="12.5703125" bestFit="1" customWidth="1"/>
    <col min="3" max="3" width="52.85546875" style="1010" bestFit="1" customWidth="1"/>
    <col min="4" max="4" width="18.28515625" bestFit="1" customWidth="1"/>
    <col min="5" max="5" width="14.140625" bestFit="1" customWidth="1"/>
    <col min="6" max="6" width="22" style="1006" bestFit="1" customWidth="1"/>
    <col min="7" max="7" width="13.42578125" bestFit="1" customWidth="1"/>
    <col min="8" max="8" width="22.5703125" bestFit="1" customWidth="1"/>
    <col min="9" max="9" width="21" bestFit="1" customWidth="1"/>
    <col min="10" max="10" width="11" bestFit="1" customWidth="1"/>
    <col min="11" max="11" width="17" bestFit="1" customWidth="1"/>
  </cols>
  <sheetData>
    <row r="1" spans="1:11" ht="16.5" thickBot="1">
      <c r="A1" s="30" t="s">
        <v>1832</v>
      </c>
      <c r="B1" s="3" t="s">
        <v>2</v>
      </c>
      <c r="C1" s="1011" t="s">
        <v>3</v>
      </c>
      <c r="D1" s="3" t="s">
        <v>4</v>
      </c>
      <c r="E1" s="3" t="s">
        <v>5</v>
      </c>
      <c r="F1" s="339" t="s">
        <v>644</v>
      </c>
      <c r="G1" s="3" t="s">
        <v>555</v>
      </c>
      <c r="H1" s="114" t="s">
        <v>7</v>
      </c>
      <c r="I1" s="950" t="s">
        <v>307</v>
      </c>
      <c r="J1" s="20" t="s">
        <v>370</v>
      </c>
      <c r="K1" s="948"/>
    </row>
    <row r="2" spans="1:11" s="731" customFormat="1" ht="15.75">
      <c r="A2" s="972">
        <v>44806</v>
      </c>
      <c r="B2" s="973">
        <v>45171</v>
      </c>
      <c r="C2" s="279" t="s">
        <v>2101</v>
      </c>
      <c r="D2" s="258" t="s">
        <v>14</v>
      </c>
      <c r="E2" s="258" t="s">
        <v>948</v>
      </c>
      <c r="F2" s="1002">
        <v>2700.02</v>
      </c>
      <c r="G2" s="975">
        <v>0.1</v>
      </c>
      <c r="H2" s="976">
        <v>248.4</v>
      </c>
      <c r="I2" s="814"/>
      <c r="J2" s="382" t="s">
        <v>1513</v>
      </c>
      <c r="K2" s="977" t="s">
        <v>1472</v>
      </c>
    </row>
    <row r="3" spans="1:11" s="739" customFormat="1" ht="15.75">
      <c r="A3" s="1487">
        <v>44806</v>
      </c>
      <c r="B3" s="960">
        <v>45172</v>
      </c>
      <c r="C3" s="901" t="s">
        <v>2102</v>
      </c>
      <c r="D3" s="1547" t="s">
        <v>14</v>
      </c>
      <c r="E3" s="1547" t="s">
        <v>948</v>
      </c>
      <c r="F3" s="971">
        <v>2589.12</v>
      </c>
      <c r="G3" s="962">
        <v>0.2</v>
      </c>
      <c r="H3" s="958">
        <v>476.39</v>
      </c>
      <c r="I3" s="953"/>
      <c r="J3" s="1547"/>
      <c r="K3" s="959" t="s">
        <v>2015</v>
      </c>
    </row>
    <row r="4" spans="1:11" s="739" customFormat="1" ht="15.75">
      <c r="A4" s="954">
        <v>44806</v>
      </c>
      <c r="B4" s="955">
        <v>45173</v>
      </c>
      <c r="C4" s="1012" t="s">
        <v>1574</v>
      </c>
      <c r="D4" s="289" t="s">
        <v>70</v>
      </c>
      <c r="E4" s="289" t="s">
        <v>279</v>
      </c>
      <c r="F4" s="1003">
        <v>3188</v>
      </c>
      <c r="G4" s="957">
        <v>0.1</v>
      </c>
      <c r="H4" s="958">
        <v>293.29000000000002</v>
      </c>
      <c r="I4" s="907"/>
      <c r="J4" s="1547"/>
      <c r="K4" s="959" t="s">
        <v>2015</v>
      </c>
    </row>
    <row r="5" spans="1:11" s="739" customFormat="1" ht="15.75">
      <c r="A5" s="954">
        <v>44809</v>
      </c>
      <c r="B5" s="955">
        <v>45174</v>
      </c>
      <c r="C5" s="1012" t="s">
        <v>1987</v>
      </c>
      <c r="D5" s="289" t="s">
        <v>9</v>
      </c>
      <c r="E5" s="289" t="s">
        <v>143</v>
      </c>
      <c r="F5" s="1003">
        <v>4023.36</v>
      </c>
      <c r="G5" s="957">
        <v>0.1</v>
      </c>
      <c r="H5" s="958">
        <v>370.14</v>
      </c>
      <c r="I5" s="907"/>
      <c r="J5" s="1547"/>
      <c r="K5" s="959" t="s">
        <v>1472</v>
      </c>
    </row>
    <row r="6" spans="1:11" s="739" customFormat="1" ht="15.75">
      <c r="A6" s="960">
        <v>44810</v>
      </c>
      <c r="B6" s="960">
        <v>45175</v>
      </c>
      <c r="C6" s="901" t="s">
        <v>1138</v>
      </c>
      <c r="D6" s="1547" t="s">
        <v>9</v>
      </c>
      <c r="E6" s="1547" t="s">
        <v>1310</v>
      </c>
      <c r="F6" s="971">
        <v>2442.46</v>
      </c>
      <c r="G6" s="962">
        <v>0.1</v>
      </c>
      <c r="H6" s="958">
        <v>224.7</v>
      </c>
      <c r="I6" s="953">
        <v>112.35</v>
      </c>
      <c r="J6" s="1547" t="s">
        <v>1482</v>
      </c>
      <c r="K6" s="959" t="s">
        <v>2015</v>
      </c>
    </row>
    <row r="7" spans="1:11" s="739" customFormat="1" ht="15.75">
      <c r="A7" s="954">
        <v>44810</v>
      </c>
      <c r="B7" s="955">
        <v>45177</v>
      </c>
      <c r="C7" s="901" t="s">
        <v>1691</v>
      </c>
      <c r="D7" s="289" t="s">
        <v>9</v>
      </c>
      <c r="E7" s="289" t="s">
        <v>1641</v>
      </c>
      <c r="F7" s="1003">
        <v>2146</v>
      </c>
      <c r="G7" s="957">
        <v>0.1</v>
      </c>
      <c r="H7" s="958">
        <v>197.43</v>
      </c>
      <c r="I7" s="907">
        <v>98.71</v>
      </c>
      <c r="J7" s="1547" t="s">
        <v>1996</v>
      </c>
      <c r="K7" s="959" t="s">
        <v>2015</v>
      </c>
    </row>
    <row r="8" spans="1:11" s="739" customFormat="1" ht="15.75">
      <c r="A8" s="954">
        <v>44813</v>
      </c>
      <c r="B8" s="955">
        <v>45178</v>
      </c>
      <c r="C8" s="1012" t="s">
        <v>1864</v>
      </c>
      <c r="D8" s="289" t="s">
        <v>9</v>
      </c>
      <c r="E8" s="289" t="s">
        <v>1310</v>
      </c>
      <c r="F8" s="1003">
        <v>2225.7800000000002</v>
      </c>
      <c r="G8" s="957">
        <v>0.2</v>
      </c>
      <c r="H8" s="958">
        <v>409.54</v>
      </c>
      <c r="I8" s="907">
        <v>204.77</v>
      </c>
      <c r="J8" s="1547" t="s">
        <v>1759</v>
      </c>
      <c r="K8" s="959" t="s">
        <v>2015</v>
      </c>
    </row>
    <row r="9" spans="1:11" s="739" customFormat="1" ht="15.75">
      <c r="A9" s="954">
        <v>44816</v>
      </c>
      <c r="B9" s="955">
        <v>45178</v>
      </c>
      <c r="C9" s="1012" t="s">
        <v>2103</v>
      </c>
      <c r="D9" s="289" t="s">
        <v>448</v>
      </c>
      <c r="E9" s="289" t="s">
        <v>19</v>
      </c>
      <c r="F9" s="1003">
        <v>2088.23</v>
      </c>
      <c r="G9" s="957">
        <v>0.1</v>
      </c>
      <c r="H9" s="958">
        <v>192.11</v>
      </c>
      <c r="I9" s="907"/>
      <c r="J9" s="1547"/>
      <c r="K9" s="959" t="s">
        <v>2015</v>
      </c>
    </row>
    <row r="10" spans="1:11" s="731" customFormat="1" ht="15.75">
      <c r="A10" s="972">
        <v>44810</v>
      </c>
      <c r="B10" s="973">
        <v>45181</v>
      </c>
      <c r="C10" s="946" t="s">
        <v>1326</v>
      </c>
      <c r="D10" s="258" t="s">
        <v>61</v>
      </c>
      <c r="E10" s="258" t="s">
        <v>22</v>
      </c>
      <c r="F10" s="1002">
        <v>4890.17</v>
      </c>
      <c r="G10" s="975">
        <v>0.1</v>
      </c>
      <c r="H10" s="976">
        <v>449.89</v>
      </c>
      <c r="I10" s="814">
        <v>44.98</v>
      </c>
      <c r="J10" s="382" t="s">
        <v>1558</v>
      </c>
      <c r="K10" s="977" t="s">
        <v>2015</v>
      </c>
    </row>
    <row r="11" spans="1:11" s="739" customFormat="1" ht="15.75">
      <c r="A11" s="954">
        <v>44816</v>
      </c>
      <c r="B11" s="955">
        <v>45181</v>
      </c>
      <c r="C11" s="1012" t="s">
        <v>1043</v>
      </c>
      <c r="D11" s="289" t="s">
        <v>448</v>
      </c>
      <c r="E11" s="289" t="s">
        <v>19</v>
      </c>
      <c r="F11" s="1003">
        <v>2498.5700000000002</v>
      </c>
      <c r="G11" s="957">
        <v>0.1</v>
      </c>
      <c r="H11" s="958">
        <v>229.86</v>
      </c>
      <c r="I11" s="907"/>
      <c r="J11" s="1547"/>
      <c r="K11" s="959" t="s">
        <v>2015</v>
      </c>
    </row>
    <row r="12" spans="1:11" s="739" customFormat="1" ht="15.75">
      <c r="A12" s="954">
        <v>44816</v>
      </c>
      <c r="B12" s="955">
        <v>45181</v>
      </c>
      <c r="C12" s="1012" t="s">
        <v>1984</v>
      </c>
      <c r="D12" s="289" t="s">
        <v>448</v>
      </c>
      <c r="E12" s="289" t="s">
        <v>22</v>
      </c>
      <c r="F12" s="1003">
        <v>1828.61</v>
      </c>
      <c r="G12" s="957">
        <v>0.1</v>
      </c>
      <c r="H12" s="958">
        <v>168.23</v>
      </c>
      <c r="I12" s="907"/>
      <c r="J12" s="1547"/>
      <c r="K12" s="959" t="s">
        <v>1472</v>
      </c>
    </row>
    <row r="13" spans="1:11" s="739" customFormat="1" ht="15.75">
      <c r="A13" s="990">
        <v>44817</v>
      </c>
      <c r="B13" s="991">
        <v>45182</v>
      </c>
      <c r="C13" s="1271" t="s">
        <v>2104</v>
      </c>
      <c r="D13" s="534" t="s">
        <v>9</v>
      </c>
      <c r="E13" s="534" t="s">
        <v>143</v>
      </c>
      <c r="F13" s="1492"/>
      <c r="G13" s="993">
        <v>0.1</v>
      </c>
      <c r="H13" s="994"/>
      <c r="I13" s="995"/>
      <c r="J13" s="593"/>
      <c r="K13" s="1008" t="s">
        <v>2015</v>
      </c>
    </row>
    <row r="14" spans="1:11" s="739" customFormat="1" ht="15.75">
      <c r="A14" s="954">
        <v>44813</v>
      </c>
      <c r="B14" s="955">
        <v>45183</v>
      </c>
      <c r="C14" s="1013" t="s">
        <v>1866</v>
      </c>
      <c r="D14" s="289" t="s">
        <v>70</v>
      </c>
      <c r="E14" s="289" t="s">
        <v>22</v>
      </c>
      <c r="F14" s="1003">
        <v>870.38</v>
      </c>
      <c r="G14" s="957">
        <v>0.1</v>
      </c>
      <c r="H14" s="958">
        <v>80.069999999999993</v>
      </c>
      <c r="I14" s="907"/>
      <c r="J14" s="1547"/>
      <c r="K14" s="959" t="s">
        <v>2015</v>
      </c>
    </row>
    <row r="15" spans="1:11" s="739" customFormat="1" ht="15.75">
      <c r="A15" s="960">
        <v>44813</v>
      </c>
      <c r="B15" s="960">
        <v>45183</v>
      </c>
      <c r="C15" s="901" t="s">
        <v>774</v>
      </c>
      <c r="D15" s="1547" t="s">
        <v>25</v>
      </c>
      <c r="E15" s="1547" t="s">
        <v>948</v>
      </c>
      <c r="F15" s="971">
        <v>2594.44</v>
      </c>
      <c r="G15" s="962">
        <v>0.1</v>
      </c>
      <c r="H15" s="958">
        <v>238.68</v>
      </c>
      <c r="I15" s="953"/>
      <c r="J15" s="1547"/>
      <c r="K15" s="959" t="s">
        <v>2015</v>
      </c>
    </row>
    <row r="16" spans="1:11" s="739" customFormat="1" ht="15.75">
      <c r="A16" s="1486">
        <v>44820</v>
      </c>
      <c r="B16" s="1488">
        <v>45185</v>
      </c>
      <c r="C16" s="1491" t="s">
        <v>2105</v>
      </c>
      <c r="D16" s="629" t="s">
        <v>61</v>
      </c>
      <c r="E16" s="629" t="s">
        <v>1310</v>
      </c>
      <c r="F16" s="1493">
        <v>10665.65</v>
      </c>
      <c r="G16" s="1495">
        <v>0.1</v>
      </c>
      <c r="H16" s="976">
        <v>981.23</v>
      </c>
      <c r="I16" s="1497"/>
      <c r="J16" s="382" t="s">
        <v>1558</v>
      </c>
      <c r="K16" s="977" t="s">
        <v>2015</v>
      </c>
    </row>
    <row r="17" spans="1:11" s="739" customFormat="1" ht="15.75">
      <c r="A17" s="954">
        <v>44817</v>
      </c>
      <c r="B17" s="955">
        <v>45185</v>
      </c>
      <c r="C17" s="1012" t="s">
        <v>444</v>
      </c>
      <c r="D17" s="289" t="s">
        <v>14</v>
      </c>
      <c r="E17" s="289" t="s">
        <v>143</v>
      </c>
      <c r="F17" s="1003">
        <v>3189.96</v>
      </c>
      <c r="G17" s="957">
        <v>0.3</v>
      </c>
      <c r="H17" s="958">
        <v>880.42</v>
      </c>
      <c r="I17" s="907">
        <v>440.21</v>
      </c>
      <c r="J17" s="1547" t="s">
        <v>1482</v>
      </c>
      <c r="K17" s="959" t="s">
        <v>2015</v>
      </c>
    </row>
    <row r="18" spans="1:11" s="1009" customFormat="1">
      <c r="A18" s="359">
        <v>44821</v>
      </c>
      <c r="B18" s="345">
        <v>45186</v>
      </c>
      <c r="C18" s="347" t="s">
        <v>1876</v>
      </c>
      <c r="D18" s="347" t="s">
        <v>448</v>
      </c>
      <c r="E18" s="346" t="s">
        <v>545</v>
      </c>
      <c r="F18" s="348" t="s">
        <v>889</v>
      </c>
      <c r="G18" s="349">
        <v>0.1</v>
      </c>
      <c r="H18" s="462">
        <v>100</v>
      </c>
      <c r="I18" s="482">
        <v>50</v>
      </c>
      <c r="J18" s="458" t="s">
        <v>1561</v>
      </c>
      <c r="K18" s="744" t="s">
        <v>2015</v>
      </c>
    </row>
    <row r="19" spans="1:11" s="739" customFormat="1" ht="15.75">
      <c r="A19" s="954">
        <v>44821</v>
      </c>
      <c r="B19" s="955">
        <v>45186</v>
      </c>
      <c r="C19" s="1012" t="s">
        <v>2106</v>
      </c>
      <c r="D19" s="289" t="s">
        <v>376</v>
      </c>
      <c r="E19" s="289" t="s">
        <v>279</v>
      </c>
      <c r="F19" s="1003">
        <v>1935.99</v>
      </c>
      <c r="G19" s="957">
        <v>0.1</v>
      </c>
      <c r="H19" s="958">
        <v>178.11</v>
      </c>
      <c r="I19" s="907">
        <v>89.05</v>
      </c>
      <c r="J19" s="1547" t="s">
        <v>491</v>
      </c>
      <c r="K19" s="959" t="s">
        <v>2015</v>
      </c>
    </row>
    <row r="20" spans="1:11" s="739" customFormat="1" ht="15.75">
      <c r="A20" s="960">
        <v>44817</v>
      </c>
      <c r="B20" s="960">
        <v>45186</v>
      </c>
      <c r="C20" s="901" t="s">
        <v>790</v>
      </c>
      <c r="D20" s="1547" t="s">
        <v>9</v>
      </c>
      <c r="E20" s="1547" t="s">
        <v>90</v>
      </c>
      <c r="F20" s="971">
        <v>2672.15</v>
      </c>
      <c r="G20" s="962">
        <v>0.1</v>
      </c>
      <c r="H20" s="958">
        <v>245.83</v>
      </c>
      <c r="I20" s="953"/>
      <c r="J20" s="1547"/>
      <c r="K20" s="959" t="s">
        <v>2015</v>
      </c>
    </row>
    <row r="21" spans="1:11" s="731" customFormat="1" ht="15.75">
      <c r="A21" s="963">
        <v>44818</v>
      </c>
      <c r="B21" s="967">
        <v>45186</v>
      </c>
      <c r="C21" s="1013" t="s">
        <v>1514</v>
      </c>
      <c r="D21" s="494" t="s">
        <v>25</v>
      </c>
      <c r="E21" s="494" t="s">
        <v>948</v>
      </c>
      <c r="F21" s="1004">
        <v>1692.91</v>
      </c>
      <c r="G21" s="966">
        <v>0.1</v>
      </c>
      <c r="H21" s="958">
        <v>155.74</v>
      </c>
      <c r="I21" s="922"/>
      <c r="J21" s="1547"/>
      <c r="K21" s="959" t="s">
        <v>2015</v>
      </c>
    </row>
    <row r="22" spans="1:11" s="739" customFormat="1" ht="15.75">
      <c r="A22" s="954">
        <v>44820</v>
      </c>
      <c r="B22" s="955">
        <v>45187</v>
      </c>
      <c r="C22" s="1014" t="s">
        <v>2107</v>
      </c>
      <c r="D22" s="289" t="s">
        <v>14</v>
      </c>
      <c r="E22" s="289" t="s">
        <v>22</v>
      </c>
      <c r="F22" s="1003">
        <v>1493.78</v>
      </c>
      <c r="G22" s="957">
        <v>0.1</v>
      </c>
      <c r="H22" s="969">
        <v>137.41999999999999</v>
      </c>
      <c r="I22" s="910">
        <v>68.709999999999994</v>
      </c>
      <c r="J22" s="1547" t="s">
        <v>1482</v>
      </c>
      <c r="K22" s="959" t="s">
        <v>2015</v>
      </c>
    </row>
    <row r="23" spans="1:11" s="739" customFormat="1" ht="15.75">
      <c r="A23" s="954">
        <v>44816</v>
      </c>
      <c r="B23" s="955">
        <v>45187</v>
      </c>
      <c r="C23" s="901" t="s">
        <v>1045</v>
      </c>
      <c r="D23" s="1547" t="s">
        <v>9</v>
      </c>
      <c r="E23" s="1547" t="s">
        <v>948</v>
      </c>
      <c r="F23" s="971">
        <v>1367.76</v>
      </c>
      <c r="G23" s="962">
        <v>0.15</v>
      </c>
      <c r="H23" s="958">
        <v>188.75</v>
      </c>
      <c r="I23" s="907"/>
      <c r="J23" s="1547"/>
      <c r="K23" s="959" t="s">
        <v>2015</v>
      </c>
    </row>
    <row r="24" spans="1:11" s="739" customFormat="1" ht="15.75">
      <c r="A24" s="954">
        <v>44824</v>
      </c>
      <c r="B24" s="955">
        <v>45189</v>
      </c>
      <c r="C24" s="452" t="s">
        <v>2108</v>
      </c>
      <c r="D24" s="1547" t="s">
        <v>448</v>
      </c>
      <c r="E24" s="1547" t="s">
        <v>19</v>
      </c>
      <c r="F24" s="454">
        <v>1282.74</v>
      </c>
      <c r="G24" s="962">
        <v>0.1</v>
      </c>
      <c r="H24" s="958">
        <v>118.01</v>
      </c>
      <c r="I24" s="907"/>
      <c r="J24" s="1547"/>
      <c r="K24" s="959" t="s">
        <v>1472</v>
      </c>
    </row>
    <row r="25" spans="1:11" s="739" customFormat="1" ht="15.75">
      <c r="A25" s="972">
        <v>44825</v>
      </c>
      <c r="B25" s="973">
        <v>45190</v>
      </c>
      <c r="C25" s="279" t="s">
        <v>2109</v>
      </c>
      <c r="D25" s="258" t="s">
        <v>448</v>
      </c>
      <c r="E25" s="382" t="s">
        <v>279</v>
      </c>
      <c r="F25" s="845">
        <v>1752.28</v>
      </c>
      <c r="G25" s="980">
        <v>0.1</v>
      </c>
      <c r="H25" s="989">
        <v>161.19999999999999</v>
      </c>
      <c r="I25" s="814"/>
      <c r="J25" s="382" t="s">
        <v>1558</v>
      </c>
      <c r="K25" s="977" t="s">
        <v>1472</v>
      </c>
    </row>
    <row r="26" spans="1:11" s="739" customFormat="1" ht="15.75">
      <c r="A26" s="972">
        <v>44825</v>
      </c>
      <c r="B26" s="973">
        <v>45190</v>
      </c>
      <c r="C26" s="946" t="s">
        <v>1515</v>
      </c>
      <c r="D26" s="258" t="s">
        <v>14</v>
      </c>
      <c r="E26" s="382" t="s">
        <v>948</v>
      </c>
      <c r="F26" s="989">
        <v>2069.9299999999998</v>
      </c>
      <c r="G26" s="980">
        <v>0.15</v>
      </c>
      <c r="H26" s="976">
        <v>285.64999999999998</v>
      </c>
      <c r="I26" s="814">
        <v>28.56</v>
      </c>
      <c r="J26" s="382" t="s">
        <v>1558</v>
      </c>
      <c r="K26" s="997" t="s">
        <v>2015</v>
      </c>
    </row>
    <row r="27" spans="1:11" s="739" customFormat="1" ht="15.75">
      <c r="A27" s="954">
        <v>44825</v>
      </c>
      <c r="B27" s="955">
        <v>45190</v>
      </c>
      <c r="C27" s="1015" t="s">
        <v>2110</v>
      </c>
      <c r="D27" s="289" t="s">
        <v>1508</v>
      </c>
      <c r="E27" s="1547" t="s">
        <v>279</v>
      </c>
      <c r="F27" s="971">
        <v>3685.48</v>
      </c>
      <c r="G27" s="962">
        <v>0.1</v>
      </c>
      <c r="H27" s="971">
        <v>339.6</v>
      </c>
      <c r="I27" s="907">
        <v>169.53</v>
      </c>
      <c r="J27" s="1547" t="s">
        <v>491</v>
      </c>
      <c r="K27" s="959" t="s">
        <v>2015</v>
      </c>
    </row>
    <row r="28" spans="1:11" s="739" customFormat="1" ht="15.75">
      <c r="A28" s="954">
        <v>44824</v>
      </c>
      <c r="B28" s="955">
        <v>45190</v>
      </c>
      <c r="C28" s="1489" t="s">
        <v>129</v>
      </c>
      <c r="D28" s="289" t="s">
        <v>61</v>
      </c>
      <c r="E28" s="1547" t="s">
        <v>948</v>
      </c>
      <c r="F28" s="971">
        <v>2174.1799999999998</v>
      </c>
      <c r="G28" s="962">
        <v>0.1</v>
      </c>
      <c r="H28" s="958">
        <v>200.02</v>
      </c>
      <c r="I28" s="907"/>
      <c r="J28" s="1547"/>
      <c r="K28" s="959" t="s">
        <v>2015</v>
      </c>
    </row>
    <row r="29" spans="1:11" s="739" customFormat="1" ht="15.75">
      <c r="A29" s="960">
        <v>44825</v>
      </c>
      <c r="B29" s="960">
        <v>45190</v>
      </c>
      <c r="C29" s="901" t="s">
        <v>268</v>
      </c>
      <c r="D29" s="1547">
        <v>12</v>
      </c>
      <c r="E29" s="1547" t="s">
        <v>279</v>
      </c>
      <c r="F29" s="971">
        <v>2409.06</v>
      </c>
      <c r="G29" s="962">
        <v>0.1</v>
      </c>
      <c r="H29" s="958">
        <v>221.63</v>
      </c>
      <c r="I29" s="907"/>
      <c r="J29" s="1547"/>
      <c r="K29" s="959" t="s">
        <v>2015</v>
      </c>
    </row>
    <row r="30" spans="1:11" s="731" customFormat="1" ht="15.75">
      <c r="A30" s="960">
        <v>44826</v>
      </c>
      <c r="B30" s="960">
        <v>45193</v>
      </c>
      <c r="C30" s="452" t="s">
        <v>1061</v>
      </c>
      <c r="D30" s="1547" t="s">
        <v>209</v>
      </c>
      <c r="E30" s="1547" t="s">
        <v>279</v>
      </c>
      <c r="F30" s="454">
        <v>2398.66</v>
      </c>
      <c r="G30" s="962">
        <v>0.1</v>
      </c>
      <c r="H30" s="958">
        <v>220.67</v>
      </c>
      <c r="I30" s="907">
        <v>110.33</v>
      </c>
      <c r="J30" s="1547" t="s">
        <v>1482</v>
      </c>
      <c r="K30" s="959" t="s">
        <v>2015</v>
      </c>
    </row>
    <row r="31" spans="1:11" s="739" customFormat="1" ht="15.75">
      <c r="A31" s="960">
        <v>44827</v>
      </c>
      <c r="B31" s="960">
        <v>45193</v>
      </c>
      <c r="C31" s="901" t="s">
        <v>1063</v>
      </c>
      <c r="D31" s="1547" t="s">
        <v>9</v>
      </c>
      <c r="E31" s="1547" t="s">
        <v>948</v>
      </c>
      <c r="F31" s="971">
        <v>1817.66</v>
      </c>
      <c r="G31" s="962">
        <v>0.1</v>
      </c>
      <c r="H31" s="958">
        <v>167.22</v>
      </c>
      <c r="I31" s="907"/>
      <c r="J31" s="1547"/>
      <c r="K31" s="959" t="s">
        <v>2015</v>
      </c>
    </row>
    <row r="32" spans="1:11" s="739" customFormat="1">
      <c r="A32" s="238">
        <v>44831</v>
      </c>
      <c r="B32" s="427">
        <v>45196</v>
      </c>
      <c r="C32" s="428" t="s">
        <v>1875</v>
      </c>
      <c r="D32" s="241" t="s">
        <v>448</v>
      </c>
      <c r="E32" s="363" t="s">
        <v>545</v>
      </c>
      <c r="F32" s="429" t="s">
        <v>889</v>
      </c>
      <c r="G32" s="430">
        <v>0.1</v>
      </c>
      <c r="H32" s="431">
        <v>100</v>
      </c>
      <c r="I32" s="447">
        <v>5</v>
      </c>
      <c r="J32" s="363" t="s">
        <v>1575</v>
      </c>
      <c r="K32" s="774" t="s">
        <v>2015</v>
      </c>
    </row>
    <row r="33" spans="1:11" s="731" customFormat="1" ht="15.75">
      <c r="A33" s="954">
        <v>44819</v>
      </c>
      <c r="B33" s="960">
        <v>45196</v>
      </c>
      <c r="C33" s="901" t="s">
        <v>2111</v>
      </c>
      <c r="D33" s="289" t="s">
        <v>9</v>
      </c>
      <c r="E33" s="1547" t="s">
        <v>143</v>
      </c>
      <c r="F33" s="971">
        <v>2608.6799999999998</v>
      </c>
      <c r="G33" s="962">
        <v>0.1</v>
      </c>
      <c r="H33" s="958">
        <v>239.99</v>
      </c>
      <c r="I33" s="907"/>
      <c r="J33" s="1547"/>
      <c r="K33" s="959" t="s">
        <v>2015</v>
      </c>
    </row>
    <row r="34" spans="1:11" s="739" customFormat="1" ht="15.75">
      <c r="A34" s="954">
        <v>44827</v>
      </c>
      <c r="B34" s="960">
        <v>45196</v>
      </c>
      <c r="C34" s="901" t="s">
        <v>480</v>
      </c>
      <c r="D34" s="289" t="s">
        <v>14</v>
      </c>
      <c r="E34" s="1547" t="s">
        <v>19</v>
      </c>
      <c r="F34" s="1494">
        <v>2731.5</v>
      </c>
      <c r="G34" s="962">
        <v>0.1</v>
      </c>
      <c r="H34" s="971">
        <v>251.29</v>
      </c>
      <c r="I34" s="907"/>
      <c r="J34" s="1547"/>
      <c r="K34" s="959" t="s">
        <v>2015</v>
      </c>
    </row>
    <row r="35" spans="1:11" s="739" customFormat="1" ht="15.75">
      <c r="A35" s="954">
        <v>44820</v>
      </c>
      <c r="B35" s="960">
        <v>45197</v>
      </c>
      <c r="C35" s="1489" t="s">
        <v>1874</v>
      </c>
      <c r="D35" s="289" t="s">
        <v>21</v>
      </c>
      <c r="E35" s="1547" t="s">
        <v>458</v>
      </c>
      <c r="F35" s="971">
        <v>2443.88</v>
      </c>
      <c r="G35" s="962">
        <v>0.1</v>
      </c>
      <c r="H35" s="958">
        <v>224.83</v>
      </c>
      <c r="I35" s="907"/>
      <c r="J35" s="1547"/>
      <c r="K35" s="959" t="s">
        <v>2015</v>
      </c>
    </row>
    <row r="36" spans="1:11" s="739" customFormat="1" ht="15.75">
      <c r="A36" s="954">
        <v>44832</v>
      </c>
      <c r="B36" s="955">
        <v>45198</v>
      </c>
      <c r="C36" s="901" t="s">
        <v>2112</v>
      </c>
      <c r="D36" s="289" t="s">
        <v>70</v>
      </c>
      <c r="E36" s="289" t="s">
        <v>279</v>
      </c>
      <c r="F36" s="1003">
        <v>2431.71</v>
      </c>
      <c r="G36" s="957">
        <v>0.1</v>
      </c>
      <c r="H36" s="958">
        <v>223.71</v>
      </c>
      <c r="I36" s="907">
        <v>111.85</v>
      </c>
      <c r="J36" s="1547" t="s">
        <v>491</v>
      </c>
      <c r="K36" s="959" t="s">
        <v>2015</v>
      </c>
    </row>
    <row r="37" spans="1:11" s="731" customFormat="1" ht="15" customHeight="1">
      <c r="A37" s="954">
        <v>44832</v>
      </c>
      <c r="B37" s="955">
        <v>45198</v>
      </c>
      <c r="C37" s="901" t="s">
        <v>134</v>
      </c>
      <c r="D37" s="289" t="s">
        <v>533</v>
      </c>
      <c r="E37" s="289" t="s">
        <v>948</v>
      </c>
      <c r="F37" s="1003">
        <v>1542.16</v>
      </c>
      <c r="G37" s="957">
        <v>0.1</v>
      </c>
      <c r="H37" s="958">
        <v>141.87</v>
      </c>
      <c r="I37" s="907"/>
      <c r="J37" s="1547"/>
      <c r="K37" s="959" t="s">
        <v>2015</v>
      </c>
    </row>
    <row r="38" spans="1:11" s="739" customFormat="1" ht="15.75">
      <c r="A38" s="954">
        <v>44832</v>
      </c>
      <c r="B38" s="955">
        <v>45198</v>
      </c>
      <c r="C38" s="1490" t="s">
        <v>133</v>
      </c>
      <c r="D38" s="289" t="s">
        <v>376</v>
      </c>
      <c r="E38" s="289" t="s">
        <v>22</v>
      </c>
      <c r="F38" s="1003">
        <v>1780.42</v>
      </c>
      <c r="G38" s="957">
        <v>0.1</v>
      </c>
      <c r="H38" s="958">
        <v>163.79</v>
      </c>
      <c r="I38" s="907"/>
      <c r="J38" s="1547"/>
      <c r="K38" s="959" t="s">
        <v>2015</v>
      </c>
    </row>
    <row r="39" spans="1:11" s="731" customFormat="1" ht="15.75">
      <c r="A39" s="972">
        <v>44827</v>
      </c>
      <c r="B39" s="973">
        <v>45199</v>
      </c>
      <c r="C39" s="279" t="s">
        <v>2113</v>
      </c>
      <c r="D39" s="258" t="s">
        <v>376</v>
      </c>
      <c r="E39" s="258" t="s">
        <v>19</v>
      </c>
      <c r="F39" s="250">
        <v>2093.6999999999998</v>
      </c>
      <c r="G39" s="975">
        <v>0.1</v>
      </c>
      <c r="H39" s="1496">
        <v>192.62</v>
      </c>
      <c r="I39" s="582">
        <v>19.260000000000002</v>
      </c>
      <c r="J39" s="1534" t="s">
        <v>1558</v>
      </c>
      <c r="K39" s="1498" t="s">
        <v>2015</v>
      </c>
    </row>
    <row r="40" spans="1:11" ht="15.75">
      <c r="A40" s="972">
        <v>44834</v>
      </c>
      <c r="B40" s="973">
        <v>45199</v>
      </c>
      <c r="C40" s="279" t="s">
        <v>2114</v>
      </c>
      <c r="D40" s="258" t="s">
        <v>713</v>
      </c>
      <c r="E40" s="258" t="s">
        <v>438</v>
      </c>
      <c r="F40" s="1002">
        <v>2403.98</v>
      </c>
      <c r="G40" s="975">
        <v>0.1</v>
      </c>
      <c r="H40" s="1496">
        <v>221.16</v>
      </c>
      <c r="I40" s="582">
        <v>22.11</v>
      </c>
      <c r="J40" s="1534" t="s">
        <v>1558</v>
      </c>
      <c r="K40" s="1498" t="s">
        <v>2015</v>
      </c>
    </row>
    <row r="41" spans="1:11" s="741" customFormat="1" ht="15.75">
      <c r="A41" s="954">
        <v>44834</v>
      </c>
      <c r="B41" s="955">
        <v>45199</v>
      </c>
      <c r="C41" s="901" t="s">
        <v>2115</v>
      </c>
      <c r="D41" s="289" t="s">
        <v>533</v>
      </c>
      <c r="E41" s="289" t="s">
        <v>438</v>
      </c>
      <c r="F41" s="1003">
        <v>3984.37</v>
      </c>
      <c r="G41" s="957">
        <v>0.12</v>
      </c>
      <c r="H41" s="958">
        <v>439.87</v>
      </c>
      <c r="I41" s="907"/>
      <c r="J41" s="1547"/>
      <c r="K41" s="959" t="s">
        <v>1472</v>
      </c>
    </row>
    <row r="42" spans="1:11" s="739" customFormat="1" ht="15.75">
      <c r="A42" s="954">
        <v>44834</v>
      </c>
      <c r="B42" s="955">
        <v>45199</v>
      </c>
      <c r="C42" s="1547" t="s">
        <v>1537</v>
      </c>
      <c r="D42" s="289" t="s">
        <v>533</v>
      </c>
      <c r="E42" s="289" t="s">
        <v>279</v>
      </c>
      <c r="F42" s="956">
        <v>1561.9</v>
      </c>
      <c r="G42" s="957">
        <v>0.1</v>
      </c>
      <c r="H42" s="958">
        <v>143.69</v>
      </c>
      <c r="I42" s="907"/>
      <c r="J42" s="1547"/>
      <c r="K42" s="959" t="s">
        <v>2015</v>
      </c>
    </row>
    <row r="43" spans="1:11" s="739" customFormat="1" ht="15.75">
      <c r="A43" s="954"/>
      <c r="B43" s="955"/>
      <c r="C43" s="1012"/>
      <c r="D43" s="289"/>
      <c r="E43" s="289"/>
      <c r="F43" s="1003"/>
      <c r="G43" s="957"/>
      <c r="H43" s="958"/>
      <c r="I43" s="907"/>
      <c r="J43" s="1547"/>
      <c r="K43" s="959"/>
    </row>
    <row r="44" spans="1:11" s="739" customFormat="1" ht="15.75">
      <c r="A44" s="954"/>
      <c r="B44" s="955"/>
      <c r="C44" s="901"/>
      <c r="D44" s="289"/>
      <c r="E44" s="289"/>
      <c r="F44" s="1003"/>
      <c r="G44" s="957"/>
      <c r="H44" s="958"/>
      <c r="I44" s="907"/>
      <c r="J44" s="1547"/>
      <c r="K44" s="959"/>
    </row>
    <row r="45" spans="1:11" s="739" customFormat="1" ht="15.75">
      <c r="A45" s="954"/>
      <c r="B45" s="955"/>
      <c r="C45" s="901"/>
      <c r="D45" s="289"/>
      <c r="E45" s="289"/>
      <c r="F45" s="1003"/>
      <c r="G45" s="957"/>
      <c r="H45" s="958"/>
      <c r="I45" s="907"/>
      <c r="J45" s="1547"/>
      <c r="K45" s="959"/>
    </row>
    <row r="46" spans="1:11" s="739" customFormat="1" ht="15.75">
      <c r="A46" s="954"/>
      <c r="B46" s="955"/>
      <c r="C46" s="1012"/>
      <c r="D46" s="289"/>
      <c r="E46" s="289"/>
      <c r="F46" s="1003"/>
      <c r="G46" s="957"/>
      <c r="H46" s="958"/>
      <c r="I46" s="907"/>
      <c r="J46" s="1547"/>
      <c r="K46" s="959"/>
    </row>
    <row r="47" spans="1:11" s="739" customFormat="1" ht="15.75">
      <c r="A47" s="954"/>
      <c r="B47" s="955"/>
      <c r="C47" s="1012"/>
      <c r="D47" s="289"/>
      <c r="E47" s="289"/>
      <c r="F47" s="1003"/>
      <c r="G47" s="957"/>
      <c r="H47" s="958"/>
      <c r="I47" s="907"/>
      <c r="J47" s="1547"/>
      <c r="K47" s="959"/>
    </row>
    <row r="48" spans="1:11" s="739" customFormat="1" ht="16.5" thickBot="1">
      <c r="A48" s="954"/>
      <c r="B48" s="955"/>
      <c r="C48" s="1012"/>
      <c r="D48" s="289"/>
      <c r="E48" s="289"/>
      <c r="F48" s="1003"/>
      <c r="G48" s="957"/>
      <c r="H48" s="958"/>
      <c r="I48" s="907"/>
      <c r="J48" s="1547"/>
      <c r="K48" s="959"/>
    </row>
    <row r="49" spans="1:11" ht="20.25" thickBot="1">
      <c r="A49" s="939"/>
      <c r="B49" s="940"/>
      <c r="C49" s="1016"/>
      <c r="D49" s="940"/>
      <c r="E49" s="940"/>
      <c r="F49" s="1005">
        <f>SUM(F2:F48)</f>
        <v>98275.62999999999</v>
      </c>
      <c r="G49" s="942"/>
      <c r="H49" s="943">
        <f>SUM(H2:H48)</f>
        <v>10503.050000000003</v>
      </c>
      <c r="I49" s="952">
        <f>SUM(I2:I48)</f>
        <v>1575.4199999999996</v>
      </c>
      <c r="J49" s="162"/>
      <c r="K49" s="948"/>
    </row>
  </sheetData>
  <autoFilter ref="A1:K1" xr:uid="{9CA53A0F-5868-4FBA-8E12-C929E3FD6763}">
    <sortState xmlns:xlrd2="http://schemas.microsoft.com/office/spreadsheetml/2017/richdata2" ref="A2:K42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4CE36-16C2-47D4-8DBA-AB2BE4B87836}">
  <dimension ref="A1:K49"/>
  <sheetViews>
    <sheetView zoomScale="85" zoomScaleNormal="85" workbookViewId="0">
      <selection activeCell="C32" sqref="C32"/>
    </sheetView>
  </sheetViews>
  <sheetFormatPr defaultRowHeight="15"/>
  <cols>
    <col min="1" max="1" width="14" bestFit="1" customWidth="1"/>
    <col min="2" max="2" width="12.5703125" bestFit="1" customWidth="1"/>
    <col min="3" max="3" width="52.85546875" style="68" bestFit="1" customWidth="1"/>
    <col min="4" max="4" width="18.28515625" bestFit="1" customWidth="1"/>
    <col min="5" max="5" width="14.140625" bestFit="1" customWidth="1"/>
    <col min="6" max="6" width="20.42578125" bestFit="1" customWidth="1"/>
    <col min="7" max="7" width="13.42578125" bestFit="1" customWidth="1"/>
    <col min="8" max="8" width="22.5703125" bestFit="1" customWidth="1"/>
    <col min="9" max="9" width="21" bestFit="1" customWidth="1"/>
    <col min="10" max="10" width="11" bestFit="1" customWidth="1"/>
    <col min="11" max="11" width="17" bestFit="1" customWidth="1"/>
  </cols>
  <sheetData>
    <row r="1" spans="1:11" ht="16.5" thickBot="1">
      <c r="A1" s="30" t="s">
        <v>1832</v>
      </c>
      <c r="B1" s="3" t="s">
        <v>2</v>
      </c>
      <c r="C1" s="3" t="s">
        <v>3</v>
      </c>
      <c r="D1" s="3" t="s">
        <v>4</v>
      </c>
      <c r="E1" s="3" t="s">
        <v>5</v>
      </c>
      <c r="F1" s="141" t="s">
        <v>644</v>
      </c>
      <c r="G1" s="3" t="s">
        <v>555</v>
      </c>
      <c r="H1" s="114" t="s">
        <v>7</v>
      </c>
      <c r="I1" s="950" t="s">
        <v>307</v>
      </c>
      <c r="J1" s="20" t="s">
        <v>370</v>
      </c>
      <c r="K1" s="948"/>
    </row>
    <row r="2" spans="1:11" s="739" customFormat="1" ht="15.75">
      <c r="A2" s="972">
        <v>44839</v>
      </c>
      <c r="B2" s="973">
        <v>45204</v>
      </c>
      <c r="C2" s="1186" t="s">
        <v>1543</v>
      </c>
      <c r="D2" s="258" t="s">
        <v>61</v>
      </c>
      <c r="E2" s="258" t="s">
        <v>10</v>
      </c>
      <c r="F2" s="974">
        <v>2537.06</v>
      </c>
      <c r="G2" s="975">
        <v>0.1</v>
      </c>
      <c r="H2" s="976">
        <v>233.4</v>
      </c>
      <c r="I2" s="814">
        <v>23.34</v>
      </c>
      <c r="J2" s="382" t="s">
        <v>1558</v>
      </c>
      <c r="K2" s="959" t="s">
        <v>2015</v>
      </c>
    </row>
    <row r="3" spans="1:11" s="739" customFormat="1" ht="15.75">
      <c r="A3" s="972">
        <v>44860</v>
      </c>
      <c r="B3" s="973">
        <v>45230</v>
      </c>
      <c r="C3" s="428" t="s">
        <v>2116</v>
      </c>
      <c r="D3" s="258" t="s">
        <v>713</v>
      </c>
      <c r="E3" s="258" t="s">
        <v>10</v>
      </c>
      <c r="F3" s="974">
        <v>2674.73</v>
      </c>
      <c r="G3" s="975">
        <v>0.1</v>
      </c>
      <c r="H3" s="976">
        <v>246.07</v>
      </c>
      <c r="I3" s="814">
        <v>24.6</v>
      </c>
      <c r="J3" s="382" t="s">
        <v>1558</v>
      </c>
      <c r="K3" s="959" t="s">
        <v>1472</v>
      </c>
    </row>
    <row r="4" spans="1:11" s="1007" customFormat="1" ht="15.75">
      <c r="A4" s="972">
        <v>44832</v>
      </c>
      <c r="B4" s="973">
        <v>45201</v>
      </c>
      <c r="C4" s="593" t="s">
        <v>2117</v>
      </c>
      <c r="D4" s="258" t="s">
        <v>376</v>
      </c>
      <c r="E4" s="258" t="s">
        <v>90</v>
      </c>
      <c r="F4" s="250">
        <v>12939.4</v>
      </c>
      <c r="G4" s="975">
        <v>0.1</v>
      </c>
      <c r="H4" s="976">
        <v>1190.42</v>
      </c>
      <c r="I4" s="814">
        <v>119</v>
      </c>
      <c r="J4" s="382" t="s">
        <v>2118</v>
      </c>
      <c r="K4" s="998" t="s">
        <v>1472</v>
      </c>
    </row>
    <row r="5" spans="1:11" s="731" customFormat="1" ht="15.75">
      <c r="A5" s="978">
        <v>44855</v>
      </c>
      <c r="B5" s="978">
        <v>45222</v>
      </c>
      <c r="C5" s="382" t="s">
        <v>1891</v>
      </c>
      <c r="D5" s="382" t="s">
        <v>832</v>
      </c>
      <c r="E5" s="382" t="s">
        <v>279</v>
      </c>
      <c r="F5" s="979">
        <v>2880.16</v>
      </c>
      <c r="G5" s="980">
        <v>0.1</v>
      </c>
      <c r="H5" s="976">
        <v>264.97000000000003</v>
      </c>
      <c r="I5" s="981">
        <v>26.49</v>
      </c>
      <c r="J5" s="382" t="s">
        <v>2119</v>
      </c>
      <c r="K5" s="997" t="s">
        <v>2015</v>
      </c>
    </row>
    <row r="6" spans="1:11" s="739" customFormat="1" ht="15.75">
      <c r="A6" s="954">
        <v>44862</v>
      </c>
      <c r="B6" s="955">
        <v>45228</v>
      </c>
      <c r="C6" s="901" t="s">
        <v>2120</v>
      </c>
      <c r="D6" s="289" t="s">
        <v>21</v>
      </c>
      <c r="E6" s="289" t="s">
        <v>1080</v>
      </c>
      <c r="F6" s="1135">
        <v>870.19</v>
      </c>
      <c r="G6" s="957">
        <v>0.22</v>
      </c>
      <c r="H6" s="971">
        <v>160.11000000000001</v>
      </c>
      <c r="I6" s="907">
        <v>80.05</v>
      </c>
      <c r="J6" s="1547" t="s">
        <v>1219</v>
      </c>
      <c r="K6" s="998" t="s">
        <v>1472</v>
      </c>
    </row>
    <row r="7" spans="1:11" s="739" customFormat="1" ht="15.75">
      <c r="A7" s="954">
        <v>44859</v>
      </c>
      <c r="B7" s="955">
        <v>45224</v>
      </c>
      <c r="C7" s="1176" t="s">
        <v>2121</v>
      </c>
      <c r="D7" s="289" t="s">
        <v>25</v>
      </c>
      <c r="E7" s="289" t="s">
        <v>1310</v>
      </c>
      <c r="F7" s="956">
        <v>2589.15</v>
      </c>
      <c r="G7" s="957">
        <v>0.1</v>
      </c>
      <c r="H7" s="958">
        <v>238.2</v>
      </c>
      <c r="I7" s="907">
        <v>119.1</v>
      </c>
      <c r="J7" s="1547" t="s">
        <v>1577</v>
      </c>
      <c r="K7" s="998" t="s">
        <v>2015</v>
      </c>
    </row>
    <row r="8" spans="1:11" s="739" customFormat="1" ht="15.75">
      <c r="A8" s="954">
        <v>44859</v>
      </c>
      <c r="B8" s="955">
        <v>45227</v>
      </c>
      <c r="C8" s="1176" t="s">
        <v>2122</v>
      </c>
      <c r="D8" s="289" t="s">
        <v>448</v>
      </c>
      <c r="E8" s="289" t="s">
        <v>945</v>
      </c>
      <c r="F8" s="956">
        <v>1763.41</v>
      </c>
      <c r="G8" s="957">
        <v>0.1</v>
      </c>
      <c r="H8" s="958">
        <v>162.22999999999999</v>
      </c>
      <c r="I8" s="907">
        <v>81.11</v>
      </c>
      <c r="J8" s="1547" t="s">
        <v>1577</v>
      </c>
      <c r="K8" s="998" t="s">
        <v>2015</v>
      </c>
    </row>
    <row r="9" spans="1:11" s="739" customFormat="1" ht="15.75">
      <c r="A9" s="954">
        <v>44837</v>
      </c>
      <c r="B9" s="955">
        <v>45202</v>
      </c>
      <c r="C9" s="1177" t="s">
        <v>2123</v>
      </c>
      <c r="D9" s="289" t="s">
        <v>848</v>
      </c>
      <c r="E9" s="289" t="s">
        <v>945</v>
      </c>
      <c r="F9" s="956">
        <v>3161.47</v>
      </c>
      <c r="G9" s="957">
        <v>0.1</v>
      </c>
      <c r="H9" s="958">
        <v>290.85000000000002</v>
      </c>
      <c r="I9" s="907">
        <v>145.41999999999999</v>
      </c>
      <c r="J9" s="1547" t="s">
        <v>1482</v>
      </c>
      <c r="K9" s="998" t="s">
        <v>2015</v>
      </c>
    </row>
    <row r="10" spans="1:11" s="739" customFormat="1" ht="15.75">
      <c r="A10" s="954">
        <v>44837</v>
      </c>
      <c r="B10" s="960">
        <v>45202</v>
      </c>
      <c r="C10" s="1288" t="s">
        <v>2124</v>
      </c>
      <c r="D10" s="289" t="s">
        <v>9</v>
      </c>
      <c r="E10" s="1547" t="s">
        <v>22</v>
      </c>
      <c r="F10" s="971">
        <v>2161.11</v>
      </c>
      <c r="G10" s="962">
        <v>0.1</v>
      </c>
      <c r="H10" s="958">
        <v>198.82</v>
      </c>
      <c r="I10" s="907">
        <v>99.41</v>
      </c>
      <c r="J10" s="1547" t="s">
        <v>1482</v>
      </c>
      <c r="K10" s="959" t="s">
        <v>2015</v>
      </c>
    </row>
    <row r="11" spans="1:11" s="739" customFormat="1" ht="15.75">
      <c r="A11" s="954">
        <v>44866</v>
      </c>
      <c r="B11" s="960">
        <v>45229</v>
      </c>
      <c r="C11" s="1547" t="s">
        <v>1572</v>
      </c>
      <c r="D11" s="289" t="s">
        <v>448</v>
      </c>
      <c r="E11" s="289" t="s">
        <v>948</v>
      </c>
      <c r="F11" s="1021">
        <v>3514.86</v>
      </c>
      <c r="G11" s="962">
        <v>0.1</v>
      </c>
      <c r="H11" s="958">
        <v>323.36</v>
      </c>
      <c r="I11" s="907">
        <v>161.68</v>
      </c>
      <c r="J11" s="1547" t="s">
        <v>1396</v>
      </c>
      <c r="K11" s="959" t="s">
        <v>2015</v>
      </c>
    </row>
    <row r="12" spans="1:11" s="739" customFormat="1" ht="15.75">
      <c r="A12" s="954">
        <v>44834</v>
      </c>
      <c r="B12" s="955">
        <v>45200</v>
      </c>
      <c r="C12" s="1288" t="s">
        <v>1538</v>
      </c>
      <c r="D12" s="289" t="s">
        <v>61</v>
      </c>
      <c r="E12" s="289" t="s">
        <v>1310</v>
      </c>
      <c r="F12" s="956">
        <v>2245.41</v>
      </c>
      <c r="G12" s="957">
        <v>0.15</v>
      </c>
      <c r="H12" s="958">
        <v>309.86</v>
      </c>
      <c r="I12" s="907"/>
      <c r="J12" s="1547"/>
      <c r="K12" s="998" t="s">
        <v>2015</v>
      </c>
    </row>
    <row r="13" spans="1:11" s="739" customFormat="1" ht="15.75">
      <c r="A13" s="954">
        <v>44838</v>
      </c>
      <c r="B13" s="955">
        <v>45203</v>
      </c>
      <c r="C13" s="1178" t="s">
        <v>1079</v>
      </c>
      <c r="D13" s="289" t="s">
        <v>14</v>
      </c>
      <c r="E13" s="289" t="s">
        <v>279</v>
      </c>
      <c r="F13" s="956">
        <v>1842.74</v>
      </c>
      <c r="G13" s="957">
        <v>0.1</v>
      </c>
      <c r="H13" s="958">
        <v>169.53</v>
      </c>
      <c r="I13" s="907"/>
      <c r="J13" s="1547"/>
      <c r="K13" s="998" t="s">
        <v>2015</v>
      </c>
    </row>
    <row r="14" spans="1:11" s="739" customFormat="1" ht="15.75">
      <c r="A14" s="960">
        <v>44832</v>
      </c>
      <c r="B14" s="960">
        <v>45204</v>
      </c>
      <c r="C14" s="1177" t="s">
        <v>138</v>
      </c>
      <c r="D14" s="1547" t="s">
        <v>209</v>
      </c>
      <c r="E14" s="1547" t="s">
        <v>948</v>
      </c>
      <c r="F14" s="971">
        <v>1628.69</v>
      </c>
      <c r="G14" s="962">
        <v>0.1</v>
      </c>
      <c r="H14" s="958">
        <v>149.83000000000001</v>
      </c>
      <c r="I14" s="953"/>
      <c r="J14" s="1547"/>
      <c r="K14" s="998" t="s">
        <v>2015</v>
      </c>
    </row>
    <row r="15" spans="1:11" s="739" customFormat="1" ht="15.75">
      <c r="A15" s="963">
        <v>44838</v>
      </c>
      <c r="B15" s="964">
        <v>45204</v>
      </c>
      <c r="C15" s="1139" t="s">
        <v>1541</v>
      </c>
      <c r="D15" s="494" t="s">
        <v>61</v>
      </c>
      <c r="E15" s="494" t="s">
        <v>438</v>
      </c>
      <c r="F15" s="965">
        <v>5730.48</v>
      </c>
      <c r="G15" s="966">
        <v>0.1</v>
      </c>
      <c r="H15" s="958">
        <v>527.20000000000005</v>
      </c>
      <c r="I15" s="922"/>
      <c r="J15" s="1547"/>
      <c r="K15" s="998" t="s">
        <v>2015</v>
      </c>
    </row>
    <row r="16" spans="1:11" s="739" customFormat="1" ht="15.75">
      <c r="A16" s="954">
        <v>44840</v>
      </c>
      <c r="B16" s="955">
        <v>45205</v>
      </c>
      <c r="C16" s="1176" t="s">
        <v>1546</v>
      </c>
      <c r="D16" s="289" t="s">
        <v>832</v>
      </c>
      <c r="E16" s="289" t="s">
        <v>1080</v>
      </c>
      <c r="F16" s="956">
        <v>2633.96</v>
      </c>
      <c r="G16" s="957">
        <v>0.1</v>
      </c>
      <c r="H16" s="958">
        <v>242.32</v>
      </c>
      <c r="I16" s="907"/>
      <c r="J16" s="1547"/>
      <c r="K16" s="998" t="s">
        <v>2015</v>
      </c>
    </row>
    <row r="17" spans="1:11" s="741" customFormat="1" ht="15.75">
      <c r="A17" s="954">
        <v>44838</v>
      </c>
      <c r="B17" s="955">
        <v>45207</v>
      </c>
      <c r="C17" s="534" t="s">
        <v>1879</v>
      </c>
      <c r="D17" s="289" t="s">
        <v>9</v>
      </c>
      <c r="E17" s="289" t="s">
        <v>1593</v>
      </c>
      <c r="F17" s="956">
        <v>2304</v>
      </c>
      <c r="G17" s="957">
        <v>0.1</v>
      </c>
      <c r="H17" s="958">
        <v>211.96</v>
      </c>
      <c r="I17" s="907"/>
      <c r="J17" s="1547"/>
      <c r="K17" s="998" t="s">
        <v>2015</v>
      </c>
    </row>
    <row r="18" spans="1:11" s="739" customFormat="1" ht="15.75">
      <c r="A18" s="954">
        <v>44841</v>
      </c>
      <c r="B18" s="955">
        <v>45208</v>
      </c>
      <c r="C18" s="1176" t="s">
        <v>1082</v>
      </c>
      <c r="D18" s="289" t="s">
        <v>61</v>
      </c>
      <c r="E18" s="289" t="s">
        <v>948</v>
      </c>
      <c r="F18" s="956">
        <v>1940.41</v>
      </c>
      <c r="G18" s="957">
        <v>0.1</v>
      </c>
      <c r="H18" s="958">
        <v>178.51</v>
      </c>
      <c r="I18" s="907"/>
      <c r="J18" s="1547"/>
      <c r="K18" s="998" t="s">
        <v>2015</v>
      </c>
    </row>
    <row r="19" spans="1:11" s="739" customFormat="1" ht="15.75">
      <c r="A19" s="960">
        <v>44848</v>
      </c>
      <c r="B19" s="960">
        <v>45213</v>
      </c>
      <c r="C19" s="593" t="s">
        <v>2125</v>
      </c>
      <c r="D19" s="1547" t="s">
        <v>14</v>
      </c>
      <c r="E19" s="1547" t="s">
        <v>945</v>
      </c>
      <c r="F19" s="961">
        <v>2137.6999999999998</v>
      </c>
      <c r="G19" s="962">
        <v>0.1</v>
      </c>
      <c r="H19" s="958">
        <v>196.66</v>
      </c>
      <c r="I19" s="953"/>
      <c r="J19" s="1547"/>
      <c r="K19" s="998" t="s">
        <v>2015</v>
      </c>
    </row>
    <row r="20" spans="1:11" s="731" customFormat="1" ht="15.75">
      <c r="A20" s="963">
        <v>44847</v>
      </c>
      <c r="B20" s="967">
        <v>45215</v>
      </c>
      <c r="C20" s="769" t="s">
        <v>1551</v>
      </c>
      <c r="D20" s="494" t="s">
        <v>61</v>
      </c>
      <c r="E20" s="494" t="s">
        <v>10</v>
      </c>
      <c r="F20" s="965">
        <v>2590.73</v>
      </c>
      <c r="G20" s="966">
        <v>0.1</v>
      </c>
      <c r="H20" s="958">
        <v>238.34</v>
      </c>
      <c r="I20" s="922"/>
      <c r="J20" s="1547"/>
      <c r="K20" s="998" t="s">
        <v>1472</v>
      </c>
    </row>
    <row r="21" spans="1:11" s="739" customFormat="1" ht="15.75">
      <c r="A21" s="954">
        <v>44848</v>
      </c>
      <c r="B21" s="955">
        <v>45215</v>
      </c>
      <c r="C21" s="1179" t="s">
        <v>1880</v>
      </c>
      <c r="D21" s="289" t="s">
        <v>9</v>
      </c>
      <c r="E21" s="289" t="s">
        <v>1641</v>
      </c>
      <c r="F21" s="956">
        <v>753.6</v>
      </c>
      <c r="G21" s="957">
        <v>0.1</v>
      </c>
      <c r="H21" s="958">
        <v>69.33</v>
      </c>
      <c r="I21" s="907"/>
      <c r="J21" s="1547"/>
      <c r="K21" s="998" t="s">
        <v>2015</v>
      </c>
    </row>
    <row r="22" spans="1:11" s="731" customFormat="1" ht="15.75">
      <c r="A22" s="954">
        <v>44851</v>
      </c>
      <c r="B22" s="955">
        <v>45216</v>
      </c>
      <c r="C22" s="1177" t="s">
        <v>1090</v>
      </c>
      <c r="D22" s="1547" t="s">
        <v>832</v>
      </c>
      <c r="E22" s="1547" t="s">
        <v>1080</v>
      </c>
      <c r="F22" s="961">
        <v>2130.48</v>
      </c>
      <c r="G22" s="962">
        <v>0.1</v>
      </c>
      <c r="H22" s="958">
        <v>196</v>
      </c>
      <c r="I22" s="907"/>
      <c r="J22" s="1547"/>
      <c r="K22" s="997" t="s">
        <v>2015</v>
      </c>
    </row>
    <row r="23" spans="1:11" s="739" customFormat="1" ht="15.75">
      <c r="A23" s="954">
        <v>44838</v>
      </c>
      <c r="B23" s="955">
        <v>45218</v>
      </c>
      <c r="C23" s="593" t="s">
        <v>2126</v>
      </c>
      <c r="D23" s="1547" t="s">
        <v>9</v>
      </c>
      <c r="E23" s="1547" t="s">
        <v>90</v>
      </c>
      <c r="F23" s="961">
        <v>4247.8</v>
      </c>
      <c r="G23" s="962">
        <v>0.1</v>
      </c>
      <c r="H23" s="958">
        <v>390.79</v>
      </c>
      <c r="I23" s="907"/>
      <c r="J23" s="1547"/>
      <c r="K23" s="998" t="s">
        <v>1472</v>
      </c>
    </row>
    <row r="24" spans="1:11" s="739" customFormat="1" ht="15.75">
      <c r="A24" s="954">
        <v>44853</v>
      </c>
      <c r="B24" s="955">
        <v>45218</v>
      </c>
      <c r="C24" s="1176" t="s">
        <v>1883</v>
      </c>
      <c r="D24" s="289" t="s">
        <v>25</v>
      </c>
      <c r="E24" s="1547" t="s">
        <v>948</v>
      </c>
      <c r="F24" s="961">
        <v>2480.63</v>
      </c>
      <c r="G24" s="962">
        <v>0.1</v>
      </c>
      <c r="H24" s="958">
        <v>228.21</v>
      </c>
      <c r="I24" s="907"/>
      <c r="J24" s="1547"/>
      <c r="K24" s="998" t="s">
        <v>2015</v>
      </c>
    </row>
    <row r="25" spans="1:11" s="739" customFormat="1" ht="15.75">
      <c r="A25" s="954">
        <v>44853</v>
      </c>
      <c r="B25" s="955">
        <v>45219</v>
      </c>
      <c r="C25" s="1177" t="s">
        <v>1559</v>
      </c>
      <c r="D25" s="289" t="s">
        <v>9</v>
      </c>
      <c r="E25" s="1547" t="s">
        <v>1593</v>
      </c>
      <c r="F25" s="961">
        <v>2971.57</v>
      </c>
      <c r="G25" s="962">
        <v>0.1</v>
      </c>
      <c r="H25" s="958">
        <v>273.38</v>
      </c>
      <c r="I25" s="907"/>
      <c r="J25" s="1547"/>
      <c r="K25" s="998" t="s">
        <v>1472</v>
      </c>
    </row>
    <row r="26" spans="1:11" s="739" customFormat="1" ht="15.75">
      <c r="A26" s="954">
        <v>44855</v>
      </c>
      <c r="B26" s="955">
        <v>45220</v>
      </c>
      <c r="C26" s="1139" t="s">
        <v>2127</v>
      </c>
      <c r="D26" s="289" t="s">
        <v>9</v>
      </c>
      <c r="E26" s="1547" t="s">
        <v>90</v>
      </c>
      <c r="F26" s="961">
        <v>3926.21</v>
      </c>
      <c r="G26" s="962">
        <v>0.1</v>
      </c>
      <c r="H26" s="958">
        <v>361.21</v>
      </c>
      <c r="I26" s="907"/>
      <c r="J26" s="1547"/>
      <c r="K26" s="998" t="s">
        <v>2015</v>
      </c>
    </row>
    <row r="27" spans="1:11" s="739" customFormat="1" ht="15.75">
      <c r="A27" s="960">
        <v>44855</v>
      </c>
      <c r="B27" s="960">
        <v>45222</v>
      </c>
      <c r="C27" s="593" t="s">
        <v>2128</v>
      </c>
      <c r="D27" s="1547" t="s">
        <v>149</v>
      </c>
      <c r="E27" s="1547" t="s">
        <v>1310</v>
      </c>
      <c r="F27" s="961">
        <v>1987.72</v>
      </c>
      <c r="G27" s="962">
        <v>0.17</v>
      </c>
      <c r="H27" s="969">
        <v>310.87</v>
      </c>
      <c r="I27" s="910"/>
      <c r="J27" s="1547"/>
      <c r="K27" s="998" t="s">
        <v>2015</v>
      </c>
    </row>
    <row r="28" spans="1:11" s="739" customFormat="1" ht="15.75">
      <c r="A28" s="960">
        <v>44859</v>
      </c>
      <c r="B28" s="960">
        <v>45224</v>
      </c>
      <c r="C28" s="1271" t="s">
        <v>2129</v>
      </c>
      <c r="D28" s="1547" t="s">
        <v>448</v>
      </c>
      <c r="E28" s="1547" t="s">
        <v>279</v>
      </c>
      <c r="F28" s="903">
        <v>1616.2</v>
      </c>
      <c r="G28" s="962">
        <v>0.1</v>
      </c>
      <c r="H28" s="958">
        <v>148.69</v>
      </c>
      <c r="I28" s="907"/>
      <c r="J28" s="1547"/>
      <c r="K28" s="998" t="s">
        <v>2015</v>
      </c>
    </row>
    <row r="29" spans="1:11" s="739" customFormat="1" ht="15.75">
      <c r="A29" s="960">
        <v>44861</v>
      </c>
      <c r="B29" s="960">
        <v>45225</v>
      </c>
      <c r="C29" s="1288" t="s">
        <v>1106</v>
      </c>
      <c r="D29" s="1547" t="s">
        <v>9</v>
      </c>
      <c r="E29" s="1547" t="s">
        <v>948</v>
      </c>
      <c r="F29" s="903">
        <v>1318.2</v>
      </c>
      <c r="G29" s="962">
        <v>0.15</v>
      </c>
      <c r="H29" s="958">
        <v>181.91</v>
      </c>
      <c r="I29" s="907"/>
      <c r="J29" s="1547"/>
      <c r="K29" s="998" t="s">
        <v>2015</v>
      </c>
    </row>
    <row r="30" spans="1:11" s="739" customFormat="1" ht="15.75">
      <c r="A30" s="954">
        <v>44862</v>
      </c>
      <c r="B30" s="960">
        <v>45227</v>
      </c>
      <c r="C30" s="1547" t="s">
        <v>1574</v>
      </c>
      <c r="D30" s="289" t="s">
        <v>832</v>
      </c>
      <c r="E30" s="1547" t="s">
        <v>279</v>
      </c>
      <c r="F30" s="971">
        <v>1529.64</v>
      </c>
      <c r="G30" s="962">
        <v>0.1</v>
      </c>
      <c r="H30" s="958">
        <v>140.72</v>
      </c>
      <c r="I30" s="907"/>
      <c r="J30" s="1547"/>
      <c r="K30" s="998" t="s">
        <v>2015</v>
      </c>
    </row>
    <row r="31" spans="1:11" s="396" customFormat="1" ht="15.75">
      <c r="A31" s="954">
        <v>44865</v>
      </c>
      <c r="B31" s="960">
        <v>45227</v>
      </c>
      <c r="C31" s="901" t="s">
        <v>2130</v>
      </c>
      <c r="D31" s="289" t="s">
        <v>448</v>
      </c>
      <c r="E31" s="1547" t="s">
        <v>458</v>
      </c>
      <c r="F31" s="1022">
        <v>2245.59</v>
      </c>
      <c r="G31" s="962">
        <v>0.2</v>
      </c>
      <c r="H31" s="958">
        <v>413.18</v>
      </c>
      <c r="I31" s="907"/>
      <c r="J31" s="1547"/>
      <c r="K31" s="998" t="s">
        <v>2015</v>
      </c>
    </row>
    <row r="32" spans="1:11" s="739" customFormat="1" ht="15.75">
      <c r="A32" s="954">
        <v>44862</v>
      </c>
      <c r="B32" s="960">
        <v>45228</v>
      </c>
      <c r="C32" s="1547" t="s">
        <v>1574</v>
      </c>
      <c r="D32" s="289" t="s">
        <v>448</v>
      </c>
      <c r="E32" s="1547" t="s">
        <v>945</v>
      </c>
      <c r="F32" s="971">
        <v>5431.25</v>
      </c>
      <c r="G32" s="962">
        <v>0.1</v>
      </c>
      <c r="H32" s="971">
        <v>499.67</v>
      </c>
      <c r="I32" s="907"/>
      <c r="J32" s="1547"/>
      <c r="K32" s="998" t="s">
        <v>2015</v>
      </c>
    </row>
    <row r="33" spans="1:11" s="739" customFormat="1" ht="15.75">
      <c r="A33" s="954"/>
      <c r="B33" s="960"/>
      <c r="C33" s="1547"/>
      <c r="D33" s="289"/>
      <c r="E33" s="1547"/>
      <c r="F33" s="961"/>
      <c r="G33" s="962"/>
      <c r="H33" s="958"/>
      <c r="I33" s="907"/>
      <c r="J33" s="1547"/>
      <c r="K33" s="998"/>
    </row>
    <row r="34" spans="1:11" s="739" customFormat="1" ht="15.75">
      <c r="A34" s="954"/>
      <c r="B34" s="960"/>
      <c r="C34" s="1000"/>
      <c r="D34" s="289"/>
      <c r="E34" s="1547"/>
      <c r="F34" s="961"/>
      <c r="G34" s="962"/>
      <c r="H34" s="958"/>
      <c r="I34" s="907"/>
      <c r="J34" s="1547"/>
      <c r="K34" s="998"/>
    </row>
    <row r="35" spans="1:11" s="739" customFormat="1" ht="15.75">
      <c r="A35" s="954"/>
      <c r="B35" s="960"/>
      <c r="C35" s="1547"/>
      <c r="D35" s="289"/>
      <c r="E35" s="289"/>
      <c r="F35" s="1001"/>
      <c r="G35" s="962"/>
      <c r="H35" s="958"/>
      <c r="I35" s="907"/>
      <c r="J35" s="1547"/>
      <c r="K35" s="998"/>
    </row>
    <row r="36" spans="1:11" s="739" customFormat="1" ht="15.75">
      <c r="A36" s="954"/>
      <c r="B36" s="955"/>
      <c r="C36" s="1547"/>
      <c r="D36" s="289"/>
      <c r="E36" s="289"/>
      <c r="F36" s="956"/>
      <c r="G36" s="957"/>
      <c r="H36" s="958"/>
      <c r="I36" s="907"/>
      <c r="J36" s="1547"/>
      <c r="K36" s="998"/>
    </row>
    <row r="37" spans="1:11" s="739" customFormat="1" ht="15.75">
      <c r="A37" s="954"/>
      <c r="B37" s="955"/>
      <c r="C37" s="1547"/>
      <c r="D37" s="289"/>
      <c r="E37" s="289"/>
      <c r="F37" s="956"/>
      <c r="G37" s="957"/>
      <c r="H37" s="958"/>
      <c r="I37" s="907"/>
      <c r="J37" s="1547"/>
      <c r="K37" s="998"/>
    </row>
    <row r="38" spans="1:11" s="739" customFormat="1" ht="15.75">
      <c r="A38" s="954"/>
      <c r="B38" s="955"/>
      <c r="C38" s="1547"/>
      <c r="D38" s="289"/>
      <c r="E38" s="289"/>
      <c r="F38" s="956"/>
      <c r="G38" s="957"/>
      <c r="H38" s="958"/>
      <c r="I38" s="907"/>
      <c r="J38" s="1547"/>
      <c r="K38" s="998"/>
    </row>
    <row r="39" spans="1:11" s="739" customFormat="1" ht="15.75">
      <c r="A39" s="954"/>
      <c r="B39" s="955"/>
      <c r="C39" s="999"/>
      <c r="D39" s="289"/>
      <c r="E39" s="289"/>
      <c r="F39" s="956"/>
      <c r="G39" s="957"/>
      <c r="H39" s="958"/>
      <c r="I39" s="907"/>
      <c r="J39" s="1547"/>
      <c r="K39" s="998"/>
    </row>
    <row r="40" spans="1:11" s="739" customFormat="1" ht="15.75">
      <c r="A40" s="954"/>
      <c r="B40" s="955"/>
      <c r="C40" s="1547"/>
      <c r="D40" s="289"/>
      <c r="E40" s="289"/>
      <c r="F40" s="956"/>
      <c r="G40" s="957"/>
      <c r="H40" s="958"/>
      <c r="I40" s="907"/>
      <c r="J40" s="1547"/>
      <c r="K40" s="998"/>
    </row>
    <row r="41" spans="1:11" s="739" customFormat="1" ht="15.75">
      <c r="A41" s="954"/>
      <c r="B41" s="955"/>
      <c r="C41" s="1547"/>
      <c r="D41" s="289"/>
      <c r="E41" s="289"/>
      <c r="F41" s="956"/>
      <c r="G41" s="957"/>
      <c r="H41" s="958"/>
      <c r="I41" s="907"/>
      <c r="J41" s="1547"/>
      <c r="K41" s="998"/>
    </row>
    <row r="42" spans="1:11" s="739" customFormat="1" ht="15.75">
      <c r="A42" s="954"/>
      <c r="B42" s="955"/>
      <c r="C42" s="289"/>
      <c r="D42" s="289"/>
      <c r="E42" s="289"/>
      <c r="F42" s="956"/>
      <c r="G42" s="957"/>
      <c r="H42" s="958"/>
      <c r="I42" s="907"/>
      <c r="J42" s="1547"/>
      <c r="K42" s="998"/>
    </row>
    <row r="43" spans="1:11" s="739" customFormat="1" ht="15.75">
      <c r="A43" s="954"/>
      <c r="B43" s="955"/>
      <c r="C43" s="289"/>
      <c r="D43" s="289"/>
      <c r="E43" s="289"/>
      <c r="F43" s="956"/>
      <c r="G43" s="957"/>
      <c r="H43" s="958"/>
      <c r="I43" s="907"/>
      <c r="J43" s="1547"/>
      <c r="K43" s="998"/>
    </row>
    <row r="44" spans="1:11" s="739" customFormat="1" ht="15.75">
      <c r="A44" s="954"/>
      <c r="B44" s="955"/>
      <c r="C44" s="1547"/>
      <c r="D44" s="289"/>
      <c r="E44" s="289"/>
      <c r="F44" s="956"/>
      <c r="G44" s="957"/>
      <c r="H44" s="958"/>
      <c r="I44" s="907"/>
      <c r="J44" s="1547"/>
      <c r="K44" s="998"/>
    </row>
    <row r="45" spans="1:11" s="739" customFormat="1" ht="15.75">
      <c r="A45" s="954"/>
      <c r="B45" s="955"/>
      <c r="C45" s="1547"/>
      <c r="D45" s="289"/>
      <c r="E45" s="289"/>
      <c r="F45" s="956"/>
      <c r="G45" s="957"/>
      <c r="H45" s="958"/>
      <c r="I45" s="907"/>
      <c r="J45" s="1547"/>
      <c r="K45" s="998"/>
    </row>
    <row r="46" spans="1:11" s="739" customFormat="1" ht="15.75">
      <c r="A46" s="954"/>
      <c r="B46" s="955"/>
      <c r="C46" s="289"/>
      <c r="D46" s="289"/>
      <c r="E46" s="289"/>
      <c r="F46" s="956"/>
      <c r="G46" s="957"/>
      <c r="H46" s="958"/>
      <c r="I46" s="907"/>
      <c r="J46" s="1547"/>
      <c r="K46" s="998"/>
    </row>
    <row r="47" spans="1:11" s="739" customFormat="1" ht="15.75">
      <c r="A47" s="954"/>
      <c r="B47" s="955"/>
      <c r="C47" s="289"/>
      <c r="D47" s="289"/>
      <c r="E47" s="289"/>
      <c r="F47" s="956"/>
      <c r="G47" s="957"/>
      <c r="H47" s="958"/>
      <c r="I47" s="907"/>
      <c r="J47" s="1547"/>
      <c r="K47" s="998"/>
    </row>
    <row r="48" spans="1:11" s="739" customFormat="1" ht="16.5" thickBot="1">
      <c r="A48" s="954"/>
      <c r="B48" s="955"/>
      <c r="C48" s="289"/>
      <c r="D48" s="289"/>
      <c r="E48" s="289"/>
      <c r="F48" s="956"/>
      <c r="G48" s="957"/>
      <c r="H48" s="958"/>
      <c r="I48" s="907"/>
      <c r="J48" s="1547"/>
      <c r="K48" s="998"/>
    </row>
    <row r="49" spans="1:11" ht="20.25" thickBot="1">
      <c r="A49" s="939"/>
      <c r="B49" s="940"/>
      <c r="C49" s="940"/>
      <c r="D49" s="940"/>
      <c r="E49" s="940"/>
      <c r="F49" s="941">
        <f>SUM(F2:F48)</f>
        <v>88784.550000000017</v>
      </c>
      <c r="G49" s="942"/>
      <c r="H49" s="943">
        <f>SUM(H2:H48)</f>
        <v>8746.6</v>
      </c>
      <c r="I49" s="952">
        <f>SUM(I2:I48)</f>
        <v>880.2</v>
      </c>
      <c r="J49" s="162"/>
      <c r="K49" s="948"/>
    </row>
  </sheetData>
  <autoFilter ref="A1:J1" xr:uid="{91B4CE36-16C2-47D4-8DBA-AB2BE4B87836}">
    <sortState xmlns:xlrd2="http://schemas.microsoft.com/office/spreadsheetml/2017/richdata2" ref="A2:J32">
      <sortCondition ref="J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2C760-B2E3-479D-BD71-55AE328EDAA6}">
  <dimension ref="A1:K51"/>
  <sheetViews>
    <sheetView topLeftCell="A21" zoomScale="85" zoomScaleNormal="85" workbookViewId="0">
      <selection activeCell="I9" sqref="I9"/>
    </sheetView>
  </sheetViews>
  <sheetFormatPr defaultColWidth="9.140625" defaultRowHeight="15"/>
  <cols>
    <col min="1" max="1" width="16.5703125" style="1035" bestFit="1" customWidth="1"/>
    <col min="2" max="2" width="15.28515625" style="1035" bestFit="1" customWidth="1"/>
    <col min="3" max="3" width="52.85546875" style="1035" bestFit="1" customWidth="1"/>
    <col min="4" max="4" width="23.5703125" style="1035" bestFit="1" customWidth="1"/>
    <col min="5" max="5" width="14.140625" style="1035" bestFit="1" customWidth="1"/>
    <col min="6" max="6" width="23.28515625" style="1035" bestFit="1" customWidth="1"/>
    <col min="7" max="7" width="18.28515625" style="1035" bestFit="1" customWidth="1"/>
    <col min="8" max="8" width="24.85546875" style="1035" bestFit="1" customWidth="1"/>
    <col min="9" max="9" width="21" style="1035" bestFit="1" customWidth="1"/>
    <col min="10" max="10" width="16.42578125" style="1035" bestFit="1" customWidth="1"/>
    <col min="11" max="11" width="17" style="1035" bestFit="1" customWidth="1"/>
    <col min="12" max="16384" width="9.140625" style="1035"/>
  </cols>
  <sheetData>
    <row r="1" spans="1:11" ht="16.5" thickBot="1">
      <c r="A1" s="1036" t="s">
        <v>1832</v>
      </c>
      <c r="B1" s="1024" t="s">
        <v>2</v>
      </c>
      <c r="C1" s="1024" t="s">
        <v>3</v>
      </c>
      <c r="D1" s="1024" t="s">
        <v>4</v>
      </c>
      <c r="E1" s="1024" t="s">
        <v>5</v>
      </c>
      <c r="F1" s="1049" t="s">
        <v>644</v>
      </c>
      <c r="G1" s="1024" t="s">
        <v>555</v>
      </c>
      <c r="H1" s="1050" t="s">
        <v>7</v>
      </c>
      <c r="I1" s="1051" t="s">
        <v>307</v>
      </c>
      <c r="J1" s="124" t="s">
        <v>370</v>
      </c>
      <c r="K1" s="1052"/>
    </row>
    <row r="2" spans="1:11" s="1058" customFormat="1" ht="15.75">
      <c r="A2" s="1040">
        <v>44872</v>
      </c>
      <c r="B2" s="1042">
        <v>45239</v>
      </c>
      <c r="C2" s="1027" t="s">
        <v>1900</v>
      </c>
      <c r="D2" s="1030" t="s">
        <v>149</v>
      </c>
      <c r="E2" s="1030" t="s">
        <v>10</v>
      </c>
      <c r="F2" s="1072">
        <v>1281.3699999999999</v>
      </c>
      <c r="G2" s="1073">
        <v>0.14000000000000001</v>
      </c>
      <c r="H2" s="1067">
        <v>165.04</v>
      </c>
      <c r="I2" s="1068"/>
      <c r="J2" s="1027" t="s">
        <v>1558</v>
      </c>
      <c r="K2" s="1069" t="s">
        <v>2012</v>
      </c>
    </row>
    <row r="3" spans="1:11" s="1058" customFormat="1" ht="15.75">
      <c r="A3" s="1040">
        <v>44869</v>
      </c>
      <c r="B3" s="1042">
        <v>45240</v>
      </c>
      <c r="C3" s="1027" t="s">
        <v>1899</v>
      </c>
      <c r="D3" s="1030" t="s">
        <v>25</v>
      </c>
      <c r="E3" s="1030" t="s">
        <v>945</v>
      </c>
      <c r="F3" s="1072">
        <v>890.28</v>
      </c>
      <c r="G3" s="1073">
        <v>0.13</v>
      </c>
      <c r="H3" s="1067">
        <v>106.47</v>
      </c>
      <c r="I3" s="1068"/>
      <c r="J3" s="1027" t="s">
        <v>1558</v>
      </c>
      <c r="K3" s="1074" t="s">
        <v>2012</v>
      </c>
    </row>
    <row r="4" spans="1:11" s="1058" customFormat="1" ht="15.75">
      <c r="A4" s="1040">
        <v>44869</v>
      </c>
      <c r="B4" s="1042">
        <v>45242</v>
      </c>
      <c r="C4" s="1027" t="s">
        <v>1127</v>
      </c>
      <c r="D4" s="1030" t="s">
        <v>25</v>
      </c>
      <c r="E4" s="1030" t="s">
        <v>945</v>
      </c>
      <c r="F4" s="1072">
        <v>1747.83</v>
      </c>
      <c r="G4" s="1073">
        <v>0.1</v>
      </c>
      <c r="H4" s="1067">
        <v>160.80000000000001</v>
      </c>
      <c r="I4" s="1068"/>
      <c r="J4" s="1027" t="s">
        <v>1558</v>
      </c>
      <c r="K4" s="1074" t="s">
        <v>2012</v>
      </c>
    </row>
    <row r="5" spans="1:11" s="1029" customFormat="1" ht="15.75">
      <c r="A5" s="1040">
        <v>44883</v>
      </c>
      <c r="B5" s="1042">
        <v>45248</v>
      </c>
      <c r="C5" s="1027" t="s">
        <v>1596</v>
      </c>
      <c r="D5" s="1030" t="s">
        <v>61</v>
      </c>
      <c r="E5" s="1030" t="s">
        <v>1044</v>
      </c>
      <c r="F5" s="1120">
        <v>1634.23</v>
      </c>
      <c r="G5" s="1073">
        <v>0.1</v>
      </c>
      <c r="H5" s="1090">
        <v>150.34</v>
      </c>
      <c r="I5" s="1068"/>
      <c r="J5" s="1027" t="s">
        <v>1558</v>
      </c>
      <c r="K5" s="1074" t="s">
        <v>2012</v>
      </c>
    </row>
    <row r="6" spans="1:11" s="1058" customFormat="1" ht="15.75">
      <c r="A6" s="1041">
        <v>44888</v>
      </c>
      <c r="B6" s="1041">
        <v>45253</v>
      </c>
      <c r="C6" s="1027" t="s">
        <v>2131</v>
      </c>
      <c r="D6" s="1027" t="s">
        <v>448</v>
      </c>
      <c r="E6" s="1027" t="s">
        <v>948</v>
      </c>
      <c r="F6" s="1065">
        <v>2701.55</v>
      </c>
      <c r="G6" s="1066">
        <v>0.1</v>
      </c>
      <c r="H6" s="1067">
        <v>248.54</v>
      </c>
      <c r="I6" s="1122"/>
      <c r="J6" s="1027" t="s">
        <v>1558</v>
      </c>
      <c r="K6" s="1060" t="s">
        <v>2012</v>
      </c>
    </row>
    <row r="7" spans="1:11" s="1058" customFormat="1" ht="15.75">
      <c r="A7" s="1040">
        <v>44890</v>
      </c>
      <c r="B7" s="1042">
        <v>45256</v>
      </c>
      <c r="C7" s="1027" t="s">
        <v>1911</v>
      </c>
      <c r="D7" s="1030" t="s">
        <v>9</v>
      </c>
      <c r="E7" s="1030" t="s">
        <v>1593</v>
      </c>
      <c r="F7" s="1072">
        <v>6359.07</v>
      </c>
      <c r="G7" s="1073">
        <v>0.1</v>
      </c>
      <c r="H7" s="1067">
        <v>585.03</v>
      </c>
      <c r="I7" s="1068"/>
      <c r="J7" s="1027" t="s">
        <v>1558</v>
      </c>
      <c r="K7" s="1074" t="s">
        <v>2012</v>
      </c>
    </row>
    <row r="8" spans="1:11" s="1058" customFormat="1" ht="15.75">
      <c r="A8" s="1040">
        <v>44892</v>
      </c>
      <c r="B8" s="1042">
        <v>45257</v>
      </c>
      <c r="C8" s="1030" t="s">
        <v>2132</v>
      </c>
      <c r="D8" s="1030" t="s">
        <v>9</v>
      </c>
      <c r="E8" s="1030" t="s">
        <v>1593</v>
      </c>
      <c r="F8" s="1072">
        <v>7657.85</v>
      </c>
      <c r="G8" s="1073">
        <v>0.1</v>
      </c>
      <c r="H8" s="1067">
        <v>704.52</v>
      </c>
      <c r="I8" s="1068"/>
      <c r="J8" s="1027" t="s">
        <v>1558</v>
      </c>
      <c r="K8" s="1074" t="s">
        <v>2012</v>
      </c>
    </row>
    <row r="9" spans="1:11" s="1058" customFormat="1" ht="15.75">
      <c r="A9" s="1040">
        <v>44891</v>
      </c>
      <c r="B9" s="1042">
        <v>45256</v>
      </c>
      <c r="C9" s="1030" t="s">
        <v>1607</v>
      </c>
      <c r="D9" s="1030" t="s">
        <v>61</v>
      </c>
      <c r="E9" s="1030" t="s">
        <v>22</v>
      </c>
      <c r="F9" s="1072">
        <v>2066.62</v>
      </c>
      <c r="G9" s="1073">
        <v>0.1</v>
      </c>
      <c r="H9" s="1067">
        <v>190.12</v>
      </c>
      <c r="I9" s="1068"/>
      <c r="J9" s="1027" t="s">
        <v>1558</v>
      </c>
      <c r="K9" s="1074" t="s">
        <v>2012</v>
      </c>
    </row>
    <row r="10" spans="1:11" s="1058" customFormat="1" ht="15.75">
      <c r="A10" s="1037">
        <v>44883</v>
      </c>
      <c r="B10" s="1038">
        <v>45249</v>
      </c>
      <c r="C10" s="902" t="s">
        <v>2133</v>
      </c>
      <c r="D10" s="1026" t="s">
        <v>448</v>
      </c>
      <c r="E10" s="1026" t="s">
        <v>10</v>
      </c>
      <c r="F10" s="1118">
        <v>2070.63</v>
      </c>
      <c r="G10" s="1054">
        <v>0.1</v>
      </c>
      <c r="H10" s="1023">
        <v>190.49</v>
      </c>
      <c r="I10" s="1056">
        <v>95.24</v>
      </c>
      <c r="J10" s="1025" t="s">
        <v>1577</v>
      </c>
      <c r="K10" s="1060" t="s">
        <v>2012</v>
      </c>
    </row>
    <row r="11" spans="1:11" s="1070" customFormat="1" ht="15.75">
      <c r="A11" s="1037">
        <v>44887</v>
      </c>
      <c r="B11" s="1039">
        <v>45256</v>
      </c>
      <c r="C11" s="1025" t="s">
        <v>1605</v>
      </c>
      <c r="D11" s="1026" t="s">
        <v>14</v>
      </c>
      <c r="E11" s="1025" t="s">
        <v>2134</v>
      </c>
      <c r="F11" s="1023">
        <v>2016.87</v>
      </c>
      <c r="G11" s="1062">
        <v>0.15</v>
      </c>
      <c r="H11" s="1023">
        <v>278.32</v>
      </c>
      <c r="I11" s="1056">
        <v>139.16</v>
      </c>
      <c r="J11" s="1025" t="s">
        <v>1577</v>
      </c>
      <c r="K11" s="1060" t="s">
        <v>2012</v>
      </c>
    </row>
    <row r="12" spans="1:11" s="1058" customFormat="1" ht="15.75">
      <c r="A12" s="1037">
        <v>44895</v>
      </c>
      <c r="B12" s="1039">
        <v>45260</v>
      </c>
      <c r="C12" s="1025" t="s">
        <v>2135</v>
      </c>
      <c r="D12" s="1026" t="s">
        <v>9</v>
      </c>
      <c r="E12" s="1026" t="s">
        <v>1641</v>
      </c>
      <c r="F12" s="1071">
        <v>3614.27</v>
      </c>
      <c r="G12" s="1062">
        <v>0.1</v>
      </c>
      <c r="H12" s="1055">
        <v>332.51</v>
      </c>
      <c r="I12" s="1056">
        <v>166.25</v>
      </c>
      <c r="J12" s="1025" t="s">
        <v>1396</v>
      </c>
      <c r="K12" s="1060" t="s">
        <v>1472</v>
      </c>
    </row>
    <row r="13" spans="1:11" s="1058" customFormat="1" ht="15.75">
      <c r="A13" s="1037">
        <v>44862</v>
      </c>
      <c r="B13" s="1038">
        <v>45231</v>
      </c>
      <c r="C13" s="1025" t="s">
        <v>1580</v>
      </c>
      <c r="D13" s="1026" t="s">
        <v>448</v>
      </c>
      <c r="E13" s="1026" t="s">
        <v>10</v>
      </c>
      <c r="F13" s="1053">
        <v>2120.21</v>
      </c>
      <c r="G13" s="1054">
        <v>0.2</v>
      </c>
      <c r="H13" s="1055">
        <v>390.11</v>
      </c>
      <c r="I13" s="1056"/>
      <c r="J13" s="1025"/>
      <c r="K13" s="1057" t="s">
        <v>2012</v>
      </c>
    </row>
    <row r="14" spans="1:11" s="1070" customFormat="1" ht="15.75">
      <c r="A14" s="1037">
        <v>44873</v>
      </c>
      <c r="B14" s="1038">
        <v>45231</v>
      </c>
      <c r="C14" s="1075" t="s">
        <v>1584</v>
      </c>
      <c r="D14" s="1026" t="s">
        <v>1862</v>
      </c>
      <c r="E14" s="1026" t="s">
        <v>948</v>
      </c>
      <c r="F14" s="1059">
        <v>1761.69</v>
      </c>
      <c r="G14" s="1054">
        <v>0.15</v>
      </c>
      <c r="H14" s="1055">
        <v>243.11</v>
      </c>
      <c r="I14" s="1056"/>
      <c r="J14" s="1025"/>
      <c r="K14" s="1057" t="s">
        <v>2012</v>
      </c>
    </row>
    <row r="15" spans="1:11" s="1058" customFormat="1" ht="15.75">
      <c r="A15" s="1039">
        <v>44865</v>
      </c>
      <c r="B15" s="1039">
        <v>45231</v>
      </c>
      <c r="C15" s="902" t="s">
        <v>1126</v>
      </c>
      <c r="D15" s="1025" t="s">
        <v>448</v>
      </c>
      <c r="E15" s="1025" t="s">
        <v>22</v>
      </c>
      <c r="F15" s="1061">
        <v>2033.17</v>
      </c>
      <c r="G15" s="1062">
        <v>0.15</v>
      </c>
      <c r="H15" s="1055">
        <v>280.57</v>
      </c>
      <c r="I15" s="1063"/>
      <c r="J15" s="1025"/>
      <c r="K15" s="1057" t="s">
        <v>1472</v>
      </c>
    </row>
    <row r="16" spans="1:11" s="1058" customFormat="1" ht="15.75">
      <c r="A16" s="1043">
        <v>44868</v>
      </c>
      <c r="B16" s="1044">
        <v>45234</v>
      </c>
      <c r="C16" s="1032" t="s">
        <v>1133</v>
      </c>
      <c r="D16" s="1075" t="s">
        <v>9</v>
      </c>
      <c r="E16" s="1075" t="s">
        <v>1641</v>
      </c>
      <c r="F16" s="1102">
        <v>3202.33</v>
      </c>
      <c r="G16" s="1076">
        <v>0.1</v>
      </c>
      <c r="H16" s="1055">
        <v>294.61</v>
      </c>
      <c r="I16" s="1077"/>
      <c r="J16" s="1025"/>
      <c r="K16" s="1060" t="s">
        <v>1472</v>
      </c>
    </row>
    <row r="17" spans="1:11" s="1070" customFormat="1" ht="15.75">
      <c r="A17" s="1037">
        <v>44866</v>
      </c>
      <c r="B17" s="1038">
        <v>45235</v>
      </c>
      <c r="C17" s="1026" t="s">
        <v>2136</v>
      </c>
      <c r="D17" s="1026" t="s">
        <v>9</v>
      </c>
      <c r="E17" s="1026" t="s">
        <v>1310</v>
      </c>
      <c r="F17" s="1059">
        <v>2117.35</v>
      </c>
      <c r="G17" s="1054">
        <v>0.1</v>
      </c>
      <c r="H17" s="1055">
        <v>194.79</v>
      </c>
      <c r="I17" s="1056"/>
      <c r="J17" s="1025"/>
      <c r="K17" s="1060" t="s">
        <v>2012</v>
      </c>
    </row>
    <row r="18" spans="1:11" s="1078" customFormat="1" ht="15.75">
      <c r="A18" s="1037">
        <v>44869</v>
      </c>
      <c r="B18" s="1038">
        <v>45235</v>
      </c>
      <c r="C18" s="1026" t="s">
        <v>2137</v>
      </c>
      <c r="D18" s="1026" t="s">
        <v>61</v>
      </c>
      <c r="E18" s="1026" t="s">
        <v>948</v>
      </c>
      <c r="F18" s="1059">
        <v>2486.23</v>
      </c>
      <c r="G18" s="1054">
        <v>0.1</v>
      </c>
      <c r="H18" s="1055">
        <v>228.73</v>
      </c>
      <c r="I18" s="1056"/>
      <c r="J18" s="1025"/>
      <c r="K18" s="1060" t="s">
        <v>2012</v>
      </c>
    </row>
    <row r="19" spans="1:11" s="1058" customFormat="1" ht="15.75">
      <c r="A19" s="1037">
        <v>44877</v>
      </c>
      <c r="B19" s="1038">
        <v>45236</v>
      </c>
      <c r="C19" s="1026" t="s">
        <v>1598</v>
      </c>
      <c r="D19" s="1026" t="s">
        <v>448</v>
      </c>
      <c r="E19" s="1026" t="s">
        <v>10</v>
      </c>
      <c r="F19" s="1059">
        <v>2261.4499999999998</v>
      </c>
      <c r="G19" s="1054">
        <v>0.1</v>
      </c>
      <c r="H19" s="1055">
        <v>208.05</v>
      </c>
      <c r="I19" s="1056"/>
      <c r="J19" s="1025"/>
      <c r="K19" s="1060" t="s">
        <v>2012</v>
      </c>
    </row>
    <row r="20" spans="1:11" s="1058" customFormat="1" ht="15.75">
      <c r="A20" s="1039">
        <v>44871</v>
      </c>
      <c r="B20" s="1039">
        <v>45236</v>
      </c>
      <c r="C20" s="1025" t="s">
        <v>2138</v>
      </c>
      <c r="D20" s="1025" t="s">
        <v>149</v>
      </c>
      <c r="E20" s="1025" t="s">
        <v>1044</v>
      </c>
      <c r="F20" s="1174">
        <v>1640.28</v>
      </c>
      <c r="G20" s="1062">
        <v>0.1</v>
      </c>
      <c r="H20" s="1055">
        <v>150.9</v>
      </c>
      <c r="I20" s="1063"/>
      <c r="J20" s="1025"/>
      <c r="K20" s="1060" t="s">
        <v>1472</v>
      </c>
    </row>
    <row r="21" spans="1:11" s="1058" customFormat="1" ht="15.75">
      <c r="A21" s="1043">
        <v>44873</v>
      </c>
      <c r="B21" s="1045">
        <v>45238</v>
      </c>
      <c r="C21" s="1075" t="s">
        <v>1901</v>
      </c>
      <c r="D21" s="1075" t="s">
        <v>448</v>
      </c>
      <c r="E21" s="1075" t="s">
        <v>945</v>
      </c>
      <c r="F21" s="1102">
        <v>2788.42</v>
      </c>
      <c r="G21" s="1076">
        <v>0.1</v>
      </c>
      <c r="H21" s="1055">
        <v>256.52999999999997</v>
      </c>
      <c r="I21" s="1077"/>
      <c r="J21" s="1025"/>
      <c r="K21" s="1060" t="s">
        <v>1472</v>
      </c>
    </row>
    <row r="22" spans="1:11" s="1087" customFormat="1" ht="15.75">
      <c r="A22" s="1037">
        <v>44874</v>
      </c>
      <c r="B22" s="1038">
        <v>45239</v>
      </c>
      <c r="C22" s="1119" t="s">
        <v>1903</v>
      </c>
      <c r="D22" s="1026" t="s">
        <v>9</v>
      </c>
      <c r="E22" s="1026" t="s">
        <v>1552</v>
      </c>
      <c r="F22" s="1059">
        <v>8548.2000000000007</v>
      </c>
      <c r="G22" s="1054">
        <v>0.15</v>
      </c>
      <c r="H22" s="1055">
        <v>1179.6500000000001</v>
      </c>
      <c r="I22" s="1056"/>
      <c r="J22" s="1025"/>
      <c r="K22" s="1057" t="s">
        <v>2012</v>
      </c>
    </row>
    <row r="23" spans="1:11" s="1058" customFormat="1" ht="15.75">
      <c r="A23" s="1037">
        <v>44874</v>
      </c>
      <c r="B23" s="1038">
        <v>45239</v>
      </c>
      <c r="C23" s="1025" t="s">
        <v>1904</v>
      </c>
      <c r="D23" s="1025" t="s">
        <v>149</v>
      </c>
      <c r="E23" s="1025" t="s">
        <v>1044</v>
      </c>
      <c r="F23" s="1061">
        <v>2320.15</v>
      </c>
      <c r="G23" s="1062">
        <v>0.1</v>
      </c>
      <c r="H23" s="1055">
        <v>213.45</v>
      </c>
      <c r="I23" s="1056"/>
      <c r="J23" s="1025"/>
      <c r="K23" s="1060" t="s">
        <v>2012</v>
      </c>
    </row>
    <row r="24" spans="1:11" s="1058" customFormat="1" ht="15.75">
      <c r="A24" s="1037">
        <v>44875</v>
      </c>
      <c r="B24" s="1038">
        <v>45240</v>
      </c>
      <c r="C24" s="1025" t="s">
        <v>2139</v>
      </c>
      <c r="D24" s="1025" t="s">
        <v>448</v>
      </c>
      <c r="E24" s="1025" t="s">
        <v>22</v>
      </c>
      <c r="F24" s="1061">
        <v>3741.15</v>
      </c>
      <c r="G24" s="1062">
        <v>0.1</v>
      </c>
      <c r="H24" s="1055">
        <v>344.18</v>
      </c>
      <c r="I24" s="1056"/>
      <c r="J24" s="1025"/>
      <c r="K24" s="1060" t="s">
        <v>2012</v>
      </c>
    </row>
    <row r="25" spans="1:11" s="1087" customFormat="1" ht="15.75">
      <c r="A25" s="1037">
        <v>44869</v>
      </c>
      <c r="B25" s="1038">
        <v>45241</v>
      </c>
      <c r="C25" s="1099" t="s">
        <v>1130</v>
      </c>
      <c r="D25" s="1026" t="s">
        <v>448</v>
      </c>
      <c r="E25" s="1025" t="s">
        <v>948</v>
      </c>
      <c r="F25" s="1023">
        <v>1315.15</v>
      </c>
      <c r="G25" s="1062">
        <v>0.13</v>
      </c>
      <c r="H25" s="1055">
        <v>157.29</v>
      </c>
      <c r="I25" s="1056"/>
      <c r="J25" s="1025"/>
      <c r="K25" s="1060" t="s">
        <v>2012</v>
      </c>
    </row>
    <row r="26" spans="1:11" s="1058" customFormat="1" ht="15.75">
      <c r="A26" s="1037">
        <v>44874</v>
      </c>
      <c r="B26" s="1038">
        <v>45242</v>
      </c>
      <c r="C26" s="1025" t="s">
        <v>1142</v>
      </c>
      <c r="D26" s="1026" t="s">
        <v>198</v>
      </c>
      <c r="E26" s="1025" t="s">
        <v>948</v>
      </c>
      <c r="F26" s="1061">
        <v>3528.09</v>
      </c>
      <c r="G26" s="1062">
        <v>0.1</v>
      </c>
      <c r="H26" s="1055">
        <v>324.58</v>
      </c>
      <c r="I26" s="1056"/>
      <c r="J26" s="1025"/>
      <c r="K26" s="1060" t="s">
        <v>2012</v>
      </c>
    </row>
    <row r="27" spans="1:11" s="1058" customFormat="1" ht="15.75">
      <c r="A27" s="1037">
        <v>44875</v>
      </c>
      <c r="B27" s="1038">
        <v>45242</v>
      </c>
      <c r="C27" s="1025" t="s">
        <v>1591</v>
      </c>
      <c r="D27" s="1026" t="s">
        <v>25</v>
      </c>
      <c r="E27" s="1025" t="s">
        <v>10</v>
      </c>
      <c r="F27" s="1061">
        <v>1049.3900000000001</v>
      </c>
      <c r="G27" s="1062">
        <v>0.13</v>
      </c>
      <c r="H27" s="1055">
        <v>125.5</v>
      </c>
      <c r="I27" s="1056"/>
      <c r="J27" s="1025"/>
      <c r="K27" s="1060" t="s">
        <v>2012</v>
      </c>
    </row>
    <row r="28" spans="1:11" s="1070" customFormat="1" ht="15.75">
      <c r="A28" s="1037">
        <v>44876</v>
      </c>
      <c r="B28" s="1038">
        <v>45243</v>
      </c>
      <c r="C28" s="1032" t="s">
        <v>1592</v>
      </c>
      <c r="D28" s="1026" t="s">
        <v>9</v>
      </c>
      <c r="E28" s="1025" t="s">
        <v>1593</v>
      </c>
      <c r="F28" s="1061">
        <v>1696.45</v>
      </c>
      <c r="G28" s="1062">
        <v>0.21</v>
      </c>
      <c r="H28" s="1055">
        <v>327.75</v>
      </c>
      <c r="I28" s="1056"/>
      <c r="J28" s="1025"/>
      <c r="K28" s="1060" t="s">
        <v>2012</v>
      </c>
    </row>
    <row r="29" spans="1:11" s="1058" customFormat="1" ht="15.75">
      <c r="A29" s="1039">
        <v>44876</v>
      </c>
      <c r="B29" s="1039">
        <v>45243</v>
      </c>
      <c r="C29" s="902" t="s">
        <v>1590</v>
      </c>
      <c r="D29" s="1025" t="s">
        <v>70</v>
      </c>
      <c r="E29" s="1025" t="s">
        <v>1080</v>
      </c>
      <c r="F29" s="1092">
        <v>3565.03</v>
      </c>
      <c r="G29" s="1062">
        <v>0.1</v>
      </c>
      <c r="H29" s="1055">
        <v>327.98</v>
      </c>
      <c r="I29" s="1056"/>
      <c r="J29" s="1025"/>
      <c r="K29" s="1060" t="s">
        <v>1472</v>
      </c>
    </row>
    <row r="30" spans="1:11" s="1058" customFormat="1" ht="15.75">
      <c r="A30" s="1294">
        <v>44879</v>
      </c>
      <c r="B30" s="1294">
        <v>45244</v>
      </c>
      <c r="C30" s="1085" t="s">
        <v>2140</v>
      </c>
      <c r="D30" s="1085" t="s">
        <v>9</v>
      </c>
      <c r="E30" s="1085" t="s">
        <v>1593</v>
      </c>
      <c r="F30" s="1296"/>
      <c r="G30" s="1101"/>
      <c r="H30" s="1083"/>
      <c r="I30" s="1084"/>
      <c r="J30" s="1085"/>
      <c r="K30" s="1086" t="s">
        <v>2012</v>
      </c>
    </row>
    <row r="31" spans="1:11" s="1058" customFormat="1" ht="15.75">
      <c r="A31" s="1039">
        <v>44873</v>
      </c>
      <c r="B31" s="1039">
        <v>45246</v>
      </c>
      <c r="C31" s="1025" t="s">
        <v>2141</v>
      </c>
      <c r="D31" s="1025" t="s">
        <v>149</v>
      </c>
      <c r="E31" s="1025" t="s">
        <v>1044</v>
      </c>
      <c r="F31" s="1061">
        <v>2496.44</v>
      </c>
      <c r="G31" s="1062">
        <v>0.1</v>
      </c>
      <c r="H31" s="1055">
        <v>229.67</v>
      </c>
      <c r="I31" s="1056"/>
      <c r="J31" s="1025"/>
      <c r="K31" s="1060" t="s">
        <v>2012</v>
      </c>
    </row>
    <row r="32" spans="1:11" s="1058" customFormat="1" ht="15.75">
      <c r="A32" s="1037">
        <v>44875</v>
      </c>
      <c r="B32" s="1039">
        <v>45246</v>
      </c>
      <c r="C32" s="1025" t="s">
        <v>1906</v>
      </c>
      <c r="D32" s="1026" t="s">
        <v>448</v>
      </c>
      <c r="E32" s="1025" t="s">
        <v>945</v>
      </c>
      <c r="F32" s="1061">
        <v>2384.6799999999998</v>
      </c>
      <c r="G32" s="1062">
        <v>0.1</v>
      </c>
      <c r="H32" s="1088">
        <v>219.39</v>
      </c>
      <c r="I32" s="1089"/>
      <c r="J32" s="1025"/>
      <c r="K32" s="1060" t="s">
        <v>2012</v>
      </c>
    </row>
    <row r="33" spans="1:11" s="1058" customFormat="1" ht="15.75">
      <c r="A33" s="1046">
        <v>44881</v>
      </c>
      <c r="B33" s="1294">
        <v>45246</v>
      </c>
      <c r="C33" s="1295" t="s">
        <v>2142</v>
      </c>
      <c r="D33" s="1080" t="s">
        <v>9</v>
      </c>
      <c r="E33" s="1085" t="s">
        <v>1593</v>
      </c>
      <c r="F33" s="1100"/>
      <c r="G33" s="1101">
        <v>0.1</v>
      </c>
      <c r="H33" s="1083"/>
      <c r="I33" s="1084"/>
      <c r="J33" s="1085"/>
      <c r="K33" s="1086" t="s">
        <v>2012</v>
      </c>
    </row>
    <row r="34" spans="1:11" s="1070" customFormat="1" ht="15.75">
      <c r="A34" s="1037">
        <v>44875</v>
      </c>
      <c r="B34" s="1039">
        <v>45247</v>
      </c>
      <c r="C34" s="1025" t="s">
        <v>1908</v>
      </c>
      <c r="D34" s="1026" t="s">
        <v>448</v>
      </c>
      <c r="E34" s="1025" t="s">
        <v>945</v>
      </c>
      <c r="F34" s="1061">
        <v>3018.79</v>
      </c>
      <c r="G34" s="1062">
        <v>0.1</v>
      </c>
      <c r="H34" s="1055">
        <v>277.82</v>
      </c>
      <c r="I34" s="1056"/>
      <c r="J34" s="1025"/>
      <c r="K34" s="1060" t="s">
        <v>2012</v>
      </c>
    </row>
    <row r="35" spans="1:11" s="1058" customFormat="1" ht="15.75">
      <c r="A35" s="1037">
        <v>44876</v>
      </c>
      <c r="B35" s="1039">
        <v>45248</v>
      </c>
      <c r="C35" s="1025" t="s">
        <v>1597</v>
      </c>
      <c r="D35" s="1026" t="s">
        <v>448</v>
      </c>
      <c r="E35" s="1025" t="s">
        <v>10</v>
      </c>
      <c r="F35" s="1061">
        <v>2902.4</v>
      </c>
      <c r="G35" s="1062">
        <v>0.1</v>
      </c>
      <c r="H35" s="1055">
        <v>267.02</v>
      </c>
      <c r="I35" s="1056"/>
      <c r="J35" s="1025"/>
      <c r="K35" s="1060" t="s">
        <v>510</v>
      </c>
    </row>
    <row r="36" spans="1:11" s="1058" customFormat="1" ht="15.75">
      <c r="A36" s="1037">
        <v>44887</v>
      </c>
      <c r="B36" s="1039">
        <v>45252</v>
      </c>
      <c r="C36" s="1032" t="s">
        <v>1567</v>
      </c>
      <c r="D36" s="1026" t="s">
        <v>149</v>
      </c>
      <c r="E36" s="1025" t="s">
        <v>945</v>
      </c>
      <c r="F36" s="1061">
        <v>1340.72</v>
      </c>
      <c r="G36" s="1062">
        <v>0.1</v>
      </c>
      <c r="H36" s="1055">
        <v>123.34</v>
      </c>
      <c r="I36" s="1056"/>
      <c r="J36" s="1025"/>
      <c r="K36" s="1060" t="s">
        <v>2012</v>
      </c>
    </row>
    <row r="37" spans="1:11" s="1058" customFormat="1" ht="15.75">
      <c r="A37" s="1037">
        <v>44887</v>
      </c>
      <c r="B37" s="1039">
        <v>45252</v>
      </c>
      <c r="C37" s="902" t="s">
        <v>1135</v>
      </c>
      <c r="D37" s="1026" t="s">
        <v>448</v>
      </c>
      <c r="E37" s="1026" t="s">
        <v>945</v>
      </c>
      <c r="F37" s="1098">
        <v>1522.57</v>
      </c>
      <c r="G37" s="1062">
        <v>0.1</v>
      </c>
      <c r="H37" s="1055">
        <v>140.07</v>
      </c>
      <c r="I37" s="1056"/>
      <c r="J37" s="1025"/>
      <c r="K37" s="1060" t="s">
        <v>2012</v>
      </c>
    </row>
    <row r="38" spans="1:11" s="1070" customFormat="1" ht="15.75">
      <c r="A38" s="1037">
        <v>44890</v>
      </c>
      <c r="B38" s="1038">
        <v>45252</v>
      </c>
      <c r="C38" s="902" t="s">
        <v>2143</v>
      </c>
      <c r="D38" s="1026" t="s">
        <v>448</v>
      </c>
      <c r="E38" s="1026" t="s">
        <v>10</v>
      </c>
      <c r="F38" s="1059">
        <v>1644.9</v>
      </c>
      <c r="G38" s="1054">
        <v>0.1</v>
      </c>
      <c r="H38" s="1055">
        <v>151.33000000000001</v>
      </c>
      <c r="I38" s="1056"/>
      <c r="J38" s="1025"/>
      <c r="K38" s="1060" t="s">
        <v>1472</v>
      </c>
    </row>
    <row r="39" spans="1:11" s="1070" customFormat="1" ht="15.75">
      <c r="A39" s="1037">
        <v>44888</v>
      </c>
      <c r="B39" s="1038">
        <v>45253</v>
      </c>
      <c r="C39" s="1025" t="s">
        <v>2144</v>
      </c>
      <c r="D39" s="1026" t="s">
        <v>70</v>
      </c>
      <c r="E39" s="1026" t="s">
        <v>1080</v>
      </c>
      <c r="F39" s="1059">
        <v>2874.69</v>
      </c>
      <c r="G39" s="1054">
        <v>0.1</v>
      </c>
      <c r="H39" s="1055">
        <v>264.47000000000003</v>
      </c>
      <c r="I39" s="1056"/>
      <c r="J39" s="1025"/>
      <c r="K39" s="1074" t="s">
        <v>2012</v>
      </c>
    </row>
    <row r="40" spans="1:11" s="1058" customFormat="1" ht="15.75">
      <c r="A40" s="1037">
        <v>44890</v>
      </c>
      <c r="B40" s="1038">
        <v>45255</v>
      </c>
      <c r="C40" s="1025" t="s">
        <v>2145</v>
      </c>
      <c r="D40" s="1026" t="s">
        <v>9</v>
      </c>
      <c r="E40" s="1026" t="s">
        <v>1310</v>
      </c>
      <c r="F40" s="1059">
        <v>7483.8</v>
      </c>
      <c r="G40" s="1054">
        <v>0.107</v>
      </c>
      <c r="H40" s="1055">
        <v>757.36</v>
      </c>
      <c r="I40" s="1056"/>
      <c r="J40" s="1025"/>
      <c r="K40" s="1060" t="s">
        <v>1472</v>
      </c>
    </row>
    <row r="41" spans="1:11" s="1058" customFormat="1" ht="15.75">
      <c r="A41" s="1037">
        <v>44889</v>
      </c>
      <c r="B41" s="1038">
        <v>45256</v>
      </c>
      <c r="C41" s="1025" t="s">
        <v>2146</v>
      </c>
      <c r="D41" s="1026" t="s">
        <v>448</v>
      </c>
      <c r="E41" s="1026" t="s">
        <v>948</v>
      </c>
      <c r="F41" s="1103">
        <v>3049.56</v>
      </c>
      <c r="G41" s="1054">
        <v>0.1</v>
      </c>
      <c r="H41" s="1055">
        <v>280.55</v>
      </c>
      <c r="I41" s="1056"/>
      <c r="J41" s="1025"/>
      <c r="K41" s="1060" t="s">
        <v>2012</v>
      </c>
    </row>
    <row r="42" spans="1:11" s="1058" customFormat="1" ht="15.75">
      <c r="A42" s="1037">
        <v>44893</v>
      </c>
      <c r="B42" s="1038">
        <v>45258</v>
      </c>
      <c r="C42" s="1025" t="s">
        <v>1609</v>
      </c>
      <c r="D42" s="1026" t="s">
        <v>9</v>
      </c>
      <c r="E42" s="1026" t="s">
        <v>1610</v>
      </c>
      <c r="F42" s="1059">
        <v>2245.1799999999998</v>
      </c>
      <c r="G42" s="1054">
        <v>0.1</v>
      </c>
      <c r="H42" s="1055">
        <v>206.55</v>
      </c>
      <c r="I42" s="1056"/>
      <c r="J42" s="1025"/>
      <c r="K42" s="1060" t="s">
        <v>2012</v>
      </c>
    </row>
    <row r="43" spans="1:11" s="1058" customFormat="1" ht="15.75">
      <c r="A43" s="1037">
        <v>44894</v>
      </c>
      <c r="B43" s="1038">
        <v>45259</v>
      </c>
      <c r="C43" s="1025" t="s">
        <v>2147</v>
      </c>
      <c r="D43" s="1026" t="s">
        <v>9</v>
      </c>
      <c r="E43" s="1026" t="s">
        <v>1044</v>
      </c>
      <c r="F43" s="1059">
        <v>2874.66</v>
      </c>
      <c r="G43" s="1054">
        <v>0.1</v>
      </c>
      <c r="H43" s="1055">
        <v>264.45999999999998</v>
      </c>
      <c r="I43" s="1056"/>
      <c r="J43" s="1025"/>
      <c r="K43" s="1060" t="s">
        <v>2012</v>
      </c>
    </row>
    <row r="44" spans="1:11" s="1058" customFormat="1" ht="15.75">
      <c r="A44" s="1037">
        <v>44895</v>
      </c>
      <c r="B44" s="1038">
        <v>45260</v>
      </c>
      <c r="C44" s="1026" t="s">
        <v>1918</v>
      </c>
      <c r="D44" s="1026" t="s">
        <v>448</v>
      </c>
      <c r="E44" s="1026" t="s">
        <v>948</v>
      </c>
      <c r="F44" s="1059">
        <v>1903.92</v>
      </c>
      <c r="G44" s="1054">
        <v>0.15</v>
      </c>
      <c r="H44" s="1055">
        <v>262.74</v>
      </c>
      <c r="I44" s="1056"/>
      <c r="J44" s="1025"/>
      <c r="K44" s="1060" t="s">
        <v>2012</v>
      </c>
    </row>
    <row r="45" spans="1:11" s="1058" customFormat="1" ht="15.75">
      <c r="A45" s="1037">
        <v>44879</v>
      </c>
      <c r="B45" s="1038" t="s">
        <v>1805</v>
      </c>
      <c r="C45" s="1140" t="s">
        <v>2148</v>
      </c>
      <c r="D45" s="1026" t="s">
        <v>70</v>
      </c>
      <c r="E45" s="1026" t="s">
        <v>10</v>
      </c>
      <c r="F45" s="1059">
        <v>595.79999999999995</v>
      </c>
      <c r="G45" s="1054">
        <v>0.12</v>
      </c>
      <c r="H45" s="1055">
        <v>65.77</v>
      </c>
      <c r="I45" s="1056"/>
      <c r="J45" s="1025"/>
      <c r="K45" s="1060" t="s">
        <v>1707</v>
      </c>
    </row>
    <row r="46" spans="1:11" s="1070" customFormat="1" ht="15.75">
      <c r="A46" s="1037">
        <v>44902</v>
      </c>
      <c r="B46" s="1038">
        <v>45260</v>
      </c>
      <c r="C46" s="1025" t="s">
        <v>2149</v>
      </c>
      <c r="D46" s="1026" t="s">
        <v>448</v>
      </c>
      <c r="E46" s="1026" t="s">
        <v>22</v>
      </c>
      <c r="F46" s="1059">
        <v>3981.01</v>
      </c>
      <c r="G46" s="1054">
        <v>0.15</v>
      </c>
      <c r="H46" s="1055">
        <v>549.37</v>
      </c>
      <c r="I46" s="1056"/>
      <c r="J46" s="1025"/>
      <c r="K46" s="1060" t="s">
        <v>2012</v>
      </c>
    </row>
    <row r="47" spans="1:11" s="1058" customFormat="1" ht="15.75">
      <c r="A47" s="1037"/>
      <c r="B47" s="1038"/>
      <c r="C47" s="1025"/>
      <c r="D47" s="1026"/>
      <c r="E47" s="1026"/>
      <c r="F47" s="1059"/>
      <c r="G47" s="1054"/>
      <c r="H47" s="1055"/>
      <c r="I47" s="1056"/>
      <c r="J47" s="1025"/>
      <c r="K47" s="1060"/>
    </row>
    <row r="48" spans="1:11" s="1058" customFormat="1" ht="15.75">
      <c r="A48" s="1037"/>
      <c r="B48" s="1038"/>
      <c r="C48" s="1026"/>
      <c r="D48" s="1026"/>
      <c r="E48" s="1026"/>
      <c r="F48" s="1059"/>
      <c r="G48" s="1054"/>
      <c r="H48" s="1055"/>
      <c r="I48" s="1056"/>
      <c r="J48" s="1025"/>
      <c r="K48" s="1060"/>
    </row>
    <row r="49" spans="1:11" s="1058" customFormat="1" ht="15.75">
      <c r="A49" s="1037"/>
      <c r="B49" s="1038"/>
      <c r="C49" s="1026"/>
      <c r="D49" s="1026"/>
      <c r="E49" s="1026"/>
      <c r="F49" s="1059"/>
      <c r="G49" s="1054"/>
      <c r="H49" s="1055"/>
      <c r="I49" s="1056"/>
      <c r="J49" s="1025"/>
      <c r="K49" s="1060"/>
    </row>
    <row r="50" spans="1:11" s="1058" customFormat="1" ht="16.5" thickBot="1">
      <c r="A50" s="1037"/>
      <c r="B50" s="1038"/>
      <c r="C50" s="1026"/>
      <c r="D50" s="1026"/>
      <c r="E50" s="1026"/>
      <c r="F50" s="1059"/>
      <c r="G50" s="1054"/>
      <c r="H50" s="1055"/>
      <c r="I50" s="1056"/>
      <c r="J50" s="1025"/>
      <c r="K50" s="1060"/>
    </row>
    <row r="51" spans="1:11" ht="20.25" thickBot="1">
      <c r="A51" s="1048"/>
      <c r="B51" s="1034"/>
      <c r="C51" s="1034"/>
      <c r="D51" s="1034"/>
      <c r="E51" s="1034"/>
      <c r="F51" s="1093">
        <f>SUM(F2:F50)</f>
        <v>118534.42999999996</v>
      </c>
      <c r="G51" s="1094"/>
      <c r="H51" s="1095">
        <f>SUM(H2:H50)</f>
        <v>12419.869999999997</v>
      </c>
      <c r="I51" s="1096">
        <f>SUM(I2:I50)</f>
        <v>400.65</v>
      </c>
      <c r="J51" s="1097"/>
      <c r="K51" s="1052"/>
    </row>
  </sheetData>
  <autoFilter ref="A1:K43" xr:uid="{20F2C760-B2E3-479D-BD71-55AE328EDAA6}">
    <sortState xmlns:xlrd2="http://schemas.microsoft.com/office/spreadsheetml/2017/richdata2" ref="A2:K46">
      <sortCondition ref="J1:J43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BB1DD-8D09-433E-821C-E5436CDA7F78}">
  <dimension ref="A1:K51"/>
  <sheetViews>
    <sheetView zoomScale="85" zoomScaleNormal="85" workbookViewId="0">
      <selection activeCell="C2" sqref="C2"/>
    </sheetView>
  </sheetViews>
  <sheetFormatPr defaultColWidth="9.140625" defaultRowHeight="15"/>
  <cols>
    <col min="1" max="1" width="16.5703125" style="1035" bestFit="1" customWidth="1"/>
    <col min="2" max="2" width="12.5703125" style="1035" bestFit="1" customWidth="1"/>
    <col min="3" max="3" width="46.28515625" style="1035" bestFit="1" customWidth="1"/>
    <col min="4" max="4" width="20.85546875" style="1035" bestFit="1" customWidth="1"/>
    <col min="5" max="5" width="14.140625" style="1035" bestFit="1" customWidth="1"/>
    <col min="6" max="6" width="22" style="1035" bestFit="1" customWidth="1"/>
    <col min="7" max="7" width="15.7109375" style="1035" bestFit="1" customWidth="1"/>
    <col min="8" max="8" width="24.85546875" style="1035" bestFit="1" customWidth="1"/>
    <col min="9" max="9" width="21" style="1035" bestFit="1" customWidth="1"/>
    <col min="10" max="10" width="13.7109375" style="1035" bestFit="1" customWidth="1"/>
    <col min="11" max="11" width="17" style="1035" bestFit="1" customWidth="1"/>
    <col min="12" max="16384" width="9.140625" style="1035"/>
  </cols>
  <sheetData>
    <row r="1" spans="1:11" ht="15" customHeight="1" thickBot="1">
      <c r="A1" s="1036" t="s">
        <v>1832</v>
      </c>
      <c r="B1" s="1024" t="s">
        <v>2</v>
      </c>
      <c r="C1" s="1024" t="s">
        <v>3</v>
      </c>
      <c r="D1" s="1024" t="s">
        <v>4</v>
      </c>
      <c r="E1" s="1024" t="s">
        <v>5</v>
      </c>
      <c r="F1" s="1049" t="s">
        <v>644</v>
      </c>
      <c r="G1" s="1024" t="s">
        <v>555</v>
      </c>
      <c r="H1" s="1050" t="s">
        <v>7</v>
      </c>
      <c r="I1" s="1051" t="s">
        <v>307</v>
      </c>
      <c r="J1" s="124" t="s">
        <v>370</v>
      </c>
      <c r="K1" s="1052"/>
    </row>
    <row r="2" spans="1:11" s="1058" customFormat="1" ht="15.75">
      <c r="A2" s="1040">
        <v>44910</v>
      </c>
      <c r="B2" s="1042">
        <v>45275</v>
      </c>
      <c r="C2" s="1027" t="s">
        <v>1183</v>
      </c>
      <c r="D2" s="1030" t="s">
        <v>9</v>
      </c>
      <c r="E2" s="1030" t="s">
        <v>90</v>
      </c>
      <c r="F2" s="1072">
        <v>1622.1</v>
      </c>
      <c r="G2" s="1073">
        <v>0.105</v>
      </c>
      <c r="H2" s="1067">
        <v>164.15</v>
      </c>
      <c r="I2" s="1068"/>
      <c r="J2" s="1027" t="s">
        <v>1558</v>
      </c>
      <c r="K2" s="1074" t="s">
        <v>2015</v>
      </c>
    </row>
    <row r="3" spans="1:11" s="1058" customFormat="1" ht="15.75">
      <c r="A3" s="1040">
        <v>44908</v>
      </c>
      <c r="B3" s="1042">
        <v>45278</v>
      </c>
      <c r="C3" s="1304" t="s">
        <v>1200</v>
      </c>
      <c r="D3" s="1030" t="s">
        <v>448</v>
      </c>
      <c r="E3" s="1030" t="s">
        <v>458</v>
      </c>
      <c r="F3" s="1120">
        <v>2770.11</v>
      </c>
      <c r="G3" s="1073">
        <v>0.1</v>
      </c>
      <c r="H3" s="1067">
        <v>254.85</v>
      </c>
      <c r="I3" s="1068"/>
      <c r="J3" s="1027" t="s">
        <v>1558</v>
      </c>
      <c r="K3" s="1074" t="s">
        <v>2015</v>
      </c>
    </row>
    <row r="4" spans="1:11" s="1058" customFormat="1" ht="15.75">
      <c r="A4" s="1040">
        <v>44918</v>
      </c>
      <c r="B4" s="1042">
        <v>45286</v>
      </c>
      <c r="C4" s="1105" t="s">
        <v>1938</v>
      </c>
      <c r="D4" s="1030" t="s">
        <v>198</v>
      </c>
      <c r="E4" s="1030" t="s">
        <v>945</v>
      </c>
      <c r="F4" s="1072">
        <v>2390.88</v>
      </c>
      <c r="G4" s="1073">
        <v>0.1</v>
      </c>
      <c r="H4" s="1067">
        <v>219.96</v>
      </c>
      <c r="I4" s="1068"/>
      <c r="J4" s="1027" t="s">
        <v>1558</v>
      </c>
      <c r="K4" s="1074" t="s">
        <v>2015</v>
      </c>
    </row>
    <row r="5" spans="1:11" s="1029" customFormat="1" ht="15.75">
      <c r="A5" s="1040">
        <v>44922</v>
      </c>
      <c r="B5" s="1042">
        <v>45287</v>
      </c>
      <c r="C5" s="1027" t="s">
        <v>638</v>
      </c>
      <c r="D5" s="1030" t="s">
        <v>21</v>
      </c>
      <c r="E5" s="1030" t="s">
        <v>1641</v>
      </c>
      <c r="F5" s="1072">
        <v>2108.0100000000002</v>
      </c>
      <c r="G5" s="1073">
        <v>0.1</v>
      </c>
      <c r="H5" s="1067">
        <v>193.93</v>
      </c>
      <c r="I5" s="1068"/>
      <c r="J5" s="1027" t="s">
        <v>1558</v>
      </c>
      <c r="K5" s="1074" t="s">
        <v>2015</v>
      </c>
    </row>
    <row r="6" spans="1:11" s="1058" customFormat="1" ht="15.75">
      <c r="A6" s="1041">
        <v>44917</v>
      </c>
      <c r="B6" s="1041">
        <v>45288</v>
      </c>
      <c r="C6" s="1027" t="s">
        <v>2150</v>
      </c>
      <c r="D6" s="1027" t="s">
        <v>21</v>
      </c>
      <c r="E6" s="1027" t="s">
        <v>458</v>
      </c>
      <c r="F6" s="1065">
        <v>2043.27</v>
      </c>
      <c r="G6" s="1066">
        <v>0.1</v>
      </c>
      <c r="H6" s="1067">
        <v>187.98</v>
      </c>
      <c r="I6" s="1122"/>
      <c r="J6" s="1027" t="s">
        <v>1558</v>
      </c>
      <c r="K6" s="1074" t="s">
        <v>2015</v>
      </c>
    </row>
    <row r="7" spans="1:11" s="1058" customFormat="1" ht="15.75">
      <c r="A7" s="1037">
        <v>44914</v>
      </c>
      <c r="B7" s="1038">
        <v>45279</v>
      </c>
      <c r="C7" s="1025" t="s">
        <v>1677</v>
      </c>
      <c r="D7" s="1026" t="s">
        <v>448</v>
      </c>
      <c r="E7" s="1026" t="s">
        <v>948</v>
      </c>
      <c r="F7" s="1059">
        <v>3508.5</v>
      </c>
      <c r="G7" s="1054">
        <v>0.1</v>
      </c>
      <c r="H7" s="1055">
        <v>322.77999999999997</v>
      </c>
      <c r="I7" s="1056">
        <v>6</v>
      </c>
      <c r="J7" s="1025" t="s">
        <v>1492</v>
      </c>
      <c r="K7" s="1060" t="s">
        <v>2015</v>
      </c>
    </row>
    <row r="8" spans="1:11" s="1058" customFormat="1" ht="15.75">
      <c r="A8" s="1037">
        <v>44914</v>
      </c>
      <c r="B8" s="1038">
        <v>45279</v>
      </c>
      <c r="C8" s="1099" t="s">
        <v>2151</v>
      </c>
      <c r="D8" s="1026" t="s">
        <v>14</v>
      </c>
      <c r="E8" s="1026" t="s">
        <v>945</v>
      </c>
      <c r="F8" s="1103">
        <v>3302.28</v>
      </c>
      <c r="G8" s="1054">
        <v>0.1</v>
      </c>
      <c r="H8" s="1055">
        <v>303.8</v>
      </c>
      <c r="I8" s="1056">
        <v>151.9</v>
      </c>
      <c r="J8" s="1025" t="s">
        <v>2152</v>
      </c>
      <c r="K8" s="1060" t="s">
        <v>1472</v>
      </c>
    </row>
    <row r="9" spans="1:11" s="1058" customFormat="1" ht="15.75">
      <c r="A9" s="1037">
        <v>44910</v>
      </c>
      <c r="B9" s="1038">
        <v>45275</v>
      </c>
      <c r="C9" s="1026" t="s">
        <v>1925</v>
      </c>
      <c r="D9" s="1026" t="s">
        <v>25</v>
      </c>
      <c r="E9" s="1026" t="s">
        <v>1641</v>
      </c>
      <c r="F9" s="1059">
        <f>3366.44+162.26</f>
        <v>3528.7</v>
      </c>
      <c r="G9" s="1054">
        <v>0.15</v>
      </c>
      <c r="H9" s="1055">
        <v>486.96</v>
      </c>
      <c r="I9" s="1056">
        <v>243.48</v>
      </c>
      <c r="J9" s="1025" t="s">
        <v>1577</v>
      </c>
      <c r="K9" s="1060" t="s">
        <v>2015</v>
      </c>
    </row>
    <row r="10" spans="1:11" s="1058" customFormat="1" ht="15.75">
      <c r="A10" s="1037">
        <v>44911</v>
      </c>
      <c r="B10" s="1038">
        <v>45276</v>
      </c>
      <c r="C10" s="902" t="s">
        <v>1934</v>
      </c>
      <c r="D10" s="1026" t="s">
        <v>70</v>
      </c>
      <c r="E10" s="1026" t="s">
        <v>1080</v>
      </c>
      <c r="F10" s="1118">
        <v>790.34</v>
      </c>
      <c r="G10" s="1054">
        <v>0.1</v>
      </c>
      <c r="H10" s="1023">
        <v>73.069999999999993</v>
      </c>
      <c r="I10" s="1056">
        <v>36.53</v>
      </c>
      <c r="J10" s="1025" t="s">
        <v>1577</v>
      </c>
      <c r="K10" s="1060" t="s">
        <v>2015</v>
      </c>
    </row>
    <row r="11" spans="1:11" s="1070" customFormat="1" ht="15.75">
      <c r="A11" s="1037">
        <v>44911</v>
      </c>
      <c r="B11" s="1039">
        <v>45276</v>
      </c>
      <c r="C11" s="1025" t="s">
        <v>1991</v>
      </c>
      <c r="D11" s="1026" t="s">
        <v>448</v>
      </c>
      <c r="E11" s="1025" t="s">
        <v>279</v>
      </c>
      <c r="F11" s="1061">
        <v>1615.6</v>
      </c>
      <c r="G11" s="1062">
        <v>0.1</v>
      </c>
      <c r="H11" s="1055">
        <v>148.63</v>
      </c>
      <c r="I11" s="1056">
        <v>74.31</v>
      </c>
      <c r="J11" s="1025" t="s">
        <v>1577</v>
      </c>
      <c r="K11" s="1060" t="s">
        <v>2015</v>
      </c>
    </row>
    <row r="12" spans="1:11" s="1058" customFormat="1" ht="15.75">
      <c r="A12" s="1037">
        <v>44894</v>
      </c>
      <c r="B12" s="1039">
        <v>45261</v>
      </c>
      <c r="C12" s="1248" t="s">
        <v>1615</v>
      </c>
      <c r="D12" s="1026" t="s">
        <v>448</v>
      </c>
      <c r="E12" s="1026" t="s">
        <v>10</v>
      </c>
      <c r="F12" s="1104">
        <v>1037.1300000000001</v>
      </c>
      <c r="G12" s="1062">
        <v>0.1</v>
      </c>
      <c r="H12" s="1055">
        <v>95.41</v>
      </c>
      <c r="I12" s="1056">
        <v>47.7</v>
      </c>
      <c r="J12" s="1025" t="s">
        <v>1339</v>
      </c>
      <c r="K12" s="1057" t="s">
        <v>2015</v>
      </c>
    </row>
    <row r="13" spans="1:11" s="1058" customFormat="1" ht="15.75">
      <c r="A13" s="1037">
        <v>44911</v>
      </c>
      <c r="B13" s="1038">
        <v>45276</v>
      </c>
      <c r="C13" s="902" t="s">
        <v>2006</v>
      </c>
      <c r="D13" s="1026" t="s">
        <v>9</v>
      </c>
      <c r="E13" s="1026" t="s">
        <v>1080</v>
      </c>
      <c r="F13" s="1103">
        <v>2540.6</v>
      </c>
      <c r="G13" s="1054">
        <v>0.1</v>
      </c>
      <c r="H13" s="1055">
        <v>233.73</v>
      </c>
      <c r="I13" s="1056">
        <v>116.86</v>
      </c>
      <c r="J13" s="1025" t="s">
        <v>1339</v>
      </c>
      <c r="K13" s="1060" t="s">
        <v>1472</v>
      </c>
    </row>
    <row r="14" spans="1:11" s="1070" customFormat="1" ht="15.75">
      <c r="A14" s="1037">
        <v>44914</v>
      </c>
      <c r="B14" s="1038">
        <v>45280</v>
      </c>
      <c r="C14" s="1306" t="s">
        <v>1191</v>
      </c>
      <c r="D14" s="1026" t="s">
        <v>448</v>
      </c>
      <c r="E14" s="1026" t="s">
        <v>948</v>
      </c>
      <c r="F14" s="1059">
        <v>963.18</v>
      </c>
      <c r="G14" s="1054">
        <v>0.1</v>
      </c>
      <c r="H14" s="1055">
        <v>88.61</v>
      </c>
      <c r="I14" s="1056">
        <v>44.3</v>
      </c>
      <c r="J14" s="1025" t="s">
        <v>1396</v>
      </c>
      <c r="K14" s="1060" t="s">
        <v>2015</v>
      </c>
    </row>
    <row r="15" spans="1:11" s="1058" customFormat="1" ht="15.75">
      <c r="A15" s="1039">
        <v>44895</v>
      </c>
      <c r="B15" s="1039">
        <v>45261</v>
      </c>
      <c r="C15" s="1248" t="s">
        <v>2153</v>
      </c>
      <c r="D15" s="1025" t="s">
        <v>25</v>
      </c>
      <c r="E15" s="1025" t="s">
        <v>10</v>
      </c>
      <c r="F15" s="1061">
        <v>1154.58</v>
      </c>
      <c r="G15" s="1062">
        <v>0.15</v>
      </c>
      <c r="H15" s="1055">
        <v>159.33000000000001</v>
      </c>
      <c r="I15" s="1063"/>
      <c r="J15" s="1025"/>
      <c r="K15" s="1057" t="s">
        <v>2015</v>
      </c>
    </row>
    <row r="16" spans="1:11" s="1058" customFormat="1" ht="15.75">
      <c r="A16" s="1043">
        <v>44897</v>
      </c>
      <c r="B16" s="1044">
        <v>45262</v>
      </c>
      <c r="C16" s="1252" t="s">
        <v>2154</v>
      </c>
      <c r="D16" s="1075" t="s">
        <v>9</v>
      </c>
      <c r="E16" s="1075" t="s">
        <v>1310</v>
      </c>
      <c r="F16" s="1121">
        <v>3497.03</v>
      </c>
      <c r="G16" s="1076">
        <v>0.15</v>
      </c>
      <c r="H16" s="1055">
        <v>482.59</v>
      </c>
      <c r="I16" s="1077"/>
      <c r="J16" s="1025"/>
      <c r="K16" s="1060" t="s">
        <v>1472</v>
      </c>
    </row>
    <row r="17" spans="1:11" s="1070" customFormat="1" ht="15.75">
      <c r="A17" s="1037">
        <v>44897</v>
      </c>
      <c r="B17" s="1038">
        <v>45263</v>
      </c>
      <c r="C17" s="1246" t="s">
        <v>1920</v>
      </c>
      <c r="D17" s="1026" t="s">
        <v>61</v>
      </c>
      <c r="E17" s="1026" t="s">
        <v>1310</v>
      </c>
      <c r="F17" s="1059">
        <v>2554.31</v>
      </c>
      <c r="G17" s="1054">
        <v>0.1</v>
      </c>
      <c r="H17" s="1055">
        <v>234.99</v>
      </c>
      <c r="I17" s="1056"/>
      <c r="J17" s="1025"/>
      <c r="K17" s="1060" t="s">
        <v>2015</v>
      </c>
    </row>
    <row r="18" spans="1:11" s="1078" customFormat="1" ht="15.75">
      <c r="A18" s="1037">
        <v>44897</v>
      </c>
      <c r="B18" s="1038">
        <v>45264</v>
      </c>
      <c r="C18" s="1246" t="s">
        <v>1180</v>
      </c>
      <c r="D18" s="1026" t="s">
        <v>14</v>
      </c>
      <c r="E18" s="1026" t="s">
        <v>945</v>
      </c>
      <c r="F18" s="1059">
        <v>1695.2</v>
      </c>
      <c r="G18" s="1054">
        <v>0.1</v>
      </c>
      <c r="H18" s="1055">
        <v>155.94999999999999</v>
      </c>
      <c r="I18" s="1056"/>
      <c r="J18" s="1025"/>
      <c r="K18" s="1060" t="s">
        <v>2015</v>
      </c>
    </row>
    <row r="19" spans="1:11" s="1058" customFormat="1" ht="15.75">
      <c r="A19" s="1037">
        <v>44895</v>
      </c>
      <c r="B19" s="1038">
        <v>45266</v>
      </c>
      <c r="C19" s="1305" t="s">
        <v>1173</v>
      </c>
      <c r="D19" s="1026" t="s">
        <v>14</v>
      </c>
      <c r="E19" s="1026" t="s">
        <v>458</v>
      </c>
      <c r="F19" s="1059">
        <v>2423.0300000000002</v>
      </c>
      <c r="G19" s="1054">
        <v>0.1</v>
      </c>
      <c r="H19" s="1055">
        <v>222.91</v>
      </c>
      <c r="I19" s="1056"/>
      <c r="J19" s="1025"/>
      <c r="K19" s="1057" t="s">
        <v>2015</v>
      </c>
    </row>
    <row r="20" spans="1:11" s="1070" customFormat="1" ht="15.75">
      <c r="A20" s="1039">
        <v>44901</v>
      </c>
      <c r="B20" s="1039">
        <v>45266</v>
      </c>
      <c r="C20" s="1248" t="s">
        <v>1930</v>
      </c>
      <c r="D20" s="1025" t="s">
        <v>448</v>
      </c>
      <c r="E20" s="1025" t="s">
        <v>10</v>
      </c>
      <c r="F20" s="1061">
        <v>2269.36</v>
      </c>
      <c r="G20" s="1062">
        <v>0.15</v>
      </c>
      <c r="H20" s="1055">
        <v>313.17</v>
      </c>
      <c r="I20" s="1063"/>
      <c r="J20" s="1025"/>
      <c r="K20" s="1060" t="s">
        <v>2015</v>
      </c>
    </row>
    <row r="21" spans="1:11" s="1058" customFormat="1" ht="15.75">
      <c r="A21" s="1043">
        <v>44896</v>
      </c>
      <c r="B21" s="1045">
        <v>45267</v>
      </c>
      <c r="C21" s="1249" t="s">
        <v>1617</v>
      </c>
      <c r="D21" s="1075" t="s">
        <v>9</v>
      </c>
      <c r="E21" s="1075" t="s">
        <v>10</v>
      </c>
      <c r="F21" s="1102">
        <v>2373.64</v>
      </c>
      <c r="G21" s="1076">
        <v>0.13</v>
      </c>
      <c r="H21" s="1055">
        <v>283.88</v>
      </c>
      <c r="I21" s="1077"/>
      <c r="J21" s="1025"/>
      <c r="K21" s="1060" t="s">
        <v>2015</v>
      </c>
    </row>
    <row r="22" spans="1:11" s="1087" customFormat="1" ht="15.75">
      <c r="A22" s="1037">
        <v>44904</v>
      </c>
      <c r="B22" s="1038">
        <v>45269</v>
      </c>
      <c r="C22" s="1254" t="s">
        <v>1624</v>
      </c>
      <c r="D22" s="1026" t="s">
        <v>1924</v>
      </c>
      <c r="E22" s="1026" t="s">
        <v>10</v>
      </c>
      <c r="F22" s="1059">
        <v>996.62</v>
      </c>
      <c r="G22" s="1054">
        <v>0.15</v>
      </c>
      <c r="H22" s="1055">
        <v>137.53</v>
      </c>
      <c r="I22" s="1056"/>
      <c r="J22" s="1025"/>
      <c r="K22" s="1057" t="s">
        <v>2015</v>
      </c>
    </row>
    <row r="23" spans="1:11" s="1058" customFormat="1" ht="15.75">
      <c r="A23" s="1037">
        <v>44904</v>
      </c>
      <c r="B23" s="1038">
        <v>45269</v>
      </c>
      <c r="C23" s="1248" t="s">
        <v>1625</v>
      </c>
      <c r="D23" s="1025" t="s">
        <v>9</v>
      </c>
      <c r="E23" s="1025" t="s">
        <v>1593</v>
      </c>
      <c r="F23" s="1061">
        <v>1915.23</v>
      </c>
      <c r="G23" s="1062">
        <v>0.09</v>
      </c>
      <c r="H23" s="1055">
        <v>158.58000000000001</v>
      </c>
      <c r="I23" s="1056"/>
      <c r="J23" s="1025"/>
      <c r="K23" s="1060" t="s">
        <v>2015</v>
      </c>
    </row>
    <row r="24" spans="1:11" s="1058" customFormat="1" ht="15.75">
      <c r="A24" s="1037">
        <v>44909</v>
      </c>
      <c r="B24" s="1038">
        <v>45270</v>
      </c>
      <c r="C24" s="1297" t="s">
        <v>1926</v>
      </c>
      <c r="D24" s="1025" t="s">
        <v>448</v>
      </c>
      <c r="E24" s="1025" t="s">
        <v>458</v>
      </c>
      <c r="F24" s="1092">
        <v>1758.4</v>
      </c>
      <c r="G24" s="1062">
        <v>0.1</v>
      </c>
      <c r="H24" s="1055">
        <v>161.77000000000001</v>
      </c>
      <c r="I24" s="1056"/>
      <c r="J24" s="1025"/>
      <c r="K24" s="1060" t="s">
        <v>2015</v>
      </c>
    </row>
    <row r="25" spans="1:11" s="1070" customFormat="1" ht="15.75">
      <c r="A25" s="1037">
        <v>44904</v>
      </c>
      <c r="B25" s="1038">
        <v>45271</v>
      </c>
      <c r="C25" s="1026" t="s">
        <v>1927</v>
      </c>
      <c r="D25" s="1026" t="s">
        <v>448</v>
      </c>
      <c r="E25" s="1025" t="s">
        <v>945</v>
      </c>
      <c r="F25" s="1061">
        <v>5243.81</v>
      </c>
      <c r="G25" s="1062">
        <v>0.1</v>
      </c>
      <c r="H25" s="1055">
        <v>482.43</v>
      </c>
      <c r="I25" s="1056"/>
      <c r="J25" s="1025"/>
      <c r="K25" s="1057" t="s">
        <v>2015</v>
      </c>
    </row>
    <row r="26" spans="1:11" s="1058" customFormat="1" ht="15.75">
      <c r="A26" s="1037">
        <v>44907</v>
      </c>
      <c r="B26" s="1038">
        <v>45272</v>
      </c>
      <c r="C26" s="1025" t="s">
        <v>1640</v>
      </c>
      <c r="D26" s="1026" t="s">
        <v>9</v>
      </c>
      <c r="E26" s="1025" t="s">
        <v>1593</v>
      </c>
      <c r="F26" s="1061">
        <v>5336.35</v>
      </c>
      <c r="G26" s="1062">
        <v>0.1</v>
      </c>
      <c r="H26" s="1055">
        <v>490.94</v>
      </c>
      <c r="I26" s="1056"/>
      <c r="J26" s="1025"/>
      <c r="K26" s="1060" t="s">
        <v>1472</v>
      </c>
    </row>
    <row r="27" spans="1:11" s="1058" customFormat="1" ht="15.75">
      <c r="A27" s="1037">
        <v>44907</v>
      </c>
      <c r="B27" s="1038">
        <v>45272</v>
      </c>
      <c r="C27" s="1025" t="s">
        <v>1162</v>
      </c>
      <c r="D27" s="1026" t="s">
        <v>448</v>
      </c>
      <c r="E27" s="1025" t="s">
        <v>279</v>
      </c>
      <c r="F27" s="1061">
        <v>2778.99</v>
      </c>
      <c r="G27" s="1062">
        <v>0.1</v>
      </c>
      <c r="H27" s="1055">
        <v>255.66</v>
      </c>
      <c r="I27" s="1056"/>
      <c r="J27" s="1025"/>
      <c r="K27" s="1060" t="s">
        <v>1472</v>
      </c>
    </row>
    <row r="28" spans="1:11" s="1070" customFormat="1" ht="15.75">
      <c r="A28" s="1037">
        <v>44909</v>
      </c>
      <c r="B28" s="1038">
        <v>45273</v>
      </c>
      <c r="C28" s="1032" t="s">
        <v>1631</v>
      </c>
      <c r="D28" s="1026" t="s">
        <v>14</v>
      </c>
      <c r="E28" s="1025" t="s">
        <v>948</v>
      </c>
      <c r="F28" s="1061">
        <v>1304.75</v>
      </c>
      <c r="G28" s="1062">
        <v>0.1</v>
      </c>
      <c r="H28" s="1055">
        <v>120.03</v>
      </c>
      <c r="I28" s="1056"/>
      <c r="J28" s="1025"/>
      <c r="K28" s="1060" t="s">
        <v>2015</v>
      </c>
    </row>
    <row r="29" spans="1:11" s="1058" customFormat="1" ht="15.75">
      <c r="A29" s="1039">
        <v>44909</v>
      </c>
      <c r="B29" s="1039">
        <v>45274</v>
      </c>
      <c r="C29" s="1025" t="s">
        <v>1155</v>
      </c>
      <c r="D29" s="1025" t="s">
        <v>14</v>
      </c>
      <c r="E29" s="1025" t="s">
        <v>10</v>
      </c>
      <c r="F29" s="1061">
        <v>1756.55</v>
      </c>
      <c r="G29" s="1062">
        <v>0.15</v>
      </c>
      <c r="H29" s="1055">
        <v>242.4</v>
      </c>
      <c r="I29" s="1056"/>
      <c r="J29" s="1025"/>
      <c r="K29" s="1060" t="s">
        <v>2015</v>
      </c>
    </row>
    <row r="30" spans="1:11" s="1058" customFormat="1" ht="15.75">
      <c r="A30" s="1039">
        <v>44910</v>
      </c>
      <c r="B30" s="1039">
        <v>45275</v>
      </c>
      <c r="C30" s="1025" t="s">
        <v>2155</v>
      </c>
      <c r="D30" s="1025" t="s">
        <v>448</v>
      </c>
      <c r="E30" s="1025" t="s">
        <v>945</v>
      </c>
      <c r="F30" s="1061">
        <v>681.71</v>
      </c>
      <c r="G30" s="1062">
        <v>0.1</v>
      </c>
      <c r="H30" s="1055">
        <v>62.71</v>
      </c>
      <c r="I30" s="1056"/>
      <c r="J30" s="1025"/>
      <c r="K30" s="1060" t="s">
        <v>1472</v>
      </c>
    </row>
    <row r="31" spans="1:11" s="1058" customFormat="1" ht="15.75">
      <c r="A31" s="1039">
        <v>44910</v>
      </c>
      <c r="B31" s="1039">
        <v>45275</v>
      </c>
      <c r="C31" s="1025" t="s">
        <v>1933</v>
      </c>
      <c r="D31" s="1025" t="s">
        <v>9</v>
      </c>
      <c r="E31" s="1025" t="s">
        <v>1593</v>
      </c>
      <c r="F31" s="1061">
        <v>2418.29</v>
      </c>
      <c r="G31" s="1062">
        <v>0.01</v>
      </c>
      <c r="H31" s="1088">
        <v>22.24</v>
      </c>
      <c r="I31" s="1089"/>
      <c r="J31" s="1025"/>
      <c r="K31" s="1060" t="s">
        <v>2015</v>
      </c>
    </row>
    <row r="32" spans="1:11" s="1058" customFormat="1" ht="15.75">
      <c r="A32" s="1037">
        <v>44911</v>
      </c>
      <c r="B32" s="1039">
        <v>45276</v>
      </c>
      <c r="C32" s="1025" t="s">
        <v>2156</v>
      </c>
      <c r="D32" s="1026" t="s">
        <v>25</v>
      </c>
      <c r="E32" s="1025" t="s">
        <v>1593</v>
      </c>
      <c r="F32" s="1061">
        <v>5520.99</v>
      </c>
      <c r="G32" s="1062">
        <v>0.1</v>
      </c>
      <c r="H32" s="1055">
        <v>507.93</v>
      </c>
      <c r="I32" s="1056"/>
      <c r="J32" s="1025"/>
      <c r="K32" s="1060" t="s">
        <v>1472</v>
      </c>
    </row>
    <row r="33" spans="1:11" s="1058" customFormat="1" ht="15.75">
      <c r="A33" s="1037">
        <v>44911</v>
      </c>
      <c r="B33" s="1039">
        <v>45276</v>
      </c>
      <c r="C33" s="1025" t="s">
        <v>1634</v>
      </c>
      <c r="D33" s="1026" t="s">
        <v>25</v>
      </c>
      <c r="E33" s="1025" t="s">
        <v>279</v>
      </c>
      <c r="F33" s="1061">
        <v>551.84</v>
      </c>
      <c r="G33" s="1062">
        <v>0.1</v>
      </c>
      <c r="H33" s="1055">
        <v>50.76</v>
      </c>
      <c r="I33" s="1056"/>
      <c r="J33" s="1025"/>
      <c r="K33" s="1060" t="s">
        <v>2015</v>
      </c>
    </row>
    <row r="34" spans="1:11" s="1070" customFormat="1" ht="15.75">
      <c r="A34" s="1037">
        <v>44908</v>
      </c>
      <c r="B34" s="1039">
        <v>45277</v>
      </c>
      <c r="C34" s="1025" t="s">
        <v>2157</v>
      </c>
      <c r="D34" s="1026" t="s">
        <v>448</v>
      </c>
      <c r="E34" s="1025" t="s">
        <v>945</v>
      </c>
      <c r="F34" s="1061">
        <v>2633.19</v>
      </c>
      <c r="G34" s="1062">
        <v>0.1</v>
      </c>
      <c r="H34" s="1055">
        <v>242.25</v>
      </c>
      <c r="I34" s="1056"/>
      <c r="J34" s="1025"/>
      <c r="K34" s="1060" t="s">
        <v>2015</v>
      </c>
    </row>
    <row r="35" spans="1:11" s="1058" customFormat="1" ht="15.75">
      <c r="A35" s="1037">
        <v>44911</v>
      </c>
      <c r="B35" s="1039">
        <v>45278</v>
      </c>
      <c r="C35" s="1025" t="s">
        <v>826</v>
      </c>
      <c r="D35" s="1026" t="s">
        <v>448</v>
      </c>
      <c r="E35" s="1025" t="s">
        <v>458</v>
      </c>
      <c r="F35" s="1023">
        <v>4128.2299999999996</v>
      </c>
      <c r="G35" s="1062">
        <v>0.1</v>
      </c>
      <c r="H35" s="1023">
        <v>379.79</v>
      </c>
      <c r="I35" s="1056"/>
      <c r="J35" s="1025"/>
      <c r="K35" s="1060" t="s">
        <v>2015</v>
      </c>
    </row>
    <row r="36" spans="1:11" s="1058" customFormat="1" ht="15.75">
      <c r="A36" s="1037">
        <v>44914</v>
      </c>
      <c r="B36" s="1039">
        <v>45279</v>
      </c>
      <c r="C36" s="1032" t="s">
        <v>1205</v>
      </c>
      <c r="D36" s="1026" t="s">
        <v>14</v>
      </c>
      <c r="E36" s="1025" t="s">
        <v>945</v>
      </c>
      <c r="F36" s="1061">
        <v>2718.66</v>
      </c>
      <c r="G36" s="1062">
        <v>0.1</v>
      </c>
      <c r="H36" s="1055">
        <v>250.11</v>
      </c>
      <c r="I36" s="1056"/>
      <c r="J36" s="1025"/>
      <c r="K36" s="1060" t="s">
        <v>2015</v>
      </c>
    </row>
    <row r="37" spans="1:11" s="1058" customFormat="1" ht="15.75">
      <c r="A37" s="1037">
        <v>44900</v>
      </c>
      <c r="B37" s="1039">
        <v>45280</v>
      </c>
      <c r="C37" s="1025" t="s">
        <v>2158</v>
      </c>
      <c r="D37" s="1026" t="s">
        <v>448</v>
      </c>
      <c r="E37" s="1026" t="s">
        <v>1161</v>
      </c>
      <c r="F37" s="1071">
        <v>3306.5</v>
      </c>
      <c r="G37" s="1062">
        <v>0.1</v>
      </c>
      <c r="H37" s="1055">
        <v>304.19</v>
      </c>
      <c r="I37" s="1056"/>
      <c r="J37" s="1025"/>
      <c r="K37" s="1060" t="s">
        <v>2015</v>
      </c>
    </row>
    <row r="38" spans="1:11" s="1070" customFormat="1" ht="15.75">
      <c r="A38" s="1037">
        <v>44915</v>
      </c>
      <c r="B38" s="1038">
        <v>45280</v>
      </c>
      <c r="C38" s="1025" t="s">
        <v>1186</v>
      </c>
      <c r="D38" s="1026" t="s">
        <v>448</v>
      </c>
      <c r="E38" s="1026" t="s">
        <v>948</v>
      </c>
      <c r="F38" s="1059">
        <v>2395.15</v>
      </c>
      <c r="G38" s="1054">
        <v>0.15</v>
      </c>
      <c r="H38" s="1055">
        <v>330.53</v>
      </c>
      <c r="I38" s="1056"/>
      <c r="J38" s="1025"/>
      <c r="K38" s="1060" t="s">
        <v>2015</v>
      </c>
    </row>
    <row r="39" spans="1:11" s="1070" customFormat="1" ht="15.75">
      <c r="A39" s="1037">
        <v>44916</v>
      </c>
      <c r="B39" s="1038">
        <v>45281</v>
      </c>
      <c r="C39" s="1025" t="s">
        <v>1637</v>
      </c>
      <c r="D39" s="1026" t="s">
        <v>9</v>
      </c>
      <c r="E39" s="1026" t="s">
        <v>1552</v>
      </c>
      <c r="F39" s="1103">
        <v>1675.57</v>
      </c>
      <c r="G39" s="1054">
        <v>0.1</v>
      </c>
      <c r="H39" s="1055">
        <v>154.15</v>
      </c>
      <c r="I39" s="1056"/>
      <c r="J39" s="1025"/>
      <c r="K39" s="1060" t="s">
        <v>2015</v>
      </c>
    </row>
    <row r="40" spans="1:11" s="1058" customFormat="1" ht="15.75">
      <c r="A40" s="1037">
        <v>44916</v>
      </c>
      <c r="B40" s="1038">
        <v>45281</v>
      </c>
      <c r="C40" s="1025" t="s">
        <v>1082</v>
      </c>
      <c r="D40" s="1026" t="s">
        <v>9</v>
      </c>
      <c r="E40" s="1026" t="s">
        <v>1552</v>
      </c>
      <c r="F40" s="1059">
        <v>1978.49</v>
      </c>
      <c r="G40" s="1054">
        <v>0.1</v>
      </c>
      <c r="H40" s="1055">
        <v>182.02</v>
      </c>
      <c r="I40" s="1056"/>
      <c r="J40" s="1025"/>
      <c r="K40" s="1060" t="s">
        <v>2015</v>
      </c>
    </row>
    <row r="41" spans="1:11" s="1058" customFormat="1" ht="15.75">
      <c r="A41" s="1037">
        <v>44916</v>
      </c>
      <c r="B41" s="1038">
        <v>45281</v>
      </c>
      <c r="C41" s="1025" t="s">
        <v>1133</v>
      </c>
      <c r="D41" s="1026" t="s">
        <v>448</v>
      </c>
      <c r="E41" s="1026" t="s">
        <v>458</v>
      </c>
      <c r="F41" s="1059">
        <v>3773.77</v>
      </c>
      <c r="G41" s="1054">
        <v>0.1</v>
      </c>
      <c r="H41" s="1055">
        <v>347.18</v>
      </c>
      <c r="I41" s="1056"/>
      <c r="J41" s="1025"/>
      <c r="K41" s="1060" t="s">
        <v>2015</v>
      </c>
    </row>
    <row r="42" spans="1:11" s="1070" customFormat="1" ht="15.75">
      <c r="A42" s="1037">
        <v>44915</v>
      </c>
      <c r="B42" s="1038">
        <v>45283</v>
      </c>
      <c r="C42" s="1025" t="s">
        <v>1936</v>
      </c>
      <c r="D42" s="1026" t="s">
        <v>9</v>
      </c>
      <c r="E42" s="1026" t="s">
        <v>948</v>
      </c>
      <c r="F42" s="1053">
        <v>2001.57</v>
      </c>
      <c r="G42" s="1054">
        <v>0.13</v>
      </c>
      <c r="H42" s="1023">
        <v>239.38</v>
      </c>
      <c r="I42" s="1056"/>
      <c r="J42" s="1025"/>
      <c r="K42" s="1060" t="s">
        <v>2015</v>
      </c>
    </row>
    <row r="43" spans="1:11" s="1070" customFormat="1" ht="15.75">
      <c r="A43" s="1037">
        <v>44918</v>
      </c>
      <c r="B43" s="1038">
        <v>45283</v>
      </c>
      <c r="C43" s="1025" t="s">
        <v>1198</v>
      </c>
      <c r="D43" s="1026" t="s">
        <v>149</v>
      </c>
      <c r="E43" s="1026" t="s">
        <v>1044</v>
      </c>
      <c r="F43" s="1059">
        <v>1313.71</v>
      </c>
      <c r="G43" s="1054">
        <v>0.15</v>
      </c>
      <c r="H43" s="1055">
        <v>181.29</v>
      </c>
      <c r="I43" s="1056"/>
      <c r="J43" s="1025"/>
      <c r="K43" s="1060" t="s">
        <v>2015</v>
      </c>
    </row>
    <row r="44" spans="1:11" s="1058" customFormat="1" ht="15.75">
      <c r="A44" s="1037">
        <v>44916</v>
      </c>
      <c r="B44" s="1038">
        <v>45286</v>
      </c>
      <c r="C44" s="1026" t="s">
        <v>1202</v>
      </c>
      <c r="D44" s="1026" t="s">
        <v>25</v>
      </c>
      <c r="E44" s="1026" t="s">
        <v>1044</v>
      </c>
      <c r="F44" s="1059">
        <v>1014.47</v>
      </c>
      <c r="G44" s="1054">
        <v>0.1</v>
      </c>
      <c r="H44" s="1055">
        <v>93.21</v>
      </c>
      <c r="I44" s="1056"/>
      <c r="J44" s="1025"/>
      <c r="K44" s="1060" t="s">
        <v>2015</v>
      </c>
    </row>
    <row r="45" spans="1:11" s="1058" customFormat="1" ht="15.75">
      <c r="A45" s="1037">
        <v>44922</v>
      </c>
      <c r="B45" s="1038">
        <v>45287</v>
      </c>
      <c r="C45" s="1026" t="s">
        <v>1677</v>
      </c>
      <c r="D45" s="1026" t="s">
        <v>70</v>
      </c>
      <c r="E45" s="1026" t="s">
        <v>1080</v>
      </c>
      <c r="F45" s="1059">
        <v>589.21</v>
      </c>
      <c r="G45" s="1054">
        <v>0.1</v>
      </c>
      <c r="H45" s="1055">
        <v>54.2</v>
      </c>
      <c r="I45" s="1056"/>
      <c r="J45" s="1025"/>
      <c r="K45" s="1060" t="s">
        <v>2015</v>
      </c>
    </row>
    <row r="46" spans="1:11" s="1070" customFormat="1" ht="15.75">
      <c r="A46" s="1037">
        <v>44916</v>
      </c>
      <c r="B46" s="1038">
        <v>45288</v>
      </c>
      <c r="C46" s="1025" t="s">
        <v>1367</v>
      </c>
      <c r="D46" s="1026" t="s">
        <v>61</v>
      </c>
      <c r="E46" s="1026" t="s">
        <v>948</v>
      </c>
      <c r="F46" s="1059">
        <v>1141.83</v>
      </c>
      <c r="G46" s="1054">
        <v>0.1</v>
      </c>
      <c r="H46" s="1055">
        <v>105.04</v>
      </c>
      <c r="I46" s="1056"/>
      <c r="J46" s="1025"/>
      <c r="K46" s="1060" t="s">
        <v>2015</v>
      </c>
    </row>
    <row r="47" spans="1:11" s="1058" customFormat="1" ht="15.75">
      <c r="A47" s="1037">
        <v>44923</v>
      </c>
      <c r="B47" s="1038">
        <v>45288</v>
      </c>
      <c r="C47" s="1025" t="s">
        <v>1208</v>
      </c>
      <c r="D47" s="1026" t="s">
        <v>448</v>
      </c>
      <c r="E47" s="1026" t="s">
        <v>10</v>
      </c>
      <c r="F47" s="1059">
        <v>3172.58</v>
      </c>
      <c r="G47" s="1054">
        <v>0.15</v>
      </c>
      <c r="H47" s="1055">
        <v>437.81</v>
      </c>
      <c r="I47" s="1056"/>
      <c r="J47" s="1025"/>
      <c r="K47" s="1060" t="s">
        <v>2015</v>
      </c>
    </row>
    <row r="48" spans="1:11" s="1058" customFormat="1" ht="15.75">
      <c r="A48" s="1037">
        <v>44923</v>
      </c>
      <c r="B48" s="1038">
        <v>45288</v>
      </c>
      <c r="C48" s="1026" t="s">
        <v>1197</v>
      </c>
      <c r="D48" s="1026" t="s">
        <v>9</v>
      </c>
      <c r="E48" s="1026" t="s">
        <v>1593</v>
      </c>
      <c r="F48" s="1059">
        <v>2648.72</v>
      </c>
      <c r="G48" s="1054">
        <v>0.1</v>
      </c>
      <c r="H48" s="1055">
        <v>243.68</v>
      </c>
      <c r="I48" s="1056"/>
      <c r="J48" s="1025"/>
      <c r="K48" s="1060" t="s">
        <v>2015</v>
      </c>
    </row>
    <row r="49" spans="1:11" s="1058" customFormat="1" ht="15.75">
      <c r="A49" s="1037">
        <v>44932</v>
      </c>
      <c r="B49" s="1038">
        <v>45290</v>
      </c>
      <c r="C49" s="1026" t="s">
        <v>2159</v>
      </c>
      <c r="D49" s="1026" t="s">
        <v>14</v>
      </c>
      <c r="E49" s="1026" t="s">
        <v>10</v>
      </c>
      <c r="F49" s="1059">
        <v>2594.79</v>
      </c>
      <c r="G49" s="1054">
        <v>0.1</v>
      </c>
      <c r="H49" s="1055">
        <v>238.72</v>
      </c>
      <c r="I49" s="1056"/>
      <c r="J49" s="1025"/>
      <c r="K49" s="1060" t="s">
        <v>2015</v>
      </c>
    </row>
    <row r="50" spans="1:11" s="1058" customFormat="1" ht="16.5" thickBot="1">
      <c r="A50" s="1037"/>
      <c r="B50" s="1038"/>
      <c r="C50" s="1026"/>
      <c r="D50" s="1026"/>
      <c r="E50" s="1026"/>
      <c r="F50" s="1059"/>
      <c r="G50" s="1054"/>
      <c r="H50" s="1055"/>
      <c r="I50" s="1056"/>
      <c r="J50" s="1025"/>
      <c r="K50" s="1060"/>
    </row>
    <row r="51" spans="1:11" ht="20.25" thickBot="1">
      <c r="A51" s="1048"/>
      <c r="B51" s="1034"/>
      <c r="C51" s="1034"/>
      <c r="D51" s="1034"/>
      <c r="E51" s="1034"/>
      <c r="F51" s="1093">
        <f>SUM(F2:F50)</f>
        <v>111537.82000000002</v>
      </c>
      <c r="G51" s="1094"/>
      <c r="H51" s="1095">
        <f>SUM(H2:H50)</f>
        <v>11103.210000000001</v>
      </c>
      <c r="I51" s="1096">
        <f>SUM(I2:I50)</f>
        <v>721.08</v>
      </c>
      <c r="J51" s="1097"/>
      <c r="K51" s="1052"/>
    </row>
  </sheetData>
  <autoFilter ref="A1:K1" xr:uid="{A59BB1DD-8D09-433E-821C-E5436CDA7F78}">
    <sortState xmlns:xlrd2="http://schemas.microsoft.com/office/spreadsheetml/2017/richdata2" ref="A2:K49">
      <sortCondition ref="J1"/>
    </sortState>
  </autoFilter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E15A-343E-4D12-8999-E3CCC0F1330A}">
  <dimension ref="A1:K51"/>
  <sheetViews>
    <sheetView zoomScale="85" zoomScaleNormal="85" workbookViewId="0">
      <selection activeCell="A32" sqref="A32"/>
    </sheetView>
  </sheetViews>
  <sheetFormatPr defaultColWidth="9.140625" defaultRowHeight="15"/>
  <cols>
    <col min="1" max="1" width="16.5703125" style="1035" bestFit="1" customWidth="1"/>
    <col min="2" max="2" width="15.28515625" style="1035" bestFit="1" customWidth="1"/>
    <col min="3" max="3" width="43.28515625" style="1123" customWidth="1"/>
    <col min="4" max="4" width="18.28515625" style="1035" bestFit="1" customWidth="1"/>
    <col min="5" max="5" width="14.140625" style="1035" bestFit="1" customWidth="1"/>
    <col min="6" max="6" width="23.28515625" style="1035" bestFit="1" customWidth="1"/>
    <col min="7" max="7" width="13.42578125" style="1035" bestFit="1" customWidth="1"/>
    <col min="8" max="8" width="24.85546875" style="1035" bestFit="1" customWidth="1"/>
    <col min="9" max="9" width="21" style="1035" bestFit="1" customWidth="1"/>
    <col min="10" max="10" width="13.7109375" style="1035" bestFit="1" customWidth="1"/>
    <col min="11" max="11" width="17" style="1035" bestFit="1" customWidth="1"/>
    <col min="12" max="16384" width="9.140625" style="1035"/>
  </cols>
  <sheetData>
    <row r="1" spans="1:11" ht="15" customHeight="1" thickBot="1">
      <c r="A1" s="1107" t="s">
        <v>1832</v>
      </c>
      <c r="B1" s="1108" t="s">
        <v>2</v>
      </c>
      <c r="C1" s="1108" t="s">
        <v>3</v>
      </c>
      <c r="D1" s="1108" t="s">
        <v>4</v>
      </c>
      <c r="E1" s="1108" t="s">
        <v>5</v>
      </c>
      <c r="F1" s="1109" t="s">
        <v>644</v>
      </c>
      <c r="G1" s="1110" t="s">
        <v>555</v>
      </c>
      <c r="H1" s="1106" t="s">
        <v>7</v>
      </c>
      <c r="I1" s="1051" t="s">
        <v>307</v>
      </c>
      <c r="J1" s="1110" t="s">
        <v>370</v>
      </c>
      <c r="K1" s="1114"/>
    </row>
    <row r="2" spans="1:11" s="1070" customFormat="1" ht="15.75">
      <c r="A2" s="1124">
        <v>44925</v>
      </c>
      <c r="B2" s="1125">
        <v>45293</v>
      </c>
      <c r="C2" s="1312" t="s">
        <v>2160</v>
      </c>
      <c r="D2" s="1028" t="s">
        <v>61</v>
      </c>
      <c r="E2" s="1028" t="s">
        <v>948</v>
      </c>
      <c r="F2" s="1126">
        <v>2310.3200000000002</v>
      </c>
      <c r="G2" s="1127">
        <v>0.1</v>
      </c>
      <c r="H2" s="1128">
        <v>212.54</v>
      </c>
      <c r="I2" s="1129">
        <v>21.25</v>
      </c>
      <c r="J2" s="1130" t="s">
        <v>1558</v>
      </c>
      <c r="K2" s="1117" t="s">
        <v>2015</v>
      </c>
    </row>
    <row r="3" spans="1:11" s="1058" customFormat="1" ht="15.75">
      <c r="A3" s="1040">
        <v>44930</v>
      </c>
      <c r="B3" s="1042">
        <v>45296</v>
      </c>
      <c r="C3" s="1085" t="s">
        <v>2161</v>
      </c>
      <c r="D3" s="1030" t="s">
        <v>61</v>
      </c>
      <c r="E3" s="1030" t="s">
        <v>1552</v>
      </c>
      <c r="F3" s="1072">
        <v>31140.76</v>
      </c>
      <c r="G3" s="1073">
        <v>0.1</v>
      </c>
      <c r="H3" s="1067">
        <v>2864.94</v>
      </c>
      <c r="I3" s="1068">
        <v>286.49</v>
      </c>
      <c r="J3" s="1112" t="s">
        <v>1558</v>
      </c>
      <c r="K3" s="1117" t="s">
        <v>2015</v>
      </c>
    </row>
    <row r="4" spans="1:11" s="1058" customFormat="1" ht="15.75">
      <c r="A4" s="1040">
        <v>44932</v>
      </c>
      <c r="B4" s="1042">
        <v>45297</v>
      </c>
      <c r="C4" s="1085" t="s">
        <v>239</v>
      </c>
      <c r="D4" s="1030" t="s">
        <v>9</v>
      </c>
      <c r="E4" s="1030" t="s">
        <v>1641</v>
      </c>
      <c r="F4" s="1132">
        <v>1534.98</v>
      </c>
      <c r="G4" s="1073">
        <v>0.1</v>
      </c>
      <c r="H4" s="1067">
        <v>141.21</v>
      </c>
      <c r="I4" s="1068">
        <v>14.12</v>
      </c>
      <c r="J4" s="1112" t="s">
        <v>1558</v>
      </c>
      <c r="K4" s="1117" t="s">
        <v>1472</v>
      </c>
    </row>
    <row r="5" spans="1:11" s="1029" customFormat="1" ht="15.75">
      <c r="A5" s="1040">
        <v>44929</v>
      </c>
      <c r="B5" s="1042">
        <v>45300</v>
      </c>
      <c r="C5" s="1283" t="s">
        <v>1653</v>
      </c>
      <c r="D5" s="1030" t="s">
        <v>25</v>
      </c>
      <c r="E5" s="1030" t="s">
        <v>1044</v>
      </c>
      <c r="F5" s="1072">
        <v>2313.33</v>
      </c>
      <c r="G5" s="1073">
        <v>0.1</v>
      </c>
      <c r="H5" s="1067">
        <v>212.82</v>
      </c>
      <c r="I5" s="1068">
        <v>21.28</v>
      </c>
      <c r="J5" s="1112" t="s">
        <v>1558</v>
      </c>
      <c r="K5" s="1131" t="s">
        <v>2015</v>
      </c>
    </row>
    <row r="6" spans="1:11" s="1058" customFormat="1" ht="15.75">
      <c r="A6" s="1041">
        <v>44939</v>
      </c>
      <c r="B6" s="1041">
        <v>45306</v>
      </c>
      <c r="C6" s="1085" t="s">
        <v>2162</v>
      </c>
      <c r="D6" s="1027" t="s">
        <v>14</v>
      </c>
      <c r="E6" s="1027" t="s">
        <v>948</v>
      </c>
      <c r="F6" s="1065">
        <v>7544.96</v>
      </c>
      <c r="G6" s="1066">
        <v>0.1</v>
      </c>
      <c r="H6" s="1067">
        <v>694.13</v>
      </c>
      <c r="I6" s="1122">
        <v>69.41</v>
      </c>
      <c r="J6" s="1112" t="s">
        <v>1558</v>
      </c>
      <c r="K6" s="1117" t="s">
        <v>2015</v>
      </c>
    </row>
    <row r="7" spans="1:11" s="1058" customFormat="1" ht="15.75">
      <c r="A7" s="1040">
        <v>44939</v>
      </c>
      <c r="B7" s="1042">
        <v>45311</v>
      </c>
      <c r="C7" s="1283" t="s">
        <v>1236</v>
      </c>
      <c r="D7" s="1030" t="s">
        <v>25</v>
      </c>
      <c r="E7" s="1030" t="s">
        <v>458</v>
      </c>
      <c r="F7" s="1072">
        <v>1653.78</v>
      </c>
      <c r="G7" s="1073">
        <v>0.15</v>
      </c>
      <c r="H7" s="1067">
        <v>152.13999999999999</v>
      </c>
      <c r="I7" s="1068">
        <v>15.21</v>
      </c>
      <c r="J7" s="1112" t="s">
        <v>1558</v>
      </c>
      <c r="K7" s="1117" t="s">
        <v>2015</v>
      </c>
    </row>
    <row r="8" spans="1:11" s="1058" customFormat="1" ht="15.75">
      <c r="A8" s="1037">
        <v>44922</v>
      </c>
      <c r="B8" s="1038">
        <v>45296</v>
      </c>
      <c r="C8" s="1246" t="s">
        <v>1649</v>
      </c>
      <c r="D8" s="1026" t="s">
        <v>61</v>
      </c>
      <c r="E8" s="1026" t="s">
        <v>948</v>
      </c>
      <c r="F8" s="1064">
        <v>2185.17</v>
      </c>
      <c r="G8" s="1054">
        <v>0.25</v>
      </c>
      <c r="H8" s="1055">
        <v>502.58</v>
      </c>
      <c r="I8" s="1056">
        <v>251.29</v>
      </c>
      <c r="J8" s="1111" t="s">
        <v>1219</v>
      </c>
      <c r="K8" s="1115" t="s">
        <v>2015</v>
      </c>
    </row>
    <row r="9" spans="1:11" s="1070" customFormat="1" ht="15.75">
      <c r="A9" s="1037">
        <v>44921</v>
      </c>
      <c r="B9" s="1038">
        <v>45294</v>
      </c>
      <c r="C9" s="1246" t="s">
        <v>2163</v>
      </c>
      <c r="D9" s="1026" t="s">
        <v>448</v>
      </c>
      <c r="E9" s="1026" t="s">
        <v>948</v>
      </c>
      <c r="F9" s="1053">
        <v>2420.8200000000002</v>
      </c>
      <c r="G9" s="1054">
        <v>0.1</v>
      </c>
      <c r="H9" s="1055">
        <v>222.71</v>
      </c>
      <c r="I9" s="1056">
        <v>111.35</v>
      </c>
      <c r="J9" s="1111" t="s">
        <v>2152</v>
      </c>
      <c r="K9" s="1116" t="s">
        <v>1472</v>
      </c>
    </row>
    <row r="10" spans="1:11" s="1058" customFormat="1" ht="15.75">
      <c r="A10" s="1037">
        <v>44950</v>
      </c>
      <c r="B10" s="1038">
        <v>45315</v>
      </c>
      <c r="C10" s="1248" t="s">
        <v>2164</v>
      </c>
      <c r="D10" s="1026" t="s">
        <v>448</v>
      </c>
      <c r="E10" s="1026" t="s">
        <v>945</v>
      </c>
      <c r="F10" s="1059">
        <v>3773.33</v>
      </c>
      <c r="G10" s="1054">
        <v>0.1</v>
      </c>
      <c r="H10" s="1055">
        <v>347.14</v>
      </c>
      <c r="I10" s="1056">
        <v>173.57</v>
      </c>
      <c r="J10" s="1111" t="s">
        <v>2152</v>
      </c>
      <c r="K10" s="1115" t="s">
        <v>1472</v>
      </c>
    </row>
    <row r="11" spans="1:11" s="1070" customFormat="1" ht="15.75">
      <c r="A11" s="1037">
        <v>44946</v>
      </c>
      <c r="B11" s="1039">
        <v>45311</v>
      </c>
      <c r="C11" s="1025" t="s">
        <v>2165</v>
      </c>
      <c r="D11" s="1026" t="s">
        <v>448</v>
      </c>
      <c r="E11" s="1025" t="s">
        <v>948</v>
      </c>
      <c r="F11" s="1092">
        <v>1947.36</v>
      </c>
      <c r="G11" s="1062">
        <v>0.2</v>
      </c>
      <c r="H11" s="1055">
        <v>358.31</v>
      </c>
      <c r="I11" s="1056">
        <v>179.15</v>
      </c>
      <c r="J11" s="1111" t="s">
        <v>1577</v>
      </c>
      <c r="K11" s="1115" t="s">
        <v>2015</v>
      </c>
    </row>
    <row r="12" spans="1:11" s="1058" customFormat="1" ht="15.75">
      <c r="A12" s="1037">
        <v>44957</v>
      </c>
      <c r="B12" s="1039">
        <v>45339</v>
      </c>
      <c r="C12" s="1085" t="s">
        <v>2042</v>
      </c>
      <c r="D12" s="1026" t="s">
        <v>25</v>
      </c>
      <c r="E12" s="1026" t="s">
        <v>2166</v>
      </c>
      <c r="F12" s="1071">
        <v>81.28</v>
      </c>
      <c r="G12" s="1062">
        <v>0.35</v>
      </c>
      <c r="H12" s="1055">
        <v>26.17</v>
      </c>
      <c r="I12" s="1056">
        <v>13.08</v>
      </c>
      <c r="J12" s="1111" t="s">
        <v>1759</v>
      </c>
      <c r="K12" s="1115" t="s">
        <v>1472</v>
      </c>
    </row>
    <row r="13" spans="1:11" s="1058" customFormat="1" ht="15.75">
      <c r="A13" s="1037">
        <v>44943</v>
      </c>
      <c r="B13" s="1038">
        <v>45308</v>
      </c>
      <c r="C13" s="1085" t="s">
        <v>1632</v>
      </c>
      <c r="D13" s="1026" t="s">
        <v>70</v>
      </c>
      <c r="E13" s="1026" t="s">
        <v>1080</v>
      </c>
      <c r="F13" s="1053">
        <v>1436.94</v>
      </c>
      <c r="G13" s="1054">
        <v>0.1</v>
      </c>
      <c r="H13" s="1023">
        <v>132.19</v>
      </c>
      <c r="I13" s="1056">
        <v>66.09</v>
      </c>
      <c r="J13" s="1111" t="s">
        <v>2094</v>
      </c>
      <c r="K13" s="1115" t="s">
        <v>2015</v>
      </c>
    </row>
    <row r="14" spans="1:11" s="1070" customFormat="1" ht="15.75">
      <c r="A14" s="1037">
        <v>44937</v>
      </c>
      <c r="B14" s="1038">
        <v>45309</v>
      </c>
      <c r="C14" s="1249" t="s">
        <v>1955</v>
      </c>
      <c r="D14" s="1026" t="s">
        <v>61</v>
      </c>
      <c r="E14" s="1026" t="s">
        <v>948</v>
      </c>
      <c r="F14" s="1059">
        <v>1577.45</v>
      </c>
      <c r="G14" s="1054">
        <v>0.1</v>
      </c>
      <c r="H14" s="1055">
        <v>145.12</v>
      </c>
      <c r="I14" s="1056">
        <v>72.56</v>
      </c>
      <c r="J14" s="1111" t="s">
        <v>2094</v>
      </c>
      <c r="K14" s="1115" t="s">
        <v>2015</v>
      </c>
    </row>
    <row r="15" spans="1:11" s="1058" customFormat="1" ht="15.75">
      <c r="A15" s="1039">
        <v>44938</v>
      </c>
      <c r="B15" s="1039">
        <v>45310</v>
      </c>
      <c r="C15" s="1248" t="s">
        <v>2167</v>
      </c>
      <c r="D15" s="1025" t="s">
        <v>9</v>
      </c>
      <c r="E15" s="1025" t="s">
        <v>945</v>
      </c>
      <c r="F15" s="1092">
        <v>3052.05</v>
      </c>
      <c r="G15" s="1062">
        <v>0.1</v>
      </c>
      <c r="H15" s="1055">
        <v>280.77999999999997</v>
      </c>
      <c r="I15" s="1063">
        <v>140.38999999999999</v>
      </c>
      <c r="J15" s="1111" t="s">
        <v>2094</v>
      </c>
      <c r="K15" s="1115" t="s">
        <v>2015</v>
      </c>
    </row>
    <row r="16" spans="1:11" s="1058" customFormat="1" ht="15.75">
      <c r="A16" s="1043">
        <v>44938</v>
      </c>
      <c r="B16" s="1044">
        <v>45297</v>
      </c>
      <c r="C16" s="1252" t="s">
        <v>2168</v>
      </c>
      <c r="D16" s="1075" t="s">
        <v>448</v>
      </c>
      <c r="E16" s="1075" t="s">
        <v>458</v>
      </c>
      <c r="F16" s="1102">
        <v>2689.03</v>
      </c>
      <c r="G16" s="1076">
        <v>0.1</v>
      </c>
      <c r="H16" s="1055">
        <v>258.89999999999998</v>
      </c>
      <c r="I16" s="1104">
        <v>129.44999999999999</v>
      </c>
      <c r="J16" s="1111" t="s">
        <v>1396</v>
      </c>
      <c r="K16" s="1115" t="s">
        <v>2015</v>
      </c>
    </row>
    <row r="17" spans="1:11" s="1070" customFormat="1" ht="15.75">
      <c r="A17" s="1037">
        <v>44939</v>
      </c>
      <c r="B17" s="1038">
        <v>45306</v>
      </c>
      <c r="C17" s="1246" t="s">
        <v>1001</v>
      </c>
      <c r="D17" s="1026" t="s">
        <v>9</v>
      </c>
      <c r="E17" s="1026" t="s">
        <v>1310</v>
      </c>
      <c r="F17" s="1059">
        <v>1855.62</v>
      </c>
      <c r="G17" s="1054">
        <v>0.1</v>
      </c>
      <c r="H17" s="1055">
        <v>170.71</v>
      </c>
      <c r="I17" s="1056">
        <v>85.35</v>
      </c>
      <c r="J17" s="1111" t="s">
        <v>1396</v>
      </c>
      <c r="K17" s="1115" t="s">
        <v>2015</v>
      </c>
    </row>
    <row r="18" spans="1:11" s="1078" customFormat="1" ht="15.75">
      <c r="A18" s="1037">
        <v>44945</v>
      </c>
      <c r="B18" s="1038">
        <v>45310</v>
      </c>
      <c r="C18" s="1246" t="s">
        <v>2169</v>
      </c>
      <c r="D18" s="1026" t="s">
        <v>9</v>
      </c>
      <c r="E18" s="1026" t="s">
        <v>1310</v>
      </c>
      <c r="F18" s="1103">
        <v>4215.87</v>
      </c>
      <c r="G18" s="1054">
        <v>0.1</v>
      </c>
      <c r="H18" s="1055">
        <v>387.86</v>
      </c>
      <c r="I18" s="1056">
        <v>193.93</v>
      </c>
      <c r="J18" s="1111" t="s">
        <v>1396</v>
      </c>
      <c r="K18" s="1115" t="s">
        <v>1472</v>
      </c>
    </row>
    <row r="19" spans="1:11" s="1058" customFormat="1" ht="15.75">
      <c r="A19" s="1037">
        <v>44924</v>
      </c>
      <c r="B19" s="1038">
        <v>45294</v>
      </c>
      <c r="C19" s="1246" t="s">
        <v>2170</v>
      </c>
      <c r="D19" s="1026" t="s">
        <v>25</v>
      </c>
      <c r="E19" s="1026" t="s">
        <v>948</v>
      </c>
      <c r="F19" s="1059">
        <v>2035.06</v>
      </c>
      <c r="G19" s="1054">
        <v>0.1</v>
      </c>
      <c r="H19" s="1055">
        <v>187.22</v>
      </c>
      <c r="I19" s="1056"/>
      <c r="J19" s="1111"/>
      <c r="K19" s="1115" t="s">
        <v>2015</v>
      </c>
    </row>
    <row r="20" spans="1:11" s="1070" customFormat="1" ht="15.75">
      <c r="A20" s="1039">
        <v>44922</v>
      </c>
      <c r="B20" s="1039">
        <v>45296</v>
      </c>
      <c r="C20" s="1248" t="s">
        <v>1213</v>
      </c>
      <c r="D20" s="1025" t="s">
        <v>448</v>
      </c>
      <c r="E20" s="1025" t="s">
        <v>19</v>
      </c>
      <c r="F20" s="1061">
        <v>3412.63</v>
      </c>
      <c r="G20" s="1062">
        <v>0.15</v>
      </c>
      <c r="H20" s="1055">
        <v>470.94</v>
      </c>
      <c r="I20" s="1063"/>
      <c r="J20" s="1111"/>
      <c r="K20" s="1116" t="s">
        <v>2015</v>
      </c>
    </row>
    <row r="21" spans="1:11" s="1058" customFormat="1" ht="15.75">
      <c r="A21" s="1043">
        <v>44935</v>
      </c>
      <c r="B21" s="1045">
        <v>45297</v>
      </c>
      <c r="C21" s="1249" t="s">
        <v>1655</v>
      </c>
      <c r="D21" s="1075" t="s">
        <v>61</v>
      </c>
      <c r="E21" s="1075" t="s">
        <v>1044</v>
      </c>
      <c r="F21" s="1102">
        <v>1680.99</v>
      </c>
      <c r="G21" s="1076">
        <v>0.1</v>
      </c>
      <c r="H21" s="1055">
        <v>154.65</v>
      </c>
      <c r="I21" s="1077"/>
      <c r="J21" s="1111"/>
      <c r="K21" s="1115" t="s">
        <v>2015</v>
      </c>
    </row>
    <row r="22" spans="1:11" s="1087" customFormat="1" ht="15.75">
      <c r="A22" s="1037">
        <v>44932</v>
      </c>
      <c r="B22" s="1038">
        <v>45299</v>
      </c>
      <c r="C22" s="1254" t="s">
        <v>1217</v>
      </c>
      <c r="D22" s="1026" t="s">
        <v>25</v>
      </c>
      <c r="E22" s="1026" t="s">
        <v>948</v>
      </c>
      <c r="F22" s="1059">
        <v>1132.33</v>
      </c>
      <c r="G22" s="1054">
        <v>0.15</v>
      </c>
      <c r="H22" s="1055">
        <v>156.26</v>
      </c>
      <c r="I22" s="1056"/>
      <c r="J22" s="1111"/>
      <c r="K22" s="1116" t="s">
        <v>2015</v>
      </c>
    </row>
    <row r="23" spans="1:11" s="1058" customFormat="1" ht="15.75">
      <c r="A23" s="1037">
        <v>44930</v>
      </c>
      <c r="B23" s="1038">
        <v>45299</v>
      </c>
      <c r="C23" s="1248" t="s">
        <v>492</v>
      </c>
      <c r="D23" s="1025" t="s">
        <v>25</v>
      </c>
      <c r="E23" s="1025" t="s">
        <v>458</v>
      </c>
      <c r="F23" s="1061">
        <v>2169.71</v>
      </c>
      <c r="G23" s="1062">
        <v>0.1</v>
      </c>
      <c r="H23" s="1055">
        <v>199.61</v>
      </c>
      <c r="I23" s="1056"/>
      <c r="J23" s="1111"/>
      <c r="K23" s="1115" t="s">
        <v>2015</v>
      </c>
    </row>
    <row r="24" spans="1:11" s="1070" customFormat="1" ht="15.75">
      <c r="A24" s="1037">
        <v>44932</v>
      </c>
      <c r="B24" s="1038">
        <v>45299</v>
      </c>
      <c r="C24" s="1248" t="s">
        <v>1504</v>
      </c>
      <c r="D24" s="1025" t="s">
        <v>448</v>
      </c>
      <c r="E24" s="1025" t="s">
        <v>945</v>
      </c>
      <c r="F24" s="1061">
        <v>2496.6999999999998</v>
      </c>
      <c r="G24" s="1062">
        <v>0.1</v>
      </c>
      <c r="H24" s="1055">
        <v>229.69</v>
      </c>
      <c r="I24" s="1056"/>
      <c r="J24" s="1111"/>
      <c r="K24" s="1115" t="s">
        <v>2015</v>
      </c>
    </row>
    <row r="25" spans="1:11" s="1070" customFormat="1" ht="15.75">
      <c r="A25" s="1037">
        <v>44935</v>
      </c>
      <c r="B25" s="1038">
        <v>45300</v>
      </c>
      <c r="C25" s="1246" t="s">
        <v>1541</v>
      </c>
      <c r="D25" s="1026" t="s">
        <v>448</v>
      </c>
      <c r="E25" s="1025" t="s">
        <v>945</v>
      </c>
      <c r="F25" s="1061">
        <v>7846.81</v>
      </c>
      <c r="G25" s="1062">
        <v>0.1</v>
      </c>
      <c r="H25" s="1055">
        <v>721.9</v>
      </c>
      <c r="I25" s="1056"/>
      <c r="J25" s="1111"/>
      <c r="K25" s="1115" t="s">
        <v>1472</v>
      </c>
    </row>
    <row r="26" spans="1:11" s="1058" customFormat="1" ht="15.75">
      <c r="A26" s="1037">
        <v>44930</v>
      </c>
      <c r="B26" s="1038">
        <v>45302</v>
      </c>
      <c r="C26" s="1248" t="s">
        <v>2171</v>
      </c>
      <c r="D26" s="1026" t="s">
        <v>448</v>
      </c>
      <c r="E26" s="1025" t="s">
        <v>948</v>
      </c>
      <c r="F26" s="1061">
        <v>1996.32</v>
      </c>
      <c r="G26" s="1062">
        <v>0.1</v>
      </c>
      <c r="H26" s="1055">
        <v>183.66</v>
      </c>
      <c r="I26" s="1056"/>
      <c r="J26" s="1111"/>
      <c r="K26" s="1115" t="s">
        <v>2015</v>
      </c>
    </row>
    <row r="27" spans="1:11" s="1058" customFormat="1" ht="15.75">
      <c r="A27" s="1037">
        <v>44937</v>
      </c>
      <c r="B27" s="1038">
        <v>45302</v>
      </c>
      <c r="C27" s="1248" t="s">
        <v>1229</v>
      </c>
      <c r="D27" s="1026" t="s">
        <v>448</v>
      </c>
      <c r="E27" s="1025" t="s">
        <v>458</v>
      </c>
      <c r="F27" s="1061">
        <v>2195.5100000000002</v>
      </c>
      <c r="G27" s="1062">
        <v>0.1</v>
      </c>
      <c r="H27" s="1055">
        <v>201.98</v>
      </c>
      <c r="I27" s="1056"/>
      <c r="J27" s="1111"/>
      <c r="K27" s="1115" t="s">
        <v>2015</v>
      </c>
    </row>
    <row r="28" spans="1:11" s="1070" customFormat="1" ht="15.75">
      <c r="A28" s="1037">
        <v>44932</v>
      </c>
      <c r="B28" s="1038">
        <v>45304</v>
      </c>
      <c r="C28" s="1252" t="s">
        <v>2172</v>
      </c>
      <c r="D28" s="1026" t="s">
        <v>21</v>
      </c>
      <c r="E28" s="1025" t="s">
        <v>458</v>
      </c>
      <c r="F28" s="1061">
        <v>2135.0100000000002</v>
      </c>
      <c r="G28" s="1062">
        <v>0.1</v>
      </c>
      <c r="H28" s="1055">
        <v>196.42</v>
      </c>
      <c r="I28" s="1056"/>
      <c r="J28" s="1111"/>
      <c r="K28" s="1115" t="s">
        <v>2015</v>
      </c>
    </row>
    <row r="29" spans="1:11" s="1058" customFormat="1" ht="15.75">
      <c r="A29" s="1039">
        <v>44939</v>
      </c>
      <c r="B29" s="1039">
        <v>45304</v>
      </c>
      <c r="C29" s="1248" t="s">
        <v>1131</v>
      </c>
      <c r="D29" s="1025" t="s">
        <v>448</v>
      </c>
      <c r="E29" s="1025" t="s">
        <v>945</v>
      </c>
      <c r="F29" s="1091">
        <v>2398.11</v>
      </c>
      <c r="G29" s="1062">
        <v>0.1</v>
      </c>
      <c r="H29" s="1023">
        <v>220.62</v>
      </c>
      <c r="I29" s="1056"/>
      <c r="J29" s="1111"/>
      <c r="K29" s="1115" t="s">
        <v>2015</v>
      </c>
    </row>
    <row r="30" spans="1:11" s="1058" customFormat="1" ht="15.75">
      <c r="A30" s="1039">
        <v>44932</v>
      </c>
      <c r="B30" s="1039">
        <v>45306</v>
      </c>
      <c r="C30" s="1248" t="s">
        <v>2172</v>
      </c>
      <c r="D30" s="1025" t="s">
        <v>21</v>
      </c>
      <c r="E30" s="1025" t="s">
        <v>1641</v>
      </c>
      <c r="F30" s="1061">
        <v>2462.52</v>
      </c>
      <c r="G30" s="1062">
        <v>0.1</v>
      </c>
      <c r="H30" s="1055">
        <v>226.55</v>
      </c>
      <c r="I30" s="1056"/>
      <c r="J30" s="1111"/>
      <c r="K30" s="1116" t="s">
        <v>2015</v>
      </c>
    </row>
    <row r="31" spans="1:11" s="1058" customFormat="1" ht="15.75">
      <c r="A31" s="1039">
        <v>44939</v>
      </c>
      <c r="B31" s="1039">
        <v>45306</v>
      </c>
      <c r="C31" s="1248" t="s">
        <v>1471</v>
      </c>
      <c r="D31" s="1025" t="s">
        <v>448</v>
      </c>
      <c r="E31" s="1025" t="s">
        <v>945</v>
      </c>
      <c r="F31" s="1023">
        <v>2489.29</v>
      </c>
      <c r="G31" s="1062">
        <v>0.1</v>
      </c>
      <c r="H31" s="1055">
        <v>229.01</v>
      </c>
      <c r="I31" s="1056"/>
      <c r="J31" s="1111"/>
      <c r="K31" s="1115" t="s">
        <v>2015</v>
      </c>
    </row>
    <row r="32" spans="1:11" s="1058" customFormat="1" ht="15.75">
      <c r="A32" s="1037">
        <v>44936</v>
      </c>
      <c r="B32" s="1039">
        <v>45309</v>
      </c>
      <c r="C32" s="1248" t="s">
        <v>1954</v>
      </c>
      <c r="D32" s="1026" t="s">
        <v>70</v>
      </c>
      <c r="E32" s="1025" t="s">
        <v>1080</v>
      </c>
      <c r="F32" s="1061">
        <v>701.19</v>
      </c>
      <c r="G32" s="1062">
        <v>0.1</v>
      </c>
      <c r="H32" s="1055">
        <v>64.5</v>
      </c>
      <c r="I32" s="1056"/>
      <c r="J32" s="1111"/>
      <c r="K32" s="1115" t="s">
        <v>2015</v>
      </c>
    </row>
    <row r="33" spans="1:11" s="1058" customFormat="1" ht="15.75">
      <c r="A33" s="1037">
        <v>44938</v>
      </c>
      <c r="B33" s="1039">
        <v>45310</v>
      </c>
      <c r="C33" s="1248" t="s">
        <v>2173</v>
      </c>
      <c r="D33" s="1026" t="s">
        <v>14</v>
      </c>
      <c r="E33" s="1025" t="s">
        <v>458</v>
      </c>
      <c r="F33" s="1061">
        <v>1492.66</v>
      </c>
      <c r="G33" s="1062">
        <v>0.12</v>
      </c>
      <c r="H33" s="1055">
        <v>164.78</v>
      </c>
      <c r="I33" s="1056"/>
      <c r="J33" s="1111"/>
      <c r="K33" s="1115" t="s">
        <v>2015</v>
      </c>
    </row>
    <row r="34" spans="1:11" s="1070" customFormat="1" ht="15.75">
      <c r="A34" s="1037">
        <v>44945</v>
      </c>
      <c r="B34" s="1039">
        <v>45310</v>
      </c>
      <c r="C34" s="1248" t="s">
        <v>2174</v>
      </c>
      <c r="D34" s="1026" t="s">
        <v>61</v>
      </c>
      <c r="E34" s="1025" t="s">
        <v>1080</v>
      </c>
      <c r="F34" s="1061">
        <v>1111.0899999999999</v>
      </c>
      <c r="G34" s="1062">
        <v>0.1</v>
      </c>
      <c r="H34" s="1055">
        <v>102.22</v>
      </c>
      <c r="I34" s="1056"/>
      <c r="J34" s="1111"/>
      <c r="K34" s="1115" t="s">
        <v>2015</v>
      </c>
    </row>
    <row r="35" spans="1:11" s="1058" customFormat="1" ht="15.75">
      <c r="A35" s="1037">
        <v>44946</v>
      </c>
      <c r="B35" s="1039">
        <v>45311</v>
      </c>
      <c r="C35" s="1248" t="s">
        <v>1961</v>
      </c>
      <c r="D35" s="1026" t="s">
        <v>61</v>
      </c>
      <c r="E35" s="1025" t="s">
        <v>1044</v>
      </c>
      <c r="F35" s="1061">
        <v>2963.99</v>
      </c>
      <c r="G35" s="1062">
        <v>0.125</v>
      </c>
      <c r="H35" s="1055">
        <v>354.49</v>
      </c>
      <c r="I35" s="1056"/>
      <c r="J35" s="1111"/>
      <c r="K35" s="1115" t="s">
        <v>2015</v>
      </c>
    </row>
    <row r="36" spans="1:11" s="1058" customFormat="1" ht="15.75">
      <c r="A36" s="1037">
        <v>44946</v>
      </c>
      <c r="B36" s="1039">
        <v>45311</v>
      </c>
      <c r="C36" s="1313" t="s">
        <v>2175</v>
      </c>
      <c r="D36" s="1026" t="s">
        <v>21</v>
      </c>
      <c r="E36" s="1025" t="s">
        <v>945</v>
      </c>
      <c r="F36" s="1061">
        <v>2065.8000000000002</v>
      </c>
      <c r="G36" s="1062">
        <v>0.1</v>
      </c>
      <c r="H36" s="1055">
        <v>190.05</v>
      </c>
      <c r="I36" s="1056"/>
      <c r="J36" s="1111"/>
      <c r="K36" s="1115" t="s">
        <v>2015</v>
      </c>
    </row>
    <row r="37" spans="1:11" s="1058" customFormat="1" ht="15.75">
      <c r="A37" s="1037">
        <v>44946</v>
      </c>
      <c r="B37" s="1039">
        <v>45313</v>
      </c>
      <c r="C37" s="1248" t="s">
        <v>1230</v>
      </c>
      <c r="D37" s="1026" t="s">
        <v>376</v>
      </c>
      <c r="E37" s="1026" t="s">
        <v>948</v>
      </c>
      <c r="F37" s="1071">
        <v>1343.51</v>
      </c>
      <c r="G37" s="1062">
        <v>0.1</v>
      </c>
      <c r="H37" s="1055">
        <v>123.6</v>
      </c>
      <c r="I37" s="1056"/>
      <c r="J37" s="1111"/>
      <c r="K37" s="1115" t="s">
        <v>2015</v>
      </c>
    </row>
    <row r="38" spans="1:11" s="1070" customFormat="1" ht="15.75">
      <c r="A38" s="1037">
        <v>44950</v>
      </c>
      <c r="B38" s="1038">
        <v>45315</v>
      </c>
      <c r="C38" s="1248" t="s">
        <v>1943</v>
      </c>
      <c r="D38" s="1026" t="s">
        <v>21</v>
      </c>
      <c r="E38" s="1026" t="s">
        <v>945</v>
      </c>
      <c r="F38" s="1059">
        <v>2051.59</v>
      </c>
      <c r="G38" s="1054">
        <v>0.1</v>
      </c>
      <c r="H38" s="1055">
        <v>188.71</v>
      </c>
      <c r="I38" s="1056"/>
      <c r="J38" s="1111"/>
      <c r="K38" s="1115" t="s">
        <v>2015</v>
      </c>
    </row>
    <row r="39" spans="1:11" s="1070" customFormat="1" ht="15.75">
      <c r="A39" s="1037">
        <v>44951</v>
      </c>
      <c r="B39" s="1038">
        <v>45316</v>
      </c>
      <c r="C39" s="1248" t="s">
        <v>120</v>
      </c>
      <c r="D39" s="1026" t="s">
        <v>9</v>
      </c>
      <c r="E39" s="1026" t="s">
        <v>90</v>
      </c>
      <c r="F39" s="1059">
        <v>4848.32</v>
      </c>
      <c r="G39" s="1054">
        <v>0.1</v>
      </c>
      <c r="H39" s="1055">
        <v>446.04</v>
      </c>
      <c r="I39" s="1056"/>
      <c r="J39" s="1111"/>
      <c r="K39" s="1115" t="s">
        <v>2015</v>
      </c>
    </row>
    <row r="40" spans="1:11" s="1058" customFormat="1" ht="15.75">
      <c r="A40" s="1037">
        <v>44951</v>
      </c>
      <c r="B40" s="1038">
        <v>45316</v>
      </c>
      <c r="C40" s="1248" t="s">
        <v>2176</v>
      </c>
      <c r="D40" s="1026" t="s">
        <v>70</v>
      </c>
      <c r="E40" s="1026" t="s">
        <v>1080</v>
      </c>
      <c r="F40" s="1053">
        <v>3557.9</v>
      </c>
      <c r="G40" s="1054">
        <v>0.1</v>
      </c>
      <c r="H40" s="1023">
        <v>327.32</v>
      </c>
      <c r="I40" s="1056"/>
      <c r="J40" s="1111"/>
      <c r="K40" s="1115" t="s">
        <v>2015</v>
      </c>
    </row>
    <row r="41" spans="1:11" s="1058" customFormat="1" ht="15.75">
      <c r="A41" s="1037">
        <v>44951</v>
      </c>
      <c r="B41" s="1038">
        <v>45317</v>
      </c>
      <c r="C41" s="1025" t="s">
        <v>1676</v>
      </c>
      <c r="D41" s="1026" t="s">
        <v>448</v>
      </c>
      <c r="E41" s="1026" t="s">
        <v>948</v>
      </c>
      <c r="F41" s="1059">
        <v>4284.34</v>
      </c>
      <c r="G41" s="1054">
        <v>0.1</v>
      </c>
      <c r="H41" s="1055">
        <v>394.15</v>
      </c>
      <c r="I41" s="1056"/>
      <c r="J41" s="1111"/>
      <c r="K41" s="1115" t="s">
        <v>2015</v>
      </c>
    </row>
    <row r="42" spans="1:11" s="1070" customFormat="1" ht="15.75">
      <c r="A42" s="1037">
        <v>44950</v>
      </c>
      <c r="B42" s="1038">
        <v>45317</v>
      </c>
      <c r="C42" s="1025" t="s">
        <v>1084</v>
      </c>
      <c r="D42" s="1026" t="s">
        <v>9</v>
      </c>
      <c r="E42" s="1026" t="s">
        <v>1310</v>
      </c>
      <c r="F42" s="1059">
        <v>2411.2800000000002</v>
      </c>
      <c r="G42" s="1054">
        <v>0.15</v>
      </c>
      <c r="H42" s="1055">
        <v>332.75</v>
      </c>
      <c r="I42" s="1056"/>
      <c r="J42" s="1111"/>
      <c r="K42" s="1115" t="s">
        <v>2015</v>
      </c>
    </row>
    <row r="43" spans="1:11" s="1070" customFormat="1" ht="15.75">
      <c r="A43" s="1037">
        <v>44952</v>
      </c>
      <c r="B43" s="1038">
        <v>45317</v>
      </c>
      <c r="C43" s="1025" t="s">
        <v>2177</v>
      </c>
      <c r="D43" s="1026" t="s">
        <v>61</v>
      </c>
      <c r="E43" s="1026" t="s">
        <v>1310</v>
      </c>
      <c r="F43" s="1059">
        <v>1886.9</v>
      </c>
      <c r="G43" s="1054">
        <v>0.1</v>
      </c>
      <c r="H43" s="1055">
        <v>173.59</v>
      </c>
      <c r="I43" s="1056"/>
      <c r="J43" s="1111"/>
      <c r="K43" s="1115" t="s">
        <v>2015</v>
      </c>
    </row>
    <row r="44" spans="1:11" s="1058" customFormat="1" ht="15.75">
      <c r="A44" s="1037">
        <v>44953</v>
      </c>
      <c r="B44" s="1038">
        <v>45319</v>
      </c>
      <c r="C44" s="1026" t="s">
        <v>2178</v>
      </c>
      <c r="D44" s="1026" t="s">
        <v>448</v>
      </c>
      <c r="E44" s="1026" t="s">
        <v>945</v>
      </c>
      <c r="F44" s="1059">
        <v>1808.88</v>
      </c>
      <c r="G44" s="1054">
        <v>0.1</v>
      </c>
      <c r="H44" s="1055">
        <v>166.41</v>
      </c>
      <c r="I44" s="1056"/>
      <c r="J44" s="1111"/>
      <c r="K44" s="1115" t="s">
        <v>2015</v>
      </c>
    </row>
    <row r="45" spans="1:11" s="1058" customFormat="1" ht="15.75">
      <c r="A45" s="1037">
        <v>44952</v>
      </c>
      <c r="B45" s="1038">
        <v>45320</v>
      </c>
      <c r="C45" s="1140" t="s">
        <v>2179</v>
      </c>
      <c r="D45" s="1026" t="s">
        <v>198</v>
      </c>
      <c r="E45" s="1026" t="s">
        <v>948</v>
      </c>
      <c r="F45" s="1059">
        <v>2230.04</v>
      </c>
      <c r="G45" s="1054">
        <v>0.1</v>
      </c>
      <c r="H45" s="1055">
        <v>205.16</v>
      </c>
      <c r="I45" s="1056"/>
      <c r="J45" s="1111"/>
      <c r="K45" s="1115" t="s">
        <v>2015</v>
      </c>
    </row>
    <row r="46" spans="1:11" s="1058" customFormat="1" ht="15.75">
      <c r="A46" s="1037">
        <v>44952</v>
      </c>
      <c r="B46" s="1038">
        <v>45320</v>
      </c>
      <c r="C46" s="1085" t="s">
        <v>1967</v>
      </c>
      <c r="D46" s="1026" t="s">
        <v>448</v>
      </c>
      <c r="E46" s="1026" t="s">
        <v>945</v>
      </c>
      <c r="F46" s="1059">
        <v>2770.97</v>
      </c>
      <c r="G46" s="1054">
        <v>0.13650000000000001</v>
      </c>
      <c r="H46" s="1055">
        <v>356.9</v>
      </c>
      <c r="I46" s="1056"/>
      <c r="J46" s="1111"/>
      <c r="K46" s="1115" t="s">
        <v>2015</v>
      </c>
    </row>
    <row r="47" spans="1:11" s="1058" customFormat="1" ht="15.75">
      <c r="A47" s="1037">
        <v>44956</v>
      </c>
      <c r="B47" s="1038">
        <v>45321</v>
      </c>
      <c r="C47" s="1025" t="s">
        <v>1243</v>
      </c>
      <c r="D47" s="1026" t="s">
        <v>61</v>
      </c>
      <c r="E47" s="1026" t="s">
        <v>1552</v>
      </c>
      <c r="F47" s="1059">
        <v>2672.28</v>
      </c>
      <c r="G47" s="1054">
        <v>0.1</v>
      </c>
      <c r="H47" s="1055">
        <v>245.84</v>
      </c>
      <c r="I47" s="1056"/>
      <c r="J47" s="1111"/>
      <c r="K47" s="1115" t="s">
        <v>2015</v>
      </c>
    </row>
    <row r="48" spans="1:11" s="1058" customFormat="1" ht="15.75">
      <c r="A48" s="1037">
        <v>44957</v>
      </c>
      <c r="B48" s="1038">
        <v>45322</v>
      </c>
      <c r="C48" s="1026" t="s">
        <v>1440</v>
      </c>
      <c r="D48" s="1026" t="s">
        <v>14</v>
      </c>
      <c r="E48" s="1026" t="s">
        <v>948</v>
      </c>
      <c r="F48" s="1059">
        <v>2475.4299999999998</v>
      </c>
      <c r="G48" s="1054">
        <v>0.1</v>
      </c>
      <c r="H48" s="1055">
        <v>227.73</v>
      </c>
      <c r="I48" s="1056"/>
      <c r="J48" s="1111"/>
      <c r="K48" s="1115" t="s">
        <v>1472</v>
      </c>
    </row>
    <row r="49" spans="1:11" s="1058" customFormat="1" ht="15.75">
      <c r="A49" s="1037">
        <v>44957</v>
      </c>
      <c r="B49" s="1038">
        <v>45322</v>
      </c>
      <c r="C49" s="1026" t="s">
        <v>1728</v>
      </c>
      <c r="D49" s="1026" t="s">
        <v>9</v>
      </c>
      <c r="E49" s="1026" t="s">
        <v>1593</v>
      </c>
      <c r="F49" s="1059">
        <v>4605.8500000000004</v>
      </c>
      <c r="G49" s="1054">
        <v>0.1</v>
      </c>
      <c r="H49" s="1055">
        <v>423.73</v>
      </c>
      <c r="I49" s="1056"/>
      <c r="J49" s="1111"/>
      <c r="K49" s="1115" t="s">
        <v>1472</v>
      </c>
    </row>
    <row r="50" spans="1:11" s="1058" customFormat="1" ht="15.75">
      <c r="A50" s="1037">
        <v>44957</v>
      </c>
      <c r="B50" s="1038">
        <v>45322</v>
      </c>
      <c r="C50" s="1026" t="s">
        <v>1117</v>
      </c>
      <c r="D50" s="1026" t="s">
        <v>448</v>
      </c>
      <c r="E50" s="1026" t="s">
        <v>22</v>
      </c>
      <c r="F50" s="1059">
        <v>2350.42</v>
      </c>
      <c r="G50" s="1054">
        <v>0.1</v>
      </c>
      <c r="H50" s="1055">
        <v>216.23</v>
      </c>
      <c r="I50" s="1056"/>
      <c r="J50" s="1111"/>
      <c r="K50" s="1115" t="s">
        <v>2015</v>
      </c>
    </row>
    <row r="51" spans="1:11" ht="20.25" thickBot="1">
      <c r="A51" s="1048"/>
      <c r="B51" s="1034"/>
      <c r="C51" s="1034"/>
      <c r="D51" s="1034"/>
      <c r="E51" s="1034"/>
      <c r="F51" s="1093">
        <f>SUM(F2:F50)</f>
        <v>153816.48000000001</v>
      </c>
      <c r="G51" s="1094"/>
      <c r="H51" s="1095">
        <f>SUM(H2:H50)</f>
        <v>15192.959999999997</v>
      </c>
      <c r="I51" s="1096">
        <f>SUM(I2:I50)</f>
        <v>1843.9699999999998</v>
      </c>
      <c r="J51" s="1113"/>
      <c r="K51" s="1114"/>
    </row>
  </sheetData>
  <autoFilter ref="A1:K1" xr:uid="{F073E15A-343E-4D12-8999-E3CCC0F1330A}">
    <sortState xmlns:xlrd2="http://schemas.microsoft.com/office/spreadsheetml/2017/richdata2" ref="A2:K51">
      <sortCondition ref="J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72484-C221-4C98-911C-DFCC91E0AFD9}">
  <dimension ref="A1:K51"/>
  <sheetViews>
    <sheetView topLeftCell="B35" zoomScale="85" zoomScaleNormal="85" workbookViewId="0">
      <selection activeCell="C41" sqref="C41"/>
    </sheetView>
  </sheetViews>
  <sheetFormatPr defaultColWidth="9.140625" defaultRowHeight="15"/>
  <cols>
    <col min="1" max="1" width="16.5703125" style="1035" bestFit="1" customWidth="1"/>
    <col min="2" max="2" width="15.28515625" style="1035" bestFit="1" customWidth="1"/>
    <col min="3" max="3" width="47.85546875" style="1123" bestFit="1" customWidth="1"/>
    <col min="4" max="4" width="18.28515625" style="1035" bestFit="1" customWidth="1"/>
    <col min="5" max="5" width="14.140625" style="1035" bestFit="1" customWidth="1"/>
    <col min="6" max="6" width="23.28515625" style="1035" bestFit="1" customWidth="1"/>
    <col min="7" max="7" width="13.42578125" style="1035" bestFit="1" customWidth="1"/>
    <col min="8" max="8" width="24.85546875" style="1035" bestFit="1" customWidth="1"/>
    <col min="9" max="9" width="21" style="1035" bestFit="1" customWidth="1"/>
    <col min="10" max="10" width="13.7109375" style="1035" bestFit="1" customWidth="1"/>
    <col min="11" max="11" width="17.140625" style="1035" bestFit="1" customWidth="1"/>
    <col min="12" max="16384" width="9.140625" style="1035"/>
  </cols>
  <sheetData>
    <row r="1" spans="1:11" ht="15" customHeight="1" thickBot="1">
      <c r="A1" s="1107" t="s">
        <v>1832</v>
      </c>
      <c r="B1" s="1108" t="s">
        <v>2</v>
      </c>
      <c r="C1" s="1108" t="s">
        <v>3</v>
      </c>
      <c r="D1" s="1108" t="s">
        <v>4</v>
      </c>
      <c r="E1" s="1108" t="s">
        <v>5</v>
      </c>
      <c r="F1" s="1109" t="s">
        <v>644</v>
      </c>
      <c r="G1" s="1110" t="s">
        <v>555</v>
      </c>
      <c r="H1" s="1106" t="s">
        <v>7</v>
      </c>
      <c r="I1" s="1051" t="s">
        <v>307</v>
      </c>
      <c r="J1" s="1110" t="s">
        <v>370</v>
      </c>
      <c r="K1" s="1114"/>
    </row>
    <row r="2" spans="1:11" s="1058" customFormat="1" ht="15.75">
      <c r="A2" s="1043">
        <v>44959</v>
      </c>
      <c r="B2" s="1045">
        <v>45323</v>
      </c>
      <c r="C2" s="1255" t="s">
        <v>1976</v>
      </c>
      <c r="D2" s="1075" t="s">
        <v>9</v>
      </c>
      <c r="E2" s="1075" t="s">
        <v>948</v>
      </c>
      <c r="F2" s="1121">
        <v>1346.49</v>
      </c>
      <c r="G2" s="1076">
        <v>0.1</v>
      </c>
      <c r="H2" s="1260">
        <v>123.87</v>
      </c>
      <c r="I2" s="1077"/>
      <c r="J2" s="1261"/>
      <c r="K2" s="1115" t="s">
        <v>2015</v>
      </c>
    </row>
    <row r="3" spans="1:11" s="1058" customFormat="1" ht="15.75">
      <c r="A3" s="1037">
        <v>44958</v>
      </c>
      <c r="B3" s="1038">
        <v>45323</v>
      </c>
      <c r="C3" s="1248" t="s">
        <v>1247</v>
      </c>
      <c r="D3" s="1026" t="s">
        <v>2180</v>
      </c>
      <c r="E3" s="1026" t="s">
        <v>458</v>
      </c>
      <c r="F3" s="1059">
        <v>3573.23</v>
      </c>
      <c r="G3" s="1054">
        <v>0.1</v>
      </c>
      <c r="H3" s="1055">
        <v>328.73</v>
      </c>
      <c r="I3" s="1056"/>
      <c r="J3" s="1111"/>
      <c r="K3" s="1115" t="s">
        <v>2015</v>
      </c>
    </row>
    <row r="4" spans="1:11" s="1058" customFormat="1" ht="15.75">
      <c r="A4" s="1037">
        <v>44965</v>
      </c>
      <c r="B4" s="1038">
        <v>45324</v>
      </c>
      <c r="C4" s="1025" t="s">
        <v>1250</v>
      </c>
      <c r="D4" s="1026" t="s">
        <v>9</v>
      </c>
      <c r="E4" s="1026" t="s">
        <v>1552</v>
      </c>
      <c r="F4" s="1059">
        <v>5349.54</v>
      </c>
      <c r="G4" s="1054">
        <v>0.1</v>
      </c>
      <c r="H4" s="1055">
        <v>492.15</v>
      </c>
      <c r="I4" s="1056"/>
      <c r="J4" s="1111"/>
      <c r="K4" s="1115" t="s">
        <v>2015</v>
      </c>
    </row>
    <row r="5" spans="1:11" s="1029" customFormat="1" ht="15.75">
      <c r="A5" s="1037">
        <v>44958</v>
      </c>
      <c r="B5" s="1038">
        <v>45324</v>
      </c>
      <c r="C5" s="1248" t="s">
        <v>1251</v>
      </c>
      <c r="D5" s="1026" t="s">
        <v>9</v>
      </c>
      <c r="E5" s="1026" t="s">
        <v>1552</v>
      </c>
      <c r="F5" s="1059">
        <v>2240.33</v>
      </c>
      <c r="G5" s="1054">
        <v>0.15</v>
      </c>
      <c r="H5" s="1055">
        <v>309.16000000000003</v>
      </c>
      <c r="I5" s="1056"/>
      <c r="J5" s="1111"/>
      <c r="K5" s="1115" t="s">
        <v>2015</v>
      </c>
    </row>
    <row r="6" spans="1:11" s="1058" customFormat="1" ht="15.75">
      <c r="A6" s="1039">
        <v>44958</v>
      </c>
      <c r="B6" s="1039">
        <v>45324</v>
      </c>
      <c r="C6" s="1248" t="s">
        <v>944</v>
      </c>
      <c r="D6" s="1025" t="s">
        <v>9</v>
      </c>
      <c r="E6" s="1025" t="s">
        <v>1593</v>
      </c>
      <c r="F6" s="1061">
        <v>4187.04</v>
      </c>
      <c r="G6" s="1062">
        <v>0.1</v>
      </c>
      <c r="H6" s="1055">
        <v>385.2</v>
      </c>
      <c r="I6" s="1063"/>
      <c r="J6" s="1111"/>
      <c r="K6" s="1115" t="s">
        <v>1472</v>
      </c>
    </row>
    <row r="7" spans="1:11" s="1058" customFormat="1" ht="15.75">
      <c r="A7" s="1037">
        <v>44960</v>
      </c>
      <c r="B7" s="1038">
        <v>45325</v>
      </c>
      <c r="C7" s="1248" t="s">
        <v>1257</v>
      </c>
      <c r="D7" s="1026" t="s">
        <v>9</v>
      </c>
      <c r="E7" s="1026" t="s">
        <v>1310</v>
      </c>
      <c r="F7" s="1059">
        <v>2661.11</v>
      </c>
      <c r="G7" s="1054">
        <v>0.1</v>
      </c>
      <c r="H7" s="1055">
        <v>244.82</v>
      </c>
      <c r="I7" s="1056"/>
      <c r="J7" s="1111"/>
      <c r="K7" s="1116" t="s">
        <v>2015</v>
      </c>
    </row>
    <row r="8" spans="1:11" s="1058" customFormat="1" ht="15.75">
      <c r="A8" s="1037">
        <v>44963</v>
      </c>
      <c r="B8" s="1038">
        <v>45325</v>
      </c>
      <c r="C8" s="1246" t="s">
        <v>1258</v>
      </c>
      <c r="D8" s="1026" t="s">
        <v>2180</v>
      </c>
      <c r="E8" s="1026" t="s">
        <v>458</v>
      </c>
      <c r="F8" s="1059">
        <v>5696.89</v>
      </c>
      <c r="G8" s="1054">
        <v>0.1</v>
      </c>
      <c r="H8" s="1055">
        <v>524.11</v>
      </c>
      <c r="I8" s="1056"/>
      <c r="J8" s="1111"/>
      <c r="K8" s="1115" t="s">
        <v>2015</v>
      </c>
    </row>
    <row r="9" spans="1:11" s="1058" customFormat="1" ht="15.75">
      <c r="A9" s="1037">
        <v>44958</v>
      </c>
      <c r="B9" s="1038">
        <v>45326</v>
      </c>
      <c r="C9" s="1246" t="s">
        <v>1974</v>
      </c>
      <c r="D9" s="1026" t="s">
        <v>149</v>
      </c>
      <c r="E9" s="1026" t="s">
        <v>1552</v>
      </c>
      <c r="F9" s="1053">
        <v>3149.39</v>
      </c>
      <c r="G9" s="1054">
        <v>0.1</v>
      </c>
      <c r="H9" s="1055">
        <v>289.74</v>
      </c>
      <c r="I9" s="1056">
        <v>144.87</v>
      </c>
      <c r="J9" s="1111" t="s">
        <v>1577</v>
      </c>
      <c r="K9" s="1116" t="s">
        <v>2015</v>
      </c>
    </row>
    <row r="10" spans="1:11" s="1058" customFormat="1" ht="15.75">
      <c r="A10" s="1037">
        <v>44960</v>
      </c>
      <c r="B10" s="1038">
        <v>45326</v>
      </c>
      <c r="C10" s="1248" t="s">
        <v>1291</v>
      </c>
      <c r="D10" s="1026" t="s">
        <v>61</v>
      </c>
      <c r="E10" s="1026" t="s">
        <v>1080</v>
      </c>
      <c r="F10" s="1103">
        <v>1222.2</v>
      </c>
      <c r="G10" s="1054">
        <v>0.1</v>
      </c>
      <c r="H10" s="1055">
        <v>112.44</v>
      </c>
      <c r="I10" s="1056"/>
      <c r="J10" s="1111"/>
      <c r="K10" s="1115" t="s">
        <v>2015</v>
      </c>
    </row>
    <row r="11" spans="1:11" s="1058" customFormat="1" ht="15.75">
      <c r="A11" s="1037">
        <v>44960</v>
      </c>
      <c r="B11" s="1039">
        <v>45327</v>
      </c>
      <c r="C11" s="1248" t="s">
        <v>1268</v>
      </c>
      <c r="D11" s="1026" t="s">
        <v>14</v>
      </c>
      <c r="E11" s="1025" t="s">
        <v>948</v>
      </c>
      <c r="F11" s="1061">
        <v>1559.71</v>
      </c>
      <c r="G11" s="1062">
        <v>0.1</v>
      </c>
      <c r="H11" s="1055">
        <v>143.49</v>
      </c>
      <c r="I11" s="1056"/>
      <c r="J11" s="1111"/>
      <c r="K11" s="1115" t="s">
        <v>2015</v>
      </c>
    </row>
    <row r="12" spans="1:11" s="1058" customFormat="1" ht="15.75">
      <c r="A12" s="1037">
        <v>44960</v>
      </c>
      <c r="B12" s="1039">
        <v>45327</v>
      </c>
      <c r="C12" s="1248" t="s">
        <v>1162</v>
      </c>
      <c r="D12" s="1026" t="s">
        <v>2180</v>
      </c>
      <c r="E12" s="1026" t="s">
        <v>458</v>
      </c>
      <c r="F12" s="1071">
        <v>1004.18</v>
      </c>
      <c r="G12" s="1062">
        <v>0.1</v>
      </c>
      <c r="H12" s="1055">
        <v>92.38</v>
      </c>
      <c r="I12" s="1056"/>
      <c r="J12" s="1111"/>
      <c r="K12" s="1116" t="s">
        <v>2015</v>
      </c>
    </row>
    <row r="13" spans="1:11" s="1070" customFormat="1" ht="15.75">
      <c r="A13" s="1040">
        <v>44963</v>
      </c>
      <c r="B13" s="1042">
        <v>45328</v>
      </c>
      <c r="C13" s="1283" t="s">
        <v>1249</v>
      </c>
      <c r="D13" s="1030" t="s">
        <v>25</v>
      </c>
      <c r="E13" s="1030" t="s">
        <v>948</v>
      </c>
      <c r="F13" s="1072">
        <v>1163.54</v>
      </c>
      <c r="G13" s="1073">
        <v>0.1</v>
      </c>
      <c r="H13" s="1067">
        <v>107.04</v>
      </c>
      <c r="I13" s="1068">
        <v>10.7</v>
      </c>
      <c r="J13" s="1112" t="s">
        <v>1558</v>
      </c>
      <c r="K13" s="1131" t="s">
        <v>2015</v>
      </c>
    </row>
    <row r="14" spans="1:11" s="1058" customFormat="1" ht="15.75">
      <c r="A14" s="1037">
        <v>44960</v>
      </c>
      <c r="B14" s="1038">
        <v>45328</v>
      </c>
      <c r="C14" s="1249" t="s">
        <v>1263</v>
      </c>
      <c r="D14" s="1026" t="s">
        <v>25</v>
      </c>
      <c r="E14" s="1026" t="s">
        <v>438</v>
      </c>
      <c r="F14" s="1059">
        <v>1231.44</v>
      </c>
      <c r="G14" s="1054">
        <v>0.1</v>
      </c>
      <c r="H14" s="1088">
        <v>113.29</v>
      </c>
      <c r="I14" s="1089">
        <v>56.64</v>
      </c>
      <c r="J14" s="1111" t="s">
        <v>1482</v>
      </c>
      <c r="K14" s="1115" t="s">
        <v>2015</v>
      </c>
    </row>
    <row r="15" spans="1:11" s="1058" customFormat="1" ht="15.75">
      <c r="A15" s="1039">
        <v>44960</v>
      </c>
      <c r="B15" s="1039">
        <v>45328</v>
      </c>
      <c r="C15" s="1248" t="s">
        <v>1248</v>
      </c>
      <c r="D15" s="1025" t="s">
        <v>2180</v>
      </c>
      <c r="E15" s="1025" t="s">
        <v>948</v>
      </c>
      <c r="F15" s="1061">
        <v>1128.49</v>
      </c>
      <c r="G15" s="1062">
        <v>0.15</v>
      </c>
      <c r="H15" s="1055">
        <v>155.72999999999999</v>
      </c>
      <c r="I15" s="1063"/>
      <c r="J15" s="1111"/>
      <c r="K15" s="1115" t="s">
        <v>2015</v>
      </c>
    </row>
    <row r="16" spans="1:11" s="1070" customFormat="1" ht="15.75">
      <c r="A16" s="1124">
        <v>44964</v>
      </c>
      <c r="B16" s="1329">
        <v>45329</v>
      </c>
      <c r="C16" s="1330" t="s">
        <v>1261</v>
      </c>
      <c r="D16" s="1028" t="s">
        <v>304</v>
      </c>
      <c r="E16" s="1028" t="s">
        <v>1044</v>
      </c>
      <c r="F16" s="1126">
        <v>2311.64</v>
      </c>
      <c r="G16" s="1127">
        <v>0.1</v>
      </c>
      <c r="H16" s="1067">
        <v>212.67</v>
      </c>
      <c r="I16" s="1129">
        <v>21.26</v>
      </c>
      <c r="J16" s="1112" t="s">
        <v>1558</v>
      </c>
      <c r="K16" s="1117" t="s">
        <v>2015</v>
      </c>
    </row>
    <row r="17" spans="1:11" s="1058" customFormat="1" ht="15.75">
      <c r="A17" s="1037">
        <v>44964</v>
      </c>
      <c r="B17" s="1038">
        <v>45329</v>
      </c>
      <c r="C17" s="1246" t="s">
        <v>1714</v>
      </c>
      <c r="D17" s="1026" t="s">
        <v>2180</v>
      </c>
      <c r="E17" s="1026" t="s">
        <v>945</v>
      </c>
      <c r="F17" s="1059">
        <v>2736.38</v>
      </c>
      <c r="G17" s="1054">
        <v>0.1</v>
      </c>
      <c r="H17" s="1055">
        <v>251.74</v>
      </c>
      <c r="I17" s="1056">
        <v>125.87</v>
      </c>
      <c r="J17" s="1111" t="s">
        <v>1396</v>
      </c>
      <c r="K17" s="1115" t="s">
        <v>1472</v>
      </c>
    </row>
    <row r="18" spans="1:11" s="1078" customFormat="1" ht="15.75">
      <c r="A18" s="1037">
        <v>44964</v>
      </c>
      <c r="B18" s="1038">
        <v>45329</v>
      </c>
      <c r="C18" s="1246" t="s">
        <v>2181</v>
      </c>
      <c r="D18" s="1026" t="s">
        <v>9</v>
      </c>
      <c r="E18" s="1026" t="s">
        <v>458</v>
      </c>
      <c r="F18" s="1059">
        <v>1745.34</v>
      </c>
      <c r="G18" s="1054">
        <v>0.1</v>
      </c>
      <c r="H18" s="1055">
        <v>160.57</v>
      </c>
      <c r="I18" s="1056"/>
      <c r="J18" s="1111"/>
      <c r="K18" s="1115" t="s">
        <v>1472</v>
      </c>
    </row>
    <row r="19" spans="1:11" s="1058" customFormat="1" ht="15.75">
      <c r="A19" s="1037">
        <v>44965</v>
      </c>
      <c r="B19" s="1038">
        <v>45330</v>
      </c>
      <c r="C19" s="1246" t="s">
        <v>1688</v>
      </c>
      <c r="D19" s="1026" t="s">
        <v>2180</v>
      </c>
      <c r="E19" s="1026" t="s">
        <v>1080</v>
      </c>
      <c r="F19" s="1059">
        <v>1752.71</v>
      </c>
      <c r="G19" s="1054">
        <v>0.1</v>
      </c>
      <c r="H19" s="1055">
        <v>161.24</v>
      </c>
      <c r="I19" s="1056">
        <v>80.62</v>
      </c>
      <c r="J19" s="1111" t="s">
        <v>1396</v>
      </c>
      <c r="K19" s="1115" t="s">
        <v>2015</v>
      </c>
    </row>
    <row r="20" spans="1:11" s="1058" customFormat="1" ht="15.75">
      <c r="A20" s="1039">
        <v>44965</v>
      </c>
      <c r="B20" s="1039">
        <v>45330</v>
      </c>
      <c r="C20" s="1025" t="s">
        <v>1989</v>
      </c>
      <c r="D20" s="1025" t="s">
        <v>9</v>
      </c>
      <c r="E20" s="1025" t="s">
        <v>1641</v>
      </c>
      <c r="F20" s="1091">
        <v>2727.71</v>
      </c>
      <c r="G20" s="1062">
        <v>0.1</v>
      </c>
      <c r="H20" s="1023">
        <v>250.94</v>
      </c>
      <c r="I20" s="1063"/>
      <c r="J20" s="1111"/>
      <c r="K20" s="1115" t="s">
        <v>2015</v>
      </c>
    </row>
    <row r="21" spans="1:11" s="1058" customFormat="1" ht="15.75">
      <c r="A21" s="1043">
        <v>44965</v>
      </c>
      <c r="B21" s="1045">
        <v>45330</v>
      </c>
      <c r="C21" s="1249" t="s">
        <v>1259</v>
      </c>
      <c r="D21" s="1075" t="s">
        <v>70</v>
      </c>
      <c r="E21" s="1075" t="s">
        <v>1080</v>
      </c>
      <c r="F21" s="1102">
        <v>1291.83</v>
      </c>
      <c r="G21" s="1076">
        <v>0.1</v>
      </c>
      <c r="H21" s="1055">
        <v>118.84</v>
      </c>
      <c r="I21" s="1077"/>
      <c r="J21" s="1111"/>
      <c r="K21" s="1115" t="s">
        <v>2015</v>
      </c>
    </row>
    <row r="22" spans="1:11" s="1058" customFormat="1" ht="15.75">
      <c r="A22" s="1037">
        <v>44966</v>
      </c>
      <c r="B22" s="1038">
        <v>45331</v>
      </c>
      <c r="C22" s="1119" t="s">
        <v>1999</v>
      </c>
      <c r="D22" s="1026" t="s">
        <v>9</v>
      </c>
      <c r="E22" s="1026" t="s">
        <v>1641</v>
      </c>
      <c r="F22" s="1053">
        <v>1487.33</v>
      </c>
      <c r="G22" s="1054">
        <v>0.1</v>
      </c>
      <c r="H22" s="1055">
        <v>136.83000000000001</v>
      </c>
      <c r="I22" s="1056"/>
      <c r="J22" s="1111"/>
      <c r="K22" s="1115" t="s">
        <v>1472</v>
      </c>
    </row>
    <row r="23" spans="1:11" s="1058" customFormat="1" ht="15.75">
      <c r="A23" s="1037">
        <v>44966</v>
      </c>
      <c r="B23" s="1038">
        <v>45331</v>
      </c>
      <c r="C23" s="1248" t="s">
        <v>1690</v>
      </c>
      <c r="D23" s="1025" t="s">
        <v>2180</v>
      </c>
      <c r="E23" s="1025" t="s">
        <v>945</v>
      </c>
      <c r="F23" s="1061">
        <v>2136.54</v>
      </c>
      <c r="G23" s="1062">
        <v>0.1</v>
      </c>
      <c r="H23" s="1055">
        <v>196.56</v>
      </c>
      <c r="I23" s="1056"/>
      <c r="J23" s="1111"/>
      <c r="K23" s="1116" t="s">
        <v>2015</v>
      </c>
    </row>
    <row r="24" spans="1:11" s="1058" customFormat="1" ht="15.75">
      <c r="A24" s="1037">
        <v>44966</v>
      </c>
      <c r="B24" s="1038">
        <v>45333</v>
      </c>
      <c r="C24" s="1025" t="s">
        <v>2036</v>
      </c>
      <c r="D24" s="1025" t="s">
        <v>61</v>
      </c>
      <c r="E24" s="1025" t="s">
        <v>1044</v>
      </c>
      <c r="F24" s="1061">
        <v>3494.71</v>
      </c>
      <c r="G24" s="1062">
        <v>0.1</v>
      </c>
      <c r="H24" s="1055">
        <v>321.51</v>
      </c>
      <c r="I24" s="1056"/>
      <c r="J24" s="1111"/>
      <c r="K24" s="1115" t="s">
        <v>2015</v>
      </c>
    </row>
    <row r="25" spans="1:11" s="1058" customFormat="1" ht="15.75">
      <c r="A25" s="1037">
        <v>44970</v>
      </c>
      <c r="B25" s="1038">
        <v>45335</v>
      </c>
      <c r="C25" s="1026" t="s">
        <v>2182</v>
      </c>
      <c r="D25" s="1026" t="s">
        <v>25</v>
      </c>
      <c r="E25" s="1025" t="s">
        <v>948</v>
      </c>
      <c r="F25" s="1061">
        <v>2184.7600000000002</v>
      </c>
      <c r="G25" s="1062">
        <v>0.1</v>
      </c>
      <c r="H25" s="1055">
        <v>200.99</v>
      </c>
      <c r="I25" s="1056"/>
      <c r="J25" s="1111"/>
      <c r="K25" s="1115" t="s">
        <v>2015</v>
      </c>
    </row>
    <row r="26" spans="1:11" s="1058" customFormat="1" ht="15.75">
      <c r="A26" s="1037">
        <v>44972</v>
      </c>
      <c r="B26" s="1038">
        <v>45335</v>
      </c>
      <c r="C26" s="1025" t="s">
        <v>2183</v>
      </c>
      <c r="D26" s="1026" t="s">
        <v>9</v>
      </c>
      <c r="E26" s="1025" t="s">
        <v>948</v>
      </c>
      <c r="F26" s="1061">
        <v>1658.03</v>
      </c>
      <c r="G26" s="1062">
        <v>0.1</v>
      </c>
      <c r="H26" s="1055">
        <v>152.53</v>
      </c>
      <c r="I26" s="1056"/>
      <c r="J26" s="1111"/>
      <c r="K26" s="1115" t="s">
        <v>1472</v>
      </c>
    </row>
    <row r="27" spans="1:11" s="1058" customFormat="1" ht="15.75">
      <c r="A27" s="1037">
        <v>44970</v>
      </c>
      <c r="B27" s="1038">
        <v>45335</v>
      </c>
      <c r="C27" s="1025" t="s">
        <v>2184</v>
      </c>
      <c r="D27" s="1026" t="s">
        <v>2180</v>
      </c>
      <c r="E27" s="1025" t="s">
        <v>1080</v>
      </c>
      <c r="F27" s="1092">
        <v>2268.2199999999998</v>
      </c>
      <c r="G27" s="1062">
        <v>0.1</v>
      </c>
      <c r="H27" s="1055">
        <v>208.67</v>
      </c>
      <c r="I27" s="1056"/>
      <c r="J27" s="1111"/>
      <c r="K27" s="1115" t="s">
        <v>1472</v>
      </c>
    </row>
    <row r="28" spans="1:11" s="1058" customFormat="1" ht="15.75">
      <c r="A28" s="1037">
        <v>44971</v>
      </c>
      <c r="B28" s="1038">
        <v>45336</v>
      </c>
      <c r="C28" s="1032" t="s">
        <v>1700</v>
      </c>
      <c r="D28" s="1026" t="s">
        <v>1862</v>
      </c>
      <c r="E28" s="1025" t="s">
        <v>948</v>
      </c>
      <c r="F28" s="1061">
        <v>2416.77</v>
      </c>
      <c r="G28" s="1062">
        <v>0.1</v>
      </c>
      <c r="H28" s="1055">
        <v>222.34</v>
      </c>
      <c r="I28" s="1056"/>
      <c r="J28" s="1111"/>
      <c r="K28" s="1115" t="s">
        <v>2015</v>
      </c>
    </row>
    <row r="29" spans="1:11" s="1058" customFormat="1" ht="15.75">
      <c r="A29" s="1039">
        <v>44971</v>
      </c>
      <c r="B29" s="1039">
        <v>45336</v>
      </c>
      <c r="C29" s="1025" t="s">
        <v>1274</v>
      </c>
      <c r="D29" s="1025" t="s">
        <v>25</v>
      </c>
      <c r="E29" s="1025" t="s">
        <v>1641</v>
      </c>
      <c r="F29" s="1023">
        <v>1322.55</v>
      </c>
      <c r="G29" s="1062">
        <v>0.1</v>
      </c>
      <c r="H29" s="1023">
        <v>121.67</v>
      </c>
      <c r="I29" s="1056"/>
      <c r="J29" s="1111"/>
      <c r="K29" s="1115" t="s">
        <v>2015</v>
      </c>
    </row>
    <row r="30" spans="1:11" s="1058" customFormat="1" ht="15.75">
      <c r="A30" s="1039">
        <v>44971</v>
      </c>
      <c r="B30" s="1039">
        <v>45336</v>
      </c>
      <c r="C30" s="1025" t="s">
        <v>1227</v>
      </c>
      <c r="D30" s="1025" t="s">
        <v>25</v>
      </c>
      <c r="E30" s="1025" t="s">
        <v>1044</v>
      </c>
      <c r="F30" s="1061">
        <v>1589.49</v>
      </c>
      <c r="G30" s="1062">
        <v>0.1</v>
      </c>
      <c r="H30" s="1055">
        <v>146.22999999999999</v>
      </c>
      <c r="I30" s="1056"/>
      <c r="J30" s="1111"/>
      <c r="K30" s="1115" t="s">
        <v>2015</v>
      </c>
    </row>
    <row r="31" spans="1:11" s="1058" customFormat="1" ht="15.75">
      <c r="A31" s="1039">
        <v>44972</v>
      </c>
      <c r="B31" s="1039">
        <v>45337</v>
      </c>
      <c r="C31" s="1025" t="s">
        <v>1988</v>
      </c>
      <c r="D31" s="1025" t="s">
        <v>9</v>
      </c>
      <c r="E31" s="1025" t="s">
        <v>1593</v>
      </c>
      <c r="F31" s="1061">
        <v>2250.85</v>
      </c>
      <c r="G31" s="1062">
        <v>0.1</v>
      </c>
      <c r="H31" s="1055">
        <v>207.07</v>
      </c>
      <c r="I31" s="1056">
        <v>103.53</v>
      </c>
      <c r="J31" s="1111" t="s">
        <v>1482</v>
      </c>
      <c r="K31" s="1115" t="s">
        <v>2015</v>
      </c>
    </row>
    <row r="32" spans="1:11" s="1058" customFormat="1" ht="15.75">
      <c r="A32" s="1037">
        <v>44971</v>
      </c>
      <c r="B32" s="1039">
        <v>45337</v>
      </c>
      <c r="C32" s="1025" t="s">
        <v>2185</v>
      </c>
      <c r="D32" s="1026" t="s">
        <v>9</v>
      </c>
      <c r="E32" s="1025" t="s">
        <v>1310</v>
      </c>
      <c r="F32" s="1092">
        <v>2745.36</v>
      </c>
      <c r="G32" s="1062">
        <v>0.1</v>
      </c>
      <c r="H32" s="1055">
        <v>252.57</v>
      </c>
      <c r="I32" s="1056"/>
      <c r="J32" s="1111"/>
      <c r="K32" s="1115" t="s">
        <v>1472</v>
      </c>
    </row>
    <row r="33" spans="1:11" s="1058" customFormat="1" ht="15.75">
      <c r="A33" s="1037">
        <v>44972</v>
      </c>
      <c r="B33" s="1039">
        <v>45337</v>
      </c>
      <c r="C33" s="1025" t="s">
        <v>1986</v>
      </c>
      <c r="D33" s="1026" t="s">
        <v>61</v>
      </c>
      <c r="E33" s="1025" t="s">
        <v>458</v>
      </c>
      <c r="F33" s="1061">
        <v>1520.71</v>
      </c>
      <c r="G33" s="1062">
        <v>0.1</v>
      </c>
      <c r="H33" s="1055">
        <v>139.9</v>
      </c>
      <c r="I33" s="1056"/>
      <c r="J33" s="1111"/>
      <c r="K33" s="1115" t="s">
        <v>2015</v>
      </c>
    </row>
    <row r="34" spans="1:11" s="1058" customFormat="1" ht="15.75">
      <c r="A34" s="1037">
        <v>44972</v>
      </c>
      <c r="B34" s="1039">
        <v>45337</v>
      </c>
      <c r="C34" s="1025" t="s">
        <v>2186</v>
      </c>
      <c r="D34" s="1026" t="s">
        <v>1508</v>
      </c>
      <c r="E34" s="1025" t="s">
        <v>1080</v>
      </c>
      <c r="F34" s="1061">
        <v>958.51</v>
      </c>
      <c r="G34" s="1062">
        <v>0.1</v>
      </c>
      <c r="H34" s="1055">
        <v>88.18</v>
      </c>
      <c r="I34" s="1056"/>
      <c r="J34" s="1111"/>
      <c r="K34" s="1115" t="s">
        <v>1472</v>
      </c>
    </row>
    <row r="35" spans="1:11" s="1058" customFormat="1" ht="15.75">
      <c r="A35" s="1037">
        <v>44973</v>
      </c>
      <c r="B35" s="1039">
        <v>45338</v>
      </c>
      <c r="C35" s="1025" t="s">
        <v>1973</v>
      </c>
      <c r="D35" s="1026" t="s">
        <v>9</v>
      </c>
      <c r="E35" s="1025" t="s">
        <v>1552</v>
      </c>
      <c r="F35" s="1061">
        <v>2826.23</v>
      </c>
      <c r="G35" s="1062">
        <v>0.1</v>
      </c>
      <c r="H35" s="1055">
        <v>260.01</v>
      </c>
      <c r="I35" s="1056"/>
      <c r="J35" s="1111"/>
      <c r="K35" s="1115" t="s">
        <v>2015</v>
      </c>
    </row>
    <row r="36" spans="1:11" s="1058" customFormat="1" ht="15.75">
      <c r="A36" s="1037">
        <v>44973</v>
      </c>
      <c r="B36" s="1039">
        <v>45338</v>
      </c>
      <c r="C36" s="1032" t="s">
        <v>2187</v>
      </c>
      <c r="D36" s="1026" t="s">
        <v>70</v>
      </c>
      <c r="E36" s="1025" t="s">
        <v>1080</v>
      </c>
      <c r="F36" s="1061">
        <v>3002.95</v>
      </c>
      <c r="G36" s="1062">
        <v>0.1</v>
      </c>
      <c r="H36" s="1055">
        <v>276.27</v>
      </c>
      <c r="I36" s="1056"/>
      <c r="J36" s="1111"/>
      <c r="K36" s="1115" t="s">
        <v>2015</v>
      </c>
    </row>
    <row r="37" spans="1:11" s="1058" customFormat="1" ht="15.75">
      <c r="A37" s="1037">
        <v>44974</v>
      </c>
      <c r="B37" s="1039">
        <v>45339</v>
      </c>
      <c r="C37" s="1025" t="s">
        <v>1278</v>
      </c>
      <c r="D37" s="1026" t="s">
        <v>2180</v>
      </c>
      <c r="E37" s="1026" t="s">
        <v>948</v>
      </c>
      <c r="F37" s="1071">
        <v>1822.23</v>
      </c>
      <c r="G37" s="1062">
        <v>0.1</v>
      </c>
      <c r="H37" s="1055">
        <v>167.64</v>
      </c>
      <c r="I37" s="1056"/>
      <c r="J37" s="1111"/>
      <c r="K37" s="1115" t="s">
        <v>2015</v>
      </c>
    </row>
    <row r="38" spans="1:11" s="1058" customFormat="1" ht="15.75">
      <c r="A38" s="1037">
        <v>44973</v>
      </c>
      <c r="B38" s="1038">
        <v>45339</v>
      </c>
      <c r="C38" s="1025" t="s">
        <v>1693</v>
      </c>
      <c r="D38" s="1026" t="s">
        <v>2180</v>
      </c>
      <c r="E38" s="1026" t="s">
        <v>948</v>
      </c>
      <c r="F38" s="1103">
        <v>6291.18</v>
      </c>
      <c r="G38" s="1054">
        <v>0.1</v>
      </c>
      <c r="H38" s="1055">
        <v>578.78</v>
      </c>
      <c r="I38" s="1056"/>
      <c r="J38" s="1111"/>
      <c r="K38" s="1115" t="s">
        <v>2015</v>
      </c>
    </row>
    <row r="39" spans="1:11" s="1058" customFormat="1" ht="15.75">
      <c r="A39" s="1037">
        <v>44974</v>
      </c>
      <c r="B39" s="1038">
        <v>45340</v>
      </c>
      <c r="C39" s="1033" t="s">
        <v>1701</v>
      </c>
      <c r="D39" s="1026" t="s">
        <v>9</v>
      </c>
      <c r="E39" s="1026" t="s">
        <v>1593</v>
      </c>
      <c r="F39" s="1059">
        <v>2593.31</v>
      </c>
      <c r="G39" s="1054">
        <v>0.1</v>
      </c>
      <c r="H39" s="1055">
        <v>238.58</v>
      </c>
      <c r="I39" s="1056"/>
      <c r="J39" s="1111"/>
      <c r="K39" s="1115" t="s">
        <v>2015</v>
      </c>
    </row>
    <row r="40" spans="1:11" s="1070" customFormat="1" ht="15.75">
      <c r="A40" s="1037">
        <v>44972</v>
      </c>
      <c r="B40" s="1038">
        <v>45341</v>
      </c>
      <c r="C40" s="1025" t="s">
        <v>1979</v>
      </c>
      <c r="D40" s="1026" t="s">
        <v>2180</v>
      </c>
      <c r="E40" s="1026" t="s">
        <v>948</v>
      </c>
      <c r="F40" s="1059">
        <v>1856.09</v>
      </c>
      <c r="G40" s="1054">
        <v>0.1</v>
      </c>
      <c r="H40" s="1055">
        <v>170.76</v>
      </c>
      <c r="I40" s="1056"/>
      <c r="J40" s="1111"/>
      <c r="K40" s="1115" t="s">
        <v>2015</v>
      </c>
    </row>
    <row r="41" spans="1:11" s="1058" customFormat="1" ht="15.75">
      <c r="A41" s="1040">
        <v>44974</v>
      </c>
      <c r="B41" s="1042">
        <v>45342</v>
      </c>
      <c r="C41" s="1027" t="s">
        <v>2188</v>
      </c>
      <c r="D41" s="1030" t="s">
        <v>2180</v>
      </c>
      <c r="E41" s="1030" t="s">
        <v>948</v>
      </c>
      <c r="F41" s="1072">
        <v>1788.74</v>
      </c>
      <c r="G41" s="1073">
        <v>0.1</v>
      </c>
      <c r="H41" s="1067">
        <v>164.56</v>
      </c>
      <c r="I41" s="1068">
        <v>16.45</v>
      </c>
      <c r="J41" s="1112" t="s">
        <v>1558</v>
      </c>
      <c r="K41" s="1117" t="s">
        <v>2015</v>
      </c>
    </row>
    <row r="42" spans="1:11" s="1058" customFormat="1" ht="15.75">
      <c r="A42" s="1037">
        <v>44972</v>
      </c>
      <c r="B42" s="1038">
        <v>45343</v>
      </c>
      <c r="C42" s="1025" t="s">
        <v>1283</v>
      </c>
      <c r="D42" s="1026" t="s">
        <v>21</v>
      </c>
      <c r="E42" s="1026" t="s">
        <v>945</v>
      </c>
      <c r="F42" s="1059">
        <v>3338.88</v>
      </c>
      <c r="G42" s="1054">
        <v>0.1</v>
      </c>
      <c r="H42" s="1055">
        <v>307.17</v>
      </c>
      <c r="I42" s="1056"/>
      <c r="J42" s="1111"/>
      <c r="K42" s="1115" t="s">
        <v>2015</v>
      </c>
    </row>
    <row r="43" spans="1:11" s="1058" customFormat="1" ht="15.75">
      <c r="A43" s="1037">
        <v>44979</v>
      </c>
      <c r="B43" s="1038">
        <v>45344</v>
      </c>
      <c r="C43" s="1025" t="s">
        <v>2189</v>
      </c>
      <c r="D43" s="1026" t="s">
        <v>2180</v>
      </c>
      <c r="E43" s="1026" t="s">
        <v>948</v>
      </c>
      <c r="F43" s="1059">
        <v>2057.5500000000002</v>
      </c>
      <c r="G43" s="1054">
        <v>0.1</v>
      </c>
      <c r="H43" s="1055">
        <v>189.29</v>
      </c>
      <c r="I43" s="1056">
        <f>189.29/2</f>
        <v>94.644999999999996</v>
      </c>
      <c r="J43" s="1111" t="s">
        <v>2190</v>
      </c>
      <c r="K43" s="1115" t="s">
        <v>2015</v>
      </c>
    </row>
    <row r="44" spans="1:11" s="1058" customFormat="1" ht="15.75">
      <c r="A44" s="1037">
        <v>44973</v>
      </c>
      <c r="B44" s="1038">
        <v>45344</v>
      </c>
      <c r="C44" s="1026" t="s">
        <v>1284</v>
      </c>
      <c r="D44" s="1026" t="s">
        <v>2180</v>
      </c>
      <c r="E44" s="1026" t="s">
        <v>945</v>
      </c>
      <c r="F44" s="1053">
        <v>1499.51</v>
      </c>
      <c r="G44" s="1054">
        <v>0.15</v>
      </c>
      <c r="H44" s="1023">
        <v>206.93</v>
      </c>
      <c r="I44" s="1056"/>
      <c r="J44" s="1111"/>
      <c r="K44" s="1115" t="s">
        <v>2015</v>
      </c>
    </row>
    <row r="45" spans="1:11" s="1058" customFormat="1" ht="15.75">
      <c r="A45" s="1037">
        <v>44981</v>
      </c>
      <c r="B45" s="1038">
        <v>45346</v>
      </c>
      <c r="C45" s="1026" t="s">
        <v>2191</v>
      </c>
      <c r="D45" s="1026" t="s">
        <v>25</v>
      </c>
      <c r="E45" s="1026" t="s">
        <v>2192</v>
      </c>
      <c r="F45" s="1059">
        <v>161.75</v>
      </c>
      <c r="G45" s="1054">
        <v>0.37</v>
      </c>
      <c r="H45" s="1055">
        <v>59.84</v>
      </c>
      <c r="I45" s="1056">
        <v>29.92</v>
      </c>
      <c r="J45" s="1111" t="s">
        <v>491</v>
      </c>
      <c r="K45" s="1115" t="s">
        <v>1472</v>
      </c>
    </row>
    <row r="46" spans="1:11" s="1058" customFormat="1" ht="15.75">
      <c r="A46" s="1037">
        <v>44981</v>
      </c>
      <c r="B46" s="1038">
        <v>45348</v>
      </c>
      <c r="C46" s="1025" t="s">
        <v>1705</v>
      </c>
      <c r="D46" s="1026" t="s">
        <v>9</v>
      </c>
      <c r="E46" s="1026" t="s">
        <v>1552</v>
      </c>
      <c r="F46" s="1059">
        <v>4870.45</v>
      </c>
      <c r="G46" s="1054">
        <v>0.1</v>
      </c>
      <c r="H46" s="1055">
        <v>448.08</v>
      </c>
      <c r="I46" s="1056"/>
      <c r="J46" s="1111"/>
      <c r="K46" s="1115" t="s">
        <v>2015</v>
      </c>
    </row>
    <row r="47" spans="1:11" s="1058" customFormat="1" ht="15.75">
      <c r="A47" s="1037">
        <v>44979</v>
      </c>
      <c r="B47" s="1038">
        <v>45348</v>
      </c>
      <c r="C47" s="1025" t="s">
        <v>1287</v>
      </c>
      <c r="D47" s="1026" t="s">
        <v>2180</v>
      </c>
      <c r="E47" s="1026" t="s">
        <v>948</v>
      </c>
      <c r="F47" s="1059">
        <v>1720.81</v>
      </c>
      <c r="G47" s="1054">
        <v>0.15</v>
      </c>
      <c r="H47" s="1055">
        <v>237.47</v>
      </c>
      <c r="I47" s="1056"/>
      <c r="J47" s="1111"/>
      <c r="K47" s="1115" t="s">
        <v>2015</v>
      </c>
    </row>
    <row r="48" spans="1:11" s="1058" customFormat="1" ht="15.75">
      <c r="A48" s="1037">
        <v>44979</v>
      </c>
      <c r="B48" s="1038">
        <v>45348</v>
      </c>
      <c r="C48" s="1026" t="s">
        <v>1288</v>
      </c>
      <c r="D48" s="1026" t="s">
        <v>2180</v>
      </c>
      <c r="E48" s="1026" t="s">
        <v>948</v>
      </c>
      <c r="F48" s="1059">
        <v>2067.13</v>
      </c>
      <c r="G48" s="1054">
        <v>0.1</v>
      </c>
      <c r="H48" s="1055">
        <v>190.17</v>
      </c>
      <c r="I48" s="1056"/>
      <c r="J48" s="1111"/>
      <c r="K48" s="1115" t="s">
        <v>2015</v>
      </c>
    </row>
    <row r="49" spans="1:11" s="1058" customFormat="1" ht="15.75">
      <c r="A49" s="1037">
        <v>44985</v>
      </c>
      <c r="B49" s="1038">
        <v>45350</v>
      </c>
      <c r="C49" s="1026" t="s">
        <v>1294</v>
      </c>
      <c r="D49" s="1026" t="s">
        <v>2180</v>
      </c>
      <c r="E49" s="1026" t="s">
        <v>1080</v>
      </c>
      <c r="F49" s="1059">
        <v>1353.71</v>
      </c>
      <c r="G49" s="1054">
        <v>0.1</v>
      </c>
      <c r="H49" s="1055">
        <v>124.54</v>
      </c>
      <c r="I49" s="1056"/>
      <c r="J49" s="1111"/>
      <c r="K49" s="1115" t="s">
        <v>2015</v>
      </c>
    </row>
    <row r="50" spans="1:11" s="1058" customFormat="1" ht="16.5" thickBot="1">
      <c r="A50" s="1037"/>
      <c r="B50" s="1038"/>
      <c r="C50" s="1026"/>
      <c r="D50" s="1026"/>
      <c r="E50" s="1026"/>
      <c r="F50" s="1059"/>
      <c r="G50" s="1054"/>
      <c r="H50" s="1055"/>
      <c r="I50" s="1056"/>
      <c r="J50" s="1111"/>
      <c r="K50" s="1115"/>
    </row>
    <row r="51" spans="1:11" ht="20.25" thickBot="1">
      <c r="A51" s="1048"/>
      <c r="B51" s="1034"/>
      <c r="C51" s="1034"/>
      <c r="D51" s="1034"/>
      <c r="E51" s="1034"/>
      <c r="F51" s="1093">
        <f>SUM(F2:F50)</f>
        <v>111363.54</v>
      </c>
      <c r="G51" s="1094"/>
      <c r="H51" s="1095">
        <f>SUM(H2:H50)</f>
        <v>10593.29</v>
      </c>
      <c r="I51" s="1096">
        <f>SUM(I2:I50)</f>
        <v>684.505</v>
      </c>
      <c r="J51" s="1113"/>
      <c r="K51" s="1114"/>
    </row>
  </sheetData>
  <autoFilter ref="A1:K1" xr:uid="{3C772484-C221-4C98-911C-DFCC91E0AFD9}">
    <sortState xmlns:xlrd2="http://schemas.microsoft.com/office/spreadsheetml/2017/richdata2" ref="A2:K49">
      <sortCondition ref="B1"/>
    </sortState>
  </autoFilter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2EF9D-D2B5-4D57-AC35-8BE80BD43841}">
  <dimension ref="A1:L48"/>
  <sheetViews>
    <sheetView topLeftCell="A28" zoomScale="80" zoomScaleNormal="80" workbookViewId="0">
      <selection activeCell="I14" sqref="A14:I17"/>
    </sheetView>
  </sheetViews>
  <sheetFormatPr defaultColWidth="9.140625" defaultRowHeight="15"/>
  <cols>
    <col min="1" max="1" width="16.5703125" style="1058" bestFit="1" customWidth="1"/>
    <col min="2" max="2" width="13.5703125" style="1058" customWidth="1"/>
    <col min="3" max="3" width="43.85546875" style="1165" bestFit="1" customWidth="1"/>
    <col min="4" max="4" width="18.28515625" style="1058" bestFit="1" customWidth="1"/>
    <col min="5" max="5" width="14.140625" style="1058" bestFit="1" customWidth="1"/>
    <col min="6" max="6" width="23.28515625" style="1058" bestFit="1" customWidth="1"/>
    <col min="7" max="7" width="13.42578125" style="1058" bestFit="1" customWidth="1"/>
    <col min="8" max="8" width="24.85546875" style="1058" bestFit="1" customWidth="1"/>
    <col min="9" max="9" width="21" style="1058" bestFit="1" customWidth="1"/>
    <col min="10" max="10" width="13.7109375" style="1058" bestFit="1" customWidth="1"/>
    <col min="11" max="11" width="17.28515625" style="1058" bestFit="1" customWidth="1"/>
    <col min="12" max="12" width="17.85546875" style="1058" bestFit="1" customWidth="1"/>
    <col min="13" max="16384" width="9.140625" style="1058"/>
  </cols>
  <sheetData>
    <row r="1" spans="1:12" ht="15" customHeight="1" thickBot="1">
      <c r="A1" s="1151" t="s">
        <v>1832</v>
      </c>
      <c r="B1" s="1152" t="s">
        <v>2</v>
      </c>
      <c r="C1" s="1152" t="s">
        <v>3</v>
      </c>
      <c r="D1" s="1152" t="s">
        <v>4</v>
      </c>
      <c r="E1" s="1152" t="s">
        <v>5</v>
      </c>
      <c r="F1" s="1153" t="s">
        <v>644</v>
      </c>
      <c r="G1" s="1154" t="s">
        <v>555</v>
      </c>
      <c r="H1" s="1155" t="s">
        <v>7</v>
      </c>
      <c r="I1" s="1156" t="s">
        <v>307</v>
      </c>
      <c r="J1" s="1154" t="s">
        <v>370</v>
      </c>
      <c r="K1" s="1157"/>
    </row>
    <row r="2" spans="1:12" ht="15.75">
      <c r="A2" s="1124">
        <v>44991</v>
      </c>
      <c r="B2" s="1125">
        <v>45357</v>
      </c>
      <c r="C2" s="1403" t="s">
        <v>2132</v>
      </c>
      <c r="D2" s="1028" t="s">
        <v>61</v>
      </c>
      <c r="E2" s="1028" t="s">
        <v>1310</v>
      </c>
      <c r="F2" s="1126">
        <v>8244.7199999999993</v>
      </c>
      <c r="G2" s="1127">
        <v>0.1</v>
      </c>
      <c r="H2" s="1128">
        <v>758.51</v>
      </c>
      <c r="I2" s="1129">
        <v>75.849999999999994</v>
      </c>
      <c r="J2" s="1130" t="s">
        <v>1558</v>
      </c>
      <c r="K2" s="1117" t="s">
        <v>2015</v>
      </c>
      <c r="L2" s="1070"/>
    </row>
    <row r="3" spans="1:12" s="1087" customFormat="1" ht="15.75">
      <c r="A3" s="1040">
        <v>44994</v>
      </c>
      <c r="B3" s="1042">
        <v>45360</v>
      </c>
      <c r="C3" s="1027" t="s">
        <v>2193</v>
      </c>
      <c r="D3" s="1030" t="s">
        <v>61</v>
      </c>
      <c r="E3" s="1030" t="s">
        <v>1310</v>
      </c>
      <c r="F3" s="1072">
        <v>7113.19</v>
      </c>
      <c r="G3" s="1073">
        <v>0.1</v>
      </c>
      <c r="H3" s="1067">
        <v>654.41</v>
      </c>
      <c r="I3" s="1068">
        <v>65.44</v>
      </c>
      <c r="J3" s="1112" t="s">
        <v>1558</v>
      </c>
      <c r="K3" s="1117" t="s">
        <v>1472</v>
      </c>
      <c r="L3" s="1058"/>
    </row>
    <row r="4" spans="1:12" ht="15.75">
      <c r="A4" s="1040">
        <v>45002</v>
      </c>
      <c r="B4" s="1042">
        <v>45368</v>
      </c>
      <c r="C4" s="1027" t="s">
        <v>2194</v>
      </c>
      <c r="D4" s="1030" t="s">
        <v>376</v>
      </c>
      <c r="E4" s="1030" t="s">
        <v>143</v>
      </c>
      <c r="F4" s="1072">
        <v>24592.02</v>
      </c>
      <c r="G4" s="1073">
        <v>0.1</v>
      </c>
      <c r="H4" s="1067">
        <v>2262.46</v>
      </c>
      <c r="I4" s="1068">
        <v>226.24</v>
      </c>
      <c r="J4" s="1112" t="s">
        <v>1558</v>
      </c>
      <c r="K4" s="1117" t="s">
        <v>2015</v>
      </c>
      <c r="L4" s="1070"/>
    </row>
    <row r="5" spans="1:12" s="1029" customFormat="1" ht="15.75">
      <c r="A5" s="1040">
        <v>45007</v>
      </c>
      <c r="B5" s="1042">
        <v>45373</v>
      </c>
      <c r="C5" s="1027" t="s">
        <v>2195</v>
      </c>
      <c r="D5" s="1030" t="s">
        <v>61</v>
      </c>
      <c r="E5" s="1030" t="s">
        <v>1310</v>
      </c>
      <c r="F5" s="1072">
        <v>18572.900000000001</v>
      </c>
      <c r="G5" s="1073">
        <v>0.1</v>
      </c>
      <c r="H5" s="1067">
        <v>1708.7</v>
      </c>
      <c r="I5" s="1068">
        <v>170.87</v>
      </c>
      <c r="J5" s="1112" t="s">
        <v>1558</v>
      </c>
      <c r="K5" s="1117" t="s">
        <v>2015</v>
      </c>
      <c r="L5" s="1058"/>
    </row>
    <row r="6" spans="1:12" ht="15.75">
      <c r="A6" s="1041">
        <v>45007</v>
      </c>
      <c r="B6" s="1041">
        <v>45373</v>
      </c>
      <c r="C6" s="1027" t="s">
        <v>2196</v>
      </c>
      <c r="D6" s="1027" t="s">
        <v>832</v>
      </c>
      <c r="E6" s="1027" t="s">
        <v>1080</v>
      </c>
      <c r="F6" s="1065">
        <v>4261.49</v>
      </c>
      <c r="G6" s="1066">
        <v>0.1</v>
      </c>
      <c r="H6" s="1067">
        <v>392.05</v>
      </c>
      <c r="I6" s="1122">
        <v>39.200000000000003</v>
      </c>
      <c r="J6" s="1112" t="s">
        <v>1558</v>
      </c>
      <c r="K6" s="1117" t="s">
        <v>2015</v>
      </c>
    </row>
    <row r="7" spans="1:12" ht="15.75">
      <c r="A7" s="1040">
        <v>45016</v>
      </c>
      <c r="B7" s="1042">
        <v>45381</v>
      </c>
      <c r="C7" s="1027" t="s">
        <v>2197</v>
      </c>
      <c r="D7" s="1030" t="s">
        <v>61</v>
      </c>
      <c r="E7" s="1030" t="s">
        <v>945</v>
      </c>
      <c r="F7" s="1072">
        <v>9328</v>
      </c>
      <c r="G7" s="1073">
        <v>0.1</v>
      </c>
      <c r="H7" s="1067">
        <v>858.17</v>
      </c>
      <c r="I7" s="1068">
        <v>85.81</v>
      </c>
      <c r="J7" s="1112" t="s">
        <v>1558</v>
      </c>
      <c r="K7" s="1117" t="s">
        <v>2015</v>
      </c>
      <c r="L7" s="1087"/>
    </row>
    <row r="8" spans="1:12" ht="15.75">
      <c r="A8" s="1040">
        <v>44995</v>
      </c>
      <c r="B8" s="1042" t="s">
        <v>1805</v>
      </c>
      <c r="C8" s="1030" t="s">
        <v>1596</v>
      </c>
      <c r="D8" s="1030" t="s">
        <v>61</v>
      </c>
      <c r="E8" s="1030" t="s">
        <v>438</v>
      </c>
      <c r="F8" s="1172">
        <v>1448.41</v>
      </c>
      <c r="G8" s="1073">
        <v>0.1</v>
      </c>
      <c r="H8" s="1090">
        <v>133.25</v>
      </c>
      <c r="I8" s="1068">
        <v>13.35</v>
      </c>
      <c r="J8" s="1112" t="s">
        <v>1558</v>
      </c>
      <c r="K8" s="1117" t="s">
        <v>1805</v>
      </c>
      <c r="L8" s="1070"/>
    </row>
    <row r="9" spans="1:12" ht="15.75">
      <c r="A9" s="1037">
        <v>44991</v>
      </c>
      <c r="B9" s="1038">
        <v>45357</v>
      </c>
      <c r="C9" s="1025" t="s">
        <v>1999</v>
      </c>
      <c r="D9" s="1026" t="s">
        <v>448</v>
      </c>
      <c r="E9" s="1026" t="s">
        <v>948</v>
      </c>
      <c r="F9" s="1059">
        <v>1185.8499999999999</v>
      </c>
      <c r="G9" s="1054">
        <v>0.25</v>
      </c>
      <c r="H9" s="1088">
        <v>272.74</v>
      </c>
      <c r="I9" s="1089">
        <v>60</v>
      </c>
      <c r="J9" s="1111" t="s">
        <v>1478</v>
      </c>
      <c r="K9" s="1115" t="s">
        <v>2015</v>
      </c>
    </row>
    <row r="10" spans="1:12" s="1070" customFormat="1" ht="15.75">
      <c r="A10" s="1037">
        <v>45000</v>
      </c>
      <c r="B10" s="1039">
        <v>45366</v>
      </c>
      <c r="C10" s="1025" t="s">
        <v>2198</v>
      </c>
      <c r="D10" s="1026" t="s">
        <v>448</v>
      </c>
      <c r="E10" s="1025" t="s">
        <v>458</v>
      </c>
      <c r="F10" s="1061">
        <v>2627.85</v>
      </c>
      <c r="G10" s="1062">
        <v>0.1</v>
      </c>
      <c r="H10" s="1055">
        <v>241.76</v>
      </c>
      <c r="I10" s="1056">
        <v>60</v>
      </c>
      <c r="J10" s="1111" t="s">
        <v>1478</v>
      </c>
      <c r="K10" s="1115" t="s">
        <v>2015</v>
      </c>
      <c r="L10" s="1058"/>
    </row>
    <row r="11" spans="1:12" ht="15.75">
      <c r="A11" s="1037">
        <v>44988</v>
      </c>
      <c r="B11" s="1038">
        <v>45354</v>
      </c>
      <c r="C11" s="1025" t="s">
        <v>1717</v>
      </c>
      <c r="D11" s="1026" t="s">
        <v>9</v>
      </c>
      <c r="E11" s="1026" t="s">
        <v>1552</v>
      </c>
      <c r="F11" s="1053">
        <v>2656.05</v>
      </c>
      <c r="G11" s="1054">
        <v>0.15</v>
      </c>
      <c r="H11" s="1055">
        <v>366.53</v>
      </c>
      <c r="I11" s="1056">
        <v>183.26</v>
      </c>
      <c r="J11" s="1111" t="s">
        <v>1577</v>
      </c>
      <c r="K11" s="1116" t="s">
        <v>2015</v>
      </c>
      <c r="L11" s="1029"/>
    </row>
    <row r="12" spans="1:12" ht="15.75">
      <c r="A12" s="1037">
        <v>44992</v>
      </c>
      <c r="B12" s="1038">
        <v>45359</v>
      </c>
      <c r="C12" s="1075" t="s">
        <v>2199</v>
      </c>
      <c r="D12" s="1026" t="s">
        <v>448</v>
      </c>
      <c r="E12" s="1026" t="s">
        <v>945</v>
      </c>
      <c r="F12" s="1059">
        <v>6034.17</v>
      </c>
      <c r="G12" s="1054">
        <v>0.1</v>
      </c>
      <c r="H12" s="1055">
        <v>555.14</v>
      </c>
      <c r="I12" s="1056">
        <v>277.57</v>
      </c>
      <c r="J12" s="1111" t="s">
        <v>1577</v>
      </c>
      <c r="K12" s="1115" t="s">
        <v>2015</v>
      </c>
    </row>
    <row r="13" spans="1:12" s="1070" customFormat="1" ht="15.75">
      <c r="A13" s="1039">
        <v>45016</v>
      </c>
      <c r="B13" s="1039">
        <v>45381</v>
      </c>
      <c r="C13" s="1025" t="s">
        <v>2200</v>
      </c>
      <c r="D13" s="1025" t="s">
        <v>448</v>
      </c>
      <c r="E13" s="1025" t="s">
        <v>948</v>
      </c>
      <c r="F13" s="1061">
        <v>5375.68</v>
      </c>
      <c r="G13" s="1062">
        <v>0.1</v>
      </c>
      <c r="H13" s="1055">
        <v>494.56</v>
      </c>
      <c r="I13" s="1063">
        <v>247.28</v>
      </c>
      <c r="J13" s="1111" t="s">
        <v>1577</v>
      </c>
      <c r="K13" s="1115" t="s">
        <v>2015</v>
      </c>
      <c r="L13" s="1058"/>
    </row>
    <row r="14" spans="1:12" ht="15.75">
      <c r="A14" s="1043">
        <v>44988</v>
      </c>
      <c r="B14" s="1044">
        <v>45354</v>
      </c>
      <c r="C14" s="1032" t="s">
        <v>1302</v>
      </c>
      <c r="D14" s="1075" t="s">
        <v>832</v>
      </c>
      <c r="E14" s="1075" t="s">
        <v>1080</v>
      </c>
      <c r="F14" s="1079">
        <v>2642.99</v>
      </c>
      <c r="G14" s="1076">
        <v>0.1</v>
      </c>
      <c r="H14" s="1055">
        <v>243.15</v>
      </c>
      <c r="I14" s="1077">
        <v>121.57</v>
      </c>
      <c r="J14" s="1111" t="s">
        <v>1482</v>
      </c>
      <c r="K14" s="1115" t="s">
        <v>2015</v>
      </c>
    </row>
    <row r="15" spans="1:12" ht="15.75">
      <c r="A15" s="1037">
        <v>44988</v>
      </c>
      <c r="B15" s="1038">
        <v>45354</v>
      </c>
      <c r="C15" s="1026" t="s">
        <v>1715</v>
      </c>
      <c r="D15" s="1026" t="s">
        <v>832</v>
      </c>
      <c r="E15" s="1026" t="s">
        <v>1080</v>
      </c>
      <c r="F15" s="1059">
        <v>523.66999999999996</v>
      </c>
      <c r="G15" s="1054">
        <v>0.1</v>
      </c>
      <c r="H15" s="1055">
        <v>48.17</v>
      </c>
      <c r="I15" s="1056">
        <v>24.08</v>
      </c>
      <c r="J15" s="1111" t="s">
        <v>1482</v>
      </c>
      <c r="K15" s="1115" t="s">
        <v>2015</v>
      </c>
    </row>
    <row r="16" spans="1:12" s="1070" customFormat="1" ht="15.75">
      <c r="A16" s="1046">
        <v>44986</v>
      </c>
      <c r="B16" s="1047">
        <v>45352</v>
      </c>
      <c r="C16" s="1080" t="s">
        <v>1088</v>
      </c>
      <c r="D16" s="1080" t="s">
        <v>448</v>
      </c>
      <c r="E16" s="1080" t="s">
        <v>1080</v>
      </c>
      <c r="F16" s="1081"/>
      <c r="G16" s="1082"/>
      <c r="H16" s="1083"/>
      <c r="I16" s="1084"/>
      <c r="J16" s="1184" t="s">
        <v>1396</v>
      </c>
      <c r="K16" s="1173" t="s">
        <v>1472</v>
      </c>
      <c r="L16" s="1058"/>
    </row>
    <row r="17" spans="1:12" ht="15.75">
      <c r="A17" s="1039">
        <v>45008</v>
      </c>
      <c r="B17" s="1039">
        <v>45374</v>
      </c>
      <c r="C17" s="1025" t="s">
        <v>2201</v>
      </c>
      <c r="D17" s="1025" t="s">
        <v>448</v>
      </c>
      <c r="E17" s="1025" t="s">
        <v>945</v>
      </c>
      <c r="F17" s="1061">
        <v>2038.61</v>
      </c>
      <c r="G17" s="1062">
        <v>0.15</v>
      </c>
      <c r="H17" s="1055">
        <v>281.32</v>
      </c>
      <c r="I17" s="1063">
        <v>140.66</v>
      </c>
      <c r="J17" s="1111" t="s">
        <v>1396</v>
      </c>
      <c r="K17" s="1115" t="s">
        <v>2015</v>
      </c>
    </row>
    <row r="18" spans="1:12" s="1070" customFormat="1" ht="15.75">
      <c r="A18" s="1043">
        <v>44985</v>
      </c>
      <c r="B18" s="1045">
        <v>45352</v>
      </c>
      <c r="C18" s="1075" t="s">
        <v>1297</v>
      </c>
      <c r="D18" s="1075" t="s">
        <v>25</v>
      </c>
      <c r="E18" s="1075" t="s">
        <v>948</v>
      </c>
      <c r="F18" s="1121">
        <v>2174.08</v>
      </c>
      <c r="G18" s="1076">
        <v>0.1</v>
      </c>
      <c r="H18" s="1055">
        <v>200.01</v>
      </c>
      <c r="I18" s="1077"/>
      <c r="J18" s="1111"/>
      <c r="K18" s="1115" t="s">
        <v>2015</v>
      </c>
      <c r="L18" s="1058"/>
    </row>
    <row r="19" spans="1:12" ht="15.75">
      <c r="A19" s="1037">
        <v>44986</v>
      </c>
      <c r="B19" s="1038">
        <v>45352</v>
      </c>
      <c r="C19" s="1119" t="s">
        <v>447</v>
      </c>
      <c r="D19" s="1026" t="s">
        <v>448</v>
      </c>
      <c r="E19" s="1026" t="s">
        <v>22</v>
      </c>
      <c r="F19" s="1059">
        <v>10537.98</v>
      </c>
      <c r="G19" s="1054">
        <v>0.1</v>
      </c>
      <c r="H19" s="1055">
        <v>969.49</v>
      </c>
      <c r="I19" s="1056"/>
      <c r="J19" s="1111"/>
      <c r="K19" s="1115" t="s">
        <v>1472</v>
      </c>
      <c r="L19" s="1087"/>
    </row>
    <row r="20" spans="1:12" ht="15.75">
      <c r="A20" s="1037">
        <v>44984</v>
      </c>
      <c r="B20" s="1038">
        <v>45355</v>
      </c>
      <c r="C20" s="1025" t="s">
        <v>1299</v>
      </c>
      <c r="D20" s="1025" t="s">
        <v>25</v>
      </c>
      <c r="E20" s="1025" t="s">
        <v>948</v>
      </c>
      <c r="F20" s="1061">
        <v>916.8</v>
      </c>
      <c r="G20" s="1062">
        <v>0.15</v>
      </c>
      <c r="H20" s="1055">
        <v>126.51</v>
      </c>
      <c r="I20" s="1056"/>
      <c r="J20" s="1111"/>
      <c r="K20" s="1115" t="s">
        <v>2015</v>
      </c>
    </row>
    <row r="21" spans="1:12" ht="15.75">
      <c r="A21" s="1037">
        <v>44988</v>
      </c>
      <c r="B21" s="1038">
        <v>45355</v>
      </c>
      <c r="C21" s="1025" t="s">
        <v>1995</v>
      </c>
      <c r="D21" s="1025" t="s">
        <v>9</v>
      </c>
      <c r="E21" s="1025" t="s">
        <v>90</v>
      </c>
      <c r="F21" s="1061">
        <v>2340.3000000000002</v>
      </c>
      <c r="G21" s="1062">
        <v>0.1</v>
      </c>
      <c r="H21" s="1055">
        <v>215.3</v>
      </c>
      <c r="I21" s="1056"/>
      <c r="J21" s="1111"/>
      <c r="K21" s="1116" t="s">
        <v>2015</v>
      </c>
    </row>
    <row r="22" spans="1:12" ht="15.75">
      <c r="A22" s="1037">
        <v>44991</v>
      </c>
      <c r="B22" s="1038">
        <v>45357</v>
      </c>
      <c r="C22" s="1026" t="s">
        <v>1312</v>
      </c>
      <c r="D22" s="1026" t="s">
        <v>713</v>
      </c>
      <c r="E22" s="1025" t="s">
        <v>948</v>
      </c>
      <c r="F22" s="1061">
        <v>1562.2</v>
      </c>
      <c r="G22" s="1062">
        <v>0.15</v>
      </c>
      <c r="H22" s="1055">
        <v>215.58</v>
      </c>
      <c r="I22" s="1056"/>
      <c r="J22" s="1111"/>
      <c r="K22" s="1115" t="s">
        <v>2015</v>
      </c>
    </row>
    <row r="23" spans="1:12" ht="15.75">
      <c r="A23" s="1037">
        <v>44991</v>
      </c>
      <c r="B23" s="1038">
        <v>45357</v>
      </c>
      <c r="C23" s="1025" t="s">
        <v>1309</v>
      </c>
      <c r="D23" s="1026" t="s">
        <v>25</v>
      </c>
      <c r="E23" s="1025" t="s">
        <v>948</v>
      </c>
      <c r="F23" s="1061">
        <v>1215.01</v>
      </c>
      <c r="G23" s="1062">
        <v>0.1</v>
      </c>
      <c r="H23" s="1055">
        <v>111.78</v>
      </c>
      <c r="I23" s="1056"/>
      <c r="J23" s="1111"/>
      <c r="K23" s="1116" t="s">
        <v>2015</v>
      </c>
    </row>
    <row r="24" spans="1:12" ht="15.75">
      <c r="A24" s="1037">
        <v>44992</v>
      </c>
      <c r="B24" s="1038">
        <v>45358</v>
      </c>
      <c r="C24" s="1025" t="s">
        <v>2202</v>
      </c>
      <c r="D24" s="1026" t="s">
        <v>9</v>
      </c>
      <c r="E24" s="1025" t="s">
        <v>1310</v>
      </c>
      <c r="F24" s="1061">
        <v>3950.68</v>
      </c>
      <c r="G24" s="1062">
        <v>0.1</v>
      </c>
      <c r="H24" s="1055">
        <v>363.46</v>
      </c>
      <c r="I24" s="1056"/>
      <c r="J24" s="1111"/>
      <c r="K24" s="1115" t="s">
        <v>1472</v>
      </c>
      <c r="L24" s="1070"/>
    </row>
    <row r="25" spans="1:12" ht="15.75">
      <c r="A25" s="1037">
        <v>44993</v>
      </c>
      <c r="B25" s="1038">
        <v>45360</v>
      </c>
      <c r="C25" s="1032" t="s">
        <v>2203</v>
      </c>
      <c r="D25" s="1026" t="s">
        <v>832</v>
      </c>
      <c r="E25" s="1025" t="s">
        <v>945</v>
      </c>
      <c r="F25" s="1061">
        <v>1266.1600000000001</v>
      </c>
      <c r="G25" s="1062">
        <v>0.1</v>
      </c>
      <c r="H25" s="1055">
        <v>116.48</v>
      </c>
      <c r="I25" s="1056"/>
      <c r="J25" s="1111"/>
      <c r="K25" s="1115" t="s">
        <v>2015</v>
      </c>
      <c r="L25" s="1078"/>
    </row>
    <row r="26" spans="1:12" s="1070" customFormat="1" ht="15.75">
      <c r="A26" s="1039">
        <v>44995</v>
      </c>
      <c r="B26" s="1039">
        <v>45361</v>
      </c>
      <c r="C26" s="1025" t="s">
        <v>1316</v>
      </c>
      <c r="D26" s="1025" t="s">
        <v>21</v>
      </c>
      <c r="E26" s="1025" t="s">
        <v>945</v>
      </c>
      <c r="F26" s="1061">
        <v>1595.81</v>
      </c>
      <c r="G26" s="1062">
        <v>0.15</v>
      </c>
      <c r="H26" s="1055">
        <v>220.22</v>
      </c>
      <c r="I26" s="1056"/>
      <c r="J26" s="1111"/>
      <c r="K26" s="1115" t="s">
        <v>2015</v>
      </c>
    </row>
    <row r="27" spans="1:12" ht="15.75">
      <c r="A27" s="1039">
        <v>44996</v>
      </c>
      <c r="B27" s="1039">
        <v>45361</v>
      </c>
      <c r="C27" s="1025" t="s">
        <v>876</v>
      </c>
      <c r="D27" s="1025" t="s">
        <v>448</v>
      </c>
      <c r="E27" s="1025" t="s">
        <v>945</v>
      </c>
      <c r="F27" s="1061">
        <v>1332.92</v>
      </c>
      <c r="G27" s="1062">
        <v>0.15</v>
      </c>
      <c r="H27" s="1055">
        <v>183.94</v>
      </c>
      <c r="I27" s="1056"/>
      <c r="J27" s="1111"/>
      <c r="K27" s="1116" t="s">
        <v>2015</v>
      </c>
    </row>
    <row r="28" spans="1:12" ht="15.75">
      <c r="A28" s="1039">
        <v>45000</v>
      </c>
      <c r="B28" s="1039">
        <v>45364</v>
      </c>
      <c r="C28" s="1025" t="s">
        <v>1722</v>
      </c>
      <c r="D28" s="1025" t="s">
        <v>448</v>
      </c>
      <c r="E28" s="1025" t="s">
        <v>948</v>
      </c>
      <c r="F28" s="1023">
        <v>2255.3000000000002</v>
      </c>
      <c r="G28" s="1062">
        <v>0.15</v>
      </c>
      <c r="H28" s="1023">
        <v>311.23</v>
      </c>
      <c r="I28" s="1056"/>
      <c r="J28" s="1111"/>
      <c r="K28" s="1115" t="s">
        <v>2015</v>
      </c>
      <c r="L28" s="1070"/>
    </row>
    <row r="29" spans="1:12" ht="15.75">
      <c r="A29" s="1037">
        <v>44999</v>
      </c>
      <c r="B29" s="1039">
        <v>45365</v>
      </c>
      <c r="C29" s="1025" t="s">
        <v>1319</v>
      </c>
      <c r="D29" s="1026" t="s">
        <v>9</v>
      </c>
      <c r="E29" s="1025" t="s">
        <v>1310</v>
      </c>
      <c r="F29" s="1061">
        <v>4335.5600000000004</v>
      </c>
      <c r="G29" s="1062">
        <v>0.1</v>
      </c>
      <c r="H29" s="1055">
        <v>398.87</v>
      </c>
      <c r="I29" s="1056"/>
      <c r="J29" s="1111"/>
      <c r="K29" s="1115" t="s">
        <v>2015</v>
      </c>
    </row>
    <row r="30" spans="1:12" ht="15.75">
      <c r="A30" s="1037">
        <v>44998</v>
      </c>
      <c r="B30" s="1039">
        <v>45365</v>
      </c>
      <c r="C30" s="1025" t="s">
        <v>1273</v>
      </c>
      <c r="D30" s="1026" t="s">
        <v>9</v>
      </c>
      <c r="E30" s="1025" t="s">
        <v>1310</v>
      </c>
      <c r="F30" s="1023">
        <v>2463.0500000000002</v>
      </c>
      <c r="G30" s="1062">
        <v>0.15</v>
      </c>
      <c r="H30" s="1055">
        <v>339.9</v>
      </c>
      <c r="I30" s="1056"/>
      <c r="J30" s="1111"/>
      <c r="K30" s="1115" t="s">
        <v>2015</v>
      </c>
    </row>
    <row r="31" spans="1:12" ht="15.75">
      <c r="A31" s="1037">
        <v>44999</v>
      </c>
      <c r="B31" s="1039">
        <v>45365</v>
      </c>
      <c r="C31" s="1025" t="s">
        <v>2002</v>
      </c>
      <c r="D31" s="1026" t="s">
        <v>981</v>
      </c>
      <c r="E31" s="1025" t="s">
        <v>1641</v>
      </c>
      <c r="F31" s="1061">
        <v>1616.25</v>
      </c>
      <c r="G31" s="1062">
        <v>0.1</v>
      </c>
      <c r="H31" s="1055">
        <v>148.69</v>
      </c>
      <c r="I31" s="1056"/>
      <c r="J31" s="1111"/>
      <c r="K31" s="1115" t="s">
        <v>2015</v>
      </c>
    </row>
    <row r="32" spans="1:12" ht="15.75">
      <c r="A32" s="1037">
        <v>44998</v>
      </c>
      <c r="B32" s="1039">
        <v>45365</v>
      </c>
      <c r="C32" s="1025" t="s">
        <v>1900</v>
      </c>
      <c r="D32" s="1026" t="s">
        <v>9</v>
      </c>
      <c r="E32" s="1025" t="s">
        <v>1641</v>
      </c>
      <c r="F32" s="1061">
        <v>1727.46</v>
      </c>
      <c r="G32" s="1062">
        <v>0.1</v>
      </c>
      <c r="H32" s="1055">
        <v>158.91999999999999</v>
      </c>
      <c r="I32" s="1056"/>
      <c r="J32" s="1111"/>
      <c r="K32" s="1115" t="s">
        <v>2015</v>
      </c>
    </row>
    <row r="33" spans="1:12" ht="15.75">
      <c r="A33" s="1037">
        <v>44999</v>
      </c>
      <c r="B33" s="1039">
        <v>45366</v>
      </c>
      <c r="C33" s="1032" t="s">
        <v>2204</v>
      </c>
      <c r="D33" s="1026" t="s">
        <v>832</v>
      </c>
      <c r="E33" s="1025" t="s">
        <v>948</v>
      </c>
      <c r="F33" s="1092">
        <v>992.87</v>
      </c>
      <c r="G33" s="1062">
        <v>0.15</v>
      </c>
      <c r="H33" s="1055">
        <v>137.01</v>
      </c>
      <c r="I33" s="1056"/>
      <c r="J33" s="1111"/>
      <c r="K33" s="1115" t="s">
        <v>2015</v>
      </c>
    </row>
    <row r="34" spans="1:12" ht="15.75">
      <c r="A34" s="1037">
        <v>45001</v>
      </c>
      <c r="B34" s="1039">
        <v>45367</v>
      </c>
      <c r="C34" s="1025" t="s">
        <v>2007</v>
      </c>
      <c r="D34" s="1026" t="s">
        <v>21</v>
      </c>
      <c r="E34" s="1026" t="s">
        <v>948</v>
      </c>
      <c r="F34" s="1098">
        <v>2459.94</v>
      </c>
      <c r="G34" s="1062">
        <v>0.15</v>
      </c>
      <c r="H34" s="1055">
        <v>339.47</v>
      </c>
      <c r="I34" s="1056"/>
      <c r="J34" s="1111"/>
      <c r="K34" s="1115" t="s">
        <v>2015</v>
      </c>
    </row>
    <row r="35" spans="1:12" ht="15.75">
      <c r="A35" s="1037">
        <v>45002</v>
      </c>
      <c r="B35" s="1038">
        <v>45368</v>
      </c>
      <c r="C35" s="1025" t="s">
        <v>2009</v>
      </c>
      <c r="D35" s="1026" t="s">
        <v>9</v>
      </c>
      <c r="E35" s="1026" t="s">
        <v>1552</v>
      </c>
      <c r="F35" s="1059">
        <v>2388.39</v>
      </c>
      <c r="G35" s="1054">
        <v>0.1</v>
      </c>
      <c r="H35" s="1055">
        <v>219.73</v>
      </c>
      <c r="I35" s="1056"/>
      <c r="J35" s="1111"/>
      <c r="K35" s="1115" t="s">
        <v>2015</v>
      </c>
    </row>
    <row r="36" spans="1:12" ht="15.75">
      <c r="A36" s="1037">
        <v>45002</v>
      </c>
      <c r="B36" s="1038">
        <v>45368</v>
      </c>
      <c r="C36" s="1025" t="s">
        <v>1195</v>
      </c>
      <c r="D36" s="1026" t="s">
        <v>149</v>
      </c>
      <c r="E36" s="1026" t="s">
        <v>1080</v>
      </c>
      <c r="F36" s="1059">
        <v>447.41</v>
      </c>
      <c r="G36" s="1054">
        <v>0.15</v>
      </c>
      <c r="H36" s="1055">
        <v>67.11</v>
      </c>
      <c r="I36" s="1056"/>
      <c r="J36" s="1111"/>
      <c r="K36" s="1115" t="s">
        <v>2015</v>
      </c>
    </row>
    <row r="37" spans="1:12" s="1070" customFormat="1" ht="15.75">
      <c r="A37" s="1037">
        <v>45001</v>
      </c>
      <c r="B37" s="1038">
        <v>45368</v>
      </c>
      <c r="C37" s="1025" t="s">
        <v>2205</v>
      </c>
      <c r="D37" s="1026" t="s">
        <v>25</v>
      </c>
      <c r="E37" s="1026" t="s">
        <v>948</v>
      </c>
      <c r="F37" s="1059">
        <v>2556.39</v>
      </c>
      <c r="G37" s="1054">
        <v>0.15</v>
      </c>
      <c r="H37" s="1055">
        <v>352.78</v>
      </c>
      <c r="I37" s="1056"/>
      <c r="J37" s="1111"/>
      <c r="K37" s="1115" t="s">
        <v>2015</v>
      </c>
      <c r="L37" s="1058"/>
    </row>
    <row r="38" spans="1:12" s="1070" customFormat="1" ht="15.75">
      <c r="A38" s="1037">
        <v>45002</v>
      </c>
      <c r="B38" s="1038">
        <v>45368</v>
      </c>
      <c r="C38" s="1025" t="s">
        <v>1497</v>
      </c>
      <c r="D38" s="1026" t="s">
        <v>448</v>
      </c>
      <c r="E38" s="1026" t="s">
        <v>948</v>
      </c>
      <c r="F38" s="1059">
        <v>3222.29</v>
      </c>
      <c r="G38" s="1054">
        <v>0.15</v>
      </c>
      <c r="H38" s="1055">
        <v>444.67</v>
      </c>
      <c r="I38" s="1056"/>
      <c r="J38" s="1111"/>
      <c r="K38" s="1115" t="s">
        <v>2015</v>
      </c>
      <c r="L38" s="1058"/>
    </row>
    <row r="39" spans="1:12" ht="15.75">
      <c r="A39" s="1037">
        <v>45006</v>
      </c>
      <c r="B39" s="1038">
        <v>45371</v>
      </c>
      <c r="C39" s="1025" t="s">
        <v>1728</v>
      </c>
      <c r="D39" s="1026" t="s">
        <v>149</v>
      </c>
      <c r="E39" s="1026" t="s">
        <v>1044</v>
      </c>
      <c r="F39" s="1059">
        <v>2424.2600000000002</v>
      </c>
      <c r="G39" s="1054">
        <v>0.1</v>
      </c>
      <c r="H39" s="1055">
        <v>223.03</v>
      </c>
      <c r="I39" s="1056"/>
      <c r="J39" s="1111"/>
      <c r="K39" s="1115" t="s">
        <v>2015</v>
      </c>
    </row>
    <row r="40" spans="1:12" ht="15.75">
      <c r="A40" s="1037">
        <v>45009</v>
      </c>
      <c r="B40" s="1038">
        <v>45374</v>
      </c>
      <c r="C40" s="1025" t="s">
        <v>2206</v>
      </c>
      <c r="D40" s="1026" t="s">
        <v>448</v>
      </c>
      <c r="E40" s="1026" t="s">
        <v>1080</v>
      </c>
      <c r="F40" s="1059">
        <v>3532.29</v>
      </c>
      <c r="G40" s="1054">
        <v>0.1</v>
      </c>
      <c r="H40" s="1055">
        <v>324.97000000000003</v>
      </c>
      <c r="I40" s="1056"/>
      <c r="J40" s="1111"/>
      <c r="K40" s="1115" t="s">
        <v>2015</v>
      </c>
    </row>
    <row r="41" spans="1:12" ht="15.75">
      <c r="A41" s="1037">
        <v>45006</v>
      </c>
      <c r="B41" s="1038">
        <v>45374</v>
      </c>
      <c r="C41" s="1140" t="s">
        <v>1579</v>
      </c>
      <c r="D41" s="1026" t="s">
        <v>61</v>
      </c>
      <c r="E41" s="1026" t="s">
        <v>948</v>
      </c>
      <c r="F41" s="1059">
        <v>1452.24</v>
      </c>
      <c r="G41" s="1054">
        <v>0.15</v>
      </c>
      <c r="H41" s="1055">
        <v>200.4</v>
      </c>
      <c r="I41" s="1056"/>
      <c r="J41" s="1111"/>
      <c r="K41" s="1115" t="s">
        <v>2015</v>
      </c>
      <c r="L41" s="1070"/>
    </row>
    <row r="42" spans="1:12" ht="15.75">
      <c r="A42" s="1037">
        <v>45006</v>
      </c>
      <c r="B42" s="1038">
        <v>45374</v>
      </c>
      <c r="C42" s="1026" t="s">
        <v>882</v>
      </c>
      <c r="D42" s="1026" t="s">
        <v>25</v>
      </c>
      <c r="E42" s="1026" t="s">
        <v>22</v>
      </c>
      <c r="F42" s="1103">
        <v>1797.21</v>
      </c>
      <c r="G42" s="1054">
        <v>0.1</v>
      </c>
      <c r="H42" s="1055">
        <v>165.34</v>
      </c>
      <c r="I42" s="1056"/>
      <c r="J42" s="1111"/>
      <c r="K42" s="1115" t="s">
        <v>2015</v>
      </c>
      <c r="L42" s="1070"/>
    </row>
    <row r="43" spans="1:12" s="1087" customFormat="1" ht="15.75">
      <c r="A43" s="1037">
        <v>45009</v>
      </c>
      <c r="B43" s="1038">
        <v>45377</v>
      </c>
      <c r="C43" s="1025" t="s">
        <v>1325</v>
      </c>
      <c r="D43" s="1026" t="s">
        <v>448</v>
      </c>
      <c r="E43" s="1026" t="s">
        <v>948</v>
      </c>
      <c r="F43" s="1059">
        <v>2159.69</v>
      </c>
      <c r="G43" s="1054">
        <v>0.15</v>
      </c>
      <c r="H43" s="1055">
        <v>298.02999999999997</v>
      </c>
      <c r="I43" s="1056"/>
      <c r="J43" s="1111"/>
      <c r="K43" s="1115" t="s">
        <v>2015</v>
      </c>
      <c r="L43" s="1058"/>
    </row>
    <row r="44" spans="1:12" ht="15.75">
      <c r="A44" s="1037">
        <v>45012</v>
      </c>
      <c r="B44" s="1038">
        <v>45378</v>
      </c>
      <c r="C44" s="1025" t="s">
        <v>2207</v>
      </c>
      <c r="D44" s="1026" t="s">
        <v>33</v>
      </c>
      <c r="E44" s="1026" t="s">
        <v>948</v>
      </c>
      <c r="F44" s="1059">
        <v>2383.98</v>
      </c>
      <c r="G44" s="1054">
        <v>0.15</v>
      </c>
      <c r="H44" s="1055">
        <v>328.98</v>
      </c>
      <c r="I44" s="1056"/>
      <c r="J44" s="1111"/>
      <c r="K44" s="1115" t="s">
        <v>2015</v>
      </c>
    </row>
    <row r="45" spans="1:12" ht="15.75">
      <c r="A45" s="1037">
        <v>45010</v>
      </c>
      <c r="B45" s="1038">
        <v>45378</v>
      </c>
      <c r="C45" s="1026" t="s">
        <v>1461</v>
      </c>
      <c r="D45" s="1026" t="s">
        <v>21</v>
      </c>
      <c r="E45" s="1026" t="s">
        <v>945</v>
      </c>
      <c r="F45" s="1053">
        <v>1535.64</v>
      </c>
      <c r="G45" s="1054">
        <v>0.1</v>
      </c>
      <c r="H45" s="1023">
        <v>141.27000000000001</v>
      </c>
      <c r="I45" s="1056"/>
      <c r="J45" s="1111"/>
      <c r="K45" s="1115" t="s">
        <v>2015</v>
      </c>
    </row>
    <row r="46" spans="1:12" s="1070" customFormat="1" ht="15.75">
      <c r="A46" s="1037">
        <v>45009</v>
      </c>
      <c r="B46" s="1038">
        <v>45380</v>
      </c>
      <c r="C46" s="1026" t="s">
        <v>272</v>
      </c>
      <c r="D46" s="1026" t="s">
        <v>14</v>
      </c>
      <c r="E46" s="1026" t="s">
        <v>948</v>
      </c>
      <c r="F46" s="1059">
        <v>1331.49</v>
      </c>
      <c r="G46" s="1054">
        <v>0.15</v>
      </c>
      <c r="H46" s="1055">
        <v>183.74</v>
      </c>
      <c r="I46" s="1056"/>
      <c r="J46" s="1111"/>
      <c r="K46" s="1115" t="s">
        <v>2015</v>
      </c>
      <c r="L46" s="1058"/>
    </row>
    <row r="47" spans="1:12" ht="16.5" thickBot="1">
      <c r="A47" s="1037">
        <v>44987</v>
      </c>
      <c r="B47" s="1038" t="s">
        <v>1805</v>
      </c>
      <c r="C47" s="1026" t="s">
        <v>760</v>
      </c>
      <c r="D47" s="1026" t="s">
        <v>832</v>
      </c>
      <c r="E47" s="1026" t="s">
        <v>1080</v>
      </c>
      <c r="F47" s="1059">
        <v>598.5</v>
      </c>
      <c r="G47" s="1054">
        <v>0.1</v>
      </c>
      <c r="H47" s="1055">
        <v>55.6</v>
      </c>
      <c r="I47" s="1056"/>
      <c r="J47" s="1111"/>
      <c r="K47" s="1115" t="s">
        <v>1805</v>
      </c>
    </row>
    <row r="48" spans="1:12" ht="20.25" thickBot="1">
      <c r="A48" s="1158"/>
      <c r="B48" s="1159"/>
      <c r="C48" s="1159"/>
      <c r="D48" s="1159"/>
      <c r="E48" s="1159"/>
      <c r="F48" s="1160">
        <f>SUM(F2:F47)</f>
        <v>165217.75000000006</v>
      </c>
      <c r="G48" s="1161"/>
      <c r="H48" s="1162">
        <f>SUM(H2:H47)</f>
        <v>16833.43</v>
      </c>
      <c r="I48" s="1163">
        <f>SUM(I2:I47)</f>
        <v>1791.18</v>
      </c>
      <c r="J48" s="1164"/>
      <c r="K48" s="1157"/>
    </row>
  </sheetData>
  <autoFilter ref="A1:L1" xr:uid="{96F2EF9D-D2B5-4D57-AC35-8BE80BD43841}">
    <sortState xmlns:xlrd2="http://schemas.microsoft.com/office/spreadsheetml/2017/richdata2" ref="A2:L48">
      <sortCondition ref="J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8BF5-0163-40E0-B47F-1FD9CAED8C1F}">
  <dimension ref="A1:K50"/>
  <sheetViews>
    <sheetView topLeftCell="A29" zoomScale="85" zoomScaleNormal="85" workbookViewId="0">
      <selection activeCell="J18" sqref="J18"/>
    </sheetView>
  </sheetViews>
  <sheetFormatPr defaultColWidth="9.140625" defaultRowHeight="15"/>
  <cols>
    <col min="1" max="1" width="16.5703125" style="1058" bestFit="1" customWidth="1"/>
    <col min="2" max="2" width="13.5703125" style="1058" customWidth="1"/>
    <col min="3" max="3" width="43.85546875" style="1165" bestFit="1" customWidth="1"/>
    <col min="4" max="4" width="18.28515625" style="1058" bestFit="1" customWidth="1"/>
    <col min="5" max="5" width="14.140625" style="1058" bestFit="1" customWidth="1"/>
    <col min="6" max="6" width="23.28515625" style="1058" bestFit="1" customWidth="1"/>
    <col min="7" max="7" width="13.42578125" style="1058" bestFit="1" customWidth="1"/>
    <col min="8" max="8" width="24.85546875" style="1058" bestFit="1" customWidth="1"/>
    <col min="9" max="9" width="21" style="1058" bestFit="1" customWidth="1"/>
    <col min="10" max="10" width="13.7109375" style="1058" bestFit="1" customWidth="1"/>
    <col min="11" max="11" width="17" style="1058" bestFit="1" customWidth="1"/>
    <col min="12" max="16384" width="9.140625" style="1058"/>
  </cols>
  <sheetData>
    <row r="1" spans="1:11" ht="15" customHeight="1" thickBot="1">
      <c r="A1" s="1151" t="s">
        <v>1832</v>
      </c>
      <c r="B1" s="1152" t="s">
        <v>2</v>
      </c>
      <c r="C1" s="1152" t="s">
        <v>3</v>
      </c>
      <c r="D1" s="1152" t="s">
        <v>4</v>
      </c>
      <c r="E1" s="1152" t="s">
        <v>5</v>
      </c>
      <c r="F1" s="1153" t="s">
        <v>644</v>
      </c>
      <c r="G1" s="1154" t="s">
        <v>555</v>
      </c>
      <c r="H1" s="1155" t="s">
        <v>7</v>
      </c>
      <c r="I1" s="1156" t="s">
        <v>307</v>
      </c>
      <c r="J1" s="1154" t="s">
        <v>370</v>
      </c>
      <c r="K1" s="1157"/>
    </row>
    <row r="2" spans="1:11" ht="15.75">
      <c r="A2" s="1124">
        <v>45019</v>
      </c>
      <c r="B2" s="1125">
        <v>45386</v>
      </c>
      <c r="C2" s="1403" t="s">
        <v>2208</v>
      </c>
      <c r="D2" s="1028" t="s">
        <v>1862</v>
      </c>
      <c r="E2" s="1028" t="s">
        <v>1310</v>
      </c>
      <c r="F2" s="1126">
        <v>14503.72</v>
      </c>
      <c r="G2" s="1127">
        <v>0.11</v>
      </c>
      <c r="H2" s="1128">
        <v>1467.77</v>
      </c>
      <c r="I2" s="1129">
        <v>146.77000000000001</v>
      </c>
      <c r="J2" s="1130" t="s">
        <v>1558</v>
      </c>
      <c r="K2" s="1117" t="s">
        <v>2015</v>
      </c>
    </row>
    <row r="3" spans="1:11" s="1070" customFormat="1" ht="15.75">
      <c r="A3" s="1040">
        <v>45030</v>
      </c>
      <c r="B3" s="1042">
        <v>45395</v>
      </c>
      <c r="C3" s="1027" t="s">
        <v>1341</v>
      </c>
      <c r="D3" s="1030" t="s">
        <v>112</v>
      </c>
      <c r="E3" s="1030" t="s">
        <v>948</v>
      </c>
      <c r="F3" s="1072">
        <v>2381.2399999999998</v>
      </c>
      <c r="G3" s="1073">
        <v>0.15</v>
      </c>
      <c r="H3" s="1067">
        <v>328.61</v>
      </c>
      <c r="I3" s="1068">
        <v>32.86</v>
      </c>
      <c r="J3" s="1112" t="s">
        <v>1558</v>
      </c>
      <c r="K3" s="1117" t="s">
        <v>2015</v>
      </c>
    </row>
    <row r="4" spans="1:11" ht="15.75">
      <c r="A4" s="1040">
        <v>45029</v>
      </c>
      <c r="B4" s="1042">
        <v>45395</v>
      </c>
      <c r="C4" s="1027" t="s">
        <v>2209</v>
      </c>
      <c r="D4" s="1030" t="s">
        <v>61</v>
      </c>
      <c r="E4" s="1030" t="s">
        <v>1310</v>
      </c>
      <c r="F4" s="1072">
        <v>38320.559999999998</v>
      </c>
      <c r="G4" s="1073">
        <v>0.1</v>
      </c>
      <c r="H4" s="1067">
        <v>3525.49</v>
      </c>
      <c r="I4" s="1068">
        <v>352.54</v>
      </c>
      <c r="J4" s="1112" t="s">
        <v>1558</v>
      </c>
      <c r="K4" s="1117" t="s">
        <v>2015</v>
      </c>
    </row>
    <row r="5" spans="1:11" s="1029" customFormat="1" ht="15.75">
      <c r="A5" s="1040">
        <v>45034</v>
      </c>
      <c r="B5" s="1042">
        <v>45400</v>
      </c>
      <c r="C5" s="1027" t="s">
        <v>2024</v>
      </c>
      <c r="D5" s="1030" t="s">
        <v>14</v>
      </c>
      <c r="E5" s="1030" t="s">
        <v>948</v>
      </c>
      <c r="F5" s="1072">
        <v>1492.59</v>
      </c>
      <c r="G5" s="1073">
        <v>0.1</v>
      </c>
      <c r="H5" s="1067">
        <v>137.31</v>
      </c>
      <c r="I5" s="1068">
        <v>13.73</v>
      </c>
      <c r="J5" s="1112" t="s">
        <v>1558</v>
      </c>
      <c r="K5" s="1117" t="s">
        <v>2015</v>
      </c>
    </row>
    <row r="6" spans="1:11" ht="15.75">
      <c r="A6" s="1041">
        <v>45040</v>
      </c>
      <c r="B6" s="1041">
        <v>45406</v>
      </c>
      <c r="C6" s="1027" t="s">
        <v>2210</v>
      </c>
      <c r="D6" s="1027" t="s">
        <v>9</v>
      </c>
      <c r="E6" s="1027" t="s">
        <v>1552</v>
      </c>
      <c r="F6" s="1065">
        <v>2643.24</v>
      </c>
      <c r="G6" s="1066">
        <v>0.13</v>
      </c>
      <c r="H6" s="1067">
        <v>316.13</v>
      </c>
      <c r="I6" s="1122">
        <v>31.61</v>
      </c>
      <c r="J6" s="1112" t="s">
        <v>1558</v>
      </c>
      <c r="K6" s="1117" t="s">
        <v>2015</v>
      </c>
    </row>
    <row r="7" spans="1:11" ht="15.75">
      <c r="A7" s="1040">
        <v>45044</v>
      </c>
      <c r="B7" s="1042">
        <v>45408</v>
      </c>
      <c r="C7" s="1027" t="s">
        <v>1360</v>
      </c>
      <c r="D7" s="1030" t="s">
        <v>61</v>
      </c>
      <c r="E7" s="1030" t="s">
        <v>948</v>
      </c>
      <c r="F7" s="1120">
        <v>2877.57</v>
      </c>
      <c r="G7" s="1073">
        <v>0.1</v>
      </c>
      <c r="H7" s="1067">
        <v>264.73</v>
      </c>
      <c r="I7" s="1068">
        <v>26.47</v>
      </c>
      <c r="J7" s="1112" t="s">
        <v>1558</v>
      </c>
      <c r="K7" s="1131" t="s">
        <v>2015</v>
      </c>
    </row>
    <row r="8" spans="1:11" ht="15.75">
      <c r="A8" s="1037">
        <v>45022</v>
      </c>
      <c r="B8" s="1038">
        <v>45389</v>
      </c>
      <c r="C8" s="1026" t="s">
        <v>1338</v>
      </c>
      <c r="D8" s="1026" t="s">
        <v>448</v>
      </c>
      <c r="E8" s="1026" t="s">
        <v>945</v>
      </c>
      <c r="F8" s="1059">
        <v>3721.03</v>
      </c>
      <c r="G8" s="1054">
        <v>0.1</v>
      </c>
      <c r="H8" s="1055">
        <v>342.33</v>
      </c>
      <c r="I8" s="1056">
        <v>171.16</v>
      </c>
      <c r="J8" s="1111" t="s">
        <v>1759</v>
      </c>
      <c r="K8" s="1115" t="s">
        <v>2015</v>
      </c>
    </row>
    <row r="9" spans="1:11" ht="15.75">
      <c r="A9" s="1037">
        <v>45035</v>
      </c>
      <c r="B9" s="1039">
        <v>45402</v>
      </c>
      <c r="C9" s="1025" t="s">
        <v>1354</v>
      </c>
      <c r="D9" s="1026" t="s">
        <v>9</v>
      </c>
      <c r="E9" s="1026" t="s">
        <v>1552</v>
      </c>
      <c r="F9" s="1071">
        <v>1703.45</v>
      </c>
      <c r="G9" s="1062">
        <v>0.12</v>
      </c>
      <c r="H9" s="1055">
        <v>188.06</v>
      </c>
      <c r="I9" s="1056">
        <v>94.03</v>
      </c>
      <c r="J9" s="1111" t="s">
        <v>2094</v>
      </c>
      <c r="K9" s="1115" t="s">
        <v>2015</v>
      </c>
    </row>
    <row r="10" spans="1:11" ht="15.75">
      <c r="A10" s="1037">
        <v>45047</v>
      </c>
      <c r="B10" s="1039">
        <v>45407</v>
      </c>
      <c r="C10" s="1025" t="s">
        <v>2211</v>
      </c>
      <c r="D10" s="1026" t="s">
        <v>9</v>
      </c>
      <c r="E10" s="1025" t="s">
        <v>948</v>
      </c>
      <c r="F10" s="1061">
        <v>1549.7</v>
      </c>
      <c r="G10" s="1062">
        <v>0.1</v>
      </c>
      <c r="H10" s="1055">
        <v>142.57</v>
      </c>
      <c r="I10" s="1056">
        <v>71.28</v>
      </c>
      <c r="J10" s="1111" t="s">
        <v>2094</v>
      </c>
      <c r="K10" s="1115" t="s">
        <v>2015</v>
      </c>
    </row>
    <row r="11" spans="1:11" ht="15.75">
      <c r="A11" s="1037">
        <v>45022</v>
      </c>
      <c r="B11" s="1039">
        <v>45389</v>
      </c>
      <c r="C11" s="1025" t="s">
        <v>2028</v>
      </c>
      <c r="D11" s="1026" t="s">
        <v>9</v>
      </c>
      <c r="E11" s="1026" t="s">
        <v>1593</v>
      </c>
      <c r="F11" s="1071">
        <v>2422.5100000000002</v>
      </c>
      <c r="G11" s="1062">
        <v>0.1</v>
      </c>
      <c r="H11" s="1055">
        <v>222.87</v>
      </c>
      <c r="I11" s="1056">
        <v>111.43</v>
      </c>
      <c r="J11" s="1111" t="s">
        <v>1396</v>
      </c>
      <c r="K11" s="1115" t="s">
        <v>2015</v>
      </c>
    </row>
    <row r="12" spans="1:11" ht="15.75">
      <c r="A12" s="1037">
        <v>45019</v>
      </c>
      <c r="B12" s="1038">
        <v>45385</v>
      </c>
      <c r="C12" s="1025" t="s">
        <v>1748</v>
      </c>
      <c r="D12" s="1026" t="s">
        <v>9</v>
      </c>
      <c r="E12" s="1026" t="s">
        <v>1080</v>
      </c>
      <c r="F12" s="1103">
        <v>835.34</v>
      </c>
      <c r="G12" s="1054">
        <v>0.1</v>
      </c>
      <c r="H12" s="1055">
        <v>76.849999999999994</v>
      </c>
      <c r="I12" s="1056"/>
      <c r="J12" s="1111"/>
      <c r="K12" s="1115" t="s">
        <v>2015</v>
      </c>
    </row>
    <row r="13" spans="1:11" ht="15.75">
      <c r="A13" s="1037">
        <v>45022</v>
      </c>
      <c r="B13" s="1038">
        <v>45388</v>
      </c>
      <c r="C13" s="1075" t="s">
        <v>1954</v>
      </c>
      <c r="D13" s="1026" t="s">
        <v>9</v>
      </c>
      <c r="E13" s="1026" t="s">
        <v>1593</v>
      </c>
      <c r="F13" s="1053">
        <v>2479.52</v>
      </c>
      <c r="G13" s="1054">
        <v>0.1</v>
      </c>
      <c r="H13" s="1055">
        <v>228.11</v>
      </c>
      <c r="I13" s="1056"/>
      <c r="J13" s="1111"/>
      <c r="K13" s="1116" t="s">
        <v>1472</v>
      </c>
    </row>
    <row r="14" spans="1:11" ht="15.75">
      <c r="A14" s="1039">
        <v>45015</v>
      </c>
      <c r="B14" s="1039">
        <v>45391</v>
      </c>
      <c r="C14" s="1025" t="s">
        <v>1749</v>
      </c>
      <c r="D14" s="1025" t="s">
        <v>448</v>
      </c>
      <c r="E14" s="1025" t="s">
        <v>458</v>
      </c>
      <c r="F14" s="1061">
        <v>8351.36</v>
      </c>
      <c r="G14" s="1062">
        <v>0.1</v>
      </c>
      <c r="H14" s="1055">
        <v>768.32</v>
      </c>
      <c r="I14" s="1063"/>
      <c r="J14" s="1111"/>
      <c r="K14" s="1115" t="s">
        <v>2015</v>
      </c>
    </row>
    <row r="15" spans="1:11" s="1087" customFormat="1" ht="15.75">
      <c r="A15" s="1043">
        <v>45019</v>
      </c>
      <c r="B15" s="1044">
        <v>45392</v>
      </c>
      <c r="C15" s="1032" t="s">
        <v>615</v>
      </c>
      <c r="D15" s="1075" t="s">
        <v>533</v>
      </c>
      <c r="E15" s="1075" t="s">
        <v>948</v>
      </c>
      <c r="F15" s="1121">
        <v>2368.92</v>
      </c>
      <c r="G15" s="1076">
        <v>0.1</v>
      </c>
      <c r="H15" s="1055">
        <v>217.94</v>
      </c>
      <c r="I15" s="1077"/>
      <c r="J15" s="1111"/>
      <c r="K15" s="1115" t="s">
        <v>2015</v>
      </c>
    </row>
    <row r="16" spans="1:11" ht="15.75">
      <c r="A16" s="1037">
        <v>45027</v>
      </c>
      <c r="B16" s="1038">
        <v>45394</v>
      </c>
      <c r="C16" s="1026" t="s">
        <v>696</v>
      </c>
      <c r="D16" s="1026" t="s">
        <v>9</v>
      </c>
      <c r="E16" s="1026" t="s">
        <v>2212</v>
      </c>
      <c r="F16" s="1059">
        <v>2005.65</v>
      </c>
      <c r="G16" s="1054">
        <v>0.15</v>
      </c>
      <c r="H16" s="1055">
        <v>276.77</v>
      </c>
      <c r="I16" s="1056"/>
      <c r="J16" s="1111"/>
      <c r="K16" s="1116" t="s">
        <v>2015</v>
      </c>
    </row>
    <row r="17" spans="1:11" s="1175" customFormat="1" ht="15.75">
      <c r="A17" s="1037">
        <v>45029</v>
      </c>
      <c r="B17" s="1038">
        <v>45396</v>
      </c>
      <c r="C17" s="1026" t="s">
        <v>1346</v>
      </c>
      <c r="D17" s="1026" t="s">
        <v>9</v>
      </c>
      <c r="E17" s="1026" t="s">
        <v>2212</v>
      </c>
      <c r="F17" s="1059">
        <v>2925.56</v>
      </c>
      <c r="G17" s="1054">
        <v>0.15</v>
      </c>
      <c r="H17" s="1055">
        <v>403.72</v>
      </c>
      <c r="I17" s="1056"/>
      <c r="J17" s="1111"/>
      <c r="K17" s="1115" t="s">
        <v>2015</v>
      </c>
    </row>
    <row r="18" spans="1:11" ht="15.75">
      <c r="A18" s="1037">
        <v>45030</v>
      </c>
      <c r="B18" s="1038">
        <v>45396</v>
      </c>
      <c r="C18" s="1026" t="s">
        <v>2213</v>
      </c>
      <c r="D18" s="1026" t="s">
        <v>9</v>
      </c>
      <c r="E18" s="1026" t="s">
        <v>458</v>
      </c>
      <c r="F18" s="1059">
        <v>1697.4</v>
      </c>
      <c r="G18" s="1054">
        <v>0.12</v>
      </c>
      <c r="H18" s="1055">
        <v>187.39</v>
      </c>
      <c r="I18" s="1056"/>
      <c r="J18" s="1111"/>
      <c r="K18" s="1115" t="s">
        <v>2015</v>
      </c>
    </row>
    <row r="19" spans="1:11" ht="15.75">
      <c r="A19" s="1039">
        <v>45030</v>
      </c>
      <c r="B19" s="1039">
        <v>45397</v>
      </c>
      <c r="C19" s="1025" t="s">
        <v>2032</v>
      </c>
      <c r="D19" s="1025" t="s">
        <v>448</v>
      </c>
      <c r="E19" s="1025" t="s">
        <v>948</v>
      </c>
      <c r="F19" s="1061">
        <v>3978.54</v>
      </c>
      <c r="G19" s="1062">
        <v>0.1</v>
      </c>
      <c r="H19" s="1055">
        <v>366.02</v>
      </c>
      <c r="I19" s="1063"/>
      <c r="J19" s="1111"/>
      <c r="K19" s="1115" t="s">
        <v>2015</v>
      </c>
    </row>
    <row r="20" spans="1:11" ht="15.75">
      <c r="A20" s="1043">
        <v>45026</v>
      </c>
      <c r="B20" s="1045">
        <v>45398</v>
      </c>
      <c r="C20" s="1075" t="s">
        <v>1751</v>
      </c>
      <c r="D20" s="1075" t="s">
        <v>61</v>
      </c>
      <c r="E20" s="1075" t="s">
        <v>1552</v>
      </c>
      <c r="F20" s="1102">
        <v>2685.55</v>
      </c>
      <c r="G20" s="1076">
        <v>0.1</v>
      </c>
      <c r="H20" s="1055">
        <v>247.07</v>
      </c>
      <c r="I20" s="1077"/>
      <c r="J20" s="1111"/>
      <c r="K20" s="1115" t="s">
        <v>2015</v>
      </c>
    </row>
    <row r="21" spans="1:11" ht="15.75">
      <c r="A21" s="1046">
        <v>45001</v>
      </c>
      <c r="B21" s="1047">
        <v>45399</v>
      </c>
      <c r="C21" s="1405" t="s">
        <v>2214</v>
      </c>
      <c r="D21" s="1080" t="s">
        <v>14</v>
      </c>
      <c r="E21" s="1080" t="s">
        <v>1310</v>
      </c>
      <c r="F21" s="1081"/>
      <c r="G21" s="1082"/>
      <c r="H21" s="1083"/>
      <c r="I21" s="1084"/>
      <c r="J21" s="1184"/>
      <c r="K21" s="1173" t="s">
        <v>2015</v>
      </c>
    </row>
    <row r="22" spans="1:11" ht="15.75">
      <c r="A22" s="1037">
        <v>45027</v>
      </c>
      <c r="B22" s="1038">
        <v>45400</v>
      </c>
      <c r="C22" s="1025" t="s">
        <v>1364</v>
      </c>
      <c r="D22" s="1025" t="s">
        <v>448</v>
      </c>
      <c r="E22" s="1025" t="s">
        <v>458</v>
      </c>
      <c r="F22" s="1061">
        <v>2169.4299999999998</v>
      </c>
      <c r="G22" s="1062">
        <v>0.1</v>
      </c>
      <c r="H22" s="1088">
        <v>199.58</v>
      </c>
      <c r="I22" s="1089"/>
      <c r="J22" s="1111"/>
      <c r="K22" s="1115" t="s">
        <v>2015</v>
      </c>
    </row>
    <row r="23" spans="1:11" s="1070" customFormat="1" ht="15.75">
      <c r="A23" s="1037">
        <v>45033</v>
      </c>
      <c r="B23" s="1038">
        <v>45401</v>
      </c>
      <c r="C23" s="1025" t="s">
        <v>1351</v>
      </c>
      <c r="D23" s="1025" t="s">
        <v>448</v>
      </c>
      <c r="E23" s="1025" t="s">
        <v>945</v>
      </c>
      <c r="F23" s="1061">
        <v>5039.41</v>
      </c>
      <c r="G23" s="1062">
        <v>0.1</v>
      </c>
      <c r="H23" s="1055">
        <v>463.62</v>
      </c>
      <c r="I23" s="1056"/>
      <c r="J23" s="1111"/>
      <c r="K23" s="1115" t="s">
        <v>2015</v>
      </c>
    </row>
    <row r="24" spans="1:11" ht="15.75">
      <c r="A24" s="1037">
        <v>45033</v>
      </c>
      <c r="B24" s="1038">
        <v>45404</v>
      </c>
      <c r="C24" s="1026" t="s">
        <v>1752</v>
      </c>
      <c r="D24" s="1026" t="s">
        <v>422</v>
      </c>
      <c r="E24" s="1025" t="s">
        <v>458</v>
      </c>
      <c r="F24" s="1061">
        <v>1843.02</v>
      </c>
      <c r="G24" s="1062">
        <v>0.1</v>
      </c>
      <c r="H24" s="1055">
        <v>169.55</v>
      </c>
      <c r="I24" s="1056"/>
      <c r="J24" s="1111"/>
      <c r="K24" s="1115" t="s">
        <v>2015</v>
      </c>
    </row>
    <row r="25" spans="1:11" ht="15.75">
      <c r="A25" s="1037">
        <v>45033</v>
      </c>
      <c r="B25" s="1038">
        <v>45404</v>
      </c>
      <c r="C25" s="1025" t="s">
        <v>2215</v>
      </c>
      <c r="D25" s="1026" t="s">
        <v>448</v>
      </c>
      <c r="E25" s="1025" t="s">
        <v>948</v>
      </c>
      <c r="F25" s="1023">
        <v>1825.08</v>
      </c>
      <c r="G25" s="1062">
        <v>0.1</v>
      </c>
      <c r="H25" s="1055">
        <v>167.9</v>
      </c>
      <c r="I25" s="1056"/>
      <c r="J25" s="1111"/>
      <c r="K25" s="1115" t="s">
        <v>2015</v>
      </c>
    </row>
    <row r="26" spans="1:11" ht="15.75">
      <c r="A26" s="1037">
        <v>45033</v>
      </c>
      <c r="B26" s="1038">
        <v>45406</v>
      </c>
      <c r="C26" s="1025" t="s">
        <v>1352</v>
      </c>
      <c r="D26" s="1026" t="s">
        <v>25</v>
      </c>
      <c r="E26" s="1025" t="s">
        <v>945</v>
      </c>
      <c r="F26" s="1061">
        <v>1851.57</v>
      </c>
      <c r="G26" s="1062">
        <v>0.15</v>
      </c>
      <c r="H26" s="1055">
        <v>255.51</v>
      </c>
      <c r="I26" s="1056"/>
      <c r="J26" s="1111"/>
      <c r="K26" s="1116" t="s">
        <v>2015</v>
      </c>
    </row>
    <row r="27" spans="1:11" s="1070" customFormat="1" ht="15.75">
      <c r="A27" s="1037">
        <v>45040</v>
      </c>
      <c r="B27" s="1038">
        <v>45406</v>
      </c>
      <c r="C27" s="1032" t="s">
        <v>1438</v>
      </c>
      <c r="D27" s="1026" t="s">
        <v>25</v>
      </c>
      <c r="E27" s="1025" t="s">
        <v>1310</v>
      </c>
      <c r="F27" s="1092">
        <v>2659.26</v>
      </c>
      <c r="G27" s="1062">
        <v>0.1</v>
      </c>
      <c r="H27" s="1055">
        <v>244.65</v>
      </c>
      <c r="I27" s="1056"/>
      <c r="J27" s="1111"/>
      <c r="K27" s="1115" t="s">
        <v>2015</v>
      </c>
    </row>
    <row r="28" spans="1:11" ht="15.75">
      <c r="A28" s="1039">
        <v>45040</v>
      </c>
      <c r="B28" s="1039">
        <v>45406</v>
      </c>
      <c r="C28" s="1025" t="s">
        <v>268</v>
      </c>
      <c r="D28" s="1025" t="s">
        <v>448</v>
      </c>
      <c r="E28" s="1025" t="s">
        <v>1080</v>
      </c>
      <c r="F28" s="1092">
        <v>1431.97</v>
      </c>
      <c r="G28" s="1062">
        <v>0.1</v>
      </c>
      <c r="H28" s="1055">
        <v>131.74</v>
      </c>
      <c r="I28" s="1056"/>
      <c r="J28" s="1111"/>
      <c r="K28" s="1115" t="s">
        <v>2015</v>
      </c>
    </row>
    <row r="29" spans="1:11" s="1070" customFormat="1" ht="15.75">
      <c r="A29" s="1039">
        <v>45033</v>
      </c>
      <c r="B29" s="1039">
        <v>45407</v>
      </c>
      <c r="C29" s="1025" t="s">
        <v>1356</v>
      </c>
      <c r="D29" s="1025" t="s">
        <v>25</v>
      </c>
      <c r="E29" s="1025" t="s">
        <v>948</v>
      </c>
      <c r="F29" s="1023">
        <v>1123.08</v>
      </c>
      <c r="G29" s="1062">
        <v>0.15</v>
      </c>
      <c r="H29" s="1023">
        <v>154.97999999999999</v>
      </c>
      <c r="I29" s="1056"/>
      <c r="J29" s="1111"/>
      <c r="K29" s="1115" t="s">
        <v>2015</v>
      </c>
    </row>
    <row r="30" spans="1:11" ht="15.75">
      <c r="A30" s="1039">
        <v>45044</v>
      </c>
      <c r="B30" s="1039">
        <v>45410</v>
      </c>
      <c r="C30" s="1025" t="s">
        <v>2216</v>
      </c>
      <c r="D30" s="1025" t="s">
        <v>448</v>
      </c>
      <c r="E30" s="1025" t="s">
        <v>1080</v>
      </c>
      <c r="F30" s="1061">
        <v>1674.55</v>
      </c>
      <c r="G30" s="1062">
        <v>0.15</v>
      </c>
      <c r="H30" s="1055">
        <v>200.7</v>
      </c>
      <c r="I30" s="1056"/>
      <c r="J30" s="1111"/>
      <c r="K30" s="1115" t="s">
        <v>1472</v>
      </c>
    </row>
    <row r="31" spans="1:11" ht="15.75">
      <c r="A31" s="1037">
        <v>45044</v>
      </c>
      <c r="B31" s="1039">
        <v>45411</v>
      </c>
      <c r="C31" s="1025" t="s">
        <v>1590</v>
      </c>
      <c r="D31" s="1026" t="s">
        <v>70</v>
      </c>
      <c r="E31" s="1025" t="s">
        <v>1080</v>
      </c>
      <c r="F31" s="1061">
        <v>2260.9699999999998</v>
      </c>
      <c r="G31" s="1062">
        <v>0.1</v>
      </c>
      <c r="H31" s="1055">
        <v>208</v>
      </c>
      <c r="I31" s="1056"/>
      <c r="J31" s="1111"/>
      <c r="K31" s="1115" t="s">
        <v>2015</v>
      </c>
    </row>
    <row r="32" spans="1:11" ht="15.75">
      <c r="A32" s="1037">
        <v>45040</v>
      </c>
      <c r="B32" s="1038">
        <v>45412</v>
      </c>
      <c r="C32" s="1025" t="s">
        <v>1357</v>
      </c>
      <c r="D32" s="1026" t="s">
        <v>448</v>
      </c>
      <c r="E32" s="1026" t="s">
        <v>458</v>
      </c>
      <c r="F32" s="1059">
        <v>2686.11</v>
      </c>
      <c r="G32" s="1054">
        <v>0.15</v>
      </c>
      <c r="H32" s="1055">
        <v>370.68</v>
      </c>
      <c r="I32" s="1056"/>
      <c r="J32" s="1111"/>
      <c r="K32" s="1115" t="s">
        <v>2015</v>
      </c>
    </row>
    <row r="33" spans="1:11" ht="15.75">
      <c r="A33" s="1037">
        <v>45029</v>
      </c>
      <c r="B33" s="1039" t="s">
        <v>1805</v>
      </c>
      <c r="C33" s="1025" t="s">
        <v>1608</v>
      </c>
      <c r="D33" s="1026" t="s">
        <v>61</v>
      </c>
      <c r="E33" s="1025" t="s">
        <v>948</v>
      </c>
      <c r="F33" s="1061">
        <v>1410.93</v>
      </c>
      <c r="G33" s="1062">
        <v>0.1</v>
      </c>
      <c r="H33" s="1055">
        <v>129.80000000000001</v>
      </c>
      <c r="I33" s="1056"/>
      <c r="J33" s="1111"/>
      <c r="K33" s="1115" t="s">
        <v>1805</v>
      </c>
    </row>
    <row r="34" spans="1:11" ht="15.75">
      <c r="A34" s="1037">
        <v>45042</v>
      </c>
      <c r="B34" s="1039" t="s">
        <v>1805</v>
      </c>
      <c r="C34" s="1025" t="s">
        <v>1676</v>
      </c>
      <c r="D34" s="1026" t="s">
        <v>70</v>
      </c>
      <c r="E34" s="1025" t="s">
        <v>948</v>
      </c>
      <c r="F34" s="1061">
        <v>160.51</v>
      </c>
      <c r="G34" s="1062">
        <v>0.1</v>
      </c>
      <c r="H34" s="1055">
        <v>14.76</v>
      </c>
      <c r="I34" s="1056"/>
      <c r="J34" s="1111"/>
      <c r="K34" s="1115" t="s">
        <v>1805</v>
      </c>
    </row>
    <row r="35" spans="1:11" ht="15.75">
      <c r="A35" s="1037"/>
      <c r="B35" s="1039"/>
      <c r="C35" s="1032"/>
      <c r="D35" s="1026"/>
      <c r="E35" s="1025"/>
      <c r="F35" s="1061"/>
      <c r="G35" s="1062"/>
      <c r="H35" s="1055"/>
      <c r="I35" s="1056"/>
      <c r="J35" s="1111"/>
      <c r="K35" s="1115"/>
    </row>
    <row r="36" spans="1:11" ht="15.75">
      <c r="A36" s="1037"/>
      <c r="B36" s="1039"/>
      <c r="C36" s="1025"/>
      <c r="D36" s="1026"/>
      <c r="E36" s="1026"/>
      <c r="F36" s="1071"/>
      <c r="G36" s="1062"/>
      <c r="H36" s="1055"/>
      <c r="I36" s="1056"/>
      <c r="J36" s="1111"/>
      <c r="K36" s="1115"/>
    </row>
    <row r="37" spans="1:11" ht="15.75">
      <c r="A37" s="1037"/>
      <c r="B37" s="1038"/>
      <c r="C37" s="1025"/>
      <c r="D37" s="1026"/>
      <c r="E37" s="1026"/>
      <c r="F37" s="1059"/>
      <c r="G37" s="1054"/>
      <c r="H37" s="1055"/>
      <c r="I37" s="1056"/>
      <c r="J37" s="1111"/>
      <c r="K37" s="1115"/>
    </row>
    <row r="38" spans="1:11" ht="15.75">
      <c r="A38" s="1037"/>
      <c r="B38" s="1038"/>
      <c r="C38" s="1025"/>
      <c r="D38" s="1026"/>
      <c r="E38" s="1026"/>
      <c r="F38" s="1059"/>
      <c r="G38" s="1054"/>
      <c r="H38" s="1055"/>
      <c r="I38" s="1056"/>
      <c r="J38" s="1111"/>
      <c r="K38" s="1115"/>
    </row>
    <row r="39" spans="1:11" ht="15.75">
      <c r="A39" s="1037"/>
      <c r="B39" s="1038"/>
      <c r="C39" s="1033"/>
      <c r="D39" s="1026"/>
      <c r="E39" s="1026"/>
      <c r="F39" s="1059"/>
      <c r="G39" s="1054"/>
      <c r="H39" s="1055"/>
      <c r="I39" s="1056"/>
      <c r="J39" s="1111"/>
      <c r="K39" s="1115"/>
    </row>
    <row r="40" spans="1:11" ht="15.75">
      <c r="A40" s="1037"/>
      <c r="B40" s="1038"/>
      <c r="C40" s="1025"/>
      <c r="D40" s="1026"/>
      <c r="E40" s="1026"/>
      <c r="F40" s="1103"/>
      <c r="G40" s="1054"/>
      <c r="H40" s="1055"/>
      <c r="I40" s="1056"/>
      <c r="J40" s="1111"/>
      <c r="K40" s="1115"/>
    </row>
    <row r="41" spans="1:11" ht="15.75">
      <c r="A41" s="1037"/>
      <c r="B41" s="1038"/>
      <c r="C41" s="1025"/>
      <c r="D41" s="1026"/>
      <c r="E41" s="1026"/>
      <c r="F41" s="1059"/>
      <c r="G41" s="1054"/>
      <c r="H41" s="1055"/>
      <c r="I41" s="1056"/>
      <c r="J41" s="1111"/>
      <c r="K41" s="1115"/>
    </row>
    <row r="42" spans="1:11" ht="15.75">
      <c r="A42" s="1037"/>
      <c r="B42" s="1038"/>
      <c r="C42" s="1025"/>
      <c r="D42" s="1026"/>
      <c r="E42" s="1026"/>
      <c r="F42" s="1059"/>
      <c r="G42" s="1054"/>
      <c r="H42" s="1055"/>
      <c r="I42" s="1056"/>
      <c r="J42" s="1111"/>
      <c r="K42" s="1115"/>
    </row>
    <row r="43" spans="1:11" ht="15.75">
      <c r="A43" s="1037"/>
      <c r="B43" s="1038"/>
      <c r="C43" s="1026"/>
      <c r="D43" s="1026"/>
      <c r="E43" s="1026"/>
      <c r="F43" s="1059"/>
      <c r="G43" s="1054"/>
      <c r="H43" s="1055"/>
      <c r="I43" s="1056"/>
      <c r="J43" s="1111"/>
      <c r="K43" s="1115"/>
    </row>
    <row r="44" spans="1:11" ht="15.75">
      <c r="A44" s="1037"/>
      <c r="B44" s="1038"/>
      <c r="C44" s="1026"/>
      <c r="D44" s="1026"/>
      <c r="E44" s="1026"/>
      <c r="F44" s="1053"/>
      <c r="G44" s="1054"/>
      <c r="H44" s="1023"/>
      <c r="I44" s="1056"/>
      <c r="J44" s="1111"/>
      <c r="K44" s="1115"/>
    </row>
    <row r="45" spans="1:11" ht="15.75">
      <c r="A45" s="1037"/>
      <c r="B45" s="1038"/>
      <c r="C45" s="1025"/>
      <c r="D45" s="1026"/>
      <c r="E45" s="1026"/>
      <c r="F45" s="1059"/>
      <c r="G45" s="1054"/>
      <c r="H45" s="1055"/>
      <c r="I45" s="1056"/>
      <c r="J45" s="1111"/>
      <c r="K45" s="1115"/>
    </row>
    <row r="46" spans="1:11" ht="15.75">
      <c r="A46" s="1037"/>
      <c r="B46" s="1038"/>
      <c r="C46" s="1025"/>
      <c r="D46" s="1026"/>
      <c r="E46" s="1026"/>
      <c r="F46" s="1118"/>
      <c r="G46" s="1054"/>
      <c r="H46" s="1023"/>
      <c r="I46" s="1056"/>
      <c r="J46" s="1111"/>
      <c r="K46" s="1115"/>
    </row>
    <row r="47" spans="1:11" ht="15.75">
      <c r="A47" s="1037"/>
      <c r="B47" s="1038"/>
      <c r="C47" s="1026"/>
      <c r="D47" s="1026"/>
      <c r="E47" s="1026"/>
      <c r="F47" s="1059"/>
      <c r="G47" s="1054"/>
      <c r="H47" s="1055"/>
      <c r="I47" s="1056"/>
      <c r="J47" s="1111"/>
      <c r="K47" s="1115"/>
    </row>
    <row r="48" spans="1:11" ht="15.75">
      <c r="A48" s="1037"/>
      <c r="B48" s="1038"/>
      <c r="C48" s="1026"/>
      <c r="D48" s="1026"/>
      <c r="E48" s="1026"/>
      <c r="F48" s="1059"/>
      <c r="G48" s="1054"/>
      <c r="H48" s="1055"/>
      <c r="I48" s="1056"/>
      <c r="J48" s="1111"/>
      <c r="K48" s="1115"/>
    </row>
    <row r="49" spans="1:11" ht="16.5" thickBot="1">
      <c r="A49" s="1037"/>
      <c r="B49" s="1038"/>
      <c r="C49" s="1026"/>
      <c r="D49" s="1026"/>
      <c r="E49" s="1026"/>
      <c r="F49" s="1059"/>
      <c r="G49" s="1054"/>
      <c r="H49" s="1055"/>
      <c r="I49" s="1056"/>
      <c r="J49" s="1111"/>
      <c r="K49" s="1115"/>
    </row>
    <row r="50" spans="1:11" ht="20.25" thickBot="1">
      <c r="A50" s="1158"/>
      <c r="B50" s="1159"/>
      <c r="C50" s="1159"/>
      <c r="D50" s="1159"/>
      <c r="E50" s="1159"/>
      <c r="F50" s="1160">
        <f>SUM(F2:F49)</f>
        <v>125079.33999999997</v>
      </c>
      <c r="G50" s="1161"/>
      <c r="H50" s="1162">
        <f>SUM(H2:H49)</f>
        <v>12419.529999999999</v>
      </c>
      <c r="I50" s="1163">
        <f>SUM(I2:I49)</f>
        <v>1051.8800000000001</v>
      </c>
      <c r="J50" s="1164"/>
      <c r="K50" s="1157"/>
    </row>
  </sheetData>
  <autoFilter ref="A1:K1" xr:uid="{39868BF5-0163-40E0-B47F-1FD9CAED8C1F}">
    <sortState xmlns:xlrd2="http://schemas.microsoft.com/office/spreadsheetml/2017/richdata2" ref="A2:K34">
      <sortCondition ref="J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38D48-4D95-4B20-8B84-35E70A75B93C}">
  <dimension ref="A1:K53"/>
  <sheetViews>
    <sheetView zoomScale="85" zoomScaleNormal="85" workbookViewId="0">
      <selection activeCell="C32" sqref="C32"/>
    </sheetView>
  </sheetViews>
  <sheetFormatPr defaultColWidth="9.140625" defaultRowHeight="15"/>
  <cols>
    <col min="1" max="1" width="16.5703125" style="1190" bestFit="1" customWidth="1"/>
    <col min="2" max="2" width="13.5703125" style="1190" customWidth="1"/>
    <col min="3" max="3" width="43.85546875" style="1190" bestFit="1" customWidth="1"/>
    <col min="4" max="4" width="18.28515625" style="1190" bestFit="1" customWidth="1"/>
    <col min="5" max="5" width="14.140625" style="1190" bestFit="1" customWidth="1"/>
    <col min="6" max="6" width="23.28515625" style="1190" bestFit="1" customWidth="1"/>
    <col min="7" max="7" width="13.42578125" style="1190" bestFit="1" customWidth="1"/>
    <col min="8" max="8" width="24.85546875" style="1190" bestFit="1" customWidth="1"/>
    <col min="9" max="9" width="21" style="1190" bestFit="1" customWidth="1"/>
    <col min="10" max="10" width="13.7109375" style="1190" bestFit="1" customWidth="1"/>
    <col min="11" max="11" width="23.28515625" style="1190" bestFit="1" customWidth="1"/>
    <col min="12" max="16384" width="9.140625" style="1190"/>
  </cols>
  <sheetData>
    <row r="1" spans="1:11" ht="15" customHeight="1" thickBot="1">
      <c r="A1" s="1151" t="s">
        <v>1832</v>
      </c>
      <c r="B1" s="1152" t="s">
        <v>2</v>
      </c>
      <c r="C1" s="1152" t="s">
        <v>3</v>
      </c>
      <c r="D1" s="1152" t="s">
        <v>4</v>
      </c>
      <c r="E1" s="1152" t="s">
        <v>5</v>
      </c>
      <c r="F1" s="1153" t="s">
        <v>644</v>
      </c>
      <c r="G1" s="1154" t="s">
        <v>555</v>
      </c>
      <c r="H1" s="1155" t="s">
        <v>7</v>
      </c>
      <c r="I1" s="1156" t="s">
        <v>307</v>
      </c>
      <c r="J1" s="1154" t="s">
        <v>370</v>
      </c>
      <c r="K1" s="1116"/>
    </row>
    <row r="2" spans="1:11" ht="15.75">
      <c r="A2" s="1124">
        <v>45049</v>
      </c>
      <c r="B2" s="1125">
        <v>45415</v>
      </c>
      <c r="C2" s="1312" t="s">
        <v>2218</v>
      </c>
      <c r="D2" s="1028" t="s">
        <v>448</v>
      </c>
      <c r="E2" s="1028" t="s">
        <v>22</v>
      </c>
      <c r="F2" s="1126">
        <v>8167.52</v>
      </c>
      <c r="G2" s="1127">
        <v>0.1</v>
      </c>
      <c r="H2" s="1128">
        <v>751.41</v>
      </c>
      <c r="I2" s="1129" t="s">
        <v>2219</v>
      </c>
      <c r="J2" s="1130" t="s">
        <v>2220</v>
      </c>
      <c r="K2" s="1117" t="s">
        <v>1472</v>
      </c>
    </row>
    <row r="3" spans="1:11" ht="15.75">
      <c r="A3" s="1040">
        <v>45071</v>
      </c>
      <c r="B3" s="1042">
        <v>45437</v>
      </c>
      <c r="C3" s="1283" t="s">
        <v>2232</v>
      </c>
      <c r="D3" s="1030" t="s">
        <v>448</v>
      </c>
      <c r="E3" s="1030" t="s">
        <v>945</v>
      </c>
      <c r="F3" s="1120">
        <v>1429.29</v>
      </c>
      <c r="G3" s="1073">
        <v>0.1</v>
      </c>
      <c r="H3" s="1067">
        <v>131.49</v>
      </c>
      <c r="I3" s="1068">
        <v>13.14</v>
      </c>
      <c r="J3" s="1112" t="s">
        <v>1558</v>
      </c>
      <c r="K3" s="1117" t="s">
        <v>1472</v>
      </c>
    </row>
    <row r="4" spans="1:11" s="1230" customFormat="1" ht="15.75">
      <c r="A4" s="1040">
        <v>45062</v>
      </c>
      <c r="B4" s="1042" t="s">
        <v>1805</v>
      </c>
      <c r="C4" s="1027" t="s">
        <v>2240</v>
      </c>
      <c r="D4" s="1030" t="s">
        <v>61</v>
      </c>
      <c r="E4" s="1030" t="s">
        <v>1310</v>
      </c>
      <c r="F4" s="1072">
        <v>5242.6000000000004</v>
      </c>
      <c r="G4" s="1073">
        <v>0.1</v>
      </c>
      <c r="H4" s="1067">
        <v>482.31</v>
      </c>
      <c r="I4" s="1068">
        <v>48.23</v>
      </c>
      <c r="J4" s="1112" t="s">
        <v>1558</v>
      </c>
      <c r="K4" s="1117" t="s">
        <v>1805</v>
      </c>
    </row>
    <row r="5" spans="1:11" s="1031" customFormat="1" ht="15.75">
      <c r="A5" s="1223">
        <v>45048</v>
      </c>
      <c r="B5" s="1472">
        <v>45414</v>
      </c>
      <c r="C5" s="1410" t="s">
        <v>2044</v>
      </c>
      <c r="D5" s="1225" t="s">
        <v>448</v>
      </c>
      <c r="E5" s="1225" t="s">
        <v>948</v>
      </c>
      <c r="F5" s="1516">
        <v>2442.69</v>
      </c>
      <c r="G5" s="1480">
        <v>0.1</v>
      </c>
      <c r="H5" s="1226">
        <v>224.72</v>
      </c>
      <c r="I5" s="1227">
        <v>60</v>
      </c>
      <c r="J5" s="1228" t="s">
        <v>1726</v>
      </c>
      <c r="K5" s="1229" t="s">
        <v>2015</v>
      </c>
    </row>
    <row r="6" spans="1:11" s="1230" customFormat="1" ht="15.75">
      <c r="A6" s="1406">
        <v>45069</v>
      </c>
      <c r="B6" s="1406">
        <v>45435</v>
      </c>
      <c r="C6" s="1410" t="s">
        <v>2228</v>
      </c>
      <c r="D6" s="1224" t="s">
        <v>448</v>
      </c>
      <c r="E6" s="1224" t="s">
        <v>948</v>
      </c>
      <c r="F6" s="1407">
        <v>3109.99</v>
      </c>
      <c r="G6" s="1409">
        <v>0.1</v>
      </c>
      <c r="H6" s="1226">
        <v>286.11</v>
      </c>
      <c r="I6" s="1603">
        <v>60</v>
      </c>
      <c r="J6" s="1228" t="s">
        <v>1726</v>
      </c>
      <c r="K6" s="1231" t="s">
        <v>1472</v>
      </c>
    </row>
    <row r="7" spans="1:11" s="1230" customFormat="1" ht="15.75">
      <c r="A7" s="1223">
        <v>45072</v>
      </c>
      <c r="B7" s="1472">
        <v>45436</v>
      </c>
      <c r="C7" s="1410" t="s">
        <v>2229</v>
      </c>
      <c r="D7" s="1225" t="s">
        <v>448</v>
      </c>
      <c r="E7" s="1225" t="s">
        <v>948</v>
      </c>
      <c r="F7" s="1516">
        <v>1692.05</v>
      </c>
      <c r="G7" s="1480">
        <v>0.15</v>
      </c>
      <c r="H7" s="1232">
        <v>233.5</v>
      </c>
      <c r="I7" s="1227">
        <v>60</v>
      </c>
      <c r="J7" s="1228" t="s">
        <v>1726</v>
      </c>
      <c r="K7" s="1231" t="s">
        <v>1472</v>
      </c>
    </row>
    <row r="8" spans="1:11" s="1230" customFormat="1" ht="15.75">
      <c r="A8" s="1223">
        <v>45071</v>
      </c>
      <c r="B8" s="1472">
        <v>45437</v>
      </c>
      <c r="C8" s="1602" t="s">
        <v>1700</v>
      </c>
      <c r="D8" s="1225" t="s">
        <v>61</v>
      </c>
      <c r="E8" s="1225" t="s">
        <v>948</v>
      </c>
      <c r="F8" s="1407">
        <v>3643.54</v>
      </c>
      <c r="G8" s="1480">
        <v>0.1</v>
      </c>
      <c r="H8" s="1226">
        <v>335.2</v>
      </c>
      <c r="I8" s="1227">
        <v>60</v>
      </c>
      <c r="J8" s="1228" t="s">
        <v>1726</v>
      </c>
      <c r="K8" s="1231" t="s">
        <v>1472</v>
      </c>
    </row>
    <row r="9" spans="1:11" ht="15.75">
      <c r="A9" s="1037">
        <v>45058</v>
      </c>
      <c r="B9" s="1039">
        <v>45424</v>
      </c>
      <c r="C9" s="1085" t="s">
        <v>2041</v>
      </c>
      <c r="D9" s="1026" t="s">
        <v>448</v>
      </c>
      <c r="E9" s="1026" t="s">
        <v>945</v>
      </c>
      <c r="F9" s="1104">
        <v>1386.75</v>
      </c>
      <c r="G9" s="1062">
        <v>0.15</v>
      </c>
      <c r="H9" s="1055">
        <v>191.37</v>
      </c>
      <c r="I9" s="1056">
        <v>95.68</v>
      </c>
      <c r="J9" s="1111" t="s">
        <v>1577</v>
      </c>
      <c r="K9" s="1115" t="s">
        <v>2015</v>
      </c>
    </row>
    <row r="10" spans="1:11">
      <c r="A10" s="1046">
        <v>45064</v>
      </c>
      <c r="B10" s="1294" t="s">
        <v>2238</v>
      </c>
      <c r="C10" s="1085" t="s">
        <v>1991</v>
      </c>
      <c r="D10" s="1080" t="s">
        <v>25</v>
      </c>
      <c r="E10" s="1085" t="s">
        <v>1080</v>
      </c>
      <c r="F10" s="1296"/>
      <c r="G10" s="1101"/>
      <c r="H10" s="1083"/>
      <c r="I10" s="1084"/>
      <c r="J10" s="1184" t="s">
        <v>1577</v>
      </c>
      <c r="K10" s="1085" t="s">
        <v>2239</v>
      </c>
    </row>
    <row r="11" spans="1:11" ht="15.75">
      <c r="A11" s="1037">
        <v>45072</v>
      </c>
      <c r="B11" s="1039" t="s">
        <v>2242</v>
      </c>
      <c r="C11" s="1025" t="s">
        <v>2243</v>
      </c>
      <c r="D11" s="1026" t="s">
        <v>448</v>
      </c>
      <c r="E11" s="1026" t="s">
        <v>948</v>
      </c>
      <c r="F11" s="1071">
        <v>127.45</v>
      </c>
      <c r="G11" s="1062">
        <v>0.1</v>
      </c>
      <c r="H11" s="1055">
        <v>117.25</v>
      </c>
      <c r="I11" s="1056">
        <v>58.62</v>
      </c>
      <c r="J11" s="1111" t="s">
        <v>1577</v>
      </c>
      <c r="K11" s="1115" t="s">
        <v>1472</v>
      </c>
    </row>
    <row r="12" spans="1:11" ht="15.75">
      <c r="A12" s="1040">
        <v>45070</v>
      </c>
      <c r="B12" s="1042">
        <v>45436</v>
      </c>
      <c r="C12" s="1283" t="s">
        <v>2230</v>
      </c>
      <c r="D12" s="1030" t="s">
        <v>61</v>
      </c>
      <c r="E12" s="1030" t="s">
        <v>948</v>
      </c>
      <c r="F12" s="1072">
        <v>1943.34</v>
      </c>
      <c r="G12" s="1073">
        <v>0.2</v>
      </c>
      <c r="H12" s="1067">
        <v>357.57</v>
      </c>
      <c r="I12" s="1068">
        <v>35.75</v>
      </c>
      <c r="J12" s="1112" t="s">
        <v>2231</v>
      </c>
      <c r="K12" s="1117" t="s">
        <v>2015</v>
      </c>
    </row>
    <row r="13" spans="1:11" ht="15.75">
      <c r="A13" s="1037">
        <v>45070</v>
      </c>
      <c r="B13" s="1038">
        <v>45439</v>
      </c>
      <c r="C13" s="1249" t="s">
        <v>1758</v>
      </c>
      <c r="D13" s="1026" t="s">
        <v>9</v>
      </c>
      <c r="E13" s="1026" t="s">
        <v>1552</v>
      </c>
      <c r="F13" s="1059">
        <v>1565.67</v>
      </c>
      <c r="G13" s="1054">
        <v>0.15</v>
      </c>
      <c r="H13" s="1055">
        <v>216.06</v>
      </c>
      <c r="I13" s="1056">
        <v>108.03</v>
      </c>
      <c r="J13" s="1111" t="s">
        <v>1339</v>
      </c>
      <c r="K13" s="1115" t="s">
        <v>1472</v>
      </c>
    </row>
    <row r="14" spans="1:11" ht="15.75">
      <c r="A14" s="1039">
        <v>45056</v>
      </c>
      <c r="B14" s="1039">
        <v>45426</v>
      </c>
      <c r="C14" s="1248" t="s">
        <v>1373</v>
      </c>
      <c r="D14" s="1025" t="s">
        <v>61</v>
      </c>
      <c r="E14" s="1025" t="s">
        <v>458</v>
      </c>
      <c r="F14" s="1061">
        <v>2300.35</v>
      </c>
      <c r="G14" s="1062">
        <v>0.12</v>
      </c>
      <c r="H14" s="1055">
        <v>253.95</v>
      </c>
      <c r="I14" s="1063">
        <v>126.97</v>
      </c>
      <c r="J14" s="1111" t="s">
        <v>2094</v>
      </c>
      <c r="K14" s="1115" t="s">
        <v>2015</v>
      </c>
    </row>
    <row r="15" spans="1:11" ht="15.75">
      <c r="A15" s="1043">
        <v>45049</v>
      </c>
      <c r="B15" s="1044">
        <v>45416</v>
      </c>
      <c r="C15" s="1252" t="s">
        <v>1760</v>
      </c>
      <c r="D15" s="1075" t="s">
        <v>21</v>
      </c>
      <c r="E15" s="1075" t="s">
        <v>1080</v>
      </c>
      <c r="F15" s="1102">
        <v>601.29</v>
      </c>
      <c r="G15" s="1076">
        <v>0.15</v>
      </c>
      <c r="H15" s="1055">
        <v>82.97</v>
      </c>
      <c r="I15" s="1077">
        <v>41.48</v>
      </c>
      <c r="J15" s="1111" t="s">
        <v>1396</v>
      </c>
      <c r="K15" s="1115" t="s">
        <v>2015</v>
      </c>
    </row>
    <row r="16" spans="1:11" ht="15.75">
      <c r="A16" s="1037">
        <v>45072</v>
      </c>
      <c r="B16" s="1038">
        <v>45439</v>
      </c>
      <c r="C16" s="1026" t="s">
        <v>923</v>
      </c>
      <c r="D16" s="1026" t="s">
        <v>9</v>
      </c>
      <c r="E16" s="1026" t="s">
        <v>1641</v>
      </c>
      <c r="F16" s="1059">
        <v>2722.49</v>
      </c>
      <c r="G16" s="1054">
        <v>0.1</v>
      </c>
      <c r="H16" s="1055">
        <v>250.46</v>
      </c>
      <c r="I16" s="1056">
        <v>125.23</v>
      </c>
      <c r="J16" s="1111" t="s">
        <v>1396</v>
      </c>
      <c r="K16" s="1115" t="s">
        <v>2015</v>
      </c>
    </row>
    <row r="17" spans="1:11" s="1032" customFormat="1" ht="15.75">
      <c r="A17" s="1037">
        <v>45049</v>
      </c>
      <c r="B17" s="1038">
        <v>45414</v>
      </c>
      <c r="C17" s="1080" t="s">
        <v>2217</v>
      </c>
      <c r="D17" s="1026" t="s">
        <v>25</v>
      </c>
      <c r="E17" s="1026" t="s">
        <v>1310</v>
      </c>
      <c r="F17" s="1059">
        <v>1547.08</v>
      </c>
      <c r="G17" s="1054">
        <v>0.1</v>
      </c>
      <c r="H17" s="1055">
        <v>142.33000000000001</v>
      </c>
      <c r="I17" s="1056"/>
      <c r="J17" s="1111"/>
      <c r="K17" s="1115" t="s">
        <v>1472</v>
      </c>
    </row>
    <row r="18" spans="1:11" ht="15.75">
      <c r="A18" s="1037">
        <v>45049</v>
      </c>
      <c r="B18" s="1038">
        <v>45415</v>
      </c>
      <c r="C18" s="1246" t="s">
        <v>2221</v>
      </c>
      <c r="D18" s="1026" t="s">
        <v>70</v>
      </c>
      <c r="E18" s="1026" t="s">
        <v>1080</v>
      </c>
      <c r="F18" s="1191">
        <v>1617.88</v>
      </c>
      <c r="G18" s="1054">
        <v>0.1</v>
      </c>
      <c r="H18" s="1055">
        <v>148.84</v>
      </c>
      <c r="I18" s="1056"/>
      <c r="J18" s="1111"/>
      <c r="K18" s="1115" t="s">
        <v>1472</v>
      </c>
    </row>
    <row r="19" spans="1:11" ht="15.75">
      <c r="A19" s="1039">
        <v>45044</v>
      </c>
      <c r="B19" s="1039">
        <v>45416</v>
      </c>
      <c r="C19" s="1248" t="s">
        <v>1767</v>
      </c>
      <c r="D19" s="1025" t="s">
        <v>9</v>
      </c>
      <c r="E19" s="1025" t="s">
        <v>1552</v>
      </c>
      <c r="F19" s="1023">
        <v>1729.89</v>
      </c>
      <c r="G19" s="1062">
        <v>0.15</v>
      </c>
      <c r="H19" s="1055">
        <v>238.72</v>
      </c>
      <c r="I19" s="1063"/>
      <c r="J19" s="1111"/>
      <c r="K19" s="1115" t="s">
        <v>2015</v>
      </c>
    </row>
    <row r="20" spans="1:11" ht="15.75">
      <c r="A20" s="1043">
        <v>45050</v>
      </c>
      <c r="B20" s="1045">
        <v>45416</v>
      </c>
      <c r="C20" s="1249" t="s">
        <v>1581</v>
      </c>
      <c r="D20" s="1075" t="s">
        <v>25</v>
      </c>
      <c r="E20" s="1075" t="s">
        <v>1310</v>
      </c>
      <c r="F20" s="1102">
        <v>2996.08</v>
      </c>
      <c r="G20" s="1076">
        <v>0.1</v>
      </c>
      <c r="H20" s="1055">
        <v>275.63</v>
      </c>
      <c r="I20" s="1077"/>
      <c r="J20" s="1111"/>
      <c r="K20" s="1115" t="s">
        <v>2015</v>
      </c>
    </row>
    <row r="21" spans="1:11" ht="15.75">
      <c r="A21" s="1037">
        <v>45049</v>
      </c>
      <c r="B21" s="1038">
        <v>45416</v>
      </c>
      <c r="C21" s="1254" t="s">
        <v>2222</v>
      </c>
      <c r="D21" s="1026" t="s">
        <v>70</v>
      </c>
      <c r="E21" s="1026" t="s">
        <v>1080</v>
      </c>
      <c r="F21" s="1059">
        <v>1737.46</v>
      </c>
      <c r="G21" s="1054">
        <v>0.15</v>
      </c>
      <c r="H21" s="1055">
        <v>239.76</v>
      </c>
      <c r="I21" s="1056"/>
      <c r="J21" s="1111"/>
      <c r="K21" s="1115" t="s">
        <v>2015</v>
      </c>
    </row>
    <row r="22" spans="1:11" ht="15.75">
      <c r="A22" s="1037">
        <v>45050</v>
      </c>
      <c r="B22" s="1038">
        <v>45417</v>
      </c>
      <c r="C22" s="1248" t="s">
        <v>1366</v>
      </c>
      <c r="D22" s="1025" t="s">
        <v>448</v>
      </c>
      <c r="E22" s="1025" t="s">
        <v>948</v>
      </c>
      <c r="F22" s="1061">
        <v>3463.59</v>
      </c>
      <c r="G22" s="1062">
        <v>0.1</v>
      </c>
      <c r="H22" s="1055">
        <v>318.64999999999998</v>
      </c>
      <c r="I22" s="1056"/>
      <c r="J22" s="1111"/>
      <c r="K22" s="1115" t="s">
        <v>2015</v>
      </c>
    </row>
    <row r="23" spans="1:11" ht="15.75">
      <c r="A23" s="1037">
        <v>45050</v>
      </c>
      <c r="B23" s="1038">
        <v>45417</v>
      </c>
      <c r="C23" s="1248" t="s">
        <v>2047</v>
      </c>
      <c r="D23" s="1025" t="s">
        <v>448</v>
      </c>
      <c r="E23" s="1025" t="s">
        <v>948</v>
      </c>
      <c r="F23" s="1061">
        <v>4129.45</v>
      </c>
      <c r="G23" s="1062">
        <v>0.1</v>
      </c>
      <c r="H23" s="1055">
        <v>379.9</v>
      </c>
      <c r="I23" s="1056"/>
      <c r="J23" s="1111"/>
      <c r="K23" s="1115" t="s">
        <v>2015</v>
      </c>
    </row>
    <row r="24" spans="1:11" ht="15.75">
      <c r="A24" s="1037">
        <v>45051</v>
      </c>
      <c r="B24" s="1038">
        <v>45417</v>
      </c>
      <c r="C24" s="1246" t="s">
        <v>2223</v>
      </c>
      <c r="D24" s="1026" t="s">
        <v>21</v>
      </c>
      <c r="E24" s="1025" t="s">
        <v>945</v>
      </c>
      <c r="F24" s="1061">
        <v>5410.86</v>
      </c>
      <c r="G24" s="1062">
        <v>0.15</v>
      </c>
      <c r="H24" s="1055">
        <v>746.69</v>
      </c>
      <c r="I24" s="1056"/>
      <c r="J24" s="1111"/>
      <c r="K24" s="1115" t="s">
        <v>1472</v>
      </c>
    </row>
    <row r="25" spans="1:11" ht="15.75">
      <c r="A25" s="1037">
        <v>45051</v>
      </c>
      <c r="B25" s="1038">
        <v>45419</v>
      </c>
      <c r="C25" s="1248" t="s">
        <v>258</v>
      </c>
      <c r="D25" s="1026" t="s">
        <v>9</v>
      </c>
      <c r="E25" s="1025" t="s">
        <v>948</v>
      </c>
      <c r="F25" s="1061">
        <v>2234.71</v>
      </c>
      <c r="G25" s="1062">
        <v>0.13</v>
      </c>
      <c r="H25" s="1088">
        <v>267.27</v>
      </c>
      <c r="I25" s="1089"/>
      <c r="J25" s="1111"/>
      <c r="K25" s="1115" t="s">
        <v>2015</v>
      </c>
    </row>
    <row r="26" spans="1:11" ht="15.75">
      <c r="A26" s="1037">
        <v>45049</v>
      </c>
      <c r="B26" s="1038">
        <v>45419</v>
      </c>
      <c r="C26" s="1248" t="s">
        <v>1383</v>
      </c>
      <c r="D26" s="1026" t="s">
        <v>448</v>
      </c>
      <c r="E26" s="1025" t="s">
        <v>458</v>
      </c>
      <c r="F26" s="1061">
        <v>2764.52</v>
      </c>
      <c r="G26" s="1062">
        <v>0.15</v>
      </c>
      <c r="H26" s="1055">
        <v>381.5</v>
      </c>
      <c r="I26" s="1056"/>
      <c r="J26" s="1111"/>
      <c r="K26" s="1116" t="s">
        <v>2015</v>
      </c>
    </row>
    <row r="27" spans="1:11" ht="15.75">
      <c r="A27" s="1037">
        <v>45050</v>
      </c>
      <c r="B27" s="1038">
        <v>45421</v>
      </c>
      <c r="C27" s="1252" t="s">
        <v>1367</v>
      </c>
      <c r="D27" s="1026" t="s">
        <v>1862</v>
      </c>
      <c r="E27" s="1025" t="s">
        <v>948</v>
      </c>
      <c r="F27" s="1061">
        <v>1260.43</v>
      </c>
      <c r="G27" s="1062">
        <v>0.15</v>
      </c>
      <c r="H27" s="1055">
        <v>173.93</v>
      </c>
      <c r="I27" s="1056"/>
      <c r="J27" s="1111"/>
      <c r="K27" s="1115" t="s">
        <v>2015</v>
      </c>
    </row>
    <row r="28" spans="1:11" s="1192" customFormat="1" ht="15.75">
      <c r="A28" s="1039">
        <v>45051</v>
      </c>
      <c r="B28" s="1039">
        <v>45421</v>
      </c>
      <c r="C28" s="1248" t="s">
        <v>1379</v>
      </c>
      <c r="D28" s="1025" t="s">
        <v>304</v>
      </c>
      <c r="E28" s="1025" t="s">
        <v>948</v>
      </c>
      <c r="F28" s="1061">
        <v>1151.52</v>
      </c>
      <c r="G28" s="1062">
        <v>0.15</v>
      </c>
      <c r="H28" s="1055">
        <v>158.9</v>
      </c>
      <c r="I28" s="1056"/>
      <c r="J28" s="1111"/>
      <c r="K28" s="1115" t="s">
        <v>2015</v>
      </c>
    </row>
    <row r="29" spans="1:11" ht="15.75">
      <c r="A29" s="1039">
        <v>45057</v>
      </c>
      <c r="B29" s="1039">
        <v>45423</v>
      </c>
      <c r="C29" s="1248" t="s">
        <v>1378</v>
      </c>
      <c r="D29" s="1025" t="s">
        <v>448</v>
      </c>
      <c r="E29" s="1025" t="s">
        <v>948</v>
      </c>
      <c r="F29" s="1061">
        <v>4527.58</v>
      </c>
      <c r="G29" s="1062">
        <v>0.1</v>
      </c>
      <c r="H29" s="1055">
        <v>416.53</v>
      </c>
      <c r="I29" s="1056"/>
      <c r="J29" s="1111"/>
      <c r="K29" s="1115" t="s">
        <v>2015</v>
      </c>
    </row>
    <row r="30" spans="1:11" ht="15.75">
      <c r="A30" s="1039">
        <v>45055</v>
      </c>
      <c r="B30" s="1039">
        <v>45426</v>
      </c>
      <c r="C30" s="1248" t="s">
        <v>1770</v>
      </c>
      <c r="D30" s="1025" t="s">
        <v>149</v>
      </c>
      <c r="E30" s="1025" t="s">
        <v>458</v>
      </c>
      <c r="F30" s="1061">
        <v>2587.35</v>
      </c>
      <c r="G30" s="1062">
        <v>0.15</v>
      </c>
      <c r="H30" s="1055">
        <v>357.05</v>
      </c>
      <c r="I30" s="1056"/>
      <c r="J30" s="1111"/>
      <c r="K30" s="1115" t="s">
        <v>2015</v>
      </c>
    </row>
    <row r="31" spans="1:11" ht="15.75">
      <c r="A31" s="1037">
        <v>45061</v>
      </c>
      <c r="B31" s="1039">
        <v>45427</v>
      </c>
      <c r="C31" s="1248" t="s">
        <v>1769</v>
      </c>
      <c r="D31" s="1026" t="s">
        <v>448</v>
      </c>
      <c r="E31" s="1025" t="s">
        <v>22</v>
      </c>
      <c r="F31" s="1061">
        <v>2457.39</v>
      </c>
      <c r="G31" s="1062">
        <v>0.15</v>
      </c>
      <c r="H31" s="1055">
        <v>339.11</v>
      </c>
      <c r="I31" s="1056"/>
      <c r="J31" s="1111"/>
      <c r="K31" s="1115" t="s">
        <v>2015</v>
      </c>
    </row>
    <row r="32" spans="1:11" ht="15.75">
      <c r="A32" s="1037">
        <v>45058</v>
      </c>
      <c r="B32" s="1039">
        <v>45428</v>
      </c>
      <c r="C32" s="1248" t="s">
        <v>2224</v>
      </c>
      <c r="D32" s="1026" t="s">
        <v>448</v>
      </c>
      <c r="E32" s="1025" t="s">
        <v>458</v>
      </c>
      <c r="F32" s="1023">
        <v>2672.64</v>
      </c>
      <c r="G32" s="1062">
        <v>0.15</v>
      </c>
      <c r="H32" s="1055">
        <v>368.82</v>
      </c>
      <c r="I32" s="1056"/>
      <c r="J32" s="1111"/>
      <c r="K32" s="1115" t="s">
        <v>2015</v>
      </c>
    </row>
    <row r="33" spans="1:11" ht="15.75">
      <c r="A33" s="1037">
        <v>45062</v>
      </c>
      <c r="B33" s="1039">
        <v>45428</v>
      </c>
      <c r="C33" s="1248" t="s">
        <v>1773</v>
      </c>
      <c r="D33" s="1026" t="s">
        <v>448</v>
      </c>
      <c r="E33" s="1025" t="s">
        <v>945</v>
      </c>
      <c r="F33" s="1023">
        <v>2657.54</v>
      </c>
      <c r="G33" s="1062">
        <v>0.1</v>
      </c>
      <c r="H33" s="1023">
        <v>244.49</v>
      </c>
      <c r="I33" s="1056"/>
      <c r="J33" s="1111"/>
      <c r="K33" s="1115" t="s">
        <v>2015</v>
      </c>
    </row>
    <row r="34" spans="1:11" ht="15.75">
      <c r="A34" s="1037">
        <v>45058</v>
      </c>
      <c r="B34" s="1039">
        <v>45429</v>
      </c>
      <c r="C34" s="1248" t="s">
        <v>2225</v>
      </c>
      <c r="D34" s="1026" t="s">
        <v>9</v>
      </c>
      <c r="E34" s="1025" t="s">
        <v>1080</v>
      </c>
      <c r="F34" s="1023">
        <v>1069.71</v>
      </c>
      <c r="G34" s="1062">
        <v>0.2</v>
      </c>
      <c r="H34" s="1055">
        <v>196.82</v>
      </c>
      <c r="I34" s="1056"/>
      <c r="J34" s="1111"/>
      <c r="K34" s="1115" t="s">
        <v>1472</v>
      </c>
    </row>
    <row r="35" spans="1:11" ht="15.75">
      <c r="A35" s="1037">
        <v>45058</v>
      </c>
      <c r="B35" s="1039">
        <v>45431</v>
      </c>
      <c r="C35" s="1252" t="s">
        <v>1774</v>
      </c>
      <c r="D35" s="1026" t="s">
        <v>448</v>
      </c>
      <c r="E35" s="1025" t="s">
        <v>948</v>
      </c>
      <c r="F35" s="1061">
        <v>1453.96</v>
      </c>
      <c r="G35" s="1062">
        <v>0.15</v>
      </c>
      <c r="H35" s="1055">
        <v>200.64</v>
      </c>
      <c r="I35" s="1056"/>
      <c r="J35" s="1111"/>
      <c r="K35" s="1116" t="s">
        <v>2015</v>
      </c>
    </row>
    <row r="36" spans="1:11" ht="15.75">
      <c r="A36" s="1037">
        <v>45064</v>
      </c>
      <c r="B36" s="1039">
        <v>45433</v>
      </c>
      <c r="C36" s="1248" t="s">
        <v>2226</v>
      </c>
      <c r="D36" s="1026" t="s">
        <v>448</v>
      </c>
      <c r="E36" s="1026" t="s">
        <v>948</v>
      </c>
      <c r="F36" s="1071">
        <v>2242.54</v>
      </c>
      <c r="G36" s="1062">
        <v>0.1</v>
      </c>
      <c r="H36" s="1055">
        <v>206.21</v>
      </c>
      <c r="I36" s="1056"/>
      <c r="J36" s="1111"/>
      <c r="K36" s="1115" t="s">
        <v>2015</v>
      </c>
    </row>
    <row r="37" spans="1:11" s="1222" customFormat="1" ht="15.75">
      <c r="A37" s="1037">
        <v>45068</v>
      </c>
      <c r="B37" s="1038">
        <v>45433</v>
      </c>
      <c r="C37" s="1248" t="s">
        <v>31</v>
      </c>
      <c r="D37" s="1026" t="s">
        <v>9</v>
      </c>
      <c r="E37" s="1026" t="s">
        <v>948</v>
      </c>
      <c r="F37" s="1059">
        <v>1881.32</v>
      </c>
      <c r="G37" s="1054">
        <v>0.15</v>
      </c>
      <c r="H37" s="1055">
        <v>259.62</v>
      </c>
      <c r="I37" s="1056"/>
      <c r="J37" s="1111"/>
      <c r="K37" s="1115" t="s">
        <v>2015</v>
      </c>
    </row>
    <row r="38" spans="1:11" ht="15.75">
      <c r="A38" s="1037">
        <v>45072</v>
      </c>
      <c r="B38" s="1038">
        <v>45433</v>
      </c>
      <c r="C38" s="1248" t="s">
        <v>1162</v>
      </c>
      <c r="D38" s="1026" t="s">
        <v>70</v>
      </c>
      <c r="E38" s="1026" t="s">
        <v>948</v>
      </c>
      <c r="F38" s="1059">
        <v>4541.37</v>
      </c>
      <c r="G38" s="1054">
        <v>0.1</v>
      </c>
      <c r="H38" s="1055">
        <v>417.8</v>
      </c>
      <c r="I38" s="1056"/>
      <c r="J38" s="1111"/>
      <c r="K38" s="1115" t="s">
        <v>2015</v>
      </c>
    </row>
    <row r="39" spans="1:11" ht="15.75">
      <c r="A39" s="1037">
        <v>45068</v>
      </c>
      <c r="B39" s="1038">
        <v>45434</v>
      </c>
      <c r="C39" s="1248" t="s">
        <v>2227</v>
      </c>
      <c r="D39" s="1026" t="s">
        <v>9</v>
      </c>
      <c r="E39" s="1026" t="s">
        <v>458</v>
      </c>
      <c r="F39" s="1059">
        <v>2809.27</v>
      </c>
      <c r="G39" s="1054">
        <v>0.15</v>
      </c>
      <c r="H39" s="1055">
        <v>387.67</v>
      </c>
      <c r="I39" s="1056"/>
      <c r="J39" s="1111"/>
      <c r="K39" s="1115" t="s">
        <v>2015</v>
      </c>
    </row>
    <row r="40" spans="1:11" ht="15.75">
      <c r="A40" s="1037">
        <v>45068</v>
      </c>
      <c r="B40" s="1038">
        <v>45435</v>
      </c>
      <c r="C40" s="1248" t="s">
        <v>1772</v>
      </c>
      <c r="D40" s="1026" t="s">
        <v>14</v>
      </c>
      <c r="E40" s="1026" t="s">
        <v>948</v>
      </c>
      <c r="F40" s="1059">
        <v>2138.9499999999998</v>
      </c>
      <c r="G40" s="1054">
        <v>0.15</v>
      </c>
      <c r="H40" s="1055">
        <v>295.17</v>
      </c>
      <c r="I40" s="1056"/>
      <c r="J40" s="1111"/>
      <c r="K40" s="1115" t="s">
        <v>2015</v>
      </c>
    </row>
    <row r="41" spans="1:11" ht="15.75">
      <c r="A41" s="1037">
        <v>45064</v>
      </c>
      <c r="B41" s="1038">
        <v>45436</v>
      </c>
      <c r="C41" s="1248" t="s">
        <v>715</v>
      </c>
      <c r="D41" s="1026" t="s">
        <v>448</v>
      </c>
      <c r="E41" s="1026" t="s">
        <v>948</v>
      </c>
      <c r="F41" s="1059">
        <v>2261.5300000000002</v>
      </c>
      <c r="G41" s="1054">
        <v>0.15</v>
      </c>
      <c r="H41" s="1055">
        <v>312.08999999999997</v>
      </c>
      <c r="I41" s="1056"/>
      <c r="J41" s="1111"/>
      <c r="K41" s="1115" t="s">
        <v>2015</v>
      </c>
    </row>
    <row r="42" spans="1:11" s="1222" customFormat="1" ht="15.75">
      <c r="A42" s="1037">
        <v>45069</v>
      </c>
      <c r="B42" s="1038">
        <v>45436</v>
      </c>
      <c r="C42" s="1248" t="s">
        <v>2053</v>
      </c>
      <c r="D42" s="1026" t="s">
        <v>61</v>
      </c>
      <c r="E42" s="1026" t="s">
        <v>948</v>
      </c>
      <c r="F42" s="1059">
        <v>1016.96</v>
      </c>
      <c r="G42" s="1054">
        <v>0.1</v>
      </c>
      <c r="H42" s="1055">
        <v>93.56</v>
      </c>
      <c r="I42" s="1056"/>
      <c r="J42" s="1111"/>
      <c r="K42" s="1115" t="s">
        <v>2015</v>
      </c>
    </row>
    <row r="43" spans="1:11" ht="15.75">
      <c r="A43" s="1037">
        <v>45072</v>
      </c>
      <c r="B43" s="1038">
        <v>45439</v>
      </c>
      <c r="C43" s="1246" t="s">
        <v>2073</v>
      </c>
      <c r="D43" s="1026" t="s">
        <v>448</v>
      </c>
      <c r="E43" s="1026" t="s">
        <v>948</v>
      </c>
      <c r="F43" s="1059">
        <v>3719.67</v>
      </c>
      <c r="G43" s="1054">
        <v>0.1</v>
      </c>
      <c r="H43" s="1055">
        <v>342.2</v>
      </c>
      <c r="I43" s="1056"/>
      <c r="J43" s="1111"/>
      <c r="K43" s="1115" t="s">
        <v>2015</v>
      </c>
    </row>
    <row r="44" spans="1:11" ht="15.75">
      <c r="A44" s="1037">
        <v>45072</v>
      </c>
      <c r="B44" s="1038">
        <v>45439</v>
      </c>
      <c r="C44" s="1246" t="s">
        <v>2233</v>
      </c>
      <c r="D44" s="1026" t="s">
        <v>33</v>
      </c>
      <c r="E44" s="1026" t="s">
        <v>458</v>
      </c>
      <c r="F44" s="1059">
        <v>4144.45</v>
      </c>
      <c r="G44" s="1054">
        <v>0.15</v>
      </c>
      <c r="H44" s="1055">
        <v>571.92999999999995</v>
      </c>
      <c r="I44" s="1056"/>
      <c r="J44" s="1111"/>
      <c r="K44" s="1115" t="s">
        <v>2015</v>
      </c>
    </row>
    <row r="45" spans="1:11" ht="15.75">
      <c r="A45" s="1037">
        <v>45072</v>
      </c>
      <c r="B45" s="1038">
        <v>45439</v>
      </c>
      <c r="C45" s="1248" t="s">
        <v>2056</v>
      </c>
      <c r="D45" s="1026" t="s">
        <v>448</v>
      </c>
      <c r="E45" s="1026" t="s">
        <v>1080</v>
      </c>
      <c r="F45" s="1053">
        <v>824.05</v>
      </c>
      <c r="G45" s="1054">
        <v>0.25</v>
      </c>
      <c r="H45" s="1023">
        <v>189.53</v>
      </c>
      <c r="I45" s="1056"/>
      <c r="J45" s="1111"/>
      <c r="K45" s="1115" t="s">
        <v>2015</v>
      </c>
    </row>
    <row r="46" spans="1:11" ht="15.75">
      <c r="A46" s="1037">
        <v>45164</v>
      </c>
      <c r="B46" s="1038">
        <v>45440</v>
      </c>
      <c r="C46" s="1248" t="s">
        <v>2234</v>
      </c>
      <c r="D46" s="1026" t="s">
        <v>2235</v>
      </c>
      <c r="E46" s="1026" t="s">
        <v>948</v>
      </c>
      <c r="F46" s="1059">
        <v>1642.45</v>
      </c>
      <c r="G46" s="1054">
        <v>0.1</v>
      </c>
      <c r="H46" s="1055">
        <v>151.1</v>
      </c>
      <c r="I46" s="1056"/>
      <c r="J46" s="1111"/>
      <c r="K46" s="1115" t="s">
        <v>2015</v>
      </c>
    </row>
    <row r="47" spans="1:11" ht="15.75">
      <c r="A47" s="1037">
        <v>45075</v>
      </c>
      <c r="B47" s="1038">
        <v>45441</v>
      </c>
      <c r="C47" s="1246" t="s">
        <v>1999</v>
      </c>
      <c r="D47" s="1026" t="s">
        <v>9</v>
      </c>
      <c r="E47" s="1026" t="s">
        <v>1593</v>
      </c>
      <c r="F47" s="1059">
        <v>1734.86</v>
      </c>
      <c r="G47" s="1054">
        <v>0.1</v>
      </c>
      <c r="H47" s="1055">
        <v>159.6</v>
      </c>
      <c r="I47" s="1056"/>
      <c r="J47" s="1111"/>
      <c r="K47" s="1115" t="s">
        <v>1472</v>
      </c>
    </row>
    <row r="48" spans="1:11" ht="15.75">
      <c r="A48" s="1037">
        <v>45071</v>
      </c>
      <c r="B48" s="1038">
        <v>45441</v>
      </c>
      <c r="C48" s="1246" t="s">
        <v>2236</v>
      </c>
      <c r="D48" s="1026" t="s">
        <v>61</v>
      </c>
      <c r="E48" s="1026" t="s">
        <v>1044</v>
      </c>
      <c r="F48" s="1059">
        <v>1859.64</v>
      </c>
      <c r="G48" s="1054">
        <v>0.2</v>
      </c>
      <c r="H48" s="1055">
        <v>342.17</v>
      </c>
      <c r="I48" s="1056"/>
      <c r="J48" s="1111"/>
      <c r="K48" s="1115" t="s">
        <v>2015</v>
      </c>
    </row>
    <row r="49" spans="1:11" ht="15.75">
      <c r="A49" s="1037">
        <v>45071</v>
      </c>
      <c r="B49" s="1038">
        <v>45442</v>
      </c>
      <c r="C49" s="1246" t="s">
        <v>1392</v>
      </c>
      <c r="D49" s="1026" t="s">
        <v>61</v>
      </c>
      <c r="E49" s="1026" t="s">
        <v>948</v>
      </c>
      <c r="F49" s="1059">
        <v>2594.2600000000002</v>
      </c>
      <c r="G49" s="1054">
        <v>0.2</v>
      </c>
      <c r="H49" s="1055">
        <v>477.34</v>
      </c>
      <c r="I49" s="1056"/>
      <c r="J49" s="1111"/>
      <c r="K49" s="1115" t="s">
        <v>2015</v>
      </c>
    </row>
    <row r="50" spans="1:11" ht="15.75">
      <c r="A50" s="1037">
        <v>45077</v>
      </c>
      <c r="B50" s="1038">
        <v>45443</v>
      </c>
      <c r="C50" s="1246" t="s">
        <v>2237</v>
      </c>
      <c r="D50" s="1026" t="s">
        <v>448</v>
      </c>
      <c r="E50" s="1026" t="s">
        <v>1080</v>
      </c>
      <c r="F50" s="1059">
        <v>1128.46</v>
      </c>
      <c r="G50" s="1054">
        <v>0.1</v>
      </c>
      <c r="H50" s="1055">
        <v>103.81</v>
      </c>
      <c r="I50" s="1056"/>
      <c r="J50" s="1111"/>
      <c r="K50" s="1115" t="s">
        <v>1472</v>
      </c>
    </row>
    <row r="51" spans="1:11" ht="15.75">
      <c r="A51" s="1037">
        <v>45055</v>
      </c>
      <c r="B51" s="1038" t="s">
        <v>1805</v>
      </c>
      <c r="C51" s="1026" t="s">
        <v>2241</v>
      </c>
      <c r="D51" s="1026" t="s">
        <v>21</v>
      </c>
      <c r="E51" s="1026" t="s">
        <v>458</v>
      </c>
      <c r="F51" s="1059">
        <v>584.44000000000005</v>
      </c>
      <c r="G51" s="1054">
        <v>0.15</v>
      </c>
      <c r="H51" s="1055">
        <v>80.650000000000006</v>
      </c>
      <c r="I51" s="1056"/>
      <c r="J51" s="1111"/>
      <c r="K51" s="1115" t="s">
        <v>1805</v>
      </c>
    </row>
    <row r="52" spans="1:11" ht="16.5" thickBot="1">
      <c r="A52" s="1037">
        <v>45044</v>
      </c>
      <c r="B52" s="1038" t="s">
        <v>1805</v>
      </c>
      <c r="C52" s="1026" t="s">
        <v>139</v>
      </c>
      <c r="D52" s="1026" t="s">
        <v>70</v>
      </c>
      <c r="E52" s="1026" t="s">
        <v>1080</v>
      </c>
      <c r="F52" s="1059">
        <v>954.8</v>
      </c>
      <c r="G52" s="1054">
        <v>0.1</v>
      </c>
      <c r="H52" s="1055">
        <v>87.84</v>
      </c>
      <c r="I52" s="1056"/>
      <c r="J52" s="1111"/>
      <c r="K52" s="1115" t="s">
        <v>1805</v>
      </c>
    </row>
    <row r="53" spans="1:11" ht="20.25" thickBot="1">
      <c r="A53" s="1158"/>
      <c r="B53" s="1159"/>
      <c r="C53" s="1159"/>
      <c r="D53" s="1159"/>
      <c r="E53" s="1159"/>
      <c r="F53" s="1160">
        <f>SUM(F2:F52)</f>
        <v>119923.68000000001</v>
      </c>
      <c r="G53" s="1161"/>
      <c r="H53" s="1162">
        <f>SUM(H2:H52)</f>
        <v>13988.24</v>
      </c>
      <c r="I53" s="1163">
        <f>SUM(I2:I52)</f>
        <v>893.13000000000011</v>
      </c>
      <c r="J53" s="1193"/>
      <c r="K53" s="1116"/>
    </row>
  </sheetData>
  <autoFilter ref="A1:K53" xr:uid="{09738D48-4D95-4B20-8B84-35E70A75B93C}">
    <sortState xmlns:xlrd2="http://schemas.microsoft.com/office/spreadsheetml/2017/richdata2" ref="A2:K53">
      <sortCondition ref="J1:J53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1B458-1301-4C95-9621-5EEE7A885A98}">
  <dimension ref="A1:K46"/>
  <sheetViews>
    <sheetView zoomScale="85" zoomScaleNormal="85" workbookViewId="0">
      <selection activeCell="C2" sqref="C2"/>
    </sheetView>
  </sheetViews>
  <sheetFormatPr defaultColWidth="9.140625" defaultRowHeight="15"/>
  <cols>
    <col min="1" max="1" width="16.5703125" style="1058" bestFit="1" customWidth="1"/>
    <col min="2" max="2" width="13.5703125" style="1058" customWidth="1"/>
    <col min="3" max="3" width="51.5703125" style="1165" bestFit="1" customWidth="1"/>
    <col min="4" max="4" width="18.28515625" style="1058" bestFit="1" customWidth="1"/>
    <col min="5" max="5" width="14.140625" style="1058" bestFit="1" customWidth="1"/>
    <col min="6" max="6" width="23.28515625" style="1058" bestFit="1" customWidth="1"/>
    <col min="7" max="7" width="13.42578125" style="1058" bestFit="1" customWidth="1"/>
    <col min="8" max="8" width="24.85546875" style="1058" bestFit="1" customWidth="1"/>
    <col min="9" max="9" width="23.28515625" style="1058" bestFit="1" customWidth="1"/>
    <col min="10" max="10" width="13.7109375" style="1058" bestFit="1" customWidth="1"/>
    <col min="11" max="11" width="17" style="1058" bestFit="1" customWidth="1"/>
    <col min="12" max="16384" width="9.140625" style="1058"/>
  </cols>
  <sheetData>
    <row r="1" spans="1:11" ht="15" customHeight="1" thickBot="1">
      <c r="A1" s="1151" t="s">
        <v>1832</v>
      </c>
      <c r="B1" s="1152" t="s">
        <v>2</v>
      </c>
      <c r="C1" s="1152" t="s">
        <v>3</v>
      </c>
      <c r="D1" s="1152" t="s">
        <v>4</v>
      </c>
      <c r="E1" s="1152" t="s">
        <v>5</v>
      </c>
      <c r="F1" s="1153" t="s">
        <v>644</v>
      </c>
      <c r="G1" s="1154" t="s">
        <v>555</v>
      </c>
      <c r="H1" s="1155" t="s">
        <v>7</v>
      </c>
      <c r="I1" s="1156" t="s">
        <v>307</v>
      </c>
      <c r="J1" s="1154" t="s">
        <v>370</v>
      </c>
      <c r="K1" s="1157"/>
    </row>
    <row r="2" spans="1:11" ht="15.75">
      <c r="A2" s="1040">
        <v>45078</v>
      </c>
      <c r="B2" s="1042">
        <v>45444</v>
      </c>
      <c r="C2" s="1085" t="s">
        <v>2244</v>
      </c>
      <c r="D2" s="1030" t="s">
        <v>21</v>
      </c>
      <c r="E2" s="1030" t="s">
        <v>945</v>
      </c>
      <c r="F2" s="1434">
        <v>3850.92</v>
      </c>
      <c r="G2" s="1073">
        <v>0.1</v>
      </c>
      <c r="H2" s="1067">
        <v>354.28</v>
      </c>
      <c r="I2" s="1068">
        <v>35.42</v>
      </c>
      <c r="J2" s="1112" t="s">
        <v>1558</v>
      </c>
      <c r="K2" s="1117" t="s">
        <v>1472</v>
      </c>
    </row>
    <row r="3" spans="1:11" s="1070" customFormat="1" ht="15.75">
      <c r="A3" s="1040">
        <v>45079</v>
      </c>
      <c r="B3" s="1042">
        <v>45445</v>
      </c>
      <c r="C3" s="1085" t="s">
        <v>2058</v>
      </c>
      <c r="D3" s="1030" t="s">
        <v>9</v>
      </c>
      <c r="E3" s="1030" t="s">
        <v>1641</v>
      </c>
      <c r="F3" s="1072">
        <v>6261.87</v>
      </c>
      <c r="G3" s="1073">
        <v>0.1</v>
      </c>
      <c r="H3" s="1067">
        <v>576.09</v>
      </c>
      <c r="I3" s="1068">
        <v>57.6</v>
      </c>
      <c r="J3" s="1112" t="s">
        <v>1558</v>
      </c>
      <c r="K3" s="1117" t="s">
        <v>2015</v>
      </c>
    </row>
    <row r="4" spans="1:11" s="1189" customFormat="1" ht="15.75">
      <c r="A4" s="1040">
        <v>45082</v>
      </c>
      <c r="B4" s="1042">
        <v>45449</v>
      </c>
      <c r="C4" s="1283" t="s">
        <v>1779</v>
      </c>
      <c r="D4" s="1030" t="s">
        <v>448</v>
      </c>
      <c r="E4" s="1030" t="s">
        <v>948</v>
      </c>
      <c r="F4" s="1072">
        <v>1584.93</v>
      </c>
      <c r="G4" s="1073">
        <v>0.1</v>
      </c>
      <c r="H4" s="1067">
        <v>145.81</v>
      </c>
      <c r="I4" s="1068">
        <v>14.58</v>
      </c>
      <c r="J4" s="1112" t="s">
        <v>1558</v>
      </c>
      <c r="K4" s="1117" t="s">
        <v>2015</v>
      </c>
    </row>
    <row r="5" spans="1:11" ht="15.75">
      <c r="A5" s="1041">
        <v>45083</v>
      </c>
      <c r="B5" s="1041">
        <v>45449</v>
      </c>
      <c r="C5" s="1283" t="s">
        <v>2245</v>
      </c>
      <c r="D5" s="1027" t="s">
        <v>70</v>
      </c>
      <c r="E5" s="1027" t="s">
        <v>1080</v>
      </c>
      <c r="F5" s="1065">
        <v>7417.15</v>
      </c>
      <c r="G5" s="1066">
        <v>0.1</v>
      </c>
      <c r="H5" s="1067">
        <v>682.37</v>
      </c>
      <c r="I5" s="1122">
        <v>68.23</v>
      </c>
      <c r="J5" s="1112" t="s">
        <v>1558</v>
      </c>
      <c r="K5" s="1117" t="s">
        <v>1472</v>
      </c>
    </row>
    <row r="6" spans="1:11" ht="15.75">
      <c r="A6" s="1040">
        <v>45099</v>
      </c>
      <c r="B6" s="1042">
        <v>45465</v>
      </c>
      <c r="C6" s="1283" t="s">
        <v>2246</v>
      </c>
      <c r="D6" s="1030" t="s">
        <v>9</v>
      </c>
      <c r="E6" s="1030" t="s">
        <v>1080</v>
      </c>
      <c r="F6" s="1072">
        <v>961.75</v>
      </c>
      <c r="G6" s="1073">
        <v>0.1</v>
      </c>
      <c r="H6" s="1067">
        <v>88.48</v>
      </c>
      <c r="I6" s="1068">
        <v>8.84</v>
      </c>
      <c r="J6" s="1112" t="s">
        <v>1558</v>
      </c>
      <c r="K6" s="1117" t="s">
        <v>2015</v>
      </c>
    </row>
    <row r="7" spans="1:11" ht="15.75">
      <c r="A7" s="1037">
        <v>45075</v>
      </c>
      <c r="B7" s="1038">
        <v>45445</v>
      </c>
      <c r="C7" s="1246" t="s">
        <v>1465</v>
      </c>
      <c r="D7" s="1026" t="s">
        <v>9</v>
      </c>
      <c r="E7" s="1026" t="s">
        <v>948</v>
      </c>
      <c r="F7" s="1023">
        <v>1272.31</v>
      </c>
      <c r="G7" s="1054">
        <v>0.15</v>
      </c>
      <c r="H7" s="1055">
        <v>175.57</v>
      </c>
      <c r="I7" s="1056">
        <v>87.78</v>
      </c>
      <c r="J7" s="1111" t="s">
        <v>2094</v>
      </c>
      <c r="K7" s="1116" t="s">
        <v>2015</v>
      </c>
    </row>
    <row r="8" spans="1:11" s="1070" customFormat="1" ht="15.75">
      <c r="A8" s="1037">
        <v>45078</v>
      </c>
      <c r="B8" s="1039">
        <v>45446</v>
      </c>
      <c r="C8" s="1248" t="s">
        <v>2247</v>
      </c>
      <c r="D8" s="1026" t="s">
        <v>25</v>
      </c>
      <c r="E8" s="1026" t="s">
        <v>948</v>
      </c>
      <c r="F8" s="1071">
        <v>2240.2600000000002</v>
      </c>
      <c r="G8" s="1062">
        <v>0.1</v>
      </c>
      <c r="H8" s="1055">
        <v>206.1</v>
      </c>
      <c r="I8" s="1056">
        <v>103.05</v>
      </c>
      <c r="J8" s="1111" t="s">
        <v>2094</v>
      </c>
      <c r="K8" s="1115" t="s">
        <v>2015</v>
      </c>
    </row>
    <row r="9" spans="1:11" ht="15.75">
      <c r="A9" s="1037">
        <v>45089</v>
      </c>
      <c r="B9" s="1039">
        <v>45455</v>
      </c>
      <c r="C9" s="1248" t="s">
        <v>1789</v>
      </c>
      <c r="D9" s="1026" t="s">
        <v>61</v>
      </c>
      <c r="E9" s="1025" t="s">
        <v>143</v>
      </c>
      <c r="F9" s="1061">
        <v>2683.81</v>
      </c>
      <c r="G9" s="1062">
        <v>0.1</v>
      </c>
      <c r="H9" s="1055">
        <v>246.91</v>
      </c>
      <c r="I9" s="1056">
        <v>123.45</v>
      </c>
      <c r="J9" s="1111" t="s">
        <v>2094</v>
      </c>
      <c r="K9" s="1115" t="s">
        <v>2015</v>
      </c>
    </row>
    <row r="10" spans="1:11" s="1070" customFormat="1" ht="15.75">
      <c r="A10" s="1037">
        <v>45091</v>
      </c>
      <c r="B10" s="1038">
        <v>45458</v>
      </c>
      <c r="C10" s="1248" t="s">
        <v>1786</v>
      </c>
      <c r="D10" s="1026" t="s">
        <v>9</v>
      </c>
      <c r="E10" s="1026" t="s">
        <v>948</v>
      </c>
      <c r="F10" s="1053">
        <v>1638.46</v>
      </c>
      <c r="G10" s="1054">
        <v>0.19</v>
      </c>
      <c r="H10" s="1055">
        <v>286.39999999999998</v>
      </c>
      <c r="I10" s="1056">
        <v>143.19999999999999</v>
      </c>
      <c r="J10" s="1111" t="s">
        <v>2094</v>
      </c>
      <c r="K10" s="1115" t="s">
        <v>2015</v>
      </c>
    </row>
    <row r="11" spans="1:11" ht="15.75">
      <c r="A11" s="1037">
        <v>45092</v>
      </c>
      <c r="B11" s="1038">
        <v>45458</v>
      </c>
      <c r="C11" s="1435" t="s">
        <v>1406</v>
      </c>
      <c r="D11" s="1026" t="s">
        <v>9</v>
      </c>
      <c r="E11" s="1026" t="s">
        <v>948</v>
      </c>
      <c r="F11" s="1059">
        <v>1822.71</v>
      </c>
      <c r="G11" s="1054">
        <v>0.1</v>
      </c>
      <c r="H11" s="1055">
        <v>167.68</v>
      </c>
      <c r="I11" s="1056">
        <v>83.84</v>
      </c>
      <c r="J11" s="1111" t="s">
        <v>2094</v>
      </c>
      <c r="K11" s="1115" t="s">
        <v>2015</v>
      </c>
    </row>
    <row r="12" spans="1:11" ht="15.75">
      <c r="A12" s="1039">
        <v>45083</v>
      </c>
      <c r="B12" s="1039">
        <v>45449</v>
      </c>
      <c r="C12" s="1248" t="s">
        <v>2248</v>
      </c>
      <c r="D12" s="1025" t="s">
        <v>70</v>
      </c>
      <c r="E12" s="1025" t="s">
        <v>1080</v>
      </c>
      <c r="F12" s="1061">
        <v>1496.66</v>
      </c>
      <c r="G12" s="1062">
        <v>0.1</v>
      </c>
      <c r="H12" s="1055">
        <v>137.69</v>
      </c>
      <c r="I12" s="1063">
        <v>68.84</v>
      </c>
      <c r="J12" s="1111" t="s">
        <v>1396</v>
      </c>
      <c r="K12" s="1115" t="s">
        <v>1472</v>
      </c>
    </row>
    <row r="13" spans="1:11" ht="15.75">
      <c r="A13" s="1037">
        <v>45103</v>
      </c>
      <c r="B13" s="1038">
        <v>45469</v>
      </c>
      <c r="C13" s="1026" t="s">
        <v>2249</v>
      </c>
      <c r="D13" s="1026" t="s">
        <v>448</v>
      </c>
      <c r="E13" s="1026" t="s">
        <v>545</v>
      </c>
      <c r="F13" s="1059" t="s">
        <v>889</v>
      </c>
      <c r="G13" s="1054">
        <v>0.1</v>
      </c>
      <c r="H13" s="1055">
        <v>300</v>
      </c>
      <c r="I13" s="1056">
        <v>150</v>
      </c>
      <c r="J13" s="1111" t="s">
        <v>1396</v>
      </c>
      <c r="K13" s="1115" t="s">
        <v>1472</v>
      </c>
    </row>
    <row r="14" spans="1:11" s="1078" customFormat="1" ht="15.75">
      <c r="A14" s="1037">
        <v>45079</v>
      </c>
      <c r="B14" s="1038">
        <v>45445</v>
      </c>
      <c r="C14" s="1246" t="s">
        <v>2250</v>
      </c>
      <c r="D14" s="1026" t="s">
        <v>70</v>
      </c>
      <c r="E14" s="1026" t="s">
        <v>1080</v>
      </c>
      <c r="F14" s="1103">
        <v>10028.01</v>
      </c>
      <c r="G14" s="1054">
        <v>0.1</v>
      </c>
      <c r="H14" s="1055">
        <v>922.57</v>
      </c>
      <c r="I14" s="1056"/>
      <c r="J14" s="1111"/>
      <c r="K14" s="1115" t="s">
        <v>1472</v>
      </c>
    </row>
    <row r="15" spans="1:11" s="1087" customFormat="1" ht="15.75">
      <c r="A15" s="1037">
        <v>45089</v>
      </c>
      <c r="B15" s="1038">
        <v>45447</v>
      </c>
      <c r="C15" s="1246" t="s">
        <v>727</v>
      </c>
      <c r="D15" s="1026" t="s">
        <v>448</v>
      </c>
      <c r="E15" s="1026" t="s">
        <v>948</v>
      </c>
      <c r="F15" s="1059">
        <v>1663.5</v>
      </c>
      <c r="G15" s="1054">
        <v>0.15</v>
      </c>
      <c r="H15" s="1055">
        <v>229.56</v>
      </c>
      <c r="I15" s="1056"/>
      <c r="J15" s="1111"/>
      <c r="K15" s="1116" t="s">
        <v>2015</v>
      </c>
    </row>
    <row r="16" spans="1:11" ht="15.75">
      <c r="A16" s="1039">
        <v>45089</v>
      </c>
      <c r="B16" s="1039">
        <v>45447</v>
      </c>
      <c r="C16" s="1085" t="s">
        <v>1785</v>
      </c>
      <c r="D16" s="1025" t="s">
        <v>9</v>
      </c>
      <c r="E16" s="1025" t="s">
        <v>948</v>
      </c>
      <c r="F16" s="1061">
        <v>3639.87</v>
      </c>
      <c r="G16" s="1062">
        <v>0.1</v>
      </c>
      <c r="H16" s="1088">
        <v>334.86</v>
      </c>
      <c r="I16" s="1183"/>
      <c r="J16" s="1111"/>
      <c r="K16" s="1115" t="s">
        <v>2015</v>
      </c>
    </row>
    <row r="17" spans="1:11" ht="15.75">
      <c r="A17" s="1043">
        <v>45077</v>
      </c>
      <c r="B17" s="1045">
        <v>45452</v>
      </c>
      <c r="C17" s="1249" t="s">
        <v>410</v>
      </c>
      <c r="D17" s="1075" t="s">
        <v>61</v>
      </c>
      <c r="E17" s="1075" t="s">
        <v>945</v>
      </c>
      <c r="F17" s="1102">
        <v>1427.07</v>
      </c>
      <c r="G17" s="1076">
        <v>0.15</v>
      </c>
      <c r="H17" s="1055">
        <v>196.93</v>
      </c>
      <c r="I17" s="1077"/>
      <c r="J17" s="1111"/>
      <c r="K17" s="1115" t="s">
        <v>2015</v>
      </c>
    </row>
    <row r="18" spans="1:11" ht="15.75">
      <c r="A18" s="1037">
        <v>45090</v>
      </c>
      <c r="B18" s="1038">
        <v>45456</v>
      </c>
      <c r="C18" s="1254" t="s">
        <v>1403</v>
      </c>
      <c r="D18" s="1026" t="s">
        <v>21</v>
      </c>
      <c r="E18" s="1026" t="s">
        <v>458</v>
      </c>
      <c r="F18" s="1059">
        <v>1754.88</v>
      </c>
      <c r="G18" s="1054">
        <v>0.15</v>
      </c>
      <c r="H18" s="1055">
        <v>242.17</v>
      </c>
      <c r="I18" s="1056"/>
      <c r="J18" s="1111"/>
      <c r="K18" s="1115" t="s">
        <v>2015</v>
      </c>
    </row>
    <row r="19" spans="1:11" ht="15.75">
      <c r="A19" s="1037">
        <v>45083</v>
      </c>
      <c r="B19" s="1038">
        <v>45457</v>
      </c>
      <c r="C19" s="1248" t="s">
        <v>1401</v>
      </c>
      <c r="D19" s="1025" t="s">
        <v>25</v>
      </c>
      <c r="E19" s="1025" t="s">
        <v>945</v>
      </c>
      <c r="F19" s="1061">
        <v>2688</v>
      </c>
      <c r="G19" s="1062">
        <v>0.15</v>
      </c>
      <c r="H19" s="1055">
        <v>370.94</v>
      </c>
      <c r="I19" s="1056"/>
      <c r="J19" s="1111"/>
      <c r="K19" s="1115" t="s">
        <v>2015</v>
      </c>
    </row>
    <row r="20" spans="1:11" ht="15.75">
      <c r="A20" s="1037">
        <v>45097</v>
      </c>
      <c r="B20" s="1038">
        <v>45463</v>
      </c>
      <c r="C20" s="1248" t="s">
        <v>941</v>
      </c>
      <c r="D20" s="1025" t="s">
        <v>9</v>
      </c>
      <c r="E20" s="1025" t="s">
        <v>948</v>
      </c>
      <c r="F20" s="1092">
        <v>1239.32</v>
      </c>
      <c r="G20" s="1062">
        <v>0.15</v>
      </c>
      <c r="H20" s="1055">
        <v>171.02</v>
      </c>
      <c r="I20" s="1056"/>
      <c r="J20" s="1111"/>
      <c r="K20" s="1115" t="s">
        <v>2015</v>
      </c>
    </row>
    <row r="21" spans="1:11" ht="15.75">
      <c r="A21" s="1037">
        <v>45098</v>
      </c>
      <c r="B21" s="1038">
        <v>45464</v>
      </c>
      <c r="C21" s="1246" t="s">
        <v>949</v>
      </c>
      <c r="D21" s="1026" t="s">
        <v>448</v>
      </c>
      <c r="E21" s="1025" t="s">
        <v>948</v>
      </c>
      <c r="F21" s="1092">
        <v>2549.44</v>
      </c>
      <c r="G21" s="1062">
        <v>0.15</v>
      </c>
      <c r="H21" s="1055">
        <v>351.82</v>
      </c>
      <c r="I21" s="1056"/>
      <c r="J21" s="1111"/>
      <c r="K21" s="1115" t="s">
        <v>2015</v>
      </c>
    </row>
    <row r="22" spans="1:11" s="1070" customFormat="1" ht="15.75">
      <c r="A22" s="1037">
        <v>45096</v>
      </c>
      <c r="B22" s="1038">
        <v>45465</v>
      </c>
      <c r="C22" s="1248" t="s">
        <v>733</v>
      </c>
      <c r="D22" s="1026" t="s">
        <v>61</v>
      </c>
      <c r="E22" s="1025" t="s">
        <v>1552</v>
      </c>
      <c r="F22" s="1023">
        <v>917.37</v>
      </c>
      <c r="G22" s="1062">
        <v>0.15</v>
      </c>
      <c r="H22" s="1023">
        <v>126.59</v>
      </c>
      <c r="I22" s="1056"/>
      <c r="J22" s="1111"/>
      <c r="K22" s="1115" t="s">
        <v>2015</v>
      </c>
    </row>
    <row r="23" spans="1:11" ht="15.75">
      <c r="A23" s="1037">
        <v>45098</v>
      </c>
      <c r="B23" s="1038">
        <v>45465</v>
      </c>
      <c r="C23" s="1248" t="s">
        <v>1794</v>
      </c>
      <c r="D23" s="1026" t="s">
        <v>1862</v>
      </c>
      <c r="E23" s="1025" t="s">
        <v>948</v>
      </c>
      <c r="F23" s="1061">
        <v>2551.61</v>
      </c>
      <c r="G23" s="1062">
        <v>0.1</v>
      </c>
      <c r="H23" s="1055">
        <v>234.74</v>
      </c>
      <c r="I23" s="1056"/>
      <c r="J23" s="1111"/>
      <c r="K23" s="1116" t="s">
        <v>2015</v>
      </c>
    </row>
    <row r="24" spans="1:11" ht="15.75">
      <c r="A24" s="1037">
        <v>45100</v>
      </c>
      <c r="B24" s="1038">
        <v>45469</v>
      </c>
      <c r="C24" s="1252" t="s">
        <v>946</v>
      </c>
      <c r="D24" s="1026" t="s">
        <v>448</v>
      </c>
      <c r="E24" s="1025" t="s">
        <v>948</v>
      </c>
      <c r="F24" s="1061">
        <v>2276.39</v>
      </c>
      <c r="G24" s="1062">
        <v>0.15</v>
      </c>
      <c r="H24" s="1055">
        <v>314.14</v>
      </c>
      <c r="I24" s="1056"/>
      <c r="J24" s="1111"/>
      <c r="K24" s="1115" t="s">
        <v>2015</v>
      </c>
    </row>
    <row r="25" spans="1:11" s="1087" customFormat="1" ht="15.75">
      <c r="A25" s="1039">
        <v>45107</v>
      </c>
      <c r="B25" s="1039">
        <v>45469</v>
      </c>
      <c r="C25" s="1085" t="s">
        <v>1793</v>
      </c>
      <c r="D25" s="1025" t="s">
        <v>9</v>
      </c>
      <c r="E25" s="1025" t="s">
        <v>948</v>
      </c>
      <c r="F25" s="1061">
        <v>2894.36</v>
      </c>
      <c r="G25" s="1062">
        <v>0.15</v>
      </c>
      <c r="H25" s="1055">
        <v>399.42</v>
      </c>
      <c r="I25" s="1056"/>
      <c r="J25" s="1111"/>
      <c r="K25" s="1115" t="s">
        <v>2015</v>
      </c>
    </row>
    <row r="26" spans="1:11" ht="15.75">
      <c r="A26" s="1039">
        <v>45100</v>
      </c>
      <c r="B26" s="1039">
        <v>45471</v>
      </c>
      <c r="C26" s="1085" t="s">
        <v>950</v>
      </c>
      <c r="D26" s="1025" t="s">
        <v>9</v>
      </c>
      <c r="E26" s="1025" t="s">
        <v>1552</v>
      </c>
      <c r="F26" s="1061">
        <v>2870.74</v>
      </c>
      <c r="G26" s="1062">
        <v>0.1</v>
      </c>
      <c r="H26" s="1055">
        <v>264.10000000000002</v>
      </c>
      <c r="I26" s="1056"/>
      <c r="J26" s="1111"/>
      <c r="K26" s="1115" t="s">
        <v>2015</v>
      </c>
    </row>
    <row r="27" spans="1:11" ht="15.75">
      <c r="A27" s="1039">
        <v>45099</v>
      </c>
      <c r="B27" s="1039">
        <v>45471</v>
      </c>
      <c r="C27" s="1248" t="s">
        <v>1417</v>
      </c>
      <c r="D27" s="1025" t="s">
        <v>448</v>
      </c>
      <c r="E27" s="1025" t="s">
        <v>945</v>
      </c>
      <c r="F27" s="1061">
        <v>1122.82</v>
      </c>
      <c r="G27" s="1062">
        <v>0.15</v>
      </c>
      <c r="H27" s="1055">
        <v>145.72</v>
      </c>
      <c r="I27" s="1056"/>
      <c r="J27" s="1111"/>
      <c r="K27" s="1115" t="s">
        <v>2015</v>
      </c>
    </row>
    <row r="28" spans="1:11" ht="15.75">
      <c r="A28" s="1037">
        <v>45107</v>
      </c>
      <c r="B28" s="1039">
        <v>45472</v>
      </c>
      <c r="C28" s="1248" t="s">
        <v>2251</v>
      </c>
      <c r="D28" s="1026" t="s">
        <v>61</v>
      </c>
      <c r="E28" s="1025" t="s">
        <v>458</v>
      </c>
      <c r="F28" s="1061">
        <v>1874.72</v>
      </c>
      <c r="G28" s="1062">
        <v>0.15</v>
      </c>
      <c r="H28" s="1055">
        <v>258.70999999999998</v>
      </c>
      <c r="I28" s="1056"/>
      <c r="J28" s="1111"/>
      <c r="K28" s="1115" t="s">
        <v>2015</v>
      </c>
    </row>
    <row r="29" spans="1:11" ht="15.75">
      <c r="A29" s="1037" t="s">
        <v>2252</v>
      </c>
      <c r="B29" s="1039" t="s">
        <v>1805</v>
      </c>
      <c r="C29" s="1025" t="s">
        <v>1287</v>
      </c>
      <c r="D29" s="1026" t="s">
        <v>2253</v>
      </c>
      <c r="E29" s="1025" t="s">
        <v>948</v>
      </c>
      <c r="F29" s="1061"/>
      <c r="G29" s="1062"/>
      <c r="H29" s="1055"/>
      <c r="I29" s="1056"/>
      <c r="J29" s="1111"/>
      <c r="K29" s="1115" t="s">
        <v>1805</v>
      </c>
    </row>
    <row r="30" spans="1:11" ht="15.75">
      <c r="A30" s="1037" t="s">
        <v>2254</v>
      </c>
      <c r="B30" s="1039" t="s">
        <v>1805</v>
      </c>
      <c r="C30" s="1025" t="s">
        <v>695</v>
      </c>
      <c r="D30" s="1026" t="s">
        <v>61</v>
      </c>
      <c r="E30" s="1025" t="s">
        <v>948</v>
      </c>
      <c r="F30" s="1061"/>
      <c r="G30" s="1062"/>
      <c r="H30" s="1055"/>
      <c r="I30" s="1056"/>
      <c r="J30" s="1111"/>
      <c r="K30" s="1115" t="s">
        <v>1805</v>
      </c>
    </row>
    <row r="31" spans="1:11" ht="15.75">
      <c r="A31" s="1037">
        <v>45106</v>
      </c>
      <c r="B31" s="1039" t="s">
        <v>1805</v>
      </c>
      <c r="C31" s="1032" t="s">
        <v>2086</v>
      </c>
      <c r="D31" s="1026" t="s">
        <v>25</v>
      </c>
      <c r="E31" s="1025" t="s">
        <v>948</v>
      </c>
      <c r="F31" s="1061"/>
      <c r="G31" s="1062"/>
      <c r="H31" s="1055"/>
      <c r="I31" s="1056"/>
      <c r="J31" s="1111"/>
      <c r="K31" s="1115"/>
    </row>
    <row r="32" spans="1:11" ht="15.75">
      <c r="A32" s="1037"/>
      <c r="B32" s="1039"/>
      <c r="C32" s="1025"/>
      <c r="D32" s="1026"/>
      <c r="E32" s="1026"/>
      <c r="F32" s="1071"/>
      <c r="G32" s="1062"/>
      <c r="H32" s="1055"/>
      <c r="I32" s="1056"/>
      <c r="J32" s="1111"/>
      <c r="K32" s="1115"/>
    </row>
    <row r="33" spans="1:11" ht="15.75">
      <c r="A33" s="1037"/>
      <c r="B33" s="1038"/>
      <c r="C33" s="1025" t="s">
        <v>442</v>
      </c>
      <c r="D33" s="1026"/>
      <c r="E33" s="1026"/>
      <c r="F33" s="1059"/>
      <c r="G33" s="1054"/>
      <c r="H33" s="1055"/>
      <c r="I33" s="1056"/>
      <c r="J33" s="1111"/>
      <c r="K33" s="1115"/>
    </row>
    <row r="34" spans="1:11" ht="15.75">
      <c r="A34" s="1037"/>
      <c r="B34" s="1038"/>
      <c r="C34" s="1025"/>
      <c r="D34" s="1026"/>
      <c r="E34" s="1026"/>
      <c r="F34" s="1059"/>
      <c r="G34" s="1054"/>
      <c r="H34" s="1055"/>
      <c r="I34" s="1056"/>
      <c r="J34" s="1111"/>
      <c r="K34" s="1115"/>
    </row>
    <row r="35" spans="1:11" ht="15.75">
      <c r="A35" s="1037"/>
      <c r="B35" s="1038"/>
      <c r="C35" s="1025"/>
      <c r="D35" s="1026"/>
      <c r="E35" s="1026"/>
      <c r="F35" s="1053"/>
      <c r="G35" s="1054"/>
      <c r="H35" s="1023"/>
      <c r="I35" s="1056"/>
      <c r="J35" s="1111"/>
      <c r="K35" s="1115"/>
    </row>
    <row r="36" spans="1:11" ht="15.75">
      <c r="A36" s="1037"/>
      <c r="B36" s="1038"/>
      <c r="C36" s="1025"/>
      <c r="D36" s="1026"/>
      <c r="E36" s="1026"/>
      <c r="F36" s="1059"/>
      <c r="G36" s="1054"/>
      <c r="H36" s="1055"/>
      <c r="I36" s="1056"/>
      <c r="J36" s="1111"/>
      <c r="K36" s="1115"/>
    </row>
    <row r="37" spans="1:11" ht="15.75">
      <c r="A37" s="1037"/>
      <c r="B37" s="1038"/>
      <c r="C37" s="1033"/>
      <c r="D37" s="1026"/>
      <c r="E37" s="1026"/>
      <c r="F37" s="1059"/>
      <c r="G37" s="1054"/>
      <c r="H37" s="1055"/>
      <c r="I37" s="1056"/>
      <c r="J37" s="1111"/>
      <c r="K37" s="1115"/>
    </row>
    <row r="38" spans="1:11" ht="15.75">
      <c r="A38" s="1037"/>
      <c r="B38" s="1038"/>
      <c r="C38" s="1025"/>
      <c r="D38" s="1026"/>
      <c r="E38" s="1026"/>
      <c r="F38" s="1059"/>
      <c r="G38" s="1054"/>
      <c r="H38" s="1055"/>
      <c r="I38" s="1056"/>
      <c r="J38" s="1111"/>
      <c r="K38" s="1115"/>
    </row>
    <row r="39" spans="1:11" ht="15.75">
      <c r="A39" s="1037"/>
      <c r="B39" s="1038"/>
      <c r="C39" s="1026"/>
      <c r="D39" s="1026"/>
      <c r="E39" s="1026"/>
      <c r="F39" s="1059"/>
      <c r="G39" s="1054"/>
      <c r="H39" s="1055"/>
      <c r="I39" s="1056"/>
      <c r="J39" s="1111"/>
      <c r="K39" s="1115"/>
    </row>
    <row r="40" spans="1:11" ht="15.75">
      <c r="A40" s="1037"/>
      <c r="B40" s="1038"/>
      <c r="C40" s="1026"/>
      <c r="D40" s="1026"/>
      <c r="E40" s="1026"/>
      <c r="F40" s="1059"/>
      <c r="G40" s="1054"/>
      <c r="H40" s="1055"/>
      <c r="I40" s="1056"/>
      <c r="J40" s="1111"/>
      <c r="K40" s="1115"/>
    </row>
    <row r="41" spans="1:11" ht="15.75">
      <c r="A41" s="1037"/>
      <c r="B41" s="1038"/>
      <c r="C41" s="1025"/>
      <c r="D41" s="1026"/>
      <c r="E41" s="1026"/>
      <c r="F41" s="1059"/>
      <c r="G41" s="1054"/>
      <c r="H41" s="1055"/>
      <c r="I41" s="1056"/>
      <c r="J41" s="1111"/>
      <c r="K41" s="1115"/>
    </row>
    <row r="42" spans="1:11" ht="15.75">
      <c r="A42" s="1037"/>
      <c r="B42" s="1038"/>
      <c r="C42" s="1025"/>
      <c r="D42" s="1026"/>
      <c r="E42" s="1026"/>
      <c r="F42" s="1118"/>
      <c r="G42" s="1054"/>
      <c r="H42" s="1023"/>
      <c r="I42" s="1056"/>
      <c r="J42" s="1111"/>
      <c r="K42" s="1115"/>
    </row>
    <row r="43" spans="1:11" ht="15.75">
      <c r="A43" s="1037"/>
      <c r="B43" s="1038"/>
      <c r="C43" s="1026"/>
      <c r="D43" s="1026"/>
      <c r="E43" s="1026"/>
      <c r="F43" s="1059"/>
      <c r="G43" s="1054"/>
      <c r="H43" s="1055"/>
      <c r="I43" s="1056"/>
      <c r="J43" s="1111"/>
      <c r="K43" s="1115"/>
    </row>
    <row r="44" spans="1:11" ht="15.75">
      <c r="A44" s="1037"/>
      <c r="B44" s="1038"/>
      <c r="C44" s="1026"/>
      <c r="D44" s="1026"/>
      <c r="E44" s="1026"/>
      <c r="F44" s="1059"/>
      <c r="G44" s="1054"/>
      <c r="H44" s="1055"/>
      <c r="I44" s="1056"/>
      <c r="J44" s="1111"/>
      <c r="K44" s="1115"/>
    </row>
    <row r="45" spans="1:11" ht="16.5" thickBot="1">
      <c r="A45" s="1037"/>
      <c r="B45" s="1038"/>
      <c r="C45" s="1026"/>
      <c r="D45" s="1026"/>
      <c r="E45" s="1026"/>
      <c r="F45" s="1059"/>
      <c r="G45" s="1054"/>
      <c r="H45" s="1055"/>
      <c r="I45" s="1056"/>
      <c r="J45" s="1111"/>
      <c r="K45" s="1115"/>
    </row>
    <row r="46" spans="1:11" ht="20.25" thickBot="1">
      <c r="A46" s="1158"/>
      <c r="B46" s="1159"/>
      <c r="C46" s="1159"/>
      <c r="D46" s="1159"/>
      <c r="E46" s="1159"/>
      <c r="F46" s="1160">
        <f>SUM(F24:F45,F2:F22)</f>
        <v>68177.319999999992</v>
      </c>
      <c r="G46" s="1161"/>
      <c r="H46" s="1162">
        <f>SUM(H2:H45)</f>
        <v>7930.670000000001</v>
      </c>
      <c r="I46" s="1163">
        <f>SUM(I2:I45)</f>
        <v>944.83000000000015</v>
      </c>
      <c r="J46" s="1164"/>
      <c r="K46" s="1157"/>
    </row>
  </sheetData>
  <autoFilter ref="A1:K1" xr:uid="{D211B458-1301-4C95-9621-5EEE7A885A98}">
    <sortState xmlns:xlrd2="http://schemas.microsoft.com/office/spreadsheetml/2017/richdata2" ref="A2:K31">
      <sortCondition ref="J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6440-3F45-4884-A6B9-A6CDE98919A6}">
  <dimension ref="A1:K95"/>
  <sheetViews>
    <sheetView topLeftCell="A20" zoomScale="85" zoomScaleNormal="85" workbookViewId="0">
      <selection activeCell="A40" sqref="A40"/>
    </sheetView>
  </sheetViews>
  <sheetFormatPr defaultColWidth="9.140625" defaultRowHeight="15"/>
  <cols>
    <col min="1" max="1" width="16.5703125" style="1058" bestFit="1" customWidth="1"/>
    <col min="2" max="2" width="13.5703125" style="1058" customWidth="1"/>
    <col min="3" max="3" width="51.5703125" style="1165" bestFit="1" customWidth="1"/>
    <col min="4" max="4" width="18.28515625" style="1058" bestFit="1" customWidth="1"/>
    <col min="5" max="5" width="14.140625" style="1058" bestFit="1" customWidth="1"/>
    <col min="6" max="6" width="23.28515625" style="1058" bestFit="1" customWidth="1"/>
    <col min="7" max="7" width="13.42578125" style="1058" bestFit="1" customWidth="1"/>
    <col min="8" max="8" width="24.85546875" style="1058" bestFit="1" customWidth="1"/>
    <col min="9" max="9" width="23.28515625" style="1058" bestFit="1" customWidth="1"/>
    <col min="10" max="10" width="13.7109375" style="1058" bestFit="1" customWidth="1"/>
    <col min="11" max="11" width="17" style="1058" bestFit="1" customWidth="1"/>
    <col min="12" max="16384" width="9.140625" style="1058"/>
  </cols>
  <sheetData>
    <row r="1" spans="1:11" ht="15" customHeight="1">
      <c r="A1" s="1235" t="s">
        <v>1832</v>
      </c>
      <c r="B1" s="1236" t="s">
        <v>2</v>
      </c>
      <c r="C1" s="1236" t="s">
        <v>3</v>
      </c>
      <c r="D1" s="1236" t="s">
        <v>4</v>
      </c>
      <c r="E1" s="1236" t="s">
        <v>5</v>
      </c>
      <c r="F1" s="1237" t="s">
        <v>644</v>
      </c>
      <c r="G1" s="1238" t="s">
        <v>555</v>
      </c>
      <c r="H1" s="1239" t="s">
        <v>7</v>
      </c>
      <c r="I1" s="1240" t="s">
        <v>307</v>
      </c>
      <c r="J1" s="1238" t="s">
        <v>370</v>
      </c>
      <c r="K1" s="1241"/>
    </row>
    <row r="2" spans="1:11" ht="15.75">
      <c r="A2" s="1039">
        <v>45104</v>
      </c>
      <c r="B2" s="1039">
        <v>45475</v>
      </c>
      <c r="C2" s="1025" t="s">
        <v>2255</v>
      </c>
      <c r="D2" s="1025" t="s">
        <v>61</v>
      </c>
      <c r="E2" s="1025" t="s">
        <v>948</v>
      </c>
      <c r="F2" s="1174">
        <v>1707.41</v>
      </c>
      <c r="G2" s="1062">
        <v>0.1</v>
      </c>
      <c r="H2" s="1055">
        <v>157.08000000000001</v>
      </c>
      <c r="I2" s="1242"/>
      <c r="J2" s="1025"/>
      <c r="K2" s="1115" t="s">
        <v>2015</v>
      </c>
    </row>
    <row r="3" spans="1:11" ht="15.75">
      <c r="A3" s="1039">
        <v>45110</v>
      </c>
      <c r="B3" s="1039">
        <v>45476</v>
      </c>
      <c r="C3" s="1025" t="s">
        <v>1431</v>
      </c>
      <c r="D3" s="1025" t="s">
        <v>21</v>
      </c>
      <c r="E3" s="1025" t="s">
        <v>1552</v>
      </c>
      <c r="F3" s="1061">
        <v>2399.25</v>
      </c>
      <c r="G3" s="1062">
        <v>0.1</v>
      </c>
      <c r="H3" s="1055">
        <v>220.73</v>
      </c>
      <c r="I3" s="1242"/>
      <c r="J3" s="1025"/>
      <c r="K3" s="1115" t="s">
        <v>2015</v>
      </c>
    </row>
    <row r="4" spans="1:11" s="1070" customFormat="1" ht="15.75">
      <c r="A4" s="1039">
        <v>45111</v>
      </c>
      <c r="B4" s="1039">
        <v>45476</v>
      </c>
      <c r="C4" s="1025" t="s">
        <v>957</v>
      </c>
      <c r="D4" s="1025" t="s">
        <v>14</v>
      </c>
      <c r="E4" s="1025" t="s">
        <v>458</v>
      </c>
      <c r="F4" s="1061">
        <v>1680.12</v>
      </c>
      <c r="G4" s="1062">
        <v>0.15</v>
      </c>
      <c r="H4" s="1055">
        <v>231.85</v>
      </c>
      <c r="I4" s="1242"/>
      <c r="J4" s="1025"/>
      <c r="K4" s="1115" t="s">
        <v>2015</v>
      </c>
    </row>
    <row r="5" spans="1:11" s="1029" customFormat="1" ht="15.75">
      <c r="A5" s="1039">
        <v>45107</v>
      </c>
      <c r="B5" s="1039">
        <v>45476</v>
      </c>
      <c r="C5" s="1025" t="s">
        <v>2256</v>
      </c>
      <c r="D5" s="1025" t="s">
        <v>198</v>
      </c>
      <c r="E5" s="1025" t="s">
        <v>1080</v>
      </c>
      <c r="F5" s="1092">
        <v>987.54</v>
      </c>
      <c r="G5" s="1062">
        <v>0.1</v>
      </c>
      <c r="H5" s="1055">
        <v>90.85</v>
      </c>
      <c r="I5" s="1242"/>
      <c r="J5" s="1025"/>
      <c r="K5" s="1115" t="s">
        <v>1472</v>
      </c>
    </row>
    <row r="6" spans="1:11" ht="15.75">
      <c r="A6" s="1041">
        <v>45110</v>
      </c>
      <c r="B6" s="1041">
        <v>45478</v>
      </c>
      <c r="C6" s="1027" t="s">
        <v>1425</v>
      </c>
      <c r="D6" s="1027" t="s">
        <v>448</v>
      </c>
      <c r="E6" s="1027" t="s">
        <v>945</v>
      </c>
      <c r="F6" s="1090">
        <v>1804.99</v>
      </c>
      <c r="G6" s="1066">
        <v>0.15</v>
      </c>
      <c r="H6" s="1067">
        <v>249.08</v>
      </c>
      <c r="I6" s="1243">
        <v>24.9</v>
      </c>
      <c r="J6" s="1027" t="s">
        <v>1470</v>
      </c>
      <c r="K6" s="1131" t="s">
        <v>2015</v>
      </c>
    </row>
    <row r="7" spans="1:11" s="1070" customFormat="1" ht="15.75">
      <c r="A7" s="1039">
        <v>45112</v>
      </c>
      <c r="B7" s="1039">
        <v>45478</v>
      </c>
      <c r="C7" s="1025" t="s">
        <v>734</v>
      </c>
      <c r="D7" s="1025" t="s">
        <v>14</v>
      </c>
      <c r="E7" s="1025" t="s">
        <v>458</v>
      </c>
      <c r="F7" s="1061">
        <v>3624.51</v>
      </c>
      <c r="G7" s="1062">
        <v>0.15</v>
      </c>
      <c r="H7" s="1055">
        <v>500.18</v>
      </c>
      <c r="I7" s="1242"/>
      <c r="J7" s="1025"/>
      <c r="K7" s="1115" t="s">
        <v>2015</v>
      </c>
    </row>
    <row r="8" spans="1:11" s="1070" customFormat="1" ht="15.75">
      <c r="A8" s="1041">
        <v>45113</v>
      </c>
      <c r="B8" s="1041">
        <v>45479</v>
      </c>
      <c r="C8" s="1027" t="s">
        <v>2014</v>
      </c>
      <c r="D8" s="1027" t="s">
        <v>448</v>
      </c>
      <c r="E8" s="1027" t="s">
        <v>545</v>
      </c>
      <c r="F8" s="1065" t="s">
        <v>889</v>
      </c>
      <c r="G8" s="1066">
        <v>0.1</v>
      </c>
      <c r="H8" s="1067">
        <v>250</v>
      </c>
      <c r="I8" s="1243">
        <v>25</v>
      </c>
      <c r="J8" s="1027" t="s">
        <v>1470</v>
      </c>
      <c r="K8" s="1117" t="s">
        <v>1472</v>
      </c>
    </row>
    <row r="9" spans="1:11" ht="15.75">
      <c r="A9" s="1039">
        <v>45110</v>
      </c>
      <c r="B9" s="1039">
        <v>45479</v>
      </c>
      <c r="C9" s="1025" t="s">
        <v>1430</v>
      </c>
      <c r="D9" s="1025" t="s">
        <v>448</v>
      </c>
      <c r="E9" s="1025" t="s">
        <v>945</v>
      </c>
      <c r="F9" s="1092">
        <v>3371.33</v>
      </c>
      <c r="G9" s="1062">
        <v>0.13</v>
      </c>
      <c r="H9" s="1055">
        <v>403.21</v>
      </c>
      <c r="I9" s="1242"/>
      <c r="J9" s="1025"/>
      <c r="K9" s="1115" t="s">
        <v>2015</v>
      </c>
    </row>
    <row r="10" spans="1:11" ht="15.75">
      <c r="A10" s="1040">
        <v>45110</v>
      </c>
      <c r="B10" s="1041">
        <v>45480</v>
      </c>
      <c r="C10" s="1027" t="s">
        <v>1056</v>
      </c>
      <c r="D10" s="1030" t="s">
        <v>14</v>
      </c>
      <c r="E10" s="1027" t="s">
        <v>948</v>
      </c>
      <c r="F10" s="1065">
        <v>1466.52</v>
      </c>
      <c r="G10" s="1066">
        <v>0.1</v>
      </c>
      <c r="H10" s="1067">
        <v>134.91</v>
      </c>
      <c r="I10" s="1068">
        <v>13.49</v>
      </c>
      <c r="J10" s="1112" t="s">
        <v>1470</v>
      </c>
      <c r="K10" s="1131" t="s">
        <v>2015</v>
      </c>
    </row>
    <row r="11" spans="1:11" ht="15.75">
      <c r="A11" s="1037">
        <v>45114</v>
      </c>
      <c r="B11" s="1038">
        <v>45480</v>
      </c>
      <c r="C11" s="1025" t="s">
        <v>2257</v>
      </c>
      <c r="D11" s="1026" t="s">
        <v>9</v>
      </c>
      <c r="E11" s="1026" t="s">
        <v>458</v>
      </c>
      <c r="F11" s="1059">
        <v>432.3</v>
      </c>
      <c r="G11" s="1054">
        <v>0.2</v>
      </c>
      <c r="H11" s="1055">
        <v>79.540000000000006</v>
      </c>
      <c r="I11" s="1056"/>
      <c r="J11" s="1111"/>
      <c r="K11" s="1115" t="s">
        <v>1472</v>
      </c>
    </row>
    <row r="12" spans="1:11" ht="15.75">
      <c r="A12" s="1040">
        <v>45110</v>
      </c>
      <c r="B12" s="1042">
        <v>45481</v>
      </c>
      <c r="C12" s="1028" t="s">
        <v>1434</v>
      </c>
      <c r="D12" s="1030" t="s">
        <v>14</v>
      </c>
      <c r="E12" s="1030" t="s">
        <v>948</v>
      </c>
      <c r="F12" s="1072">
        <v>1165.07</v>
      </c>
      <c r="G12" s="1073">
        <v>0.15</v>
      </c>
      <c r="H12" s="1233">
        <v>160.77000000000001</v>
      </c>
      <c r="I12" s="1234">
        <v>16.07</v>
      </c>
      <c r="J12" s="1112" t="s">
        <v>1470</v>
      </c>
      <c r="K12" s="1117" t="s">
        <v>2015</v>
      </c>
    </row>
    <row r="13" spans="1:11" ht="15.75">
      <c r="A13" s="1039">
        <v>45113</v>
      </c>
      <c r="B13" s="1039">
        <v>45481</v>
      </c>
      <c r="C13" s="1025" t="s">
        <v>1435</v>
      </c>
      <c r="D13" s="1025" t="s">
        <v>33</v>
      </c>
      <c r="E13" s="1025" t="s">
        <v>458</v>
      </c>
      <c r="F13" s="1061">
        <v>3005.91</v>
      </c>
      <c r="G13" s="1062">
        <v>0.1</v>
      </c>
      <c r="H13" s="1055">
        <v>276.54000000000002</v>
      </c>
      <c r="I13" s="1063"/>
      <c r="J13" s="1111"/>
      <c r="K13" s="1115" t="s">
        <v>2015</v>
      </c>
    </row>
    <row r="14" spans="1:11" s="1070" customFormat="1" ht="15.75">
      <c r="A14" s="1043">
        <v>45110</v>
      </c>
      <c r="B14" s="1044">
        <v>45482</v>
      </c>
      <c r="C14" s="1032" t="s">
        <v>960</v>
      </c>
      <c r="D14" s="1075" t="s">
        <v>9</v>
      </c>
      <c r="E14" s="1075" t="s">
        <v>458</v>
      </c>
      <c r="F14" s="1102">
        <v>2251.14</v>
      </c>
      <c r="G14" s="1076">
        <v>0.15</v>
      </c>
      <c r="H14" s="1055">
        <v>310.64999999999998</v>
      </c>
      <c r="I14" s="1077"/>
      <c r="J14" s="1111"/>
      <c r="K14" s="1115" t="s">
        <v>2015</v>
      </c>
    </row>
    <row r="15" spans="1:11" ht="15.75">
      <c r="A15" s="1037">
        <v>45118</v>
      </c>
      <c r="B15" s="1038">
        <v>45483</v>
      </c>
      <c r="C15" s="1026" t="s">
        <v>2258</v>
      </c>
      <c r="D15" s="1026" t="s">
        <v>9</v>
      </c>
      <c r="E15" s="1026" t="s">
        <v>1310</v>
      </c>
      <c r="F15" s="1059">
        <v>3270.37</v>
      </c>
      <c r="G15" s="1054">
        <v>0.1</v>
      </c>
      <c r="H15" s="1055">
        <v>300.87</v>
      </c>
      <c r="I15" s="1056"/>
      <c r="J15" s="1111"/>
      <c r="K15" s="1115" t="s">
        <v>1472</v>
      </c>
    </row>
    <row r="16" spans="1:11" ht="15.75">
      <c r="A16" s="1037">
        <v>45110</v>
      </c>
      <c r="B16" s="1038">
        <v>45483</v>
      </c>
      <c r="C16" s="1026" t="s">
        <v>1439</v>
      </c>
      <c r="D16" s="1026" t="s">
        <v>448</v>
      </c>
      <c r="E16" s="1026" t="s">
        <v>945</v>
      </c>
      <c r="F16" s="1059">
        <v>720.72</v>
      </c>
      <c r="G16" s="1054">
        <v>0.15</v>
      </c>
      <c r="H16" s="1055">
        <v>99.45</v>
      </c>
      <c r="I16" s="1056"/>
      <c r="J16" s="1111"/>
      <c r="K16" s="1115" t="s">
        <v>2015</v>
      </c>
    </row>
    <row r="17" spans="1:11" ht="15.75">
      <c r="A17" s="1039">
        <v>45112</v>
      </c>
      <c r="B17" s="1039">
        <v>45485</v>
      </c>
      <c r="C17" s="1025" t="s">
        <v>2259</v>
      </c>
      <c r="D17" s="1025" t="s">
        <v>61</v>
      </c>
      <c r="E17" s="1025" t="s">
        <v>458</v>
      </c>
      <c r="F17" s="1061">
        <v>2635.97</v>
      </c>
      <c r="G17" s="1062">
        <v>0.15</v>
      </c>
      <c r="H17" s="1055">
        <v>363.76</v>
      </c>
      <c r="I17" s="1063"/>
      <c r="J17" s="1111"/>
      <c r="K17" s="1115" t="s">
        <v>2015</v>
      </c>
    </row>
    <row r="18" spans="1:11" ht="15.75">
      <c r="A18" s="1043">
        <v>45120</v>
      </c>
      <c r="B18" s="1045">
        <v>45486</v>
      </c>
      <c r="C18" s="1075" t="s">
        <v>2260</v>
      </c>
      <c r="D18" s="1075" t="s">
        <v>9</v>
      </c>
      <c r="E18" s="1075" t="s">
        <v>1552</v>
      </c>
      <c r="F18" s="1079">
        <v>2325.09</v>
      </c>
      <c r="G18" s="1076">
        <v>0.1</v>
      </c>
      <c r="H18" s="1055">
        <v>213.9</v>
      </c>
      <c r="I18" s="1077"/>
      <c r="J18" s="1111"/>
      <c r="K18" s="1115" t="s">
        <v>2015</v>
      </c>
    </row>
    <row r="19" spans="1:11" ht="15.75">
      <c r="A19" s="1037">
        <v>45120</v>
      </c>
      <c r="B19" s="1038">
        <v>45486</v>
      </c>
      <c r="C19" s="1119" t="s">
        <v>1811</v>
      </c>
      <c r="D19" s="1026" t="s">
        <v>25</v>
      </c>
      <c r="E19" s="1026" t="s">
        <v>948</v>
      </c>
      <c r="F19" s="1103">
        <v>1157.0899999999999</v>
      </c>
      <c r="G19" s="1054">
        <v>0.1</v>
      </c>
      <c r="H19" s="1055">
        <v>106.45</v>
      </c>
      <c r="I19" s="1056"/>
      <c r="J19" s="1111"/>
      <c r="K19" s="1115" t="s">
        <v>2015</v>
      </c>
    </row>
    <row r="20" spans="1:11" ht="15.75">
      <c r="A20" s="1037">
        <v>45119</v>
      </c>
      <c r="B20" s="1038">
        <v>45486</v>
      </c>
      <c r="C20" s="1025" t="s">
        <v>1816</v>
      </c>
      <c r="D20" s="1025" t="s">
        <v>9</v>
      </c>
      <c r="E20" s="1025" t="s">
        <v>945</v>
      </c>
      <c r="F20" s="1061">
        <v>2140.27</v>
      </c>
      <c r="G20" s="1062">
        <v>0.15</v>
      </c>
      <c r="H20" s="1055">
        <v>295.35000000000002</v>
      </c>
      <c r="I20" s="1056"/>
      <c r="J20" s="1111"/>
      <c r="K20" s="1115" t="s">
        <v>2015</v>
      </c>
    </row>
    <row r="21" spans="1:11" ht="15.75">
      <c r="A21" s="1040">
        <v>45121</v>
      </c>
      <c r="B21" s="1042">
        <v>45487</v>
      </c>
      <c r="C21" s="1027" t="s">
        <v>1443</v>
      </c>
      <c r="D21" s="1027" t="s">
        <v>9</v>
      </c>
      <c r="E21" s="1027" t="s">
        <v>1641</v>
      </c>
      <c r="F21" s="1065">
        <v>2246.85</v>
      </c>
      <c r="G21" s="1066">
        <v>0.1</v>
      </c>
      <c r="H21" s="1067">
        <v>206.71</v>
      </c>
      <c r="I21" s="1068">
        <v>20.67</v>
      </c>
      <c r="J21" s="1112" t="s">
        <v>1470</v>
      </c>
      <c r="K21" s="1131" t="s">
        <v>2015</v>
      </c>
    </row>
    <row r="22" spans="1:11" ht="15.75">
      <c r="A22" s="1037">
        <v>45121</v>
      </c>
      <c r="B22" s="1038">
        <v>45487</v>
      </c>
      <c r="C22" s="1026" t="s">
        <v>1905</v>
      </c>
      <c r="D22" s="1026" t="s">
        <v>25</v>
      </c>
      <c r="E22" s="1025" t="s">
        <v>1593</v>
      </c>
      <c r="F22" s="1023">
        <v>2582.71</v>
      </c>
      <c r="G22" s="1062">
        <v>0.1</v>
      </c>
      <c r="H22" s="1023">
        <v>237.6</v>
      </c>
      <c r="I22" s="1056"/>
      <c r="J22" s="1111"/>
      <c r="K22" s="1115" t="s">
        <v>1472</v>
      </c>
    </row>
    <row r="23" spans="1:11" s="1070" customFormat="1" ht="15.75">
      <c r="A23" s="1037">
        <v>45121</v>
      </c>
      <c r="B23" s="1038">
        <v>45488</v>
      </c>
      <c r="C23" s="1025" t="s">
        <v>1446</v>
      </c>
      <c r="D23" s="1026" t="s">
        <v>14</v>
      </c>
      <c r="E23" s="1025" t="s">
        <v>458</v>
      </c>
      <c r="F23" s="1061">
        <v>1848.66</v>
      </c>
      <c r="G23" s="1062">
        <v>0.1</v>
      </c>
      <c r="H23" s="1055">
        <v>170.07</v>
      </c>
      <c r="I23" s="1056"/>
      <c r="J23" s="1111"/>
      <c r="K23" s="1115" t="s">
        <v>2015</v>
      </c>
    </row>
    <row r="24" spans="1:11" ht="15.75">
      <c r="A24" s="1037">
        <v>45121</v>
      </c>
      <c r="B24" s="1038">
        <v>45488</v>
      </c>
      <c r="C24" s="1025" t="s">
        <v>1437</v>
      </c>
      <c r="D24" s="1026" t="s">
        <v>21</v>
      </c>
      <c r="E24" s="1025" t="s">
        <v>945</v>
      </c>
      <c r="F24" s="1061">
        <v>1183.71</v>
      </c>
      <c r="G24" s="1062">
        <v>0.13</v>
      </c>
      <c r="H24" s="1055">
        <v>141.57</v>
      </c>
      <c r="I24" s="1056"/>
      <c r="J24" s="1111"/>
      <c r="K24" s="1115" t="s">
        <v>2015</v>
      </c>
    </row>
    <row r="25" spans="1:11" ht="15.75">
      <c r="A25" s="1037">
        <v>45121</v>
      </c>
      <c r="B25" s="1038">
        <v>45489</v>
      </c>
      <c r="C25" s="1032" t="s">
        <v>2261</v>
      </c>
      <c r="D25" s="1026" t="s">
        <v>9</v>
      </c>
      <c r="E25" s="1025" t="s">
        <v>1552</v>
      </c>
      <c r="F25" s="1061">
        <v>1572.54</v>
      </c>
      <c r="G25" s="1062">
        <v>0.1</v>
      </c>
      <c r="H25" s="1055">
        <v>144.66999999999999</v>
      </c>
      <c r="I25" s="1056">
        <v>72.33</v>
      </c>
      <c r="J25" s="1111" t="s">
        <v>1577</v>
      </c>
      <c r="K25" s="1115" t="s">
        <v>2015</v>
      </c>
    </row>
    <row r="26" spans="1:11" ht="15.75">
      <c r="A26" s="1039">
        <v>45124</v>
      </c>
      <c r="B26" s="1039">
        <v>45490</v>
      </c>
      <c r="C26" s="1025" t="s">
        <v>2080</v>
      </c>
      <c r="D26" s="1025" t="s">
        <v>448</v>
      </c>
      <c r="E26" s="1025" t="s">
        <v>948</v>
      </c>
      <c r="F26" s="1061">
        <v>1073.98</v>
      </c>
      <c r="G26" s="1062">
        <v>0.1</v>
      </c>
      <c r="H26" s="1055">
        <v>98.8</v>
      </c>
      <c r="I26" s="1056"/>
      <c r="J26" s="1111"/>
      <c r="K26" s="1115" t="s">
        <v>2015</v>
      </c>
    </row>
    <row r="27" spans="1:11" ht="15.75">
      <c r="A27" s="1039">
        <v>45126</v>
      </c>
      <c r="B27" s="1039">
        <v>45492</v>
      </c>
      <c r="C27" s="1025" t="s">
        <v>2262</v>
      </c>
      <c r="D27" s="1025" t="s">
        <v>448</v>
      </c>
      <c r="E27" s="1025" t="s">
        <v>945</v>
      </c>
      <c r="F27" s="1061">
        <v>1455.93</v>
      </c>
      <c r="G27" s="1062">
        <v>0.1</v>
      </c>
      <c r="H27" s="1055">
        <v>133.94</v>
      </c>
      <c r="I27" s="1056">
        <v>66.97</v>
      </c>
      <c r="J27" s="1111" t="s">
        <v>1577</v>
      </c>
      <c r="K27" s="1115" t="s">
        <v>1472</v>
      </c>
    </row>
    <row r="28" spans="1:11" ht="15.75">
      <c r="A28" s="1039">
        <v>45127</v>
      </c>
      <c r="B28" s="1039">
        <v>45493</v>
      </c>
      <c r="C28" s="1025" t="s">
        <v>2263</v>
      </c>
      <c r="D28" s="1025" t="s">
        <v>422</v>
      </c>
      <c r="E28" s="1025" t="s">
        <v>1552</v>
      </c>
      <c r="F28" s="1061">
        <v>2979.34</v>
      </c>
      <c r="G28" s="1062">
        <v>0.1</v>
      </c>
      <c r="H28" s="1055">
        <v>274.08999999999997</v>
      </c>
      <c r="I28" s="1056"/>
      <c r="J28" s="1111"/>
      <c r="K28" s="1115" t="s">
        <v>2015</v>
      </c>
    </row>
    <row r="29" spans="1:11" ht="15.75">
      <c r="A29" s="1037">
        <v>45124</v>
      </c>
      <c r="B29" s="1039">
        <v>45494</v>
      </c>
      <c r="C29" s="1025" t="s">
        <v>2081</v>
      </c>
      <c r="D29" s="1026" t="s">
        <v>448</v>
      </c>
      <c r="E29" s="1025" t="s">
        <v>458</v>
      </c>
      <c r="F29" s="1061">
        <v>1886.54</v>
      </c>
      <c r="G29" s="1062">
        <v>0.1</v>
      </c>
      <c r="H29" s="1055">
        <v>173.56</v>
      </c>
      <c r="I29" s="1056"/>
      <c r="J29" s="1111"/>
      <c r="K29" s="1115" t="s">
        <v>2015</v>
      </c>
    </row>
    <row r="30" spans="1:11" ht="15.75">
      <c r="A30" s="1037">
        <v>45127</v>
      </c>
      <c r="B30" s="1039">
        <v>45495</v>
      </c>
      <c r="C30" s="1025" t="s">
        <v>1454</v>
      </c>
      <c r="D30" s="1026" t="s">
        <v>448</v>
      </c>
      <c r="E30" s="1025" t="s">
        <v>948</v>
      </c>
      <c r="F30" s="1061">
        <v>2586.5100000000002</v>
      </c>
      <c r="G30" s="1062">
        <v>0.1</v>
      </c>
      <c r="H30" s="1055">
        <v>237.95</v>
      </c>
      <c r="I30" s="1056"/>
      <c r="J30" s="1111"/>
      <c r="K30" s="1115" t="s">
        <v>2015</v>
      </c>
    </row>
    <row r="31" spans="1:11" ht="15.75">
      <c r="A31" s="1037">
        <v>45128</v>
      </c>
      <c r="B31" s="1039">
        <v>45495</v>
      </c>
      <c r="C31" s="1025" t="s">
        <v>972</v>
      </c>
      <c r="D31" s="1026" t="s">
        <v>14</v>
      </c>
      <c r="E31" s="1025" t="s">
        <v>458</v>
      </c>
      <c r="F31" s="1061">
        <v>1572.49</v>
      </c>
      <c r="G31" s="1062">
        <v>0.1</v>
      </c>
      <c r="H31" s="1055">
        <v>144.66</v>
      </c>
      <c r="I31" s="1056"/>
      <c r="J31" s="1111"/>
      <c r="K31" s="1115" t="s">
        <v>2015</v>
      </c>
    </row>
    <row r="32" spans="1:11" ht="15.75">
      <c r="A32" s="1037">
        <v>45131</v>
      </c>
      <c r="B32" s="1039">
        <v>45497</v>
      </c>
      <c r="C32" s="1025" t="s">
        <v>2084</v>
      </c>
      <c r="D32" s="1026" t="s">
        <v>14</v>
      </c>
      <c r="E32" s="1025" t="s">
        <v>948</v>
      </c>
      <c r="F32" s="1092">
        <v>1977.05</v>
      </c>
      <c r="G32" s="1062">
        <v>0.1</v>
      </c>
      <c r="H32" s="1055">
        <v>181.88</v>
      </c>
      <c r="I32" s="1056"/>
      <c r="J32" s="1111"/>
      <c r="K32" s="1115" t="s">
        <v>2015</v>
      </c>
    </row>
    <row r="33" spans="1:11" ht="15.75">
      <c r="A33" s="1037">
        <v>45131</v>
      </c>
      <c r="B33" s="1039">
        <v>45498</v>
      </c>
      <c r="C33" s="1032" t="s">
        <v>2264</v>
      </c>
      <c r="D33" s="1026" t="s">
        <v>70</v>
      </c>
      <c r="E33" s="1025" t="s">
        <v>279</v>
      </c>
      <c r="F33" s="1061">
        <v>1428.94</v>
      </c>
      <c r="G33" s="1062">
        <v>0.1</v>
      </c>
      <c r="H33" s="1055">
        <v>126.55</v>
      </c>
      <c r="I33" s="1056"/>
      <c r="J33" s="1111"/>
      <c r="K33" s="1115" t="s">
        <v>2015</v>
      </c>
    </row>
    <row r="34" spans="1:11" ht="15.75">
      <c r="A34" s="1037">
        <v>45131</v>
      </c>
      <c r="B34" s="1039">
        <v>45498</v>
      </c>
      <c r="C34" s="1025" t="s">
        <v>1469</v>
      </c>
      <c r="D34" s="1026" t="s">
        <v>9</v>
      </c>
      <c r="E34" s="1026" t="s">
        <v>945</v>
      </c>
      <c r="F34" s="1071">
        <v>2388.9499999999998</v>
      </c>
      <c r="G34" s="1062">
        <v>0.1</v>
      </c>
      <c r="H34" s="1055">
        <v>219.78</v>
      </c>
      <c r="I34" s="1056"/>
      <c r="J34" s="1111"/>
      <c r="K34" s="1115" t="s">
        <v>2015</v>
      </c>
    </row>
    <row r="35" spans="1:11" ht="15.75">
      <c r="A35" s="1037">
        <v>45133</v>
      </c>
      <c r="B35" s="1038">
        <v>45499</v>
      </c>
      <c r="C35" s="1025" t="s">
        <v>2265</v>
      </c>
      <c r="D35" s="1026" t="s">
        <v>61</v>
      </c>
      <c r="E35" s="1026" t="s">
        <v>945</v>
      </c>
      <c r="F35" s="1059">
        <v>2623.84</v>
      </c>
      <c r="G35" s="1054">
        <v>0.1</v>
      </c>
      <c r="H35" s="1055">
        <v>241.39</v>
      </c>
      <c r="I35" s="1056">
        <v>120.69</v>
      </c>
      <c r="J35" s="1111" t="s">
        <v>1396</v>
      </c>
      <c r="K35" s="1115" t="s">
        <v>1472</v>
      </c>
    </row>
    <row r="36" spans="1:11" ht="15.75">
      <c r="A36" s="1037">
        <v>45133</v>
      </c>
      <c r="B36" s="1038">
        <v>45499</v>
      </c>
      <c r="C36" s="1025" t="s">
        <v>2266</v>
      </c>
      <c r="D36" s="1026" t="s">
        <v>9</v>
      </c>
      <c r="E36" s="1026" t="s">
        <v>1310</v>
      </c>
      <c r="F36" s="1059">
        <v>5830.68</v>
      </c>
      <c r="G36" s="1054">
        <v>0.1</v>
      </c>
      <c r="H36" s="1055">
        <v>536.41999999999996</v>
      </c>
      <c r="I36" s="1056"/>
      <c r="J36" s="1111"/>
      <c r="K36" s="1115" t="s">
        <v>2015</v>
      </c>
    </row>
    <row r="37" spans="1:11" ht="15.75">
      <c r="A37" s="1037">
        <v>45134</v>
      </c>
      <c r="B37" s="1038">
        <v>45500</v>
      </c>
      <c r="C37" s="1025" t="s">
        <v>982</v>
      </c>
      <c r="D37" s="1026" t="s">
        <v>14</v>
      </c>
      <c r="E37" s="1026" t="s">
        <v>458</v>
      </c>
      <c r="F37" s="1053">
        <v>1422.32</v>
      </c>
      <c r="G37" s="1054">
        <v>0.15</v>
      </c>
      <c r="H37" s="1023">
        <v>196.28</v>
      </c>
      <c r="I37" s="1056"/>
      <c r="J37" s="1111"/>
      <c r="K37" s="1115" t="s">
        <v>2015</v>
      </c>
    </row>
    <row r="38" spans="1:11" ht="15.75">
      <c r="A38" s="1037">
        <v>45138</v>
      </c>
      <c r="B38" s="1038">
        <v>45504</v>
      </c>
      <c r="C38" s="1033" t="s">
        <v>2267</v>
      </c>
      <c r="D38" s="1026" t="s">
        <v>448</v>
      </c>
      <c r="E38" s="1026" t="s">
        <v>545</v>
      </c>
      <c r="F38" s="1059" t="s">
        <v>889</v>
      </c>
      <c r="G38" s="1054">
        <v>0.1</v>
      </c>
      <c r="H38" s="1055">
        <v>250</v>
      </c>
      <c r="I38" s="1056">
        <v>125</v>
      </c>
      <c r="J38" s="1111" t="s">
        <v>1396</v>
      </c>
      <c r="K38" s="1115" t="s">
        <v>1472</v>
      </c>
    </row>
    <row r="39" spans="1:11" ht="15.75">
      <c r="A39" s="1037">
        <v>45113</v>
      </c>
      <c r="B39" s="1038" t="s">
        <v>1805</v>
      </c>
      <c r="C39" s="1026" t="s">
        <v>2268</v>
      </c>
      <c r="D39" s="1026" t="s">
        <v>149</v>
      </c>
      <c r="E39" s="1026" t="s">
        <v>945</v>
      </c>
      <c r="F39" s="1061">
        <v>257.49</v>
      </c>
      <c r="G39" s="1062">
        <v>0.1</v>
      </c>
      <c r="H39" s="1055">
        <v>23.68</v>
      </c>
      <c r="I39" s="1056"/>
      <c r="J39" s="1111"/>
      <c r="K39" s="1115" t="s">
        <v>1805</v>
      </c>
    </row>
    <row r="40" spans="1:11" ht="15.75">
      <c r="A40" s="1037"/>
      <c r="B40" s="1038"/>
      <c r="C40" s="1026"/>
      <c r="D40" s="1026"/>
      <c r="E40" s="1026"/>
      <c r="F40" s="1059"/>
      <c r="G40" s="1054"/>
      <c r="H40" s="1055"/>
      <c r="I40" s="1056"/>
      <c r="J40" s="1111"/>
      <c r="K40" s="1115"/>
    </row>
    <row r="41" spans="1:11" ht="15.75">
      <c r="A41" s="1037"/>
      <c r="B41" s="1038"/>
      <c r="C41" s="1026"/>
      <c r="D41" s="1026"/>
      <c r="E41" s="1026"/>
      <c r="F41" s="1059"/>
      <c r="G41" s="1054"/>
      <c r="H41" s="1055"/>
      <c r="I41" s="1056"/>
      <c r="J41" s="1111"/>
      <c r="K41" s="1115"/>
    </row>
    <row r="42" spans="1:11" ht="15.75">
      <c r="A42" s="1037"/>
      <c r="B42" s="1038"/>
      <c r="C42" s="1025"/>
      <c r="D42" s="1026"/>
      <c r="E42" s="1026"/>
      <c r="F42" s="1059"/>
      <c r="G42" s="1054"/>
      <c r="H42" s="1055"/>
      <c r="I42" s="1056"/>
      <c r="J42" s="1111"/>
      <c r="K42" s="1115"/>
    </row>
    <row r="43" spans="1:11" ht="15.75">
      <c r="A43" s="1037"/>
      <c r="B43" s="1038"/>
      <c r="C43" s="1025"/>
      <c r="D43" s="1026"/>
      <c r="E43" s="1026"/>
      <c r="F43" s="1118"/>
      <c r="G43" s="1054"/>
      <c r="H43" s="1023"/>
      <c r="I43" s="1056"/>
      <c r="J43" s="1111"/>
      <c r="K43" s="1115"/>
    </row>
    <row r="44" spans="1:11" ht="15.75">
      <c r="A44" s="1037"/>
      <c r="B44" s="1038"/>
      <c r="C44" s="1026"/>
      <c r="D44" s="1026"/>
      <c r="E44" s="1026"/>
      <c r="F44" s="1059"/>
      <c r="G44" s="1054"/>
      <c r="H44" s="1055"/>
      <c r="I44" s="1056"/>
      <c r="J44" s="1111"/>
      <c r="K44" s="1115"/>
    </row>
    <row r="45" spans="1:11" ht="15.75">
      <c r="A45" s="1037"/>
      <c r="B45" s="1038"/>
      <c r="C45" s="1026"/>
      <c r="D45" s="1026"/>
      <c r="E45" s="1026"/>
      <c r="F45" s="1059"/>
      <c r="G45" s="1054"/>
      <c r="H45" s="1055"/>
      <c r="I45" s="1056"/>
      <c r="J45" s="1111"/>
      <c r="K45" s="1115"/>
    </row>
    <row r="46" spans="1:11" ht="16.5" thickBot="1">
      <c r="A46" s="1037"/>
      <c r="B46" s="1038"/>
      <c r="C46" s="1026"/>
      <c r="D46" s="1026"/>
      <c r="E46" s="1026"/>
      <c r="F46" s="1059"/>
      <c r="G46" s="1054"/>
      <c r="H46" s="1055"/>
      <c r="I46" s="1056"/>
      <c r="J46" s="1111"/>
      <c r="K46" s="1115"/>
    </row>
    <row r="47" spans="1:11" ht="20.25" thickBot="1">
      <c r="A47" s="1158"/>
      <c r="B47" s="1159"/>
      <c r="C47" s="1159"/>
      <c r="D47" s="1159"/>
      <c r="E47" s="1159"/>
      <c r="F47" s="1160">
        <f>SUM(F2:F10,F12:F46)</f>
        <v>72631.830000000031</v>
      </c>
      <c r="G47" s="1161"/>
      <c r="H47" s="1162">
        <f>SUM(H2:H46)</f>
        <v>8184.77</v>
      </c>
      <c r="I47" s="1163">
        <f>SUM(I2:I46)</f>
        <v>485.12</v>
      </c>
      <c r="J47" s="1164"/>
      <c r="K47" s="1157"/>
    </row>
    <row r="48" spans="1:11" ht="15.75" thickBot="1">
      <c r="A48" s="2001" t="s">
        <v>2269</v>
      </c>
      <c r="B48" s="2001"/>
      <c r="C48" s="2001"/>
      <c r="D48" s="2001"/>
      <c r="E48" s="2001"/>
      <c r="F48" s="2001"/>
      <c r="G48" s="2001"/>
      <c r="H48" s="2001"/>
      <c r="I48" s="2001"/>
      <c r="J48" s="2001"/>
    </row>
    <row r="49" spans="1:10">
      <c r="A49" s="1235" t="s">
        <v>1832</v>
      </c>
      <c r="B49" s="1236" t="s">
        <v>2</v>
      </c>
      <c r="C49" s="1236" t="s">
        <v>3</v>
      </c>
      <c r="D49" s="1236" t="s">
        <v>4</v>
      </c>
      <c r="E49" s="1236" t="s">
        <v>5</v>
      </c>
      <c r="F49" s="1237" t="s">
        <v>644</v>
      </c>
      <c r="G49" s="1238" t="s">
        <v>555</v>
      </c>
      <c r="H49" s="1239" t="s">
        <v>7</v>
      </c>
      <c r="I49" s="1240" t="s">
        <v>2270</v>
      </c>
      <c r="J49" s="1238" t="s">
        <v>2271</v>
      </c>
    </row>
    <row r="50" spans="1:10">
      <c r="A50" s="1039">
        <v>45141</v>
      </c>
      <c r="B50" s="1039">
        <v>45501</v>
      </c>
      <c r="C50" s="1025" t="s">
        <v>2272</v>
      </c>
      <c r="D50" s="1025" t="s">
        <v>25</v>
      </c>
      <c r="E50" s="1025" t="s">
        <v>458</v>
      </c>
      <c r="F50" s="1174">
        <v>309.52999999999997</v>
      </c>
      <c r="G50" s="1062">
        <v>0.45</v>
      </c>
      <c r="H50" s="1055">
        <v>128.13999999999999</v>
      </c>
      <c r="I50" s="1242" t="s">
        <v>2273</v>
      </c>
      <c r="J50" s="1025" t="s">
        <v>2274</v>
      </c>
    </row>
    <row r="51" spans="1:10">
      <c r="A51" s="1039"/>
      <c r="B51" s="1039"/>
      <c r="C51" s="1025"/>
      <c r="D51" s="1025"/>
      <c r="E51" s="1025"/>
      <c r="F51" s="1061"/>
      <c r="G51" s="1062"/>
      <c r="H51" s="1055"/>
      <c r="I51" s="1242"/>
      <c r="J51" s="1025"/>
    </row>
    <row r="52" spans="1:10">
      <c r="A52" s="1039"/>
      <c r="B52" s="1039"/>
      <c r="C52" s="1025"/>
      <c r="D52" s="1025"/>
      <c r="E52" s="1025"/>
      <c r="F52" s="1061"/>
      <c r="G52" s="1062"/>
      <c r="H52" s="1055"/>
      <c r="I52" s="1242"/>
      <c r="J52" s="1025"/>
    </row>
    <row r="53" spans="1:10">
      <c r="A53" s="1039"/>
      <c r="B53" s="1039"/>
      <c r="C53" s="1025"/>
      <c r="D53" s="1025"/>
      <c r="E53" s="1025"/>
      <c r="F53" s="1061"/>
      <c r="G53" s="1062"/>
      <c r="H53" s="1055"/>
      <c r="I53" s="1242"/>
      <c r="J53" s="1025"/>
    </row>
    <row r="54" spans="1:10">
      <c r="A54" s="1041"/>
      <c r="B54" s="1041"/>
      <c r="C54" s="1027"/>
      <c r="D54" s="1027"/>
      <c r="E54" s="1027"/>
      <c r="F54" s="1090"/>
      <c r="G54" s="1066"/>
      <c r="H54" s="1067"/>
      <c r="I54" s="1243"/>
      <c r="J54" s="1027"/>
    </row>
    <row r="55" spans="1:10">
      <c r="A55" s="1039"/>
      <c r="B55" s="1039"/>
      <c r="C55" s="1025"/>
      <c r="D55" s="1025"/>
      <c r="E55" s="1025"/>
      <c r="F55" s="1061"/>
      <c r="G55" s="1062"/>
      <c r="H55" s="1055"/>
      <c r="I55" s="1242"/>
      <c r="J55" s="1025"/>
    </row>
    <row r="56" spans="1:10">
      <c r="A56" s="1039"/>
      <c r="B56" s="1039"/>
      <c r="C56" s="1025"/>
      <c r="D56" s="1025"/>
      <c r="E56" s="1025"/>
      <c r="F56" s="1092"/>
      <c r="G56" s="1062"/>
      <c r="H56" s="1055"/>
      <c r="I56" s="1242"/>
      <c r="J56" s="1025"/>
    </row>
    <row r="57" spans="1:10">
      <c r="A57" s="1041"/>
      <c r="B57" s="1041"/>
      <c r="C57" s="1027"/>
      <c r="D57" s="1027"/>
      <c r="E57" s="1027"/>
      <c r="F57" s="1065"/>
      <c r="G57" s="1066"/>
      <c r="H57" s="1067"/>
      <c r="I57" s="1243"/>
      <c r="J57" s="1027"/>
    </row>
    <row r="58" spans="1:10">
      <c r="A58" s="1037"/>
      <c r="B58" s="1039"/>
      <c r="C58" s="1025"/>
      <c r="D58" s="1026"/>
      <c r="E58" s="1025"/>
      <c r="F58" s="1061"/>
      <c r="G58" s="1062"/>
      <c r="H58" s="1055"/>
      <c r="I58" s="1056"/>
      <c r="J58" s="1111"/>
    </row>
    <row r="59" spans="1:10">
      <c r="A59" s="1040"/>
      <c r="B59" s="1042"/>
      <c r="C59" s="1027"/>
      <c r="D59" s="1030"/>
      <c r="E59" s="1030"/>
      <c r="F59" s="1072"/>
      <c r="G59" s="1073"/>
      <c r="H59" s="1233"/>
      <c r="I59" s="1234"/>
      <c r="J59" s="1112"/>
    </row>
    <row r="60" spans="1:10">
      <c r="A60" s="1037"/>
      <c r="B60" s="1038"/>
      <c r="C60" s="1075"/>
      <c r="D60" s="1026"/>
      <c r="E60" s="1026"/>
      <c r="F60" s="1059"/>
      <c r="G60" s="1054"/>
      <c r="H60" s="1055"/>
      <c r="I60" s="1056"/>
      <c r="J60" s="1111"/>
    </row>
    <row r="61" spans="1:10">
      <c r="A61" s="1039"/>
      <c r="B61" s="1039"/>
      <c r="C61" s="1025"/>
      <c r="D61" s="1025"/>
      <c r="E61" s="1025"/>
      <c r="F61" s="1061"/>
      <c r="G61" s="1062"/>
      <c r="H61" s="1055"/>
      <c r="I61" s="1063"/>
      <c r="J61" s="1111"/>
    </row>
    <row r="62" spans="1:10">
      <c r="A62" s="1043"/>
      <c r="B62" s="1044"/>
      <c r="C62" s="1032"/>
      <c r="D62" s="1075"/>
      <c r="E62" s="1075"/>
      <c r="F62" s="1102"/>
      <c r="G62" s="1076"/>
      <c r="H62" s="1055"/>
      <c r="I62" s="1077"/>
      <c r="J62" s="1111"/>
    </row>
    <row r="63" spans="1:10">
      <c r="A63" s="1037"/>
      <c r="B63" s="1038"/>
      <c r="C63" s="1026"/>
      <c r="D63" s="1026"/>
      <c r="E63" s="1026"/>
      <c r="F63" s="1059"/>
      <c r="G63" s="1054"/>
      <c r="H63" s="1055"/>
      <c r="I63" s="1056"/>
      <c r="J63" s="1111"/>
    </row>
    <row r="64" spans="1:10">
      <c r="A64" s="1037"/>
      <c r="B64" s="1038"/>
      <c r="C64" s="1026"/>
      <c r="D64" s="1026"/>
      <c r="E64" s="1026"/>
      <c r="F64" s="1059"/>
      <c r="G64" s="1054"/>
      <c r="H64" s="1055"/>
      <c r="I64" s="1056"/>
      <c r="J64" s="1111"/>
    </row>
    <row r="65" spans="1:10">
      <c r="A65" s="1039"/>
      <c r="B65" s="1039"/>
      <c r="C65" s="1025"/>
      <c r="D65" s="1025"/>
      <c r="E65" s="1025"/>
      <c r="F65" s="1092"/>
      <c r="G65" s="1062"/>
      <c r="H65" s="1055"/>
      <c r="I65" s="1063"/>
      <c r="J65" s="1111"/>
    </row>
    <row r="66" spans="1:10">
      <c r="A66" s="1043"/>
      <c r="B66" s="1045"/>
      <c r="C66" s="1075"/>
      <c r="D66" s="1075"/>
      <c r="E66" s="1075"/>
      <c r="F66" s="1079"/>
      <c r="G66" s="1076"/>
      <c r="H66" s="1055"/>
      <c r="I66" s="1077"/>
      <c r="J66" s="1111"/>
    </row>
    <row r="67" spans="1:10">
      <c r="A67" s="1037"/>
      <c r="B67" s="1038"/>
      <c r="C67" s="1119"/>
      <c r="D67" s="1026"/>
      <c r="E67" s="1026"/>
      <c r="F67" s="1059"/>
      <c r="G67" s="1054"/>
      <c r="H67" s="1055"/>
      <c r="I67" s="1056"/>
      <c r="J67" s="1111"/>
    </row>
    <row r="68" spans="1:10">
      <c r="A68" s="1040"/>
      <c r="B68" s="1042"/>
      <c r="C68" s="1027"/>
      <c r="D68" s="1027"/>
      <c r="E68" s="1027"/>
      <c r="F68" s="1065"/>
      <c r="G68" s="1066"/>
      <c r="H68" s="1067"/>
      <c r="I68" s="1068"/>
      <c r="J68" s="1112"/>
    </row>
    <row r="69" spans="1:10">
      <c r="A69" s="1037"/>
      <c r="B69" s="1038"/>
      <c r="C69" s="1025"/>
      <c r="D69" s="1025"/>
      <c r="E69" s="1025"/>
      <c r="F69" s="1023"/>
      <c r="G69" s="1062"/>
      <c r="H69" s="1023"/>
      <c r="I69" s="1056"/>
      <c r="J69" s="1111"/>
    </row>
    <row r="70" spans="1:10">
      <c r="A70" s="1037"/>
      <c r="B70" s="1038"/>
      <c r="C70" s="1026"/>
      <c r="D70" s="1026"/>
      <c r="E70" s="1025"/>
      <c r="F70" s="1061"/>
      <c r="G70" s="1062"/>
      <c r="H70" s="1055"/>
      <c r="I70" s="1056"/>
      <c r="J70" s="1111"/>
    </row>
    <row r="71" spans="1:10">
      <c r="A71" s="1037"/>
      <c r="B71" s="1038"/>
      <c r="C71" s="1025"/>
      <c r="D71" s="1026"/>
      <c r="E71" s="1025"/>
      <c r="F71" s="1061"/>
      <c r="G71" s="1062"/>
      <c r="H71" s="1055"/>
      <c r="I71" s="1056"/>
      <c r="J71" s="1111"/>
    </row>
    <row r="72" spans="1:10">
      <c r="A72" s="1037"/>
      <c r="B72" s="1038"/>
      <c r="C72" s="1025"/>
      <c r="D72" s="1026"/>
      <c r="E72" s="1025"/>
      <c r="F72" s="1061"/>
      <c r="G72" s="1062"/>
      <c r="H72" s="1055"/>
      <c r="I72" s="1056"/>
      <c r="J72" s="1111"/>
    </row>
    <row r="73" spans="1:10">
      <c r="A73" s="1037"/>
      <c r="B73" s="1038"/>
      <c r="C73" s="1032"/>
      <c r="D73" s="1026"/>
      <c r="E73" s="1025"/>
      <c r="F73" s="1061"/>
      <c r="G73" s="1062"/>
      <c r="H73" s="1055"/>
      <c r="I73" s="1056"/>
      <c r="J73" s="1111"/>
    </row>
    <row r="74" spans="1:10">
      <c r="A74" s="1039"/>
      <c r="B74" s="1039"/>
      <c r="C74" s="1025"/>
      <c r="D74" s="1025"/>
      <c r="E74" s="1025"/>
      <c r="F74" s="1061"/>
      <c r="G74" s="1062"/>
      <c r="H74" s="1055"/>
      <c r="I74" s="1056"/>
      <c r="J74" s="1111"/>
    </row>
    <row r="75" spans="1:10">
      <c r="A75" s="1039"/>
      <c r="B75" s="1039"/>
      <c r="C75" s="1025"/>
      <c r="D75" s="1025"/>
      <c r="E75" s="1025"/>
      <c r="F75" s="1061"/>
      <c r="G75" s="1062"/>
      <c r="H75" s="1055"/>
      <c r="I75" s="1056"/>
      <c r="J75" s="1111"/>
    </row>
    <row r="76" spans="1:10">
      <c r="A76" s="1039"/>
      <c r="B76" s="1039"/>
      <c r="C76" s="1025"/>
      <c r="D76" s="1025"/>
      <c r="E76" s="1025"/>
      <c r="F76" s="1061"/>
      <c r="G76" s="1062"/>
      <c r="H76" s="1055"/>
      <c r="I76" s="1056"/>
      <c r="J76" s="1111"/>
    </row>
    <row r="77" spans="1:10">
      <c r="A77" s="1037"/>
      <c r="B77" s="1039"/>
      <c r="C77" s="1025"/>
      <c r="D77" s="1026"/>
      <c r="E77" s="1025"/>
      <c r="F77" s="1061"/>
      <c r="G77" s="1062"/>
      <c r="H77" s="1055"/>
      <c r="I77" s="1056"/>
      <c r="J77" s="1111"/>
    </row>
    <row r="78" spans="1:10">
      <c r="A78" s="1037"/>
      <c r="B78" s="1039"/>
      <c r="C78" s="1025"/>
      <c r="D78" s="1026"/>
      <c r="E78" s="1025"/>
      <c r="F78" s="1061"/>
      <c r="G78" s="1062"/>
      <c r="H78" s="1055"/>
      <c r="I78" s="1056"/>
      <c r="J78" s="1111"/>
    </row>
    <row r="79" spans="1:10">
      <c r="A79" s="1037"/>
      <c r="B79" s="1039"/>
      <c r="C79" s="1025"/>
      <c r="D79" s="1026"/>
      <c r="E79" s="1025"/>
      <c r="F79" s="1092"/>
      <c r="G79" s="1062"/>
      <c r="H79" s="1055"/>
      <c r="I79" s="1056"/>
      <c r="J79" s="1111"/>
    </row>
    <row r="80" spans="1:10">
      <c r="A80" s="1037"/>
      <c r="B80" s="1039"/>
      <c r="C80" s="1025"/>
      <c r="D80" s="1026"/>
      <c r="E80" s="1025"/>
      <c r="F80" s="1061"/>
      <c r="G80" s="1062"/>
      <c r="H80" s="1055"/>
      <c r="I80" s="1056"/>
      <c r="J80" s="1111"/>
    </row>
    <row r="81" spans="1:10">
      <c r="A81" s="1037"/>
      <c r="B81" s="1039"/>
      <c r="C81" s="1252"/>
      <c r="D81" s="1026"/>
      <c r="E81" s="1025"/>
      <c r="F81" s="1061"/>
      <c r="G81" s="1062"/>
      <c r="H81" s="1055"/>
      <c r="I81" s="1056"/>
      <c r="J81" s="1111"/>
    </row>
    <row r="82" spans="1:10">
      <c r="A82" s="1037"/>
      <c r="B82" s="1039"/>
      <c r="C82" s="1248"/>
      <c r="D82" s="1026"/>
      <c r="E82" s="1026"/>
      <c r="F82" s="1071"/>
      <c r="G82" s="1062"/>
      <c r="H82" s="1055"/>
      <c r="I82" s="1056"/>
      <c r="J82" s="1111"/>
    </row>
    <row r="83" spans="1:10">
      <c r="A83" s="1037"/>
      <c r="B83" s="1038"/>
      <c r="C83" s="1248"/>
      <c r="D83" s="1026"/>
      <c r="E83" s="1026"/>
      <c r="F83" s="1053"/>
      <c r="G83" s="1054"/>
      <c r="H83" s="1023"/>
      <c r="I83" s="1056"/>
      <c r="J83" s="1111"/>
    </row>
    <row r="84" spans="1:10">
      <c r="A84" s="1037"/>
      <c r="B84" s="1038"/>
      <c r="C84" s="1025"/>
      <c r="D84" s="1026"/>
      <c r="E84" s="1026"/>
      <c r="F84" s="1059"/>
      <c r="G84" s="1054"/>
      <c r="H84" s="1055"/>
      <c r="I84" s="1056"/>
      <c r="J84" s="1111"/>
    </row>
    <row r="85" spans="1:10">
      <c r="A85" s="1037"/>
      <c r="B85" s="1038"/>
      <c r="C85" s="1025"/>
      <c r="D85" s="1026"/>
      <c r="E85" s="1026"/>
      <c r="F85" s="1059"/>
      <c r="G85" s="1054"/>
      <c r="H85" s="1055"/>
      <c r="I85" s="1056"/>
      <c r="J85" s="1111"/>
    </row>
    <row r="86" spans="1:10">
      <c r="A86" s="1037"/>
      <c r="B86" s="1038"/>
      <c r="C86" s="1033"/>
      <c r="D86" s="1026"/>
      <c r="E86" s="1026"/>
      <c r="F86" s="1059"/>
      <c r="G86" s="1054"/>
      <c r="H86" s="1055"/>
      <c r="I86" s="1056"/>
      <c r="J86" s="1111"/>
    </row>
    <row r="87" spans="1:10">
      <c r="A87" s="1037"/>
      <c r="B87" s="1038"/>
      <c r="C87" s="1025"/>
      <c r="D87" s="1026"/>
      <c r="E87" s="1026"/>
      <c r="F87" s="1059"/>
      <c r="G87" s="1054"/>
      <c r="H87" s="1055"/>
      <c r="I87" s="1056"/>
      <c r="J87" s="1111"/>
    </row>
    <row r="88" spans="1:10">
      <c r="A88" s="1037"/>
      <c r="B88" s="1038"/>
      <c r="C88" s="1026"/>
      <c r="D88" s="1026"/>
      <c r="E88" s="1026"/>
      <c r="F88" s="1059"/>
      <c r="G88" s="1054"/>
      <c r="H88" s="1055"/>
      <c r="I88" s="1056"/>
      <c r="J88" s="1111"/>
    </row>
    <row r="89" spans="1:10">
      <c r="A89" s="1037"/>
      <c r="B89" s="1038"/>
      <c r="C89" s="1026"/>
      <c r="D89" s="1026"/>
      <c r="E89" s="1026"/>
      <c r="F89" s="1059"/>
      <c r="G89" s="1054"/>
      <c r="H89" s="1055"/>
      <c r="I89" s="1056"/>
      <c r="J89" s="1111"/>
    </row>
    <row r="90" spans="1:10">
      <c r="A90" s="1037"/>
      <c r="B90" s="1038"/>
      <c r="C90" s="1025"/>
      <c r="D90" s="1026"/>
      <c r="E90" s="1026"/>
      <c r="F90" s="1059"/>
      <c r="G90" s="1054"/>
      <c r="H90" s="1055"/>
      <c r="I90" s="1056"/>
      <c r="J90" s="1111"/>
    </row>
    <row r="91" spans="1:10">
      <c r="A91" s="1037"/>
      <c r="B91" s="1038"/>
      <c r="C91" s="1025"/>
      <c r="D91" s="1026"/>
      <c r="E91" s="1026"/>
      <c r="F91" s="1118"/>
      <c r="G91" s="1054"/>
      <c r="H91" s="1023"/>
      <c r="I91" s="1056"/>
      <c r="J91" s="1111"/>
    </row>
    <row r="92" spans="1:10">
      <c r="A92" s="1037"/>
      <c r="B92" s="1038"/>
      <c r="C92" s="1026"/>
      <c r="D92" s="1026"/>
      <c r="E92" s="1026"/>
      <c r="F92" s="1059"/>
      <c r="G92" s="1054"/>
      <c r="H92" s="1055"/>
      <c r="I92" s="1056"/>
      <c r="J92" s="1111"/>
    </row>
    <row r="93" spans="1:10">
      <c r="A93" s="1037"/>
      <c r="B93" s="1038"/>
      <c r="C93" s="1026"/>
      <c r="D93" s="1026"/>
      <c r="E93" s="1026"/>
      <c r="F93" s="1059"/>
      <c r="G93" s="1054"/>
      <c r="H93" s="1055"/>
      <c r="I93" s="1056"/>
      <c r="J93" s="1111"/>
    </row>
    <row r="94" spans="1:10" ht="15.75" thickBot="1">
      <c r="A94" s="1037"/>
      <c r="B94" s="1038"/>
      <c r="C94" s="1026"/>
      <c r="D94" s="1026"/>
      <c r="E94" s="1026"/>
      <c r="F94" s="1059"/>
      <c r="G94" s="1054"/>
      <c r="H94" s="1055"/>
      <c r="I94" s="1056"/>
      <c r="J94" s="1111"/>
    </row>
    <row r="95" spans="1:10" ht="20.25" thickBot="1">
      <c r="A95" s="1158"/>
      <c r="B95" s="1159"/>
      <c r="C95" s="1159"/>
      <c r="D95" s="1159"/>
      <c r="E95" s="1159"/>
      <c r="F95" s="1160">
        <f>SUM(F50:F58,F60:F94)</f>
        <v>309.52999999999997</v>
      </c>
      <c r="G95" s="1161"/>
      <c r="H95" s="1162">
        <f>SUM(H50:H94)</f>
        <v>128.13999999999999</v>
      </c>
      <c r="I95" s="1163">
        <f>SUM(I50:I94)</f>
        <v>0</v>
      </c>
      <c r="J95" s="1164"/>
    </row>
  </sheetData>
  <autoFilter ref="A1:K1" xr:uid="{E1176440-3F45-4884-A6B9-A6CDE98919A6}">
    <sortState xmlns:xlrd2="http://schemas.microsoft.com/office/spreadsheetml/2017/richdata2" ref="A2:K39">
      <sortCondition ref="B1"/>
    </sortState>
  </autoFilter>
  <mergeCells count="1">
    <mergeCell ref="A48:J4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F7B2-8D72-47D9-8550-BB26796E79DD}">
  <dimension ref="A1:K122"/>
  <sheetViews>
    <sheetView topLeftCell="A43" zoomScale="85" zoomScaleNormal="85" workbookViewId="0">
      <selection activeCell="E24" sqref="E24:E55"/>
    </sheetView>
  </sheetViews>
  <sheetFormatPr defaultColWidth="9.140625" defaultRowHeight="15"/>
  <cols>
    <col min="1" max="1" width="13" style="1058" customWidth="1"/>
    <col min="2" max="2" width="13.5703125" style="1058" customWidth="1"/>
    <col min="3" max="3" width="48.7109375" style="1165" customWidth="1"/>
    <col min="4" max="4" width="20.85546875" style="1058" bestFit="1" customWidth="1"/>
    <col min="5" max="5" width="16.7109375" style="1058" customWidth="1"/>
    <col min="6" max="6" width="22" style="1277" bestFit="1" customWidth="1"/>
    <col min="7" max="7" width="13.42578125" style="1058" bestFit="1" customWidth="1"/>
    <col min="8" max="8" width="20.140625" style="1058" customWidth="1"/>
    <col min="9" max="9" width="21.140625" style="1058" customWidth="1"/>
    <col min="10" max="10" width="13.7109375" style="1058" bestFit="1" customWidth="1"/>
    <col min="11" max="11" width="37.85546875" style="1058" customWidth="1"/>
    <col min="12" max="16384" width="9.140625" style="1058"/>
  </cols>
  <sheetData>
    <row r="1" spans="1:11" ht="15" customHeight="1">
      <c r="A1" s="1235" t="s">
        <v>1832</v>
      </c>
      <c r="B1" s="1236" t="s">
        <v>2</v>
      </c>
      <c r="C1" s="1236" t="s">
        <v>3</v>
      </c>
      <c r="D1" s="1236" t="s">
        <v>4</v>
      </c>
      <c r="E1" s="1236" t="s">
        <v>5</v>
      </c>
      <c r="F1" s="1272" t="s">
        <v>644</v>
      </c>
      <c r="G1" s="1238" t="s">
        <v>555</v>
      </c>
      <c r="H1" s="1239" t="s">
        <v>7</v>
      </c>
      <c r="I1" s="1240" t="s">
        <v>307</v>
      </c>
      <c r="J1" s="1238" t="s">
        <v>370</v>
      </c>
      <c r="K1" s="1241"/>
    </row>
    <row r="2" spans="1:11" ht="15.75">
      <c r="A2" s="1039">
        <v>45139</v>
      </c>
      <c r="B2" s="1039">
        <v>45505</v>
      </c>
      <c r="C2" s="1025" t="s">
        <v>2275</v>
      </c>
      <c r="D2" s="1025" t="s">
        <v>9</v>
      </c>
      <c r="E2" s="1025" t="s">
        <v>1593</v>
      </c>
      <c r="F2" s="961">
        <v>1730.45</v>
      </c>
      <c r="G2" s="1062">
        <v>0.1</v>
      </c>
      <c r="H2" s="1055">
        <v>159.19999999999999</v>
      </c>
      <c r="I2" s="1242"/>
      <c r="J2" s="1025"/>
      <c r="K2" s="1115" t="s">
        <v>1472</v>
      </c>
    </row>
    <row r="3" spans="1:11" ht="15.75">
      <c r="A3" s="1041">
        <v>45142</v>
      </c>
      <c r="B3" s="1041">
        <v>45508</v>
      </c>
      <c r="C3" s="1027" t="s">
        <v>2276</v>
      </c>
      <c r="D3" s="1027" t="s">
        <v>448</v>
      </c>
      <c r="E3" s="1027" t="s">
        <v>1080</v>
      </c>
      <c r="F3" s="1274">
        <v>1757.1</v>
      </c>
      <c r="G3" s="1066">
        <v>0.1</v>
      </c>
      <c r="H3" s="1067">
        <v>161.65</v>
      </c>
      <c r="I3" s="1243">
        <v>16.16</v>
      </c>
      <c r="J3" s="1027" t="s">
        <v>2070</v>
      </c>
      <c r="K3" s="1117" t="s">
        <v>2274</v>
      </c>
    </row>
    <row r="4" spans="1:11" s="1070" customFormat="1" ht="15.75">
      <c r="A4" s="1041">
        <v>45142</v>
      </c>
      <c r="B4" s="1041">
        <v>45509</v>
      </c>
      <c r="C4" s="1027" t="s">
        <v>1462</v>
      </c>
      <c r="D4" s="1027" t="s">
        <v>9</v>
      </c>
      <c r="E4" s="1027" t="s">
        <v>1552</v>
      </c>
      <c r="F4" s="979">
        <v>3118.2</v>
      </c>
      <c r="G4" s="1066">
        <v>0.1</v>
      </c>
      <c r="H4" s="1067">
        <v>293.31</v>
      </c>
      <c r="I4" s="1243">
        <v>29.33</v>
      </c>
      <c r="J4" s="1027" t="s">
        <v>2070</v>
      </c>
      <c r="K4" s="1117" t="s">
        <v>2015</v>
      </c>
    </row>
    <row r="5" spans="1:11" s="1189" customFormat="1" ht="15.75">
      <c r="A5" s="1039">
        <v>45145</v>
      </c>
      <c r="B5" s="1039">
        <v>45509</v>
      </c>
      <c r="C5" s="1025" t="s">
        <v>1467</v>
      </c>
      <c r="D5" s="1025" t="s">
        <v>9</v>
      </c>
      <c r="E5" s="1025" t="s">
        <v>1552</v>
      </c>
      <c r="F5" s="961">
        <v>2155.11</v>
      </c>
      <c r="G5" s="1062">
        <v>0.15</v>
      </c>
      <c r="H5" s="1055">
        <v>297.39999999999998</v>
      </c>
      <c r="I5" s="1242"/>
      <c r="J5" s="1025"/>
      <c r="K5" s="1116" t="s">
        <v>2015</v>
      </c>
    </row>
    <row r="6" spans="1:11" ht="15.75">
      <c r="A6" s="1039">
        <v>45139</v>
      </c>
      <c r="B6" s="1039">
        <v>45510</v>
      </c>
      <c r="C6" s="1025" t="s">
        <v>989</v>
      </c>
      <c r="D6" s="1025" t="s">
        <v>25</v>
      </c>
      <c r="E6" s="1025" t="s">
        <v>1310</v>
      </c>
      <c r="F6" s="1276">
        <v>1831.23</v>
      </c>
      <c r="G6" s="1062">
        <v>0.1</v>
      </c>
      <c r="H6" s="1055">
        <v>168.47</v>
      </c>
      <c r="I6" s="1242"/>
      <c r="J6" s="1025"/>
      <c r="K6" s="1115" t="s">
        <v>2015</v>
      </c>
    </row>
    <row r="7" spans="1:11" s="1070" customFormat="1" ht="15.75">
      <c r="A7" s="1041">
        <v>45145</v>
      </c>
      <c r="B7" s="1041">
        <v>45511</v>
      </c>
      <c r="C7" s="1027" t="s">
        <v>2277</v>
      </c>
      <c r="D7" s="1027" t="s">
        <v>448</v>
      </c>
      <c r="E7" s="1027" t="s">
        <v>545</v>
      </c>
      <c r="F7" s="979" t="s">
        <v>889</v>
      </c>
      <c r="G7" s="1066">
        <v>0.1</v>
      </c>
      <c r="H7" s="1067">
        <v>300</v>
      </c>
      <c r="I7" s="1243">
        <v>150</v>
      </c>
      <c r="J7" s="1027" t="s">
        <v>2070</v>
      </c>
      <c r="K7" s="1117" t="s">
        <v>2274</v>
      </c>
    </row>
    <row r="8" spans="1:11" s="1070" customFormat="1" ht="15.75">
      <c r="A8" s="1039">
        <v>45139</v>
      </c>
      <c r="B8" s="1039">
        <v>45511</v>
      </c>
      <c r="C8" s="1025" t="s">
        <v>2278</v>
      </c>
      <c r="D8" s="1025" t="s">
        <v>25</v>
      </c>
      <c r="E8" s="1025" t="s">
        <v>948</v>
      </c>
      <c r="F8" s="961">
        <v>2089.2399999999998</v>
      </c>
      <c r="G8" s="1062">
        <v>0.15</v>
      </c>
      <c r="H8" s="1055">
        <v>288.31</v>
      </c>
      <c r="I8" s="1242"/>
      <c r="J8" s="1025"/>
      <c r="K8" s="1115" t="s">
        <v>2015</v>
      </c>
    </row>
    <row r="9" spans="1:11" ht="15.75">
      <c r="A9" s="1263">
        <v>45146</v>
      </c>
      <c r="B9" s="1263">
        <v>45512</v>
      </c>
      <c r="C9" s="1264" t="s">
        <v>2279</v>
      </c>
      <c r="D9" s="1264" t="s">
        <v>61</v>
      </c>
      <c r="E9" s="1264" t="s">
        <v>945</v>
      </c>
      <c r="F9" s="1278">
        <v>8235.2800000000007</v>
      </c>
      <c r="G9" s="1265">
        <v>0.2</v>
      </c>
      <c r="H9" s="1266">
        <v>1515.29</v>
      </c>
      <c r="I9" s="1387">
        <v>757.64</v>
      </c>
      <c r="J9" s="1264" t="s">
        <v>1577</v>
      </c>
      <c r="K9" s="1267" t="s">
        <v>2274</v>
      </c>
    </row>
    <row r="10" spans="1:11" ht="15.75">
      <c r="A10" s="1037">
        <v>45146</v>
      </c>
      <c r="B10" s="1039">
        <v>45512</v>
      </c>
      <c r="C10" s="1025" t="s">
        <v>2280</v>
      </c>
      <c r="D10" s="1026" t="s">
        <v>61</v>
      </c>
      <c r="E10" s="1025" t="s">
        <v>1641</v>
      </c>
      <c r="F10" s="961">
        <v>3889.24</v>
      </c>
      <c r="G10" s="1062">
        <v>0.1</v>
      </c>
      <c r="H10" s="1055">
        <v>358.81</v>
      </c>
      <c r="I10" s="1056"/>
      <c r="J10" s="1111"/>
      <c r="K10" s="1115" t="s">
        <v>2015</v>
      </c>
    </row>
    <row r="11" spans="1:11" ht="15.75">
      <c r="A11" s="1037">
        <v>45147</v>
      </c>
      <c r="B11" s="1038">
        <v>45513</v>
      </c>
      <c r="C11" s="1025" t="s">
        <v>2281</v>
      </c>
      <c r="D11" s="1026" t="s">
        <v>448</v>
      </c>
      <c r="E11" s="1026" t="s">
        <v>545</v>
      </c>
      <c r="F11" s="956" t="s">
        <v>889</v>
      </c>
      <c r="G11" s="1054">
        <v>0.1</v>
      </c>
      <c r="H11" s="1055">
        <v>250</v>
      </c>
      <c r="I11" s="1056">
        <f>250/2</f>
        <v>125</v>
      </c>
      <c r="J11" s="1111" t="s">
        <v>1482</v>
      </c>
      <c r="K11" s="1115" t="s">
        <v>2274</v>
      </c>
    </row>
    <row r="12" spans="1:11" ht="15.75">
      <c r="A12" s="1037">
        <v>45142</v>
      </c>
      <c r="B12" s="1038">
        <v>45513</v>
      </c>
      <c r="C12" s="1075" t="s">
        <v>2282</v>
      </c>
      <c r="D12" s="1026" t="s">
        <v>322</v>
      </c>
      <c r="E12" s="1026" t="s">
        <v>945</v>
      </c>
      <c r="F12" s="1003">
        <v>2379.67</v>
      </c>
      <c r="G12" s="1054">
        <v>0.2</v>
      </c>
      <c r="H12" s="1055">
        <v>437.85</v>
      </c>
      <c r="I12" s="1056"/>
      <c r="J12" s="1111"/>
      <c r="K12" s="1116" t="s">
        <v>2015</v>
      </c>
    </row>
    <row r="13" spans="1:11" ht="15.75">
      <c r="A13" s="1039">
        <v>45148</v>
      </c>
      <c r="B13" s="1039">
        <v>45515</v>
      </c>
      <c r="C13" s="1025" t="s">
        <v>2283</v>
      </c>
      <c r="D13" s="1025" t="s">
        <v>198</v>
      </c>
      <c r="E13" s="1025" t="s">
        <v>1552</v>
      </c>
      <c r="F13" s="961">
        <v>1807.03</v>
      </c>
      <c r="G13" s="1062">
        <v>0.15</v>
      </c>
      <c r="H13" s="1055">
        <v>249.37</v>
      </c>
      <c r="I13" s="1063">
        <v>124.68</v>
      </c>
      <c r="J13" s="1111" t="s">
        <v>2094</v>
      </c>
      <c r="K13" s="1115" t="s">
        <v>2015</v>
      </c>
    </row>
    <row r="14" spans="1:11" ht="15.75">
      <c r="A14" s="1043">
        <v>45149</v>
      </c>
      <c r="B14" s="1044">
        <v>45515</v>
      </c>
      <c r="C14" s="1032" t="s">
        <v>2284</v>
      </c>
      <c r="D14" s="1075" t="s">
        <v>9</v>
      </c>
      <c r="E14" s="1075" t="s">
        <v>1044</v>
      </c>
      <c r="F14" s="965">
        <v>2865.45</v>
      </c>
      <c r="G14" s="1076">
        <v>0.1</v>
      </c>
      <c r="H14" s="1055">
        <v>263.62</v>
      </c>
      <c r="I14" s="1077">
        <v>131.81</v>
      </c>
      <c r="J14" s="1111" t="s">
        <v>1482</v>
      </c>
      <c r="K14" s="1116" t="s">
        <v>2015</v>
      </c>
    </row>
    <row r="15" spans="1:11" ht="15.75">
      <c r="A15" s="1037">
        <v>45149</v>
      </c>
      <c r="B15" s="1038">
        <v>45516</v>
      </c>
      <c r="C15" s="1026" t="s">
        <v>2285</v>
      </c>
      <c r="D15" s="1026" t="s">
        <v>448</v>
      </c>
      <c r="E15" s="1026" t="s">
        <v>948</v>
      </c>
      <c r="F15" s="956">
        <v>2449.3200000000002</v>
      </c>
      <c r="G15" s="1054">
        <v>0.1</v>
      </c>
      <c r="H15" s="1055">
        <v>225.33</v>
      </c>
      <c r="I15" s="1056"/>
      <c r="J15" s="1111"/>
      <c r="K15" s="1115" t="s">
        <v>2015</v>
      </c>
    </row>
    <row r="16" spans="1:11" ht="15.75">
      <c r="A16" s="1037">
        <v>45149</v>
      </c>
      <c r="B16" s="1038">
        <v>45516</v>
      </c>
      <c r="C16" s="1026" t="s">
        <v>2286</v>
      </c>
      <c r="D16" s="1026" t="s">
        <v>9</v>
      </c>
      <c r="E16" s="1026" t="s">
        <v>948</v>
      </c>
      <c r="F16" s="956">
        <v>1994.88</v>
      </c>
      <c r="G16" s="1054">
        <v>0.15</v>
      </c>
      <c r="H16" s="1055">
        <v>137.29</v>
      </c>
      <c r="I16" s="1056"/>
      <c r="J16" s="1111"/>
      <c r="K16" s="1115" t="s">
        <v>2015</v>
      </c>
    </row>
    <row r="17" spans="1:11" ht="15.75">
      <c r="A17" s="1039">
        <v>45149</v>
      </c>
      <c r="B17" s="1039">
        <v>45517</v>
      </c>
      <c r="C17" s="1025" t="s">
        <v>2287</v>
      </c>
      <c r="D17" s="1025" t="s">
        <v>61</v>
      </c>
      <c r="E17" s="1025" t="s">
        <v>948</v>
      </c>
      <c r="F17" s="961">
        <v>1793.56</v>
      </c>
      <c r="G17" s="1062">
        <v>0.1</v>
      </c>
      <c r="H17" s="1055">
        <v>165</v>
      </c>
      <c r="I17" s="1063">
        <v>82.5</v>
      </c>
      <c r="J17" s="1111" t="s">
        <v>1396</v>
      </c>
      <c r="K17" s="1115" t="s">
        <v>2015</v>
      </c>
    </row>
    <row r="18" spans="1:11" ht="15.75">
      <c r="A18" s="1043">
        <v>45149</v>
      </c>
      <c r="B18" s="1045">
        <v>45517</v>
      </c>
      <c r="C18" s="1075" t="s">
        <v>1486</v>
      </c>
      <c r="D18" s="1075" t="s">
        <v>25</v>
      </c>
      <c r="E18" s="1075" t="s">
        <v>1310</v>
      </c>
      <c r="F18" s="1004">
        <v>2073.31</v>
      </c>
      <c r="G18" s="1076">
        <v>0.1</v>
      </c>
      <c r="H18" s="1023">
        <v>190.74</v>
      </c>
      <c r="I18" s="1077"/>
      <c r="J18" s="1111"/>
      <c r="K18" s="1115" t="s">
        <v>2015</v>
      </c>
    </row>
    <row r="19" spans="1:11" ht="15.75">
      <c r="A19" s="1037">
        <v>45153</v>
      </c>
      <c r="B19" s="1038">
        <v>45518</v>
      </c>
      <c r="C19" s="1119" t="s">
        <v>2288</v>
      </c>
      <c r="D19" s="1026" t="s">
        <v>14</v>
      </c>
      <c r="E19" s="1026" t="s">
        <v>1641</v>
      </c>
      <c r="F19" s="956">
        <v>2236.9299999999998</v>
      </c>
      <c r="G19" s="1054">
        <v>0.1</v>
      </c>
      <c r="H19" s="1055">
        <v>205.79</v>
      </c>
      <c r="I19" s="1056"/>
      <c r="J19" s="1111"/>
      <c r="K19" s="1115" t="s">
        <v>2015</v>
      </c>
    </row>
    <row r="20" spans="1:11" ht="15.75">
      <c r="A20" s="1037">
        <v>45148</v>
      </c>
      <c r="B20" s="1038">
        <v>45519</v>
      </c>
      <c r="C20" s="1025" t="s">
        <v>2289</v>
      </c>
      <c r="D20" s="1025" t="s">
        <v>61</v>
      </c>
      <c r="E20" s="1025" t="s">
        <v>1641</v>
      </c>
      <c r="F20" s="961">
        <v>3503.88</v>
      </c>
      <c r="G20" s="1062">
        <v>0.1</v>
      </c>
      <c r="H20" s="1055">
        <v>322.35000000000002</v>
      </c>
      <c r="I20" s="1056"/>
      <c r="J20" s="1111"/>
      <c r="K20" s="1115" t="s">
        <v>2015</v>
      </c>
    </row>
    <row r="21" spans="1:11" ht="15.75">
      <c r="A21" s="1037">
        <v>45153</v>
      </c>
      <c r="B21" s="1038">
        <v>45519</v>
      </c>
      <c r="C21" s="1025" t="s">
        <v>2290</v>
      </c>
      <c r="D21" s="1025" t="s">
        <v>61</v>
      </c>
      <c r="E21" s="1025" t="s">
        <v>458</v>
      </c>
      <c r="F21" s="961">
        <v>1349.77</v>
      </c>
      <c r="G21" s="1062">
        <v>0.15</v>
      </c>
      <c r="H21" s="1055">
        <v>186.26</v>
      </c>
      <c r="I21" s="1056"/>
      <c r="J21" s="1111"/>
      <c r="K21" s="1115" t="s">
        <v>2015</v>
      </c>
    </row>
    <row r="22" spans="1:11" ht="15.75">
      <c r="A22" s="1037">
        <v>45153</v>
      </c>
      <c r="B22" s="1038">
        <v>45519</v>
      </c>
      <c r="C22" s="1026" t="s">
        <v>2291</v>
      </c>
      <c r="D22" s="1026" t="s">
        <v>61</v>
      </c>
      <c r="E22" s="1025" t="s">
        <v>458</v>
      </c>
      <c r="F22" s="961">
        <v>1607.84</v>
      </c>
      <c r="G22" s="1062">
        <v>0.1</v>
      </c>
      <c r="H22" s="1055">
        <v>147.91999999999999</v>
      </c>
      <c r="I22" s="1056"/>
      <c r="J22" s="1111"/>
      <c r="K22" s="1115" t="s">
        <v>2015</v>
      </c>
    </row>
    <row r="23" spans="1:11" ht="15.75">
      <c r="A23" s="1037">
        <v>45149</v>
      </c>
      <c r="B23" s="1038">
        <v>45519</v>
      </c>
      <c r="C23" s="1025" t="s">
        <v>2292</v>
      </c>
      <c r="D23" s="1026" t="s">
        <v>9</v>
      </c>
      <c r="E23" s="1025" t="s">
        <v>945</v>
      </c>
      <c r="F23" s="961">
        <v>3232.64</v>
      </c>
      <c r="G23" s="1062">
        <v>0.1</v>
      </c>
      <c r="H23" s="1055">
        <v>297.39999999999998</v>
      </c>
      <c r="I23" s="1056"/>
      <c r="J23" s="1111"/>
      <c r="K23" s="1115" t="s">
        <v>2015</v>
      </c>
    </row>
    <row r="24" spans="1:11" ht="15.75">
      <c r="A24" s="1037">
        <v>45154</v>
      </c>
      <c r="B24" s="1038">
        <v>45520</v>
      </c>
      <c r="C24" s="1025" t="s">
        <v>2293</v>
      </c>
      <c r="D24" s="1026" t="s">
        <v>448</v>
      </c>
      <c r="E24" s="1025" t="s">
        <v>945</v>
      </c>
      <c r="F24" s="961">
        <v>1530.54</v>
      </c>
      <c r="G24" s="1062">
        <v>0.1</v>
      </c>
      <c r="H24" s="1055">
        <v>140.80000000000001</v>
      </c>
      <c r="I24" s="1056">
        <v>70.400000000000006</v>
      </c>
      <c r="J24" s="1111" t="s">
        <v>2094</v>
      </c>
      <c r="K24" s="1115" t="s">
        <v>2274</v>
      </c>
    </row>
    <row r="25" spans="1:11" s="1087" customFormat="1" ht="15.75">
      <c r="A25" s="1037">
        <v>45154</v>
      </c>
      <c r="B25" s="1038">
        <v>45520</v>
      </c>
      <c r="C25" s="1032" t="s">
        <v>2294</v>
      </c>
      <c r="D25" s="1026" t="s">
        <v>448</v>
      </c>
      <c r="E25" s="1025" t="s">
        <v>948</v>
      </c>
      <c r="F25" s="1280">
        <v>2233.56</v>
      </c>
      <c r="G25" s="1062">
        <v>0.15</v>
      </c>
      <c r="H25" s="1055">
        <v>308.23</v>
      </c>
      <c r="I25" s="1056"/>
      <c r="J25" s="1111"/>
      <c r="K25" s="1115" t="s">
        <v>2015</v>
      </c>
    </row>
    <row r="26" spans="1:11" ht="15.75">
      <c r="A26" s="1039">
        <v>45154</v>
      </c>
      <c r="B26" s="1039">
        <v>45520</v>
      </c>
      <c r="C26" s="1025" t="s">
        <v>2295</v>
      </c>
      <c r="D26" s="1025" t="s">
        <v>9</v>
      </c>
      <c r="E26" s="1025" t="s">
        <v>1593</v>
      </c>
      <c r="F26" s="961">
        <v>2372.81</v>
      </c>
      <c r="G26" s="1062">
        <v>0.1</v>
      </c>
      <c r="H26" s="1055">
        <v>218.29</v>
      </c>
      <c r="I26" s="1056"/>
      <c r="J26" s="1111"/>
      <c r="K26" s="1115" t="s">
        <v>2274</v>
      </c>
    </row>
    <row r="27" spans="1:11" s="1070" customFormat="1" ht="15.75">
      <c r="A27" s="1039">
        <v>45149</v>
      </c>
      <c r="B27" s="1039">
        <v>45520</v>
      </c>
      <c r="C27" s="1025" t="s">
        <v>2296</v>
      </c>
      <c r="D27" s="1025" t="s">
        <v>70</v>
      </c>
      <c r="E27" s="1025" t="s">
        <v>1080</v>
      </c>
      <c r="F27" s="1280">
        <v>2578.87</v>
      </c>
      <c r="G27" s="1062">
        <v>0.1</v>
      </c>
      <c r="H27" s="1055">
        <v>237.25</v>
      </c>
      <c r="I27" s="1056"/>
      <c r="J27" s="1111"/>
      <c r="K27" s="1115" t="s">
        <v>2015</v>
      </c>
    </row>
    <row r="28" spans="1:11" ht="15.75">
      <c r="A28" s="1039">
        <v>45155</v>
      </c>
      <c r="B28" s="1039">
        <v>45521</v>
      </c>
      <c r="C28" s="1025" t="s">
        <v>2297</v>
      </c>
      <c r="D28" s="1025" t="s">
        <v>9</v>
      </c>
      <c r="E28" s="1025" t="s">
        <v>1310</v>
      </c>
      <c r="F28" s="961">
        <v>1636.62</v>
      </c>
      <c r="G28" s="1062">
        <v>0.15</v>
      </c>
      <c r="H28" s="1055">
        <v>225.85</v>
      </c>
      <c r="I28" s="1056"/>
      <c r="J28" s="1111"/>
      <c r="K28" s="1115" t="s">
        <v>2015</v>
      </c>
    </row>
    <row r="29" spans="1:11" ht="15.75">
      <c r="A29" s="1037">
        <v>45155</v>
      </c>
      <c r="B29" s="1039">
        <v>45521</v>
      </c>
      <c r="C29" s="1025" t="s">
        <v>2298</v>
      </c>
      <c r="D29" s="1026" t="s">
        <v>61</v>
      </c>
      <c r="E29" s="1025" t="s">
        <v>945</v>
      </c>
      <c r="F29" s="961">
        <v>2372.44</v>
      </c>
      <c r="G29" s="1062">
        <v>0.1</v>
      </c>
      <c r="H29" s="1055">
        <v>218.26</v>
      </c>
      <c r="I29" s="1056"/>
      <c r="J29" s="1111"/>
      <c r="K29" s="1115" t="s">
        <v>2015</v>
      </c>
    </row>
    <row r="30" spans="1:11" ht="15.75">
      <c r="A30" s="1037">
        <v>45154</v>
      </c>
      <c r="B30" s="1039">
        <v>45522</v>
      </c>
      <c r="C30" s="1025" t="s">
        <v>2092</v>
      </c>
      <c r="D30" s="1026" t="s">
        <v>61</v>
      </c>
      <c r="E30" s="1025" t="s">
        <v>1641</v>
      </c>
      <c r="F30" s="961">
        <v>1926.84</v>
      </c>
      <c r="G30" s="1062">
        <v>0.2</v>
      </c>
      <c r="H30" s="1055">
        <v>354.53</v>
      </c>
      <c r="I30" s="1056">
        <v>177.26</v>
      </c>
      <c r="J30" s="1111" t="s">
        <v>1577</v>
      </c>
      <c r="K30" s="1115" t="s">
        <v>2015</v>
      </c>
    </row>
    <row r="31" spans="1:11" ht="15.75">
      <c r="A31" s="1037">
        <v>45156</v>
      </c>
      <c r="B31" s="1039">
        <v>45522</v>
      </c>
      <c r="C31" s="1025" t="s">
        <v>2299</v>
      </c>
      <c r="D31" s="1026" t="s">
        <v>9</v>
      </c>
      <c r="E31" s="1025" t="s">
        <v>1119</v>
      </c>
      <c r="F31" s="961">
        <v>1576.48</v>
      </c>
      <c r="G31" s="1062">
        <v>0.15</v>
      </c>
      <c r="H31" s="1055">
        <v>217.55</v>
      </c>
      <c r="I31" s="1056"/>
      <c r="J31" s="1111"/>
      <c r="K31" s="1115" t="s">
        <v>2015</v>
      </c>
    </row>
    <row r="32" spans="1:11" ht="15.75">
      <c r="A32" s="1037">
        <v>45156</v>
      </c>
      <c r="B32" s="1039">
        <v>45522</v>
      </c>
      <c r="C32" s="1025" t="s">
        <v>2300</v>
      </c>
      <c r="D32" s="1026" t="s">
        <v>9</v>
      </c>
      <c r="E32" s="1025" t="s">
        <v>1641</v>
      </c>
      <c r="F32" s="971">
        <v>1633.84</v>
      </c>
      <c r="G32" s="1062">
        <v>0.13</v>
      </c>
      <c r="H32" s="1023">
        <v>195.4</v>
      </c>
      <c r="I32" s="1056"/>
      <c r="J32" s="1111"/>
      <c r="K32" s="1115" t="s">
        <v>2015</v>
      </c>
    </row>
    <row r="33" spans="1:11" ht="15.75">
      <c r="A33" s="1037">
        <v>45154</v>
      </c>
      <c r="B33" s="1039">
        <v>45523</v>
      </c>
      <c r="C33" s="1032" t="s">
        <v>2301</v>
      </c>
      <c r="D33" s="1026" t="s">
        <v>448</v>
      </c>
      <c r="E33" s="1025" t="s">
        <v>948</v>
      </c>
      <c r="F33" s="961">
        <v>2004.53</v>
      </c>
      <c r="G33" s="1062">
        <v>0.15</v>
      </c>
      <c r="H33" s="1055">
        <v>300.67</v>
      </c>
      <c r="I33" s="1056"/>
      <c r="J33" s="1111"/>
      <c r="K33" s="1115" t="s">
        <v>2015</v>
      </c>
    </row>
    <row r="34" spans="1:11" ht="15.75">
      <c r="A34" s="1037">
        <v>45156</v>
      </c>
      <c r="B34" s="1039">
        <v>45524</v>
      </c>
      <c r="C34" s="1025" t="s">
        <v>2302</v>
      </c>
      <c r="D34" s="1026" t="s">
        <v>61</v>
      </c>
      <c r="E34" s="1026" t="s">
        <v>948</v>
      </c>
      <c r="F34" s="1021">
        <v>1049.18</v>
      </c>
      <c r="G34" s="1062">
        <v>0.1</v>
      </c>
      <c r="H34" s="1055">
        <v>129.63999999999999</v>
      </c>
      <c r="I34" s="1056"/>
      <c r="J34" s="1111"/>
      <c r="K34" s="1115" t="s">
        <v>2015</v>
      </c>
    </row>
    <row r="35" spans="1:11" ht="15.75">
      <c r="A35" s="1037">
        <v>45160</v>
      </c>
      <c r="B35" s="1038">
        <v>45525</v>
      </c>
      <c r="C35" s="1025" t="s">
        <v>2303</v>
      </c>
      <c r="D35" s="1026" t="s">
        <v>448</v>
      </c>
      <c r="E35" s="1026" t="s">
        <v>948</v>
      </c>
      <c r="F35" s="1458">
        <v>2562.59</v>
      </c>
      <c r="G35" s="1054">
        <v>0.1</v>
      </c>
      <c r="H35" s="1023">
        <v>235.75</v>
      </c>
      <c r="I35" s="1056">
        <v>117.87</v>
      </c>
      <c r="J35" s="1111" t="s">
        <v>1759</v>
      </c>
      <c r="K35" s="1115" t="s">
        <v>2274</v>
      </c>
    </row>
    <row r="36" spans="1:11" ht="15.75">
      <c r="A36" s="1037">
        <v>45160</v>
      </c>
      <c r="B36" s="1038">
        <v>45525</v>
      </c>
      <c r="C36" s="1025" t="s">
        <v>2304</v>
      </c>
      <c r="D36" s="1026" t="s">
        <v>61</v>
      </c>
      <c r="E36" s="1026" t="s">
        <v>948</v>
      </c>
      <c r="F36" s="956">
        <v>3276.28</v>
      </c>
      <c r="G36" s="1054">
        <v>0.15</v>
      </c>
      <c r="H36" s="1055">
        <v>452.12</v>
      </c>
      <c r="I36" s="1056">
        <v>226.06</v>
      </c>
      <c r="J36" s="1111" t="s">
        <v>2094</v>
      </c>
      <c r="K36" s="1115" t="s">
        <v>2274</v>
      </c>
    </row>
    <row r="37" spans="1:11" ht="15.75">
      <c r="A37" s="1037">
        <v>45149</v>
      </c>
      <c r="B37" s="1038">
        <v>45526</v>
      </c>
      <c r="C37" s="1025" t="s">
        <v>2305</v>
      </c>
      <c r="D37" s="1026" t="s">
        <v>9</v>
      </c>
      <c r="E37" s="1026" t="s">
        <v>948</v>
      </c>
      <c r="F37" s="1273">
        <v>1520.7</v>
      </c>
      <c r="G37" s="1054">
        <v>0.25</v>
      </c>
      <c r="H37" s="1055">
        <v>349.76</v>
      </c>
      <c r="I37" s="1056">
        <v>174.88</v>
      </c>
      <c r="J37" s="1111" t="s">
        <v>2094</v>
      </c>
      <c r="K37" s="1115" t="s">
        <v>2015</v>
      </c>
    </row>
    <row r="38" spans="1:11" ht="15.75">
      <c r="A38" s="1037">
        <v>45160</v>
      </c>
      <c r="B38" s="1038">
        <v>45526</v>
      </c>
      <c r="C38" s="1025" t="s">
        <v>2306</v>
      </c>
      <c r="D38" s="1026" t="s">
        <v>25</v>
      </c>
      <c r="E38" s="1026" t="s">
        <v>948</v>
      </c>
      <c r="F38" s="956">
        <v>1325.18</v>
      </c>
      <c r="G38" s="1054">
        <v>0.12</v>
      </c>
      <c r="H38" s="1055">
        <v>146.29</v>
      </c>
      <c r="I38" s="1056">
        <v>73.14</v>
      </c>
      <c r="J38" s="1111" t="s">
        <v>1396</v>
      </c>
      <c r="K38" s="1115" t="s">
        <v>2015</v>
      </c>
    </row>
    <row r="39" spans="1:11" ht="15.75">
      <c r="A39" s="1040">
        <v>45161</v>
      </c>
      <c r="B39" s="1042">
        <v>45527</v>
      </c>
      <c r="C39" s="1027" t="s">
        <v>2307</v>
      </c>
      <c r="D39" s="1030" t="s">
        <v>448</v>
      </c>
      <c r="E39" s="1030" t="s">
        <v>2308</v>
      </c>
      <c r="F39" s="974">
        <v>1206.48</v>
      </c>
      <c r="G39" s="1073">
        <v>0.1</v>
      </c>
      <c r="H39" s="1067">
        <v>110.99</v>
      </c>
      <c r="I39" s="1068">
        <v>11.09</v>
      </c>
      <c r="J39" s="1112" t="s">
        <v>2070</v>
      </c>
      <c r="K39" s="1117" t="s">
        <v>2274</v>
      </c>
    </row>
    <row r="40" spans="1:11" ht="15.75">
      <c r="A40" s="1037">
        <v>45156</v>
      </c>
      <c r="B40" s="1038">
        <v>45527</v>
      </c>
      <c r="C40" s="1026" t="s">
        <v>2309</v>
      </c>
      <c r="D40" s="1026" t="s">
        <v>14</v>
      </c>
      <c r="E40" s="1026" t="s">
        <v>458</v>
      </c>
      <c r="F40" s="956">
        <v>1361.83</v>
      </c>
      <c r="G40" s="1054">
        <v>0.1</v>
      </c>
      <c r="H40" s="1055">
        <v>125.28</v>
      </c>
      <c r="I40" s="1056"/>
      <c r="J40" s="1111"/>
      <c r="K40" s="1115" t="s">
        <v>2015</v>
      </c>
    </row>
    <row r="41" spans="1:11" ht="15.75">
      <c r="A41" s="1037">
        <v>45163</v>
      </c>
      <c r="B41" s="1038">
        <v>45529</v>
      </c>
      <c r="C41" s="1026" t="s">
        <v>2214</v>
      </c>
      <c r="D41" s="1026" t="s">
        <v>61</v>
      </c>
      <c r="E41" s="1026" t="s">
        <v>1044</v>
      </c>
      <c r="F41" s="956">
        <v>9129.32</v>
      </c>
      <c r="G41" s="1054">
        <v>0.1</v>
      </c>
      <c r="H41" s="1055">
        <v>839.89</v>
      </c>
      <c r="I41" s="1056">
        <v>419.94</v>
      </c>
      <c r="J41" s="1111" t="s">
        <v>1577</v>
      </c>
      <c r="K41" s="1115" t="s">
        <v>2274</v>
      </c>
    </row>
    <row r="42" spans="1:11" ht="15.75">
      <c r="A42" s="1037">
        <v>45163</v>
      </c>
      <c r="B42" s="1038">
        <v>45529</v>
      </c>
      <c r="C42" s="1025" t="s">
        <v>2310</v>
      </c>
      <c r="D42" s="1026" t="s">
        <v>448</v>
      </c>
      <c r="E42" s="1026" t="s">
        <v>1080</v>
      </c>
      <c r="F42" s="956">
        <v>1858.19</v>
      </c>
      <c r="G42" s="1054">
        <v>0.1</v>
      </c>
      <c r="H42" s="1055">
        <v>170.95</v>
      </c>
      <c r="I42" s="1056">
        <v>85.47</v>
      </c>
      <c r="J42" s="1111" t="s">
        <v>1482</v>
      </c>
      <c r="K42" s="1115" t="s">
        <v>2015</v>
      </c>
    </row>
    <row r="43" spans="1:11" ht="15.75">
      <c r="A43" s="1040">
        <v>45166</v>
      </c>
      <c r="B43" s="1042">
        <v>45530</v>
      </c>
      <c r="C43" s="1027" t="s">
        <v>2311</v>
      </c>
      <c r="D43" s="1030" t="s">
        <v>25</v>
      </c>
      <c r="E43" s="1030" t="s">
        <v>948</v>
      </c>
      <c r="F43" s="974">
        <v>909.82</v>
      </c>
      <c r="G43" s="1073">
        <v>0.1</v>
      </c>
      <c r="H43" s="1067">
        <v>83.7</v>
      </c>
      <c r="I43" s="1068">
        <v>8.3699999999999992</v>
      </c>
      <c r="J43" s="1112" t="s">
        <v>2070</v>
      </c>
      <c r="K43" s="1117" t="s">
        <v>2015</v>
      </c>
    </row>
    <row r="44" spans="1:11" ht="15.75">
      <c r="A44" s="1037">
        <v>45163</v>
      </c>
      <c r="B44" s="1038">
        <v>45530</v>
      </c>
      <c r="C44" s="1026" t="s">
        <v>2312</v>
      </c>
      <c r="D44" s="1026" t="s">
        <v>9</v>
      </c>
      <c r="E44" s="1026" t="s">
        <v>1080</v>
      </c>
      <c r="F44" s="956">
        <v>1026.6099999999999</v>
      </c>
      <c r="G44" s="1054">
        <v>0.2</v>
      </c>
      <c r="H44" s="1055">
        <v>188.89</v>
      </c>
      <c r="I44" s="1056"/>
      <c r="J44" s="1111"/>
      <c r="K44" s="1115" t="s">
        <v>2015</v>
      </c>
    </row>
    <row r="45" spans="1:11" ht="15.75">
      <c r="A45" s="1037">
        <v>45163</v>
      </c>
      <c r="B45" s="1038">
        <v>45530</v>
      </c>
      <c r="C45" s="1026" t="s">
        <v>2313</v>
      </c>
      <c r="D45" s="1026" t="s">
        <v>9</v>
      </c>
      <c r="E45" s="1026" t="s">
        <v>1080</v>
      </c>
      <c r="F45" s="956">
        <v>1381.35</v>
      </c>
      <c r="G45" s="1054">
        <v>0.1</v>
      </c>
      <c r="H45" s="1055">
        <v>127.08</v>
      </c>
      <c r="I45" s="1056"/>
      <c r="J45" s="1111"/>
      <c r="K45" s="1115" t="s">
        <v>2015</v>
      </c>
    </row>
    <row r="46" spans="1:11" ht="15.75">
      <c r="A46" s="1037">
        <v>45164</v>
      </c>
      <c r="B46" s="1038">
        <v>45531</v>
      </c>
      <c r="C46" s="1026" t="s">
        <v>2314</v>
      </c>
      <c r="D46" s="1026" t="s">
        <v>61</v>
      </c>
      <c r="E46" s="1026" t="s">
        <v>948</v>
      </c>
      <c r="F46" s="956">
        <v>1225.8699999999999</v>
      </c>
      <c r="G46" s="1054">
        <v>0.1</v>
      </c>
      <c r="H46" s="1055">
        <v>112.78</v>
      </c>
      <c r="I46" s="1056">
        <v>56.39</v>
      </c>
      <c r="J46" s="1111" t="s">
        <v>2094</v>
      </c>
      <c r="K46" s="1115" t="s">
        <v>2015</v>
      </c>
    </row>
    <row r="47" spans="1:11" ht="15.75">
      <c r="A47" s="1037">
        <v>45156</v>
      </c>
      <c r="B47" s="1038">
        <v>45531</v>
      </c>
      <c r="C47" s="1026" t="s">
        <v>2315</v>
      </c>
      <c r="D47" s="1026" t="s">
        <v>9</v>
      </c>
      <c r="E47" s="1026" t="s">
        <v>948</v>
      </c>
      <c r="F47" s="956">
        <v>1361.76</v>
      </c>
      <c r="G47" s="1054">
        <v>0.15</v>
      </c>
      <c r="H47" s="1055">
        <v>187.92</v>
      </c>
      <c r="I47" s="1056"/>
      <c r="J47" s="1111"/>
      <c r="K47" s="1115" t="s">
        <v>2015</v>
      </c>
    </row>
    <row r="48" spans="1:11" s="1070" customFormat="1" ht="15.75">
      <c r="A48" s="1037">
        <v>45159</v>
      </c>
      <c r="B48" s="1038">
        <v>45531</v>
      </c>
      <c r="C48" s="1026" t="s">
        <v>2316</v>
      </c>
      <c r="D48" s="1026" t="s">
        <v>448</v>
      </c>
      <c r="E48" s="1026" t="s">
        <v>1080</v>
      </c>
      <c r="F48" s="956">
        <v>3236.2</v>
      </c>
      <c r="G48" s="1054">
        <v>0.1</v>
      </c>
      <c r="H48" s="1055">
        <v>297.73</v>
      </c>
      <c r="I48" s="1056"/>
      <c r="J48" s="1111"/>
      <c r="K48" s="1115" t="s">
        <v>2015</v>
      </c>
    </row>
    <row r="49" spans="1:11" ht="15.75">
      <c r="A49" s="1037">
        <v>45169</v>
      </c>
      <c r="B49" s="1038">
        <v>45533</v>
      </c>
      <c r="C49" s="1026" t="s">
        <v>2317</v>
      </c>
      <c r="D49" s="1026" t="s">
        <v>448</v>
      </c>
      <c r="E49" s="1026" t="s">
        <v>948</v>
      </c>
      <c r="F49" s="956">
        <v>2068.67</v>
      </c>
      <c r="G49" s="1054">
        <v>0.1</v>
      </c>
      <c r="H49" s="1055">
        <v>190.31</v>
      </c>
      <c r="I49" s="1056">
        <v>95.15</v>
      </c>
      <c r="J49" s="1111" t="s">
        <v>2152</v>
      </c>
      <c r="K49" s="1115" t="s">
        <v>2274</v>
      </c>
    </row>
    <row r="50" spans="1:11" s="1070" customFormat="1" ht="15.75">
      <c r="A50" s="1037">
        <v>45160</v>
      </c>
      <c r="B50" s="1038">
        <v>45533</v>
      </c>
      <c r="C50" s="1026" t="s">
        <v>2318</v>
      </c>
      <c r="D50" s="1026" t="s">
        <v>25</v>
      </c>
      <c r="E50" s="1026" t="s">
        <v>1080</v>
      </c>
      <c r="F50" s="956">
        <v>1161.8599999999999</v>
      </c>
      <c r="G50" s="1054">
        <v>0.15</v>
      </c>
      <c r="H50" s="1055">
        <v>160.33000000000001</v>
      </c>
      <c r="I50" s="1056">
        <v>80.16</v>
      </c>
      <c r="J50" s="1111" t="s">
        <v>2094</v>
      </c>
      <c r="K50" s="1115" t="s">
        <v>2015</v>
      </c>
    </row>
    <row r="51" spans="1:11" ht="15.75">
      <c r="A51" s="1037">
        <v>45167</v>
      </c>
      <c r="B51" s="1038">
        <v>45533</v>
      </c>
      <c r="C51" s="1026" t="s">
        <v>2319</v>
      </c>
      <c r="D51" s="1026" t="s">
        <v>61</v>
      </c>
      <c r="E51" s="1026" t="s">
        <v>1310</v>
      </c>
      <c r="F51" s="956">
        <v>3822.77</v>
      </c>
      <c r="G51" s="1054">
        <v>0.1</v>
      </c>
      <c r="H51" s="1055">
        <v>351.69</v>
      </c>
      <c r="I51" s="1056"/>
      <c r="J51" s="1111"/>
      <c r="K51" s="1115" t="s">
        <v>2015</v>
      </c>
    </row>
    <row r="52" spans="1:11" ht="15.75">
      <c r="A52" s="1040">
        <v>45168</v>
      </c>
      <c r="B52" s="1042">
        <v>45535</v>
      </c>
      <c r="C52" s="1030" t="s">
        <v>2320</v>
      </c>
      <c r="D52" s="1030" t="s">
        <v>9</v>
      </c>
      <c r="E52" s="1030" t="s">
        <v>1310</v>
      </c>
      <c r="F52" s="974">
        <v>2350.15</v>
      </c>
      <c r="G52" s="1073">
        <v>0.1</v>
      </c>
      <c r="H52" s="1067">
        <v>216.21</v>
      </c>
      <c r="I52" s="1068">
        <v>21.62</v>
      </c>
      <c r="J52" s="1112" t="s">
        <v>2070</v>
      </c>
      <c r="K52" s="1117" t="s">
        <v>2015</v>
      </c>
    </row>
    <row r="53" spans="1:11" ht="15.75">
      <c r="A53" s="1040">
        <v>45169</v>
      </c>
      <c r="B53" s="1042">
        <v>45535</v>
      </c>
      <c r="C53" s="1030" t="s">
        <v>2321</v>
      </c>
      <c r="D53" s="1030" t="s">
        <v>448</v>
      </c>
      <c r="E53" s="1030" t="s">
        <v>10</v>
      </c>
      <c r="F53" s="974">
        <v>2020.37</v>
      </c>
      <c r="G53" s="1073">
        <v>0.1</v>
      </c>
      <c r="H53" s="1067">
        <v>185.87</v>
      </c>
      <c r="I53" s="1068">
        <f>18.58+60</f>
        <v>78.58</v>
      </c>
      <c r="J53" s="1112" t="s">
        <v>2070</v>
      </c>
      <c r="K53" s="1117" t="s">
        <v>2274</v>
      </c>
    </row>
    <row r="54" spans="1:11" s="1070" customFormat="1" ht="15.75">
      <c r="A54" s="1037">
        <v>45166</v>
      </c>
      <c r="B54" s="1038">
        <v>45535</v>
      </c>
      <c r="C54" s="1026" t="s">
        <v>2322</v>
      </c>
      <c r="D54" s="1026" t="s">
        <v>448</v>
      </c>
      <c r="E54" s="1026" t="s">
        <v>948</v>
      </c>
      <c r="F54" s="956">
        <v>2803.61</v>
      </c>
      <c r="G54" s="1054">
        <v>0.1</v>
      </c>
      <c r="H54" s="1055">
        <v>257.93</v>
      </c>
      <c r="I54" s="1056"/>
      <c r="J54" s="1111"/>
      <c r="K54" s="1115" t="s">
        <v>2015</v>
      </c>
    </row>
    <row r="55" spans="1:11" ht="15.75">
      <c r="A55" s="1037">
        <v>45168</v>
      </c>
      <c r="B55" s="1038">
        <v>45535</v>
      </c>
      <c r="C55" s="1026" t="s">
        <v>2323</v>
      </c>
      <c r="D55" s="1026" t="s">
        <v>9</v>
      </c>
      <c r="E55" s="1026" t="s">
        <v>1641</v>
      </c>
      <c r="F55" s="956">
        <v>1938.36</v>
      </c>
      <c r="G55" s="1054">
        <v>0.15</v>
      </c>
      <c r="H55" s="1055">
        <v>267.49</v>
      </c>
      <c r="I55" s="1056"/>
      <c r="J55" s="1111"/>
      <c r="K55" s="1115" t="s">
        <v>2015</v>
      </c>
    </row>
    <row r="56" spans="1:11" ht="15.75">
      <c r="A56" s="1037">
        <v>45156</v>
      </c>
      <c r="B56" s="1038" t="s">
        <v>1805</v>
      </c>
      <c r="C56" s="1026" t="s">
        <v>1084</v>
      </c>
      <c r="D56" s="1026" t="s">
        <v>2324</v>
      </c>
      <c r="E56" s="1026" t="s">
        <v>1310</v>
      </c>
      <c r="F56" s="956">
        <v>808.99</v>
      </c>
      <c r="G56" s="1054">
        <v>0.1</v>
      </c>
      <c r="H56" s="1055">
        <v>74.42</v>
      </c>
      <c r="I56" s="1056"/>
      <c r="J56" s="1111"/>
      <c r="K56" s="1115" t="s">
        <v>1805</v>
      </c>
    </row>
    <row r="57" spans="1:11" ht="15.75">
      <c r="A57" s="1037">
        <v>45146</v>
      </c>
      <c r="B57" s="1038" t="s">
        <v>1805</v>
      </c>
      <c r="C57" s="1026" t="s">
        <v>1383</v>
      </c>
      <c r="D57" s="1026" t="s">
        <v>381</v>
      </c>
      <c r="E57" s="1026" t="s">
        <v>458</v>
      </c>
      <c r="F57" s="956">
        <v>1183.82</v>
      </c>
      <c r="G57" s="1054">
        <v>0.15</v>
      </c>
      <c r="H57" s="1088">
        <v>163.36000000000001</v>
      </c>
      <c r="I57" s="1089"/>
      <c r="J57" s="1111"/>
      <c r="K57" s="1115" t="s">
        <v>2015</v>
      </c>
    </row>
    <row r="58" spans="1:11" ht="15.75">
      <c r="A58" s="1037"/>
      <c r="B58" s="1038"/>
      <c r="C58" s="1026"/>
      <c r="D58" s="1026"/>
      <c r="E58" s="1026"/>
      <c r="F58" s="956"/>
      <c r="G58" s="1054"/>
      <c r="H58" s="1055"/>
      <c r="I58" s="1056"/>
      <c r="J58" s="1111"/>
      <c r="K58" s="1115"/>
    </row>
    <row r="59" spans="1:11" ht="15.75">
      <c r="A59" s="1037"/>
      <c r="B59" s="1038"/>
      <c r="C59" s="1026"/>
      <c r="D59" s="1026"/>
      <c r="E59" s="1026"/>
      <c r="F59" s="956"/>
      <c r="G59" s="1054"/>
      <c r="H59" s="1055"/>
      <c r="I59" s="1056"/>
      <c r="J59" s="1111"/>
      <c r="K59" s="1115"/>
    </row>
    <row r="60" spans="1:11" ht="15.75">
      <c r="A60" s="1037"/>
      <c r="B60" s="1038"/>
      <c r="C60" s="1026"/>
      <c r="D60" s="1026"/>
      <c r="E60" s="1026"/>
      <c r="F60" s="956"/>
      <c r="G60" s="1054"/>
      <c r="H60" s="1055"/>
      <c r="I60" s="1056"/>
      <c r="J60" s="1111"/>
      <c r="K60" s="1115"/>
    </row>
    <row r="61" spans="1:11" ht="16.5" thickBot="1">
      <c r="A61" s="1037"/>
      <c r="B61" s="1038"/>
      <c r="C61" s="1026"/>
      <c r="D61" s="1026"/>
      <c r="E61" s="1026"/>
      <c r="F61" s="956"/>
      <c r="G61" s="1054"/>
      <c r="H61" s="1055"/>
      <c r="I61" s="1056"/>
      <c r="J61" s="1111"/>
      <c r="K61" s="1115"/>
    </row>
    <row r="62" spans="1:11" ht="19.5">
      <c r="A62" s="1158"/>
      <c r="B62" s="1159"/>
      <c r="C62" s="1159"/>
      <c r="D62" s="1159"/>
      <c r="E62" s="1159"/>
      <c r="F62" s="1275">
        <f>SUM(F2:F10,F12:F61)</f>
        <v>122556.61999999995</v>
      </c>
      <c r="G62" s="1161"/>
      <c r="H62" s="1162">
        <f>SUM(H2:H61)</f>
        <v>14464.570000000002</v>
      </c>
      <c r="I62" s="1163">
        <f>SUM(I2:I61)</f>
        <v>3113.4999999999995</v>
      </c>
      <c r="J62" s="1164"/>
      <c r="K62" s="1157"/>
    </row>
    <row r="63" spans="1:11">
      <c r="A63" s="1037"/>
      <c r="B63" s="1038"/>
      <c r="C63" s="1026"/>
      <c r="D63" s="1026"/>
      <c r="E63" s="1026"/>
      <c r="F63" s="956"/>
      <c r="G63" s="1054"/>
      <c r="H63" s="1269"/>
      <c r="I63" s="1056"/>
      <c r="J63" s="1025"/>
      <c r="K63" s="1262"/>
    </row>
    <row r="64" spans="1:11">
      <c r="A64" s="1037"/>
      <c r="B64" s="1038"/>
      <c r="C64" s="1026"/>
      <c r="D64" s="1026"/>
      <c r="E64" s="1026"/>
      <c r="F64" s="956"/>
      <c r="G64" s="1054"/>
      <c r="H64" s="1269"/>
      <c r="I64" s="1056"/>
      <c r="J64" s="1025"/>
      <c r="K64" s="1262"/>
    </row>
    <row r="65" spans="1:11">
      <c r="A65" s="1037"/>
      <c r="B65" s="1038"/>
      <c r="C65" s="1026"/>
      <c r="D65" s="1026"/>
      <c r="E65" s="1026"/>
      <c r="F65" s="956"/>
      <c r="G65" s="1054"/>
      <c r="H65" s="1269"/>
      <c r="I65" s="1056"/>
      <c r="J65" s="1025"/>
      <c r="K65" s="1262"/>
    </row>
    <row r="66" spans="1:11">
      <c r="A66" s="1037"/>
      <c r="B66" s="1038"/>
      <c r="C66" s="1026"/>
      <c r="D66" s="1026"/>
      <c r="E66" s="1026"/>
      <c r="F66" s="956"/>
      <c r="G66" s="1054"/>
      <c r="H66" s="1269"/>
      <c r="I66" s="1056"/>
      <c r="J66" s="1025"/>
      <c r="K66" s="1262"/>
    </row>
    <row r="67" spans="1:11">
      <c r="A67" s="1037"/>
      <c r="B67" s="1038"/>
      <c r="C67" s="1026"/>
      <c r="D67" s="1026"/>
      <c r="E67" s="1026"/>
      <c r="F67" s="956"/>
      <c r="G67" s="1054"/>
      <c r="H67" s="1269"/>
      <c r="I67" s="1056"/>
      <c r="J67" s="1025"/>
      <c r="K67" s="1262"/>
    </row>
    <row r="68" spans="1:11">
      <c r="A68" s="1037"/>
      <c r="B68" s="1038"/>
      <c r="C68" s="1026"/>
      <c r="D68" s="1026"/>
      <c r="E68" s="1026"/>
      <c r="F68" s="956"/>
      <c r="G68" s="1054"/>
      <c r="H68" s="1269"/>
      <c r="I68" s="1056"/>
      <c r="J68" s="1025"/>
      <c r="K68" s="1262"/>
    </row>
    <row r="69" spans="1:11">
      <c r="A69" s="1037"/>
      <c r="B69" s="1038"/>
      <c r="C69" s="1026"/>
      <c r="D69" s="1026"/>
      <c r="E69" s="1026"/>
      <c r="F69" s="956"/>
      <c r="G69" s="1054"/>
      <c r="H69" s="1269"/>
      <c r="I69" s="1056"/>
      <c r="J69" s="1025"/>
      <c r="K69" s="1262"/>
    </row>
    <row r="70" spans="1:11">
      <c r="A70" s="1037"/>
      <c r="B70" s="1038"/>
      <c r="C70" s="1026"/>
      <c r="D70" s="1026"/>
      <c r="E70" s="1026"/>
      <c r="F70" s="956"/>
      <c r="G70" s="1054"/>
      <c r="H70" s="1269"/>
      <c r="I70" s="1056"/>
      <c r="J70" s="1025"/>
      <c r="K70" s="1262"/>
    </row>
    <row r="71" spans="1:11">
      <c r="A71" s="1037"/>
      <c r="B71" s="1038"/>
      <c r="C71" s="1026"/>
      <c r="D71" s="1026"/>
      <c r="E71" s="1026"/>
      <c r="F71" s="956"/>
      <c r="G71" s="1054"/>
      <c r="H71" s="1269"/>
      <c r="I71" s="1056"/>
      <c r="J71" s="1025"/>
      <c r="K71" s="1262"/>
    </row>
    <row r="72" spans="1:11">
      <c r="A72" s="1037"/>
      <c r="B72" s="1038"/>
      <c r="C72" s="1026"/>
      <c r="D72" s="1026"/>
      <c r="E72" s="1026"/>
      <c r="F72" s="956"/>
      <c r="G72" s="1054"/>
      <c r="H72" s="1269"/>
      <c r="I72" s="1056"/>
      <c r="J72" s="1025"/>
      <c r="K72" s="1262"/>
    </row>
    <row r="73" spans="1:11">
      <c r="A73" s="1037"/>
      <c r="B73" s="1038"/>
      <c r="C73" s="1026"/>
      <c r="D73" s="1026"/>
      <c r="E73" s="1026"/>
      <c r="F73" s="956"/>
      <c r="G73" s="1054"/>
      <c r="H73" s="1269"/>
      <c r="I73" s="1056"/>
      <c r="J73" s="1025"/>
      <c r="K73" s="1262"/>
    </row>
    <row r="74" spans="1:11">
      <c r="A74" s="1037"/>
      <c r="B74" s="1038"/>
      <c r="C74" s="1026"/>
      <c r="D74" s="1026"/>
      <c r="E74" s="1026"/>
      <c r="F74" s="956"/>
      <c r="G74" s="1054"/>
      <c r="H74" s="1269"/>
      <c r="I74" s="1056"/>
      <c r="J74" s="1025"/>
      <c r="K74" s="1262"/>
    </row>
    <row r="75" spans="1:11">
      <c r="A75" s="1037"/>
      <c r="B75" s="1038"/>
      <c r="C75" s="1026"/>
      <c r="D75" s="1026"/>
      <c r="E75" s="1026"/>
      <c r="F75" s="956"/>
      <c r="G75" s="1054"/>
      <c r="H75" s="1269"/>
      <c r="I75" s="1056"/>
      <c r="J75" s="1025"/>
      <c r="K75" s="1262"/>
    </row>
    <row r="76" spans="1:11">
      <c r="A76" s="1037"/>
      <c r="B76" s="1038"/>
      <c r="C76" s="1026"/>
      <c r="D76" s="1026"/>
      <c r="E76" s="1026"/>
      <c r="F76" s="956"/>
      <c r="G76" s="1054"/>
      <c r="H76" s="1269"/>
      <c r="I76" s="1056"/>
      <c r="J76" s="1025"/>
      <c r="K76" s="1262"/>
    </row>
    <row r="77" spans="1:11">
      <c r="A77" s="1037"/>
      <c r="B77" s="1038"/>
      <c r="C77" s="1026"/>
      <c r="D77" s="1026"/>
      <c r="E77" s="1026"/>
      <c r="F77" s="956"/>
      <c r="G77" s="1054"/>
      <c r="H77" s="1269"/>
      <c r="I77" s="1056"/>
      <c r="J77" s="1025"/>
    </row>
    <row r="78" spans="1:11">
      <c r="A78" s="1037"/>
      <c r="B78" s="1038"/>
      <c r="C78" s="1026"/>
      <c r="D78" s="1026"/>
      <c r="E78" s="1026"/>
      <c r="F78" s="956"/>
      <c r="G78" s="1054"/>
      <c r="H78" s="1269"/>
      <c r="I78" s="1056"/>
      <c r="J78" s="1025"/>
    </row>
    <row r="79" spans="1:11">
      <c r="A79" s="1037"/>
      <c r="B79" s="1038"/>
      <c r="C79" s="1026"/>
      <c r="D79" s="1026"/>
      <c r="E79" s="1026"/>
      <c r="F79" s="956"/>
      <c r="G79" s="1054"/>
      <c r="H79" s="1269"/>
      <c r="I79" s="1056"/>
      <c r="J79" s="1025"/>
    </row>
    <row r="80" spans="1:11">
      <c r="A80" s="1037"/>
      <c r="B80" s="1038"/>
      <c r="C80" s="1026"/>
      <c r="D80" s="1026"/>
      <c r="E80" s="1026"/>
      <c r="F80" s="956"/>
      <c r="G80" s="1054"/>
      <c r="H80" s="1269"/>
      <c r="I80" s="1056"/>
      <c r="J80" s="1025"/>
    </row>
    <row r="81" spans="1:10">
      <c r="A81" s="1037"/>
      <c r="B81" s="1038"/>
      <c r="C81" s="1026"/>
      <c r="D81" s="1026"/>
      <c r="E81" s="1026"/>
      <c r="F81" s="956"/>
      <c r="G81" s="1054"/>
      <c r="H81" s="1269"/>
      <c r="I81" s="1056"/>
      <c r="J81" s="1025"/>
    </row>
    <row r="82" spans="1:10">
      <c r="A82" s="1037"/>
      <c r="B82" s="1038"/>
      <c r="C82" s="1026"/>
      <c r="D82" s="1026"/>
      <c r="E82" s="1026"/>
      <c r="F82" s="956"/>
      <c r="G82" s="1054"/>
      <c r="H82" s="1269"/>
      <c r="I82" s="1056"/>
      <c r="J82" s="1025"/>
    </row>
    <row r="83" spans="1:10">
      <c r="A83" s="1037"/>
      <c r="B83" s="1038"/>
      <c r="C83" s="1026"/>
      <c r="D83" s="1026"/>
      <c r="E83" s="1026"/>
      <c r="F83" s="956"/>
      <c r="G83" s="1054"/>
      <c r="H83" s="1269"/>
      <c r="I83" s="1056"/>
      <c r="J83" s="1025"/>
    </row>
    <row r="84" spans="1:10">
      <c r="A84" s="1037"/>
      <c r="B84" s="1038"/>
      <c r="C84" s="1026"/>
      <c r="D84" s="1026"/>
      <c r="E84" s="1026"/>
      <c r="F84" s="956"/>
      <c r="G84" s="1054"/>
      <c r="H84" s="1269"/>
      <c r="I84" s="1056"/>
      <c r="J84" s="1025"/>
    </row>
    <row r="85" spans="1:10">
      <c r="A85" s="1037"/>
      <c r="B85" s="1038"/>
      <c r="C85" s="1026"/>
      <c r="D85" s="1026"/>
      <c r="E85" s="1026"/>
      <c r="F85" s="956"/>
      <c r="G85" s="1054"/>
      <c r="H85" s="1269"/>
      <c r="I85" s="1056"/>
      <c r="J85" s="1025"/>
    </row>
    <row r="86" spans="1:10">
      <c r="A86" s="1037"/>
      <c r="B86" s="1038"/>
      <c r="C86" s="1026"/>
      <c r="D86" s="1026"/>
      <c r="E86" s="1026"/>
      <c r="F86" s="956"/>
      <c r="G86" s="1054"/>
      <c r="H86" s="1269"/>
      <c r="I86" s="1056"/>
      <c r="J86" s="1025"/>
    </row>
    <row r="87" spans="1:10">
      <c r="A87" s="1037"/>
      <c r="B87" s="1038"/>
      <c r="C87" s="1026"/>
      <c r="D87" s="1026"/>
      <c r="E87" s="1026"/>
      <c r="F87" s="956"/>
      <c r="G87" s="1054"/>
      <c r="H87" s="1269"/>
      <c r="I87" s="1056"/>
      <c r="J87" s="1025"/>
    </row>
    <row r="88" spans="1:10">
      <c r="A88" s="1037"/>
      <c r="B88" s="1038"/>
      <c r="C88" s="1026"/>
      <c r="D88" s="1026"/>
      <c r="E88" s="1026"/>
      <c r="F88" s="956"/>
      <c r="G88" s="1054"/>
      <c r="H88" s="1269"/>
      <c r="I88" s="1056"/>
      <c r="J88" s="1025"/>
    </row>
    <row r="89" spans="1:10">
      <c r="A89" s="1037"/>
      <c r="B89" s="1038"/>
      <c r="C89" s="1026"/>
      <c r="D89" s="1026"/>
      <c r="E89" s="1026"/>
      <c r="F89" s="956"/>
      <c r="G89" s="1054"/>
      <c r="H89" s="1269"/>
      <c r="I89" s="1056"/>
      <c r="J89" s="1025"/>
    </row>
    <row r="90" spans="1:10">
      <c r="A90" s="1037"/>
      <c r="B90" s="1038"/>
      <c r="C90" s="1026"/>
      <c r="D90" s="1026"/>
      <c r="E90" s="1026"/>
      <c r="F90" s="956"/>
      <c r="G90" s="1054"/>
      <c r="H90" s="1269"/>
      <c r="I90" s="1056"/>
      <c r="J90" s="1025"/>
    </row>
    <row r="91" spans="1:10">
      <c r="A91" s="1037"/>
      <c r="B91" s="1038"/>
      <c r="C91" s="1026"/>
      <c r="D91" s="1026"/>
      <c r="E91" s="1026"/>
      <c r="F91" s="956"/>
      <c r="G91" s="1054"/>
      <c r="H91" s="1269"/>
      <c r="I91" s="1056"/>
      <c r="J91" s="1025"/>
    </row>
    <row r="92" spans="1:10">
      <c r="A92" s="1037"/>
      <c r="B92" s="1038"/>
      <c r="C92" s="1026"/>
      <c r="D92" s="1026"/>
      <c r="E92" s="1026"/>
      <c r="F92" s="956"/>
      <c r="G92" s="1054"/>
      <c r="H92" s="1269"/>
      <c r="I92" s="1056"/>
      <c r="J92" s="1025"/>
    </row>
    <row r="93" spans="1:10">
      <c r="A93" s="1037"/>
      <c r="B93" s="1038"/>
      <c r="C93" s="1026"/>
      <c r="D93" s="1026"/>
      <c r="E93" s="1026"/>
      <c r="F93" s="956"/>
      <c r="G93" s="1054"/>
      <c r="H93" s="1269"/>
      <c r="I93" s="1056"/>
      <c r="J93" s="1025"/>
    </row>
    <row r="94" spans="1:10">
      <c r="A94" s="1037"/>
      <c r="B94" s="1038"/>
      <c r="C94" s="1026"/>
      <c r="D94" s="1026"/>
      <c r="E94" s="1026"/>
      <c r="F94" s="956"/>
      <c r="G94" s="1054"/>
      <c r="H94" s="1269"/>
      <c r="I94" s="1056"/>
      <c r="J94" s="1025"/>
    </row>
    <row r="95" spans="1:10">
      <c r="A95" s="1037"/>
      <c r="B95" s="1038"/>
      <c r="C95" s="1026"/>
      <c r="D95" s="1026"/>
      <c r="E95" s="1026"/>
      <c r="F95" s="956"/>
      <c r="G95" s="1054"/>
      <c r="H95" s="1269"/>
      <c r="I95" s="1056"/>
      <c r="J95" s="1025"/>
    </row>
    <row r="96" spans="1:10">
      <c r="A96" s="1037"/>
      <c r="B96" s="1038"/>
      <c r="C96" s="1026"/>
      <c r="D96" s="1026"/>
      <c r="E96" s="1026"/>
      <c r="F96" s="956"/>
      <c r="G96" s="1054"/>
      <c r="H96" s="1269"/>
      <c r="I96" s="1056"/>
      <c r="J96" s="1025"/>
    </row>
    <row r="97" spans="1:10">
      <c r="A97" s="1037"/>
      <c r="B97" s="1038"/>
      <c r="C97" s="1026"/>
      <c r="D97" s="1026"/>
      <c r="E97" s="1026"/>
      <c r="F97" s="956"/>
      <c r="G97" s="1054"/>
      <c r="H97" s="1269"/>
      <c r="I97" s="1056"/>
      <c r="J97" s="1025"/>
    </row>
    <row r="98" spans="1:10">
      <c r="A98" s="1037"/>
      <c r="B98" s="1038"/>
      <c r="C98" s="1026"/>
      <c r="D98" s="1026"/>
      <c r="E98" s="1026"/>
      <c r="F98" s="956"/>
      <c r="G98" s="1054"/>
      <c r="H98" s="1269"/>
      <c r="I98" s="1056"/>
      <c r="J98" s="1025"/>
    </row>
    <row r="99" spans="1:10">
      <c r="A99" s="1037"/>
      <c r="B99" s="1038"/>
      <c r="C99" s="1026"/>
      <c r="D99" s="1026"/>
      <c r="E99" s="1026"/>
      <c r="F99" s="956"/>
      <c r="G99" s="1054"/>
      <c r="H99" s="1269"/>
      <c r="I99" s="1056"/>
      <c r="J99" s="1025"/>
    </row>
    <row r="100" spans="1:10">
      <c r="A100" s="1037"/>
      <c r="B100" s="1038"/>
      <c r="C100" s="1026"/>
      <c r="D100" s="1026"/>
      <c r="E100" s="1026"/>
      <c r="F100" s="956"/>
      <c r="G100" s="1054"/>
      <c r="H100" s="1269"/>
      <c r="I100" s="1056"/>
      <c r="J100" s="1025"/>
    </row>
    <row r="101" spans="1:10">
      <c r="A101" s="1037"/>
      <c r="B101" s="1038"/>
      <c r="C101" s="1026"/>
      <c r="D101" s="1026"/>
      <c r="E101" s="1026"/>
      <c r="F101" s="956"/>
      <c r="G101" s="1054"/>
      <c r="H101" s="1269"/>
      <c r="I101" s="1056"/>
      <c r="J101" s="1025"/>
    </row>
    <row r="102" spans="1:10">
      <c r="A102" s="1037"/>
      <c r="B102" s="1038"/>
      <c r="C102" s="1026"/>
      <c r="D102" s="1026"/>
      <c r="E102" s="1026"/>
      <c r="F102" s="956"/>
      <c r="G102" s="1054"/>
      <c r="H102" s="1269"/>
      <c r="I102" s="1056"/>
      <c r="J102" s="1025"/>
    </row>
    <row r="103" spans="1:10">
      <c r="A103" s="1037"/>
      <c r="B103" s="1038"/>
      <c r="C103" s="1026"/>
      <c r="D103" s="1026"/>
      <c r="E103" s="1026"/>
      <c r="F103" s="956"/>
      <c r="G103" s="1054"/>
      <c r="H103" s="1269"/>
      <c r="I103" s="1056"/>
      <c r="J103" s="1025"/>
    </row>
    <row r="104" spans="1:10">
      <c r="A104" s="1037"/>
      <c r="B104" s="1038"/>
      <c r="C104" s="1026"/>
      <c r="D104" s="1026"/>
      <c r="E104" s="1026"/>
      <c r="F104" s="956"/>
      <c r="G104" s="1054"/>
      <c r="H104" s="1269"/>
      <c r="I104" s="1056"/>
      <c r="J104" s="1025"/>
    </row>
    <row r="105" spans="1:10">
      <c r="A105" s="1037"/>
      <c r="B105" s="1038"/>
      <c r="C105" s="1026"/>
      <c r="D105" s="1026"/>
      <c r="E105" s="1026"/>
      <c r="F105" s="956"/>
      <c r="G105" s="1054"/>
      <c r="H105" s="1269"/>
      <c r="I105" s="1056"/>
      <c r="J105" s="1025"/>
    </row>
    <row r="106" spans="1:10">
      <c r="A106" s="1037"/>
      <c r="B106" s="1038"/>
      <c r="C106" s="1026"/>
      <c r="D106" s="1026"/>
      <c r="E106" s="1026"/>
      <c r="F106" s="956"/>
      <c r="G106" s="1054"/>
      <c r="H106" s="1269"/>
      <c r="I106" s="1056"/>
      <c r="J106" s="1025"/>
    </row>
    <row r="107" spans="1:10">
      <c r="A107" s="1037"/>
      <c r="B107" s="1038"/>
      <c r="C107" s="1026"/>
      <c r="D107" s="1026"/>
      <c r="E107" s="1026"/>
      <c r="F107" s="956"/>
      <c r="G107" s="1054"/>
      <c r="H107" s="1269"/>
      <c r="I107" s="1056"/>
      <c r="J107" s="1025"/>
    </row>
    <row r="108" spans="1:10">
      <c r="A108" s="1037"/>
      <c r="B108" s="1038"/>
      <c r="C108" s="1026"/>
      <c r="D108" s="1026"/>
      <c r="E108" s="1026"/>
      <c r="F108" s="956"/>
      <c r="G108" s="1054"/>
      <c r="H108" s="1269"/>
      <c r="I108" s="1056"/>
      <c r="J108" s="1025"/>
    </row>
    <row r="109" spans="1:10">
      <c r="A109" s="1037"/>
      <c r="B109" s="1038"/>
      <c r="C109" s="1026"/>
      <c r="D109" s="1026"/>
      <c r="E109" s="1026"/>
      <c r="F109" s="956"/>
      <c r="G109" s="1054"/>
      <c r="H109" s="1269"/>
      <c r="I109" s="1056"/>
      <c r="J109" s="1025"/>
    </row>
    <row r="110" spans="1:10">
      <c r="A110" s="1037"/>
      <c r="B110" s="1038"/>
      <c r="C110" s="1026"/>
      <c r="D110" s="1026"/>
      <c r="E110" s="1026"/>
      <c r="F110" s="956"/>
      <c r="G110" s="1054"/>
      <c r="H110" s="1269"/>
      <c r="I110" s="1056"/>
      <c r="J110" s="1025"/>
    </row>
    <row r="111" spans="1:10">
      <c r="A111" s="1037"/>
      <c r="B111" s="1038"/>
      <c r="C111" s="1026"/>
      <c r="D111" s="1026"/>
      <c r="E111" s="1026"/>
      <c r="F111" s="956"/>
      <c r="G111" s="1054"/>
      <c r="H111" s="1269"/>
      <c r="I111" s="1056"/>
      <c r="J111" s="1025"/>
    </row>
    <row r="112" spans="1:10">
      <c r="A112" s="1037"/>
      <c r="B112" s="1038"/>
      <c r="C112" s="1026"/>
      <c r="D112" s="1026"/>
      <c r="E112" s="1026"/>
      <c r="F112" s="956"/>
      <c r="G112" s="1054"/>
      <c r="H112" s="1269"/>
      <c r="I112" s="1056"/>
      <c r="J112" s="1025"/>
    </row>
    <row r="113" spans="1:10">
      <c r="A113" s="1037"/>
      <c r="B113" s="1038"/>
      <c r="C113" s="1026"/>
      <c r="D113" s="1026"/>
      <c r="E113" s="1026"/>
      <c r="F113" s="956"/>
      <c r="G113" s="1054"/>
      <c r="H113" s="1269"/>
      <c r="I113" s="1056"/>
      <c r="J113" s="1025"/>
    </row>
    <row r="114" spans="1:10">
      <c r="A114" s="1037"/>
      <c r="B114" s="1038"/>
      <c r="C114" s="1026"/>
      <c r="D114" s="1026"/>
      <c r="E114" s="1026"/>
      <c r="F114" s="956"/>
      <c r="G114" s="1054"/>
      <c r="H114" s="1269"/>
      <c r="I114" s="1056"/>
      <c r="J114" s="1025"/>
    </row>
    <row r="115" spans="1:10">
      <c r="A115" s="1037"/>
      <c r="B115" s="1038"/>
      <c r="C115" s="1026"/>
      <c r="D115" s="1026"/>
      <c r="E115" s="1026"/>
      <c r="F115" s="956"/>
      <c r="G115" s="1054"/>
      <c r="H115" s="1269"/>
      <c r="I115" s="1056"/>
      <c r="J115" s="1025"/>
    </row>
    <row r="116" spans="1:10">
      <c r="A116" s="1037"/>
      <c r="B116" s="1038"/>
      <c r="C116" s="1026"/>
      <c r="D116" s="1026"/>
      <c r="E116" s="1026"/>
      <c r="F116" s="956"/>
      <c r="G116" s="1054"/>
      <c r="H116" s="1269"/>
      <c r="I116" s="1056"/>
      <c r="J116" s="1025"/>
    </row>
    <row r="117" spans="1:10">
      <c r="A117" s="1037"/>
      <c r="B117" s="1038"/>
      <c r="C117" s="1026"/>
      <c r="D117" s="1026"/>
      <c r="E117" s="1026"/>
      <c r="F117" s="956"/>
      <c r="G117" s="1054"/>
      <c r="H117" s="1269"/>
      <c r="I117" s="1056"/>
      <c r="J117" s="1025"/>
    </row>
    <row r="118" spans="1:10">
      <c r="A118" s="1037"/>
      <c r="B118" s="1038"/>
      <c r="C118" s="1026"/>
      <c r="D118" s="1026"/>
      <c r="E118" s="1026"/>
      <c r="F118" s="956"/>
      <c r="G118" s="1054"/>
      <c r="H118" s="1269"/>
      <c r="I118" s="1056"/>
      <c r="J118" s="1025"/>
    </row>
    <row r="119" spans="1:10">
      <c r="A119" s="1037"/>
      <c r="B119" s="1038"/>
      <c r="C119" s="1026"/>
      <c r="D119" s="1026"/>
      <c r="E119" s="1026"/>
      <c r="F119" s="956"/>
      <c r="G119" s="1054"/>
      <c r="H119" s="1269"/>
      <c r="I119" s="1056"/>
      <c r="J119" s="1025"/>
    </row>
    <row r="120" spans="1:10">
      <c r="A120" s="1037"/>
      <c r="B120" s="1038"/>
      <c r="C120" s="1026"/>
      <c r="D120" s="1026"/>
      <c r="E120" s="1026"/>
      <c r="F120" s="956"/>
      <c r="G120" s="1054"/>
      <c r="H120" s="1269"/>
      <c r="I120" s="1056"/>
      <c r="J120" s="1025"/>
    </row>
    <row r="121" spans="1:10" ht="15.75" thickBot="1">
      <c r="A121" s="1037"/>
      <c r="B121" s="1038"/>
      <c r="C121" s="1026"/>
      <c r="D121" s="1026"/>
      <c r="E121" s="1026"/>
      <c r="F121" s="956"/>
      <c r="G121" s="1054"/>
      <c r="H121" s="1269"/>
      <c r="I121" s="1056"/>
      <c r="J121" s="1025"/>
    </row>
    <row r="122" spans="1:10" ht="20.25" thickBot="1">
      <c r="A122" s="1158"/>
      <c r="B122" s="1159"/>
      <c r="C122" s="1159"/>
      <c r="D122" s="1159"/>
      <c r="E122" s="1159"/>
      <c r="F122" s="1275" t="e">
        <f>SUM(#REF!,F63:F121)</f>
        <v>#REF!</v>
      </c>
      <c r="G122" s="1159"/>
      <c r="H122" s="1270">
        <f>SUM(H63:H121)</f>
        <v>0</v>
      </c>
      <c r="I122" s="1160">
        <f>SUM(I63:I121)</f>
        <v>0</v>
      </c>
      <c r="J122" s="1262"/>
    </row>
  </sheetData>
  <autoFilter ref="A1:K57" xr:uid="{34C3F7B2-8D72-47D9-8550-BB26796E79DD}">
    <sortState xmlns:xlrd2="http://schemas.microsoft.com/office/spreadsheetml/2017/richdata2" ref="A2:K57">
      <sortCondition ref="B1:B57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D87B-7B2E-4BAA-861E-4D1EC4A66AFA}">
  <dimension ref="A1:K53"/>
  <sheetViews>
    <sheetView zoomScale="80" zoomScaleNormal="80" workbookViewId="0">
      <selection activeCell="C51" sqref="C51"/>
    </sheetView>
  </sheetViews>
  <sheetFormatPr defaultColWidth="9.140625" defaultRowHeight="15"/>
  <cols>
    <col min="1" max="1" width="13" style="1058" customWidth="1"/>
    <col min="2" max="2" width="13.5703125" style="1058" customWidth="1"/>
    <col min="3" max="3" width="60.28515625" style="1165" bestFit="1" customWidth="1"/>
    <col min="4" max="4" width="20.85546875" style="1058" bestFit="1" customWidth="1"/>
    <col min="5" max="5" width="16.7109375" style="1058" customWidth="1"/>
    <col min="6" max="6" width="22" style="1058" bestFit="1" customWidth="1"/>
    <col min="7" max="7" width="13.42578125" style="1058" bestFit="1" customWidth="1"/>
    <col min="8" max="8" width="20.140625" style="1058" customWidth="1"/>
    <col min="9" max="9" width="21.140625" style="1058" customWidth="1"/>
    <col min="10" max="10" width="13.7109375" style="1058" bestFit="1" customWidth="1"/>
    <col min="11" max="11" width="19.7109375" style="1058" customWidth="1"/>
    <col min="12" max="16384" width="9.140625" style="1058"/>
  </cols>
  <sheetData>
    <row r="1" spans="1:11" ht="15" customHeight="1">
      <c r="A1" s="1235" t="s">
        <v>1832</v>
      </c>
      <c r="B1" s="1236" t="s">
        <v>2</v>
      </c>
      <c r="C1" s="1236" t="s">
        <v>3</v>
      </c>
      <c r="D1" s="1236" t="s">
        <v>4</v>
      </c>
      <c r="E1" s="1236" t="s">
        <v>5</v>
      </c>
      <c r="F1" s="1237" t="s">
        <v>644</v>
      </c>
      <c r="G1" s="1238" t="s">
        <v>555</v>
      </c>
      <c r="H1" s="1239" t="s">
        <v>7</v>
      </c>
      <c r="I1" s="1240" t="s">
        <v>307</v>
      </c>
      <c r="J1" s="1238" t="s">
        <v>370</v>
      </c>
      <c r="K1" s="1241"/>
    </row>
    <row r="2" spans="1:11" ht="15.75">
      <c r="A2" s="1041">
        <v>45170</v>
      </c>
      <c r="B2" s="1041">
        <v>45537</v>
      </c>
      <c r="C2" s="1027" t="s">
        <v>2244</v>
      </c>
      <c r="D2" s="1027" t="s">
        <v>448</v>
      </c>
      <c r="E2" s="1027" t="s">
        <v>10</v>
      </c>
      <c r="F2" s="1065">
        <v>3707.37</v>
      </c>
      <c r="G2" s="1066">
        <v>0.1</v>
      </c>
      <c r="H2" s="1067">
        <v>260.77999999999997</v>
      </c>
      <c r="I2" s="1243">
        <v>26.07</v>
      </c>
      <c r="J2" s="1027" t="s">
        <v>2070</v>
      </c>
      <c r="K2" s="1117" t="s">
        <v>2015</v>
      </c>
    </row>
    <row r="3" spans="1:11" s="1070" customFormat="1" ht="15.75">
      <c r="A3" s="1039">
        <v>45170</v>
      </c>
      <c r="B3" s="1039">
        <v>45538</v>
      </c>
      <c r="C3" s="1025" t="s">
        <v>1030</v>
      </c>
      <c r="D3" s="1025" t="s">
        <v>14</v>
      </c>
      <c r="E3" s="1025" t="s">
        <v>10</v>
      </c>
      <c r="F3" s="1174">
        <v>2380.11</v>
      </c>
      <c r="G3" s="1062">
        <v>0.1</v>
      </c>
      <c r="H3" s="1055">
        <v>218.97</v>
      </c>
      <c r="I3" s="1242"/>
      <c r="J3" s="1025"/>
      <c r="K3" s="1115" t="s">
        <v>2015</v>
      </c>
    </row>
    <row r="4" spans="1:11" s="1070" customFormat="1" ht="15.75">
      <c r="A4" s="1039">
        <v>45174</v>
      </c>
      <c r="B4" s="1039">
        <v>45540</v>
      </c>
      <c r="C4" s="1025" t="s">
        <v>2325</v>
      </c>
      <c r="D4" s="1025" t="s">
        <v>9</v>
      </c>
      <c r="E4" s="1025" t="s">
        <v>1310</v>
      </c>
      <c r="F4" s="1061">
        <v>4194.46</v>
      </c>
      <c r="G4" s="1062">
        <v>0.1</v>
      </c>
      <c r="H4" s="1055">
        <v>385.89</v>
      </c>
      <c r="I4" s="1242"/>
      <c r="J4" s="1025"/>
      <c r="K4" s="1115" t="s">
        <v>2015</v>
      </c>
    </row>
    <row r="5" spans="1:11" s="1189" customFormat="1" ht="15.75">
      <c r="A5" s="1039">
        <v>45175</v>
      </c>
      <c r="B5" s="1039">
        <v>45541</v>
      </c>
      <c r="C5" s="1025" t="s">
        <v>2326</v>
      </c>
      <c r="D5" s="1025" t="s">
        <v>9</v>
      </c>
      <c r="E5" s="1025" t="s">
        <v>1310</v>
      </c>
      <c r="F5" s="1061">
        <v>2249.2399999999998</v>
      </c>
      <c r="G5" s="1062">
        <v>0.15</v>
      </c>
      <c r="H5" s="1055">
        <v>310.39</v>
      </c>
      <c r="I5" s="1242">
        <v>155.19</v>
      </c>
      <c r="J5" s="1025" t="s">
        <v>1396</v>
      </c>
      <c r="K5" s="1115" t="s">
        <v>2015</v>
      </c>
    </row>
    <row r="6" spans="1:11" ht="15.75">
      <c r="A6" s="1039">
        <v>45175</v>
      </c>
      <c r="B6" s="1039">
        <v>45541</v>
      </c>
      <c r="C6" s="1025" t="s">
        <v>79</v>
      </c>
      <c r="D6" s="1025" t="s">
        <v>9</v>
      </c>
      <c r="E6" s="1025" t="s">
        <v>1641</v>
      </c>
      <c r="F6" s="1092">
        <v>1797.81</v>
      </c>
      <c r="G6" s="1062">
        <v>0.15</v>
      </c>
      <c r="H6" s="1055">
        <v>248.09</v>
      </c>
      <c r="I6" s="1242"/>
      <c r="J6" s="1025"/>
      <c r="K6" s="1115" t="s">
        <v>2015</v>
      </c>
    </row>
    <row r="7" spans="1:11" s="1070" customFormat="1" ht="15.75">
      <c r="A7" s="1039">
        <v>45177</v>
      </c>
      <c r="B7" s="1039">
        <v>45543</v>
      </c>
      <c r="C7" s="1025" t="s">
        <v>2327</v>
      </c>
      <c r="D7" s="1025" t="s">
        <v>9</v>
      </c>
      <c r="E7" s="1025" t="s">
        <v>1593</v>
      </c>
      <c r="F7" s="1061">
        <v>2427.06</v>
      </c>
      <c r="G7" s="1062">
        <v>0.1</v>
      </c>
      <c r="H7" s="1055">
        <v>223.28</v>
      </c>
      <c r="I7" s="1242">
        <v>111.64</v>
      </c>
      <c r="J7" s="1025" t="s">
        <v>1577</v>
      </c>
      <c r="K7" s="1116" t="s">
        <v>2015</v>
      </c>
    </row>
    <row r="8" spans="1:11" s="1070" customFormat="1" ht="15.75">
      <c r="A8" s="1039">
        <v>45177</v>
      </c>
      <c r="B8" s="1039">
        <v>45543</v>
      </c>
      <c r="C8" s="1025" t="s">
        <v>1999</v>
      </c>
      <c r="D8" s="1025" t="s">
        <v>448</v>
      </c>
      <c r="E8" s="1025" t="s">
        <v>458</v>
      </c>
      <c r="F8" s="1061">
        <v>964.13</v>
      </c>
      <c r="G8" s="1062">
        <v>0.1</v>
      </c>
      <c r="H8" s="1055">
        <v>88.69</v>
      </c>
      <c r="I8" s="1242"/>
      <c r="J8" s="1025"/>
      <c r="K8" s="1115" t="s">
        <v>2274</v>
      </c>
    </row>
    <row r="9" spans="1:11" ht="15.75">
      <c r="A9" s="1039">
        <v>45173</v>
      </c>
      <c r="B9" s="1039">
        <v>45544</v>
      </c>
      <c r="C9" s="1025" t="s">
        <v>1864</v>
      </c>
      <c r="D9" s="1025" t="s">
        <v>9</v>
      </c>
      <c r="E9" s="1025" t="s">
        <v>1310</v>
      </c>
      <c r="F9" s="1061">
        <v>2524.02</v>
      </c>
      <c r="G9" s="1062">
        <v>0.1</v>
      </c>
      <c r="H9" s="1055">
        <v>232.2</v>
      </c>
      <c r="I9" s="1242">
        <v>116.1</v>
      </c>
      <c r="J9" s="1025" t="s">
        <v>1339</v>
      </c>
      <c r="K9" s="1115" t="s">
        <v>2015</v>
      </c>
    </row>
    <row r="10" spans="1:11" ht="15.75">
      <c r="A10" s="1040">
        <v>45174</v>
      </c>
      <c r="B10" s="1041">
        <v>45547</v>
      </c>
      <c r="C10" s="1027" t="s">
        <v>1326</v>
      </c>
      <c r="D10" s="1030" t="s">
        <v>1862</v>
      </c>
      <c r="E10" s="1027" t="s">
        <v>458</v>
      </c>
      <c r="F10" s="1090">
        <v>4325.2700000000004</v>
      </c>
      <c r="G10" s="1066">
        <v>0.1</v>
      </c>
      <c r="H10" s="1067">
        <v>397.92</v>
      </c>
      <c r="I10" s="1068">
        <v>39.79</v>
      </c>
      <c r="J10" s="1112" t="s">
        <v>2070</v>
      </c>
      <c r="K10" s="1131" t="s">
        <v>2015</v>
      </c>
    </row>
    <row r="11" spans="1:11" ht="15.75">
      <c r="A11" s="1037">
        <v>45181</v>
      </c>
      <c r="B11" s="1038">
        <v>45547</v>
      </c>
      <c r="C11" s="1025" t="s">
        <v>1925</v>
      </c>
      <c r="D11" s="1026" t="s">
        <v>25</v>
      </c>
      <c r="E11" s="1026" t="s">
        <v>1552</v>
      </c>
      <c r="F11" s="1059">
        <v>6434.97</v>
      </c>
      <c r="G11" s="1054">
        <v>0.1</v>
      </c>
      <c r="H11" s="1055">
        <v>592.01</v>
      </c>
      <c r="I11" s="1056">
        <v>296</v>
      </c>
      <c r="J11" s="1111" t="s">
        <v>1577</v>
      </c>
      <c r="K11" s="1115" t="s">
        <v>2274</v>
      </c>
    </row>
    <row r="12" spans="1:11" ht="15.75">
      <c r="A12" s="1037">
        <v>45181</v>
      </c>
      <c r="B12" s="1038">
        <v>45547</v>
      </c>
      <c r="C12" s="1075" t="s">
        <v>1263</v>
      </c>
      <c r="D12" s="1026" t="s">
        <v>9</v>
      </c>
      <c r="E12" s="1026" t="s">
        <v>1552</v>
      </c>
      <c r="F12" s="1059">
        <v>2837.08</v>
      </c>
      <c r="G12" s="1054">
        <v>0.1</v>
      </c>
      <c r="H12" s="1055">
        <v>261.01</v>
      </c>
      <c r="I12" s="1056">
        <v>130.5</v>
      </c>
      <c r="J12" s="1111" t="s">
        <v>1396</v>
      </c>
      <c r="K12" s="1115" t="s">
        <v>2274</v>
      </c>
    </row>
    <row r="13" spans="1:11" ht="15.75">
      <c r="A13" s="1039">
        <v>45181</v>
      </c>
      <c r="B13" s="1039">
        <v>45547</v>
      </c>
      <c r="C13" s="1025" t="s">
        <v>2328</v>
      </c>
      <c r="D13" s="1025" t="s">
        <v>25</v>
      </c>
      <c r="E13" s="1025" t="s">
        <v>1080</v>
      </c>
      <c r="F13" s="1061">
        <v>713.36</v>
      </c>
      <c r="G13" s="1062">
        <v>0.1</v>
      </c>
      <c r="H13" s="1055">
        <v>65.62</v>
      </c>
      <c r="I13" s="1063"/>
      <c r="J13" s="1111"/>
      <c r="K13" s="1115" t="s">
        <v>2015</v>
      </c>
    </row>
    <row r="14" spans="1:11" ht="15.75">
      <c r="A14" s="1043">
        <v>45181</v>
      </c>
      <c r="B14" s="1044">
        <v>45547</v>
      </c>
      <c r="C14" s="1032" t="s">
        <v>1984</v>
      </c>
      <c r="D14" s="1075" t="s">
        <v>448</v>
      </c>
      <c r="E14" s="1075" t="s">
        <v>458</v>
      </c>
      <c r="F14" s="1102">
        <v>2173.0500000000002</v>
      </c>
      <c r="G14" s="1076">
        <v>0.1</v>
      </c>
      <c r="H14" s="1055">
        <v>199.92</v>
      </c>
      <c r="I14" s="1077"/>
      <c r="J14" s="1111"/>
      <c r="K14" s="1115" t="s">
        <v>2015</v>
      </c>
    </row>
    <row r="15" spans="1:11" ht="15.75">
      <c r="A15" s="1037">
        <v>45182</v>
      </c>
      <c r="B15" s="1038">
        <v>45549</v>
      </c>
      <c r="C15" s="1026" t="s">
        <v>1866</v>
      </c>
      <c r="D15" s="1026" t="s">
        <v>14</v>
      </c>
      <c r="E15" s="1026" t="s">
        <v>945</v>
      </c>
      <c r="F15" s="1103">
        <v>981.31</v>
      </c>
      <c r="G15" s="1054">
        <v>0.15</v>
      </c>
      <c r="H15" s="1055">
        <v>135.41999999999999</v>
      </c>
      <c r="I15" s="1056"/>
      <c r="J15" s="1111"/>
      <c r="K15" s="1115" t="s">
        <v>2015</v>
      </c>
    </row>
    <row r="16" spans="1:11" ht="15.75">
      <c r="A16" s="1037">
        <v>45183</v>
      </c>
      <c r="B16" s="1038">
        <v>45549</v>
      </c>
      <c r="C16" s="1026" t="s">
        <v>774</v>
      </c>
      <c r="D16" s="1026" t="s">
        <v>25</v>
      </c>
      <c r="E16" s="1026" t="s">
        <v>948</v>
      </c>
      <c r="F16" s="1059">
        <v>2375.0500000000002</v>
      </c>
      <c r="G16" s="1054">
        <v>0.1</v>
      </c>
      <c r="H16" s="1055">
        <v>218.5</v>
      </c>
      <c r="I16" s="1056"/>
      <c r="J16" s="1111"/>
      <c r="K16" s="1116" t="s">
        <v>2015</v>
      </c>
    </row>
    <row r="17" spans="1:11" s="1070" customFormat="1" ht="15.75">
      <c r="A17" s="1039">
        <v>45177</v>
      </c>
      <c r="B17" s="1039">
        <v>45550</v>
      </c>
      <c r="C17" s="1025" t="s">
        <v>1049</v>
      </c>
      <c r="D17" s="1025" t="s">
        <v>9</v>
      </c>
      <c r="E17" s="1025" t="s">
        <v>458</v>
      </c>
      <c r="F17" s="1061">
        <v>1562.02</v>
      </c>
      <c r="G17" s="1062">
        <v>0.15</v>
      </c>
      <c r="H17" s="1088">
        <v>215.55</v>
      </c>
      <c r="I17" s="1183"/>
      <c r="J17" s="1111"/>
      <c r="K17" s="1115" t="s">
        <v>2015</v>
      </c>
    </row>
    <row r="18" spans="1:11" ht="15.75">
      <c r="A18" s="1043">
        <v>45182</v>
      </c>
      <c r="B18" s="1045">
        <v>45550</v>
      </c>
      <c r="C18" s="1075" t="s">
        <v>1041</v>
      </c>
      <c r="D18" s="1075" t="s">
        <v>448</v>
      </c>
      <c r="E18" s="1075" t="s">
        <v>948</v>
      </c>
      <c r="F18" s="1079">
        <v>1146.1199999999999</v>
      </c>
      <c r="G18" s="1076">
        <v>0.15</v>
      </c>
      <c r="H18" s="1055">
        <v>158.16</v>
      </c>
      <c r="I18" s="1077"/>
      <c r="J18" s="1111"/>
      <c r="K18" s="1115" t="s">
        <v>2015</v>
      </c>
    </row>
    <row r="19" spans="1:11" ht="15.75">
      <c r="A19" s="1040">
        <v>45184</v>
      </c>
      <c r="B19" s="1042">
        <v>45551</v>
      </c>
      <c r="C19" s="1499" t="s">
        <v>2329</v>
      </c>
      <c r="D19" s="1030" t="s">
        <v>61</v>
      </c>
      <c r="E19" s="1030" t="s">
        <v>1310</v>
      </c>
      <c r="F19" s="1072">
        <v>5541.94</v>
      </c>
      <c r="G19" s="1073">
        <v>0.1</v>
      </c>
      <c r="H19" s="1067">
        <v>509.85</v>
      </c>
      <c r="I19" s="1068">
        <v>50.98</v>
      </c>
      <c r="J19" s="1112" t="s">
        <v>2070</v>
      </c>
      <c r="K19" s="1117" t="s">
        <v>1805</v>
      </c>
    </row>
    <row r="20" spans="1:11" ht="15.75">
      <c r="A20" s="1037">
        <v>45184</v>
      </c>
      <c r="B20" s="1038">
        <v>45551</v>
      </c>
      <c r="C20" s="1025" t="s">
        <v>2330</v>
      </c>
      <c r="D20" s="1025" t="s">
        <v>61</v>
      </c>
      <c r="E20" s="1025" t="s">
        <v>1593</v>
      </c>
      <c r="F20" s="1061">
        <v>3030.46</v>
      </c>
      <c r="G20" s="1062">
        <v>0.2</v>
      </c>
      <c r="H20" s="1055">
        <v>557.6</v>
      </c>
      <c r="I20" s="1056">
        <v>278.8</v>
      </c>
      <c r="J20" s="1111" t="s">
        <v>1396</v>
      </c>
      <c r="K20" s="1115" t="s">
        <v>2015</v>
      </c>
    </row>
    <row r="21" spans="1:11" ht="15.75">
      <c r="A21" s="1037">
        <v>45184</v>
      </c>
      <c r="B21" s="1038">
        <v>45552</v>
      </c>
      <c r="C21" s="1025" t="s">
        <v>1522</v>
      </c>
      <c r="D21" s="1025" t="s">
        <v>9</v>
      </c>
      <c r="E21" s="1025" t="s">
        <v>1310</v>
      </c>
      <c r="F21" s="1061">
        <v>2943.99</v>
      </c>
      <c r="G21" s="1062">
        <v>0.1</v>
      </c>
      <c r="H21" s="1055">
        <v>270.83999999999997</v>
      </c>
      <c r="I21" s="1056"/>
      <c r="J21" s="1111"/>
      <c r="K21" s="1115" t="s">
        <v>2015</v>
      </c>
    </row>
    <row r="22" spans="1:11" s="1070" customFormat="1" ht="15.75">
      <c r="A22" s="1037">
        <v>45183</v>
      </c>
      <c r="B22" s="1038">
        <v>45552</v>
      </c>
      <c r="C22" s="1026" t="s">
        <v>2331</v>
      </c>
      <c r="D22" s="1026" t="s">
        <v>25</v>
      </c>
      <c r="E22" s="1025" t="s">
        <v>948</v>
      </c>
      <c r="F22" s="1023">
        <v>1803.15</v>
      </c>
      <c r="G22" s="1062">
        <v>0.1</v>
      </c>
      <c r="H22" s="1023">
        <v>165.88</v>
      </c>
      <c r="I22" s="1056"/>
      <c r="J22" s="1111"/>
      <c r="K22" s="1115" t="s">
        <v>2015</v>
      </c>
    </row>
    <row r="23" spans="1:11" s="1070" customFormat="1" ht="15.75">
      <c r="A23" s="1037">
        <v>45184</v>
      </c>
      <c r="B23" s="1038">
        <v>45553</v>
      </c>
      <c r="C23" s="1025" t="s">
        <v>2107</v>
      </c>
      <c r="D23" s="1026" t="s">
        <v>14</v>
      </c>
      <c r="E23" s="1025" t="s">
        <v>458</v>
      </c>
      <c r="F23" s="1061">
        <v>1569.41</v>
      </c>
      <c r="G23" s="1062">
        <v>0.1</v>
      </c>
      <c r="H23" s="1055">
        <v>144.38</v>
      </c>
      <c r="I23" s="1056">
        <v>72.19</v>
      </c>
      <c r="J23" s="1111" t="s">
        <v>1396</v>
      </c>
      <c r="K23" s="1115" t="s">
        <v>2015</v>
      </c>
    </row>
    <row r="24" spans="1:11" ht="15.75">
      <c r="A24" s="1037">
        <v>45184</v>
      </c>
      <c r="B24" s="1038">
        <v>45553</v>
      </c>
      <c r="C24" s="1025" t="s">
        <v>1045</v>
      </c>
      <c r="D24" s="1026" t="s">
        <v>448</v>
      </c>
      <c r="E24" s="1025" t="s">
        <v>948</v>
      </c>
      <c r="F24" s="1061">
        <v>1237.8399999999999</v>
      </c>
      <c r="G24" s="1062">
        <v>0.2</v>
      </c>
      <c r="H24" s="1055">
        <v>227.76</v>
      </c>
      <c r="I24" s="1056"/>
      <c r="J24" s="1111"/>
      <c r="K24" s="1115" t="s">
        <v>2015</v>
      </c>
    </row>
    <row r="25" spans="1:11" s="1070" customFormat="1" ht="15.75">
      <c r="A25" s="1040">
        <v>45189</v>
      </c>
      <c r="B25" s="1042">
        <v>45554</v>
      </c>
      <c r="C25" s="1031" t="s">
        <v>2332</v>
      </c>
      <c r="D25" s="1030" t="s">
        <v>448</v>
      </c>
      <c r="E25" s="1027" t="s">
        <v>2333</v>
      </c>
      <c r="F25" s="1065">
        <v>123.85</v>
      </c>
      <c r="G25" s="1066">
        <v>0.1</v>
      </c>
      <c r="H25" s="1067">
        <v>11.39</v>
      </c>
      <c r="I25" s="1068">
        <v>1.1299999999999999</v>
      </c>
      <c r="J25" s="1112" t="s">
        <v>2070</v>
      </c>
      <c r="K25" s="1117" t="s">
        <v>2274</v>
      </c>
    </row>
    <row r="26" spans="1:11" ht="15.75">
      <c r="A26" s="1039">
        <v>45188</v>
      </c>
      <c r="B26" s="1039">
        <v>45554</v>
      </c>
      <c r="C26" s="1025" t="s">
        <v>2334</v>
      </c>
      <c r="D26" s="1025" t="s">
        <v>448</v>
      </c>
      <c r="E26" s="1025" t="s">
        <v>1080</v>
      </c>
      <c r="F26" s="1061">
        <v>599.47</v>
      </c>
      <c r="G26" s="1062">
        <v>0.1</v>
      </c>
      <c r="H26" s="1055">
        <v>55.15</v>
      </c>
      <c r="I26" s="1056">
        <v>27.57</v>
      </c>
      <c r="J26" s="1111" t="s">
        <v>2152</v>
      </c>
      <c r="K26" s="1115" t="s">
        <v>2274</v>
      </c>
    </row>
    <row r="27" spans="1:11" s="1268" customFormat="1" ht="15.75">
      <c r="A27" s="1039">
        <v>45189</v>
      </c>
      <c r="B27" s="1039">
        <v>45554</v>
      </c>
      <c r="C27" s="1025" t="s">
        <v>2243</v>
      </c>
      <c r="D27" s="1025" t="s">
        <v>448</v>
      </c>
      <c r="E27" s="1025" t="s">
        <v>2333</v>
      </c>
      <c r="F27" s="1061">
        <v>1699.49</v>
      </c>
      <c r="G27" s="1062">
        <v>0.2</v>
      </c>
      <c r="H27" s="1055">
        <v>312.7</v>
      </c>
      <c r="I27" s="1056">
        <v>156.35</v>
      </c>
      <c r="J27" s="1111" t="s">
        <v>1577</v>
      </c>
      <c r="K27" s="1115" t="s">
        <v>2274</v>
      </c>
    </row>
    <row r="28" spans="1:11" ht="15.75">
      <c r="A28" s="1041">
        <v>45183</v>
      </c>
      <c r="B28" s="1041">
        <v>45556</v>
      </c>
      <c r="C28" s="1027" t="s">
        <v>1524</v>
      </c>
      <c r="D28" s="1027" t="s">
        <v>14</v>
      </c>
      <c r="E28" s="1027" t="s">
        <v>10</v>
      </c>
      <c r="F28" s="1065">
        <v>1943.45</v>
      </c>
      <c r="G28" s="1066">
        <v>0.2</v>
      </c>
      <c r="H28" s="1067">
        <v>357.59</v>
      </c>
      <c r="I28" s="1068">
        <v>35.75</v>
      </c>
      <c r="J28" s="1112" t="s">
        <v>2070</v>
      </c>
      <c r="K28" s="1117" t="s">
        <v>2015</v>
      </c>
    </row>
    <row r="29" spans="1:11" ht="15.75">
      <c r="A29" s="1040">
        <v>45184</v>
      </c>
      <c r="B29" s="1041">
        <v>45556</v>
      </c>
      <c r="C29" s="1027" t="s">
        <v>1515</v>
      </c>
      <c r="D29" s="1030" t="s">
        <v>1924</v>
      </c>
      <c r="E29" s="1027" t="s">
        <v>948</v>
      </c>
      <c r="F29" s="1065">
        <v>1734.71</v>
      </c>
      <c r="G29" s="1066">
        <v>0.15</v>
      </c>
      <c r="H29" s="1067">
        <v>239.38</v>
      </c>
      <c r="I29" s="1068">
        <v>23.93</v>
      </c>
      <c r="J29" s="1112" t="s">
        <v>2070</v>
      </c>
      <c r="K29" s="1117" t="s">
        <v>2015</v>
      </c>
    </row>
    <row r="30" spans="1:11" ht="15.75">
      <c r="A30" s="1037">
        <v>45190</v>
      </c>
      <c r="B30" s="1039">
        <v>45556</v>
      </c>
      <c r="C30" s="1025" t="s">
        <v>1722</v>
      </c>
      <c r="D30" s="1026" t="s">
        <v>9</v>
      </c>
      <c r="E30" s="1025" t="s">
        <v>1310</v>
      </c>
      <c r="F30" s="1023">
        <v>2881.52</v>
      </c>
      <c r="G30" s="1062">
        <v>0.1</v>
      </c>
      <c r="H30" s="1023">
        <v>265.08999999999997</v>
      </c>
      <c r="I30" s="1056"/>
      <c r="J30" s="1111"/>
      <c r="K30" s="1115" t="s">
        <v>2274</v>
      </c>
    </row>
    <row r="31" spans="1:11" ht="15.75">
      <c r="A31" s="1037">
        <v>45190</v>
      </c>
      <c r="B31" s="1039">
        <v>45556</v>
      </c>
      <c r="C31" s="1025" t="s">
        <v>1057</v>
      </c>
      <c r="D31" s="1026" t="s">
        <v>448</v>
      </c>
      <c r="E31" s="1025" t="s">
        <v>948</v>
      </c>
      <c r="F31" s="1061">
        <v>2809.66</v>
      </c>
      <c r="G31" s="1062">
        <v>0.1</v>
      </c>
      <c r="H31" s="1055">
        <v>258.48</v>
      </c>
      <c r="I31" s="1056"/>
      <c r="J31" s="1111"/>
      <c r="K31" s="1115" t="s">
        <v>2015</v>
      </c>
    </row>
    <row r="32" spans="1:11" ht="15.75">
      <c r="A32" s="1037">
        <v>45191</v>
      </c>
      <c r="B32" s="1039">
        <v>45557</v>
      </c>
      <c r="C32" s="1033" t="s">
        <v>2335</v>
      </c>
      <c r="D32" s="1026" t="s">
        <v>9</v>
      </c>
      <c r="E32" s="1025" t="s">
        <v>1593</v>
      </c>
      <c r="F32" s="1061">
        <v>2490.58</v>
      </c>
      <c r="G32" s="1062">
        <v>0.1</v>
      </c>
      <c r="H32" s="1055">
        <v>229.13</v>
      </c>
      <c r="I32" s="1056"/>
      <c r="J32" s="1111"/>
      <c r="K32" s="1115" t="s">
        <v>2015</v>
      </c>
    </row>
    <row r="33" spans="1:11" ht="15.75">
      <c r="A33" s="1037">
        <v>45188</v>
      </c>
      <c r="B33" s="1039">
        <v>45559</v>
      </c>
      <c r="C33" s="1032" t="s">
        <v>1527</v>
      </c>
      <c r="D33" s="1026" t="s">
        <v>14</v>
      </c>
      <c r="E33" s="1025" t="s">
        <v>1080</v>
      </c>
      <c r="F33" s="1092">
        <v>2567.4499999999998</v>
      </c>
      <c r="G33" s="1062">
        <v>0.1</v>
      </c>
      <c r="H33" s="1055">
        <v>236.2</v>
      </c>
      <c r="I33" s="1056">
        <v>118.1</v>
      </c>
      <c r="J33" s="1111" t="s">
        <v>1396</v>
      </c>
      <c r="K33" s="1115" t="s">
        <v>2015</v>
      </c>
    </row>
    <row r="34" spans="1:11" ht="15.75">
      <c r="A34" s="1037">
        <v>45191</v>
      </c>
      <c r="B34" s="1039">
        <v>45559</v>
      </c>
      <c r="C34" s="1025" t="s">
        <v>1528</v>
      </c>
      <c r="D34" s="1026" t="s">
        <v>9</v>
      </c>
      <c r="E34" s="1026" t="s">
        <v>948</v>
      </c>
      <c r="F34" s="1071">
        <v>1483.38</v>
      </c>
      <c r="G34" s="1062">
        <v>0.1</v>
      </c>
      <c r="H34" s="1055">
        <v>136.47</v>
      </c>
      <c r="I34" s="1056"/>
      <c r="J34" s="1111"/>
      <c r="K34" s="1115" t="s">
        <v>2015</v>
      </c>
    </row>
    <row r="35" spans="1:11" s="1070" customFormat="1" ht="15.75">
      <c r="A35" s="1040">
        <v>45194</v>
      </c>
      <c r="B35" s="1042">
        <v>45560</v>
      </c>
      <c r="C35" s="1027" t="s">
        <v>2336</v>
      </c>
      <c r="D35" s="1030" t="s">
        <v>61</v>
      </c>
      <c r="E35" s="1030" t="s">
        <v>1593</v>
      </c>
      <c r="F35" s="1072">
        <v>3445.37</v>
      </c>
      <c r="G35" s="1073">
        <v>0.1</v>
      </c>
      <c r="H35" s="1067">
        <v>316.97000000000003</v>
      </c>
      <c r="I35" s="1068">
        <v>31.69</v>
      </c>
      <c r="J35" s="1112" t="s">
        <v>2070</v>
      </c>
      <c r="K35" s="1117" t="s">
        <v>2274</v>
      </c>
    </row>
    <row r="36" spans="1:11" ht="15.75">
      <c r="A36" s="1037">
        <v>45194</v>
      </c>
      <c r="B36" s="1038">
        <v>45562</v>
      </c>
      <c r="C36" s="1025" t="s">
        <v>1067</v>
      </c>
      <c r="D36" s="1026" t="s">
        <v>14</v>
      </c>
      <c r="E36" s="1026" t="s">
        <v>945</v>
      </c>
      <c r="F36" s="1059">
        <v>2520.02</v>
      </c>
      <c r="G36" s="1054">
        <v>0.1</v>
      </c>
      <c r="H36" s="1055">
        <v>231.84</v>
      </c>
      <c r="I36" s="1056"/>
      <c r="J36" s="1111"/>
      <c r="K36" s="1115" t="s">
        <v>2015</v>
      </c>
    </row>
    <row r="37" spans="1:11" ht="15.75">
      <c r="A37" s="1037">
        <v>45196</v>
      </c>
      <c r="B37" s="1038">
        <v>45562</v>
      </c>
      <c r="C37" s="1025" t="s">
        <v>2111</v>
      </c>
      <c r="D37" s="1026" t="s">
        <v>61</v>
      </c>
      <c r="E37" s="1026" t="s">
        <v>1641</v>
      </c>
      <c r="F37" s="1053">
        <v>2389</v>
      </c>
      <c r="G37" s="1054">
        <v>0.1</v>
      </c>
      <c r="H37" s="1023">
        <v>219.78</v>
      </c>
      <c r="I37" s="1056"/>
      <c r="J37" s="1111"/>
      <c r="K37" s="1115" t="s">
        <v>2015</v>
      </c>
    </row>
    <row r="38" spans="1:11" ht="15.75">
      <c r="A38" s="1037">
        <v>45196</v>
      </c>
      <c r="B38" s="1038">
        <v>45562</v>
      </c>
      <c r="C38" s="1025" t="s">
        <v>2255</v>
      </c>
      <c r="D38" s="1026" t="s">
        <v>9</v>
      </c>
      <c r="E38" s="1026" t="s">
        <v>1641</v>
      </c>
      <c r="F38" s="1059">
        <v>3157.38</v>
      </c>
      <c r="G38" s="1054">
        <v>0.15</v>
      </c>
      <c r="H38" s="1055">
        <v>435.71</v>
      </c>
      <c r="I38" s="1056"/>
      <c r="J38" s="1111"/>
      <c r="K38" s="1115" t="s">
        <v>2015</v>
      </c>
    </row>
    <row r="39" spans="1:11" ht="15.75">
      <c r="A39" s="1037">
        <v>45196</v>
      </c>
      <c r="B39" s="1038">
        <v>45562</v>
      </c>
      <c r="C39" s="1025" t="s">
        <v>393</v>
      </c>
      <c r="D39" s="1026" t="s">
        <v>9</v>
      </c>
      <c r="E39" s="1026" t="s">
        <v>1310</v>
      </c>
      <c r="F39" s="1059">
        <v>1674.61</v>
      </c>
      <c r="G39" s="1054">
        <v>0.1</v>
      </c>
      <c r="H39" s="1055">
        <v>154.06</v>
      </c>
      <c r="I39" s="1056"/>
      <c r="J39" s="1111"/>
      <c r="K39" s="1115" t="s">
        <v>2015</v>
      </c>
    </row>
    <row r="40" spans="1:11" ht="15.75">
      <c r="A40" s="1037">
        <v>45198</v>
      </c>
      <c r="B40" s="1038">
        <v>45563</v>
      </c>
      <c r="C40" s="1026" t="s">
        <v>2337</v>
      </c>
      <c r="D40" s="1026" t="s">
        <v>448</v>
      </c>
      <c r="E40" s="1026" t="s">
        <v>945</v>
      </c>
      <c r="F40" s="1059">
        <v>2106.98</v>
      </c>
      <c r="G40" s="1054">
        <v>0.1</v>
      </c>
      <c r="H40" s="1055">
        <v>193.84</v>
      </c>
      <c r="I40" s="1056">
        <v>96.92</v>
      </c>
      <c r="J40" s="1111" t="s">
        <v>1396</v>
      </c>
      <c r="K40" s="1115" t="s">
        <v>2274</v>
      </c>
    </row>
    <row r="41" spans="1:11" ht="15.75">
      <c r="A41" s="1037">
        <v>45198</v>
      </c>
      <c r="B41" s="1038">
        <v>45563</v>
      </c>
      <c r="C41" s="1026" t="s">
        <v>2338</v>
      </c>
      <c r="D41" s="1026" t="s">
        <v>14</v>
      </c>
      <c r="E41" s="1026" t="s">
        <v>458</v>
      </c>
      <c r="F41" s="1059">
        <v>2446.81</v>
      </c>
      <c r="G41" s="1054">
        <v>0.1</v>
      </c>
      <c r="H41" s="1055">
        <v>225.1</v>
      </c>
      <c r="I41" s="1056"/>
      <c r="J41" s="1111"/>
      <c r="K41" s="1115" t="s">
        <v>2015</v>
      </c>
    </row>
    <row r="42" spans="1:11" ht="15.75">
      <c r="A42" s="1037">
        <v>45189</v>
      </c>
      <c r="B42" s="1038">
        <v>45564</v>
      </c>
      <c r="C42" s="1026" t="s">
        <v>2339</v>
      </c>
      <c r="D42" s="1026" t="s">
        <v>448</v>
      </c>
      <c r="E42" s="1026" t="s">
        <v>1080</v>
      </c>
      <c r="F42" s="1059">
        <v>1671.82</v>
      </c>
      <c r="G42" s="1054">
        <v>0.1</v>
      </c>
      <c r="H42" s="1055">
        <v>153.80000000000001</v>
      </c>
      <c r="I42" s="1056">
        <v>76.900000000000006</v>
      </c>
      <c r="J42" s="1111" t="s">
        <v>2094</v>
      </c>
      <c r="K42" s="1115" t="s">
        <v>2274</v>
      </c>
    </row>
    <row r="43" spans="1:11" ht="15.75">
      <c r="A43" s="1037">
        <v>45191</v>
      </c>
      <c r="B43" s="1038">
        <v>45564</v>
      </c>
      <c r="C43" s="1026" t="s">
        <v>1064</v>
      </c>
      <c r="D43" s="1026" t="s">
        <v>448</v>
      </c>
      <c r="E43" s="1026" t="s">
        <v>458</v>
      </c>
      <c r="F43" s="1059">
        <v>1758.7</v>
      </c>
      <c r="G43" s="1054">
        <v>0.1</v>
      </c>
      <c r="H43" s="1055">
        <v>161.80000000000001</v>
      </c>
      <c r="I43" s="1056"/>
      <c r="J43" s="1111"/>
      <c r="K43" s="1115" t="s">
        <v>2015</v>
      </c>
    </row>
    <row r="44" spans="1:11" ht="15.75">
      <c r="A44" s="1037">
        <v>45194</v>
      </c>
      <c r="B44" s="1038">
        <v>45564</v>
      </c>
      <c r="C44" s="1026" t="s">
        <v>1531</v>
      </c>
      <c r="D44" s="1026" t="s">
        <v>448</v>
      </c>
      <c r="E44" s="1026" t="s">
        <v>948</v>
      </c>
      <c r="F44" s="1059">
        <v>1460.65</v>
      </c>
      <c r="G44" s="1054">
        <v>0.1</v>
      </c>
      <c r="H44" s="1055">
        <v>134.37</v>
      </c>
      <c r="I44" s="1056"/>
      <c r="J44" s="1111"/>
      <c r="K44" s="1115" t="s">
        <v>2015</v>
      </c>
    </row>
    <row r="45" spans="1:11" s="1070" customFormat="1" ht="15.75">
      <c r="A45" s="1040">
        <v>45198</v>
      </c>
      <c r="B45" s="1042">
        <v>45565</v>
      </c>
      <c r="C45" s="1030" t="s">
        <v>2340</v>
      </c>
      <c r="D45" s="1030" t="s">
        <v>448</v>
      </c>
      <c r="E45" s="1030" t="s">
        <v>945</v>
      </c>
      <c r="F45" s="1072">
        <v>1633.08</v>
      </c>
      <c r="G45" s="1073">
        <v>0.15</v>
      </c>
      <c r="H45" s="1067">
        <v>225.36</v>
      </c>
      <c r="I45" s="1068">
        <v>22.53</v>
      </c>
      <c r="J45" s="1112" t="s">
        <v>2070</v>
      </c>
      <c r="K45" s="1117" t="s">
        <v>2015</v>
      </c>
    </row>
    <row r="46" spans="1:11" ht="15.75">
      <c r="A46" s="1037">
        <v>45195</v>
      </c>
      <c r="B46" s="1038">
        <v>45565</v>
      </c>
      <c r="C46" s="1026" t="s">
        <v>2115</v>
      </c>
      <c r="D46" s="1026" t="s">
        <v>61</v>
      </c>
      <c r="E46" s="1026" t="s">
        <v>945</v>
      </c>
      <c r="F46" s="1059">
        <v>2698.89</v>
      </c>
      <c r="G46" s="1054">
        <v>0.1</v>
      </c>
      <c r="H46" s="1055">
        <v>248.29</v>
      </c>
      <c r="I46" s="1056"/>
      <c r="J46" s="1111"/>
      <c r="K46" s="1115" t="s">
        <v>2015</v>
      </c>
    </row>
    <row r="47" spans="1:11" ht="15.75">
      <c r="A47" s="1037">
        <v>45198</v>
      </c>
      <c r="B47" s="1038">
        <v>45565</v>
      </c>
      <c r="C47" s="1026" t="s">
        <v>1537</v>
      </c>
      <c r="D47" s="1026" t="s">
        <v>448</v>
      </c>
      <c r="E47" s="1026" t="s">
        <v>1080</v>
      </c>
      <c r="F47" s="1059">
        <v>2023.39</v>
      </c>
      <c r="G47" s="1054">
        <v>0.1</v>
      </c>
      <c r="H47" s="1055">
        <v>186.15</v>
      </c>
      <c r="I47" s="1056"/>
      <c r="J47" s="1111"/>
      <c r="K47" s="1115" t="s">
        <v>2015</v>
      </c>
    </row>
    <row r="48" spans="1:11" s="1070" customFormat="1" ht="15.75">
      <c r="A48" s="1037">
        <v>45181</v>
      </c>
      <c r="B48" s="1038" t="s">
        <v>1805</v>
      </c>
      <c r="C48" s="1025" t="s">
        <v>1501</v>
      </c>
      <c r="D48" s="1026" t="s">
        <v>61</v>
      </c>
      <c r="E48" s="1026" t="s">
        <v>10</v>
      </c>
      <c r="F48" s="1059">
        <v>532.54</v>
      </c>
      <c r="G48" s="1054">
        <v>0.15</v>
      </c>
      <c r="H48" s="1055">
        <v>73.489999999999995</v>
      </c>
      <c r="I48" s="1056"/>
      <c r="J48" s="1111"/>
      <c r="K48" s="1115" t="s">
        <v>1805</v>
      </c>
    </row>
    <row r="49" spans="1:11" ht="15.75">
      <c r="A49" s="1037"/>
      <c r="B49" s="1038"/>
      <c r="C49" s="1025"/>
      <c r="D49" s="1026"/>
      <c r="E49" s="1026"/>
      <c r="F49" s="1059"/>
      <c r="G49" s="1054"/>
      <c r="H49" s="1055"/>
      <c r="I49" s="1056"/>
      <c r="J49" s="1111"/>
      <c r="K49" s="1115"/>
    </row>
    <row r="50" spans="1:11" ht="15.75">
      <c r="A50" s="1037"/>
      <c r="B50" s="1038"/>
      <c r="C50" s="1026"/>
      <c r="D50" s="1026"/>
      <c r="E50" s="1026"/>
      <c r="F50" s="1059"/>
      <c r="G50" s="1054"/>
      <c r="H50" s="1055"/>
      <c r="I50" s="1056"/>
      <c r="J50" s="1111"/>
      <c r="K50" s="1115"/>
    </row>
    <row r="51" spans="1:11" ht="15.75">
      <c r="A51" s="1037"/>
      <c r="B51" s="1038"/>
      <c r="C51" s="1026"/>
      <c r="D51" s="1026"/>
      <c r="E51" s="1026"/>
      <c r="F51" s="1059"/>
      <c r="G51" s="1054"/>
      <c r="H51" s="1055"/>
      <c r="I51" s="1056"/>
      <c r="J51" s="1111"/>
      <c r="K51" s="1115"/>
    </row>
    <row r="52" spans="1:11" ht="16.5" thickBot="1">
      <c r="A52" s="1037"/>
      <c r="B52" s="1038"/>
      <c r="C52" s="1026"/>
      <c r="D52" s="1026"/>
      <c r="E52" s="1026"/>
      <c r="F52" s="1059"/>
      <c r="G52" s="1054"/>
      <c r="H52" s="1055"/>
      <c r="I52" s="1056"/>
      <c r="J52" s="1111"/>
      <c r="K52" s="1115"/>
    </row>
    <row r="53" spans="1:11" ht="19.5">
      <c r="A53" s="1158"/>
      <c r="B53" s="1159"/>
      <c r="C53" s="1159"/>
      <c r="D53" s="1159"/>
      <c r="E53" s="1159"/>
      <c r="F53" s="1160">
        <f>SUM(F2:F10,F12:F52)</f>
        <v>100337.04999999999</v>
      </c>
      <c r="G53" s="1161"/>
      <c r="H53" s="1162">
        <f>SUM(H2:H52)</f>
        <v>11150.850000000002</v>
      </c>
      <c r="I53" s="1163">
        <f>SUM(I2:I52)</f>
        <v>1868.13</v>
      </c>
      <c r="J53" s="1164"/>
      <c r="K53" s="1157"/>
    </row>
  </sheetData>
  <autoFilter ref="A1:K48" xr:uid="{1E29D87B-7B2E-4BAA-861E-4D1EC4A66AFA}">
    <sortState xmlns:xlrd2="http://schemas.microsoft.com/office/spreadsheetml/2017/richdata2" ref="A2:K48">
      <sortCondition ref="B1:B48"/>
    </sortState>
  </autoFilter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0411A-7FC8-4BB2-87EA-403AA5B9DA50}">
  <sheetPr filterMode="1"/>
  <dimension ref="A1:L42"/>
  <sheetViews>
    <sheetView zoomScale="80" zoomScaleNormal="80" workbookViewId="0">
      <selection activeCell="C17" sqref="C17"/>
    </sheetView>
  </sheetViews>
  <sheetFormatPr defaultColWidth="9.140625" defaultRowHeight="15"/>
  <cols>
    <col min="1" max="1" width="17.7109375" style="1058" bestFit="1" customWidth="1"/>
    <col min="2" max="2" width="13.42578125" style="1058" bestFit="1" customWidth="1"/>
    <col min="3" max="3" width="52.42578125" style="1165" bestFit="1" customWidth="1"/>
    <col min="4" max="4" width="22.140625" style="1058" bestFit="1" customWidth="1"/>
    <col min="5" max="5" width="17.85546875" style="1058" bestFit="1" customWidth="1"/>
    <col min="6" max="6" width="22" style="1058" bestFit="1" customWidth="1"/>
    <col min="7" max="7" width="16.5703125" style="1058" bestFit="1" customWidth="1"/>
    <col min="8" max="8" width="26" style="1058" bestFit="1" customWidth="1"/>
    <col min="9" max="9" width="24.5703125" style="1058" bestFit="1" customWidth="1"/>
    <col min="10" max="10" width="14.5703125" style="1058" bestFit="1" customWidth="1"/>
    <col min="11" max="11" width="19.7109375" style="1058" customWidth="1"/>
    <col min="12" max="16384" width="9.140625" style="1058"/>
  </cols>
  <sheetData>
    <row r="1" spans="1:12" ht="15" customHeight="1">
      <c r="A1" s="1235" t="s">
        <v>1832</v>
      </c>
      <c r="B1" s="1236" t="s">
        <v>2</v>
      </c>
      <c r="C1" s="1236" t="s">
        <v>3</v>
      </c>
      <c r="D1" s="1236" t="s">
        <v>4</v>
      </c>
      <c r="E1" s="1236" t="s">
        <v>5</v>
      </c>
      <c r="F1" s="1237" t="s">
        <v>644</v>
      </c>
      <c r="G1" s="1238" t="s">
        <v>555</v>
      </c>
      <c r="H1" s="1239" t="s">
        <v>7</v>
      </c>
      <c r="I1" s="1240" t="s">
        <v>307</v>
      </c>
      <c r="J1" s="1238" t="s">
        <v>370</v>
      </c>
      <c r="K1" s="1241" t="s">
        <v>442</v>
      </c>
    </row>
    <row r="2" spans="1:12" ht="15.75" hidden="1">
      <c r="A2" s="1039">
        <v>45202</v>
      </c>
      <c r="B2" s="1039">
        <v>45567</v>
      </c>
      <c r="C2" s="1025" t="s">
        <v>2341</v>
      </c>
      <c r="D2" s="1025" t="s">
        <v>61</v>
      </c>
      <c r="E2" s="1025" t="s">
        <v>948</v>
      </c>
      <c r="F2" s="1092">
        <v>4268.34</v>
      </c>
      <c r="G2" s="1062">
        <v>0.1</v>
      </c>
      <c r="H2" s="1055">
        <v>392.68</v>
      </c>
      <c r="I2" s="1242">
        <v>196.34</v>
      </c>
      <c r="J2" s="1025" t="s">
        <v>2094</v>
      </c>
      <c r="K2" s="1115" t="s">
        <v>2274</v>
      </c>
    </row>
    <row r="3" spans="1:12" ht="15.75" hidden="1">
      <c r="A3" s="1039">
        <v>45201</v>
      </c>
      <c r="B3" s="1039">
        <v>45567</v>
      </c>
      <c r="C3" s="1025" t="s">
        <v>2342</v>
      </c>
      <c r="D3" s="1025" t="s">
        <v>448</v>
      </c>
      <c r="E3" s="1025" t="s">
        <v>1080</v>
      </c>
      <c r="F3" s="1061">
        <v>2375.96</v>
      </c>
      <c r="G3" s="1062">
        <v>0.1</v>
      </c>
      <c r="H3" s="1055">
        <v>218.58</v>
      </c>
      <c r="I3" s="1242"/>
      <c r="J3" s="1025"/>
      <c r="K3" s="1115" t="s">
        <v>2274</v>
      </c>
    </row>
    <row r="4" spans="1:12" s="1070" customFormat="1" ht="15.75" hidden="1">
      <c r="A4" s="1039">
        <v>45201</v>
      </c>
      <c r="B4" s="1039">
        <v>45567</v>
      </c>
      <c r="C4" s="1025" t="s">
        <v>1538</v>
      </c>
      <c r="D4" s="1025" t="s">
        <v>9</v>
      </c>
      <c r="E4" s="1025" t="s">
        <v>1641</v>
      </c>
      <c r="F4" s="1174">
        <v>1669.52</v>
      </c>
      <c r="G4" s="1062">
        <v>0.2</v>
      </c>
      <c r="H4" s="1055">
        <v>307.19</v>
      </c>
      <c r="I4" s="1242"/>
      <c r="J4" s="1025"/>
      <c r="K4" s="1115" t="s">
        <v>2015</v>
      </c>
      <c r="L4" s="1058"/>
    </row>
    <row r="5" spans="1:12" s="1189" customFormat="1" ht="15.75" hidden="1">
      <c r="A5" s="1039">
        <v>45198</v>
      </c>
      <c r="B5" s="1039">
        <v>45568</v>
      </c>
      <c r="C5" s="1025" t="s">
        <v>2095</v>
      </c>
      <c r="D5" s="1025" t="s">
        <v>9</v>
      </c>
      <c r="E5" s="1025" t="s">
        <v>458</v>
      </c>
      <c r="F5" s="1061">
        <v>2047.03</v>
      </c>
      <c r="G5" s="1062">
        <v>0.1</v>
      </c>
      <c r="H5" s="1055">
        <v>188.32</v>
      </c>
      <c r="I5" s="1242">
        <v>94.16</v>
      </c>
      <c r="J5" s="1025" t="s">
        <v>1396</v>
      </c>
      <c r="K5" s="1115" t="s">
        <v>2015</v>
      </c>
      <c r="L5" s="1058"/>
    </row>
    <row r="6" spans="1:12" ht="15.75" hidden="1">
      <c r="A6" s="1039">
        <v>45201</v>
      </c>
      <c r="B6" s="1039">
        <v>45568</v>
      </c>
      <c r="C6" s="1025" t="s">
        <v>2123</v>
      </c>
      <c r="D6" s="1025" t="s">
        <v>448</v>
      </c>
      <c r="E6" s="1025" t="s">
        <v>945</v>
      </c>
      <c r="F6" s="1061">
        <v>4197.0200000000004</v>
      </c>
      <c r="G6" s="1062">
        <v>0.1</v>
      </c>
      <c r="H6" s="1055">
        <v>386.12</v>
      </c>
      <c r="I6" s="1242">
        <v>193.06</v>
      </c>
      <c r="J6" s="1025" t="s">
        <v>1396</v>
      </c>
      <c r="K6" s="1115" t="s">
        <v>2015</v>
      </c>
    </row>
    <row r="7" spans="1:12" s="1070" customFormat="1" ht="15.75" hidden="1">
      <c r="A7" s="1039">
        <v>45201</v>
      </c>
      <c r="B7" s="1039">
        <v>45569</v>
      </c>
      <c r="C7" s="1025" t="s">
        <v>783</v>
      </c>
      <c r="D7" s="1025" t="s">
        <v>448</v>
      </c>
      <c r="E7" s="1025" t="s">
        <v>1080</v>
      </c>
      <c r="F7" s="1061">
        <v>1786.1</v>
      </c>
      <c r="G7" s="1062">
        <v>0.1</v>
      </c>
      <c r="H7" s="1055">
        <v>164.32</v>
      </c>
      <c r="I7" s="1242"/>
      <c r="J7" s="1025"/>
      <c r="K7" s="1115" t="s">
        <v>2015</v>
      </c>
      <c r="L7" s="1058"/>
    </row>
    <row r="8" spans="1:12" s="1070" customFormat="1" ht="15.75">
      <c r="A8" s="1041">
        <v>45204</v>
      </c>
      <c r="B8" s="1041">
        <v>45570</v>
      </c>
      <c r="C8" s="1027" t="s">
        <v>1543</v>
      </c>
      <c r="D8" s="1027" t="s">
        <v>61</v>
      </c>
      <c r="E8" s="1027" t="s">
        <v>948</v>
      </c>
      <c r="F8" s="1065">
        <v>2194.0500000000002</v>
      </c>
      <c r="G8" s="1066">
        <v>0.1</v>
      </c>
      <c r="H8" s="1067">
        <v>201.85</v>
      </c>
      <c r="I8" s="1243">
        <v>20.18</v>
      </c>
      <c r="J8" s="1027" t="s">
        <v>1470</v>
      </c>
      <c r="K8" s="1117" t="s">
        <v>2015</v>
      </c>
      <c r="L8" s="1058"/>
    </row>
    <row r="9" spans="1:12" s="1070" customFormat="1" ht="15.75" hidden="1">
      <c r="A9" s="1039">
        <v>45202</v>
      </c>
      <c r="B9" s="1039">
        <v>45570</v>
      </c>
      <c r="C9" s="1025" t="s">
        <v>2343</v>
      </c>
      <c r="D9" s="1025" t="s">
        <v>25</v>
      </c>
      <c r="E9" s="1025" t="s">
        <v>1593</v>
      </c>
      <c r="F9" s="1061">
        <v>7461.84</v>
      </c>
      <c r="G9" s="1062">
        <v>0.1</v>
      </c>
      <c r="H9" s="1055">
        <v>686.48</v>
      </c>
      <c r="I9" s="1242">
        <v>343.24</v>
      </c>
      <c r="J9" s="1025" t="s">
        <v>1396</v>
      </c>
      <c r="K9" s="1116" t="s">
        <v>2274</v>
      </c>
      <c r="L9" s="1058"/>
    </row>
    <row r="10" spans="1:12" ht="15.75" hidden="1">
      <c r="A10" s="1037">
        <v>45204</v>
      </c>
      <c r="B10" s="1038">
        <v>45570</v>
      </c>
      <c r="C10" s="1026" t="s">
        <v>2344</v>
      </c>
      <c r="D10" s="1026" t="s">
        <v>61</v>
      </c>
      <c r="E10" s="1026" t="s">
        <v>1080</v>
      </c>
      <c r="F10" s="1059">
        <v>1522.91</v>
      </c>
      <c r="G10" s="1054">
        <v>0.1</v>
      </c>
      <c r="H10" s="1055">
        <v>140.1</v>
      </c>
      <c r="I10" s="1056"/>
      <c r="J10" s="1111"/>
      <c r="K10" s="1115" t="s">
        <v>2274</v>
      </c>
      <c r="L10" s="1070"/>
    </row>
    <row r="11" spans="1:12" ht="15.75" hidden="1">
      <c r="A11" s="1037">
        <v>45204</v>
      </c>
      <c r="B11" s="1038">
        <v>45570</v>
      </c>
      <c r="C11" s="1026" t="s">
        <v>1878</v>
      </c>
      <c r="D11" s="1026" t="s">
        <v>14</v>
      </c>
      <c r="E11" s="1026" t="s">
        <v>948</v>
      </c>
      <c r="F11" s="1059">
        <v>1468.22</v>
      </c>
      <c r="G11" s="1054">
        <v>0.2</v>
      </c>
      <c r="H11" s="1055">
        <v>270.14999999999998</v>
      </c>
      <c r="I11" s="1056"/>
      <c r="J11" s="1111"/>
      <c r="K11" s="1115" t="s">
        <v>2015</v>
      </c>
      <c r="L11" s="1070"/>
    </row>
    <row r="12" spans="1:12" ht="15.75" hidden="1">
      <c r="A12" s="1039">
        <v>45205</v>
      </c>
      <c r="B12" s="1039">
        <v>45571</v>
      </c>
      <c r="C12" s="1025" t="s">
        <v>2345</v>
      </c>
      <c r="D12" s="1025" t="s">
        <v>70</v>
      </c>
      <c r="E12" s="1025" t="s">
        <v>1080</v>
      </c>
      <c r="F12" s="1061">
        <v>2240.7800000000002</v>
      </c>
      <c r="G12" s="1062">
        <v>0.1</v>
      </c>
      <c r="H12" s="1055">
        <v>206.15</v>
      </c>
      <c r="I12" s="1063"/>
      <c r="J12" s="1111"/>
      <c r="K12" s="1115" t="s">
        <v>2015</v>
      </c>
      <c r="L12" s="1070"/>
    </row>
    <row r="13" spans="1:12" ht="15.75" hidden="1">
      <c r="A13" s="1043">
        <v>45203</v>
      </c>
      <c r="B13" s="1045">
        <v>45574</v>
      </c>
      <c r="C13" s="1075" t="s">
        <v>1082</v>
      </c>
      <c r="D13" s="1075" t="s">
        <v>61</v>
      </c>
      <c r="E13" s="1075" t="s">
        <v>948</v>
      </c>
      <c r="F13" s="1102">
        <v>1751.8</v>
      </c>
      <c r="G13" s="1076">
        <v>0.2</v>
      </c>
      <c r="H13" s="1055">
        <v>322.33</v>
      </c>
      <c r="I13" s="1077"/>
      <c r="J13" s="1111"/>
      <c r="K13" s="1115" t="s">
        <v>2015</v>
      </c>
      <c r="L13" s="1070"/>
    </row>
    <row r="14" spans="1:12" ht="15.75" hidden="1">
      <c r="A14" s="1037">
        <v>45210</v>
      </c>
      <c r="B14" s="1038">
        <v>45576</v>
      </c>
      <c r="C14" s="1119" t="s">
        <v>2346</v>
      </c>
      <c r="D14" s="1026" t="s">
        <v>448</v>
      </c>
      <c r="E14" s="1026" t="s">
        <v>948</v>
      </c>
      <c r="F14" s="1059">
        <v>1487.73</v>
      </c>
      <c r="G14" s="1054">
        <v>0.1</v>
      </c>
      <c r="H14" s="1055">
        <v>136.87</v>
      </c>
      <c r="I14" s="1056">
        <v>60</v>
      </c>
      <c r="J14" s="1111" t="s">
        <v>1492</v>
      </c>
      <c r="K14" s="1115" t="s">
        <v>2015</v>
      </c>
      <c r="L14" s="1268"/>
    </row>
    <row r="15" spans="1:12" ht="15.75">
      <c r="A15" s="1040">
        <v>45210</v>
      </c>
      <c r="B15" s="1042">
        <v>45576</v>
      </c>
      <c r="C15" s="1027" t="s">
        <v>2347</v>
      </c>
      <c r="D15" s="1027" t="s">
        <v>61</v>
      </c>
      <c r="E15" s="1027" t="s">
        <v>1593</v>
      </c>
      <c r="F15" s="1065">
        <v>4714.32</v>
      </c>
      <c r="G15" s="1066">
        <v>0.1</v>
      </c>
      <c r="H15" s="1067">
        <v>433.71</v>
      </c>
      <c r="I15" s="1068">
        <v>43.37</v>
      </c>
      <c r="J15" s="1112" t="s">
        <v>1470</v>
      </c>
      <c r="K15" s="1117" t="s">
        <v>2274</v>
      </c>
      <c r="L15" s="1070"/>
    </row>
    <row r="16" spans="1:12" ht="15.75" hidden="1">
      <c r="A16" s="1037">
        <v>45212</v>
      </c>
      <c r="B16" s="1038">
        <v>45578</v>
      </c>
      <c r="C16" s="1025" t="s">
        <v>2139</v>
      </c>
      <c r="D16" s="1025" t="s">
        <v>448</v>
      </c>
      <c r="E16" s="1025" t="s">
        <v>1080</v>
      </c>
      <c r="F16" s="1023">
        <v>1853.34</v>
      </c>
      <c r="G16" s="1062">
        <v>0.1</v>
      </c>
      <c r="H16" s="1023">
        <v>170.5</v>
      </c>
      <c r="I16" s="1056"/>
      <c r="J16" s="1111"/>
      <c r="K16" s="1115" t="s">
        <v>2274</v>
      </c>
    </row>
    <row r="17" spans="1:12" s="1070" customFormat="1" ht="15.75" hidden="1">
      <c r="A17" s="1037">
        <v>45205</v>
      </c>
      <c r="B17" s="1038">
        <v>45578</v>
      </c>
      <c r="C17" s="1026" t="s">
        <v>1091</v>
      </c>
      <c r="D17" s="1026" t="s">
        <v>9</v>
      </c>
      <c r="E17" s="1025" t="s">
        <v>948</v>
      </c>
      <c r="F17" s="1092">
        <v>1767.63</v>
      </c>
      <c r="G17" s="1062">
        <v>0.1</v>
      </c>
      <c r="H17" s="1055">
        <v>162.62</v>
      </c>
      <c r="I17" s="1056"/>
      <c r="J17" s="1111"/>
      <c r="K17" s="1115" t="s">
        <v>2015</v>
      </c>
      <c r="L17" s="1058"/>
    </row>
    <row r="18" spans="1:12" s="1070" customFormat="1" ht="15.75">
      <c r="A18" s="1040">
        <v>45219</v>
      </c>
      <c r="B18" s="1042">
        <v>45581</v>
      </c>
      <c r="C18" s="1027" t="s">
        <v>2348</v>
      </c>
      <c r="D18" s="1030" t="s">
        <v>9</v>
      </c>
      <c r="E18" s="1027" t="s">
        <v>948</v>
      </c>
      <c r="F18" s="1065">
        <v>2419.7600000000002</v>
      </c>
      <c r="G18" s="1066">
        <v>0.1</v>
      </c>
      <c r="H18" s="1067">
        <v>222.61</v>
      </c>
      <c r="I18" s="1068">
        <v>22.26</v>
      </c>
      <c r="J18" s="1112" t="s">
        <v>1470</v>
      </c>
      <c r="K18" s="1117" t="s">
        <v>2010</v>
      </c>
      <c r="L18" s="1058"/>
    </row>
    <row r="19" spans="1:12" s="1070" customFormat="1" ht="15.75" hidden="1">
      <c r="A19" s="1037">
        <v>45215</v>
      </c>
      <c r="B19" s="1038">
        <v>45581</v>
      </c>
      <c r="C19" s="1025" t="s">
        <v>2349</v>
      </c>
      <c r="D19" s="1026" t="s">
        <v>149</v>
      </c>
      <c r="E19" s="1025" t="s">
        <v>1433</v>
      </c>
      <c r="F19" s="1061">
        <v>1659.25</v>
      </c>
      <c r="G19" s="1062">
        <v>0.1</v>
      </c>
      <c r="H19" s="1055">
        <v>152.65</v>
      </c>
      <c r="I19" s="1056"/>
      <c r="J19" s="1111"/>
      <c r="K19" s="1115" t="s">
        <v>2274</v>
      </c>
      <c r="L19" s="1058"/>
    </row>
    <row r="20" spans="1:12" s="1070" customFormat="1" ht="15.75" hidden="1">
      <c r="A20" s="1037">
        <v>45215</v>
      </c>
      <c r="B20" s="1038">
        <v>45581</v>
      </c>
      <c r="C20" s="1032" t="s">
        <v>1880</v>
      </c>
      <c r="D20" s="1026" t="s">
        <v>9</v>
      </c>
      <c r="E20" s="1025" t="s">
        <v>1433</v>
      </c>
      <c r="F20" s="1061">
        <v>720.59</v>
      </c>
      <c r="G20" s="1062">
        <v>0.1</v>
      </c>
      <c r="H20" s="1055">
        <v>66.290000000000006</v>
      </c>
      <c r="I20" s="1056"/>
      <c r="J20" s="1111"/>
      <c r="K20" s="1115" t="s">
        <v>2015</v>
      </c>
      <c r="L20" s="1058"/>
    </row>
    <row r="21" spans="1:12" s="1070" customFormat="1" ht="15.75" hidden="1">
      <c r="A21" s="1039">
        <v>45215</v>
      </c>
      <c r="B21" s="1039">
        <v>45581</v>
      </c>
      <c r="C21" s="1025" t="s">
        <v>1903</v>
      </c>
      <c r="D21" s="1025" t="s">
        <v>981</v>
      </c>
      <c r="E21" s="1025" t="s">
        <v>1552</v>
      </c>
      <c r="F21" s="1061">
        <v>4433.18</v>
      </c>
      <c r="G21" s="1062">
        <v>0.15</v>
      </c>
      <c r="H21" s="1055">
        <v>611.77</v>
      </c>
      <c r="I21" s="1056"/>
      <c r="J21" s="1111"/>
      <c r="K21" s="1115" t="s">
        <v>2015</v>
      </c>
      <c r="L21" s="1058"/>
    </row>
    <row r="22" spans="1:12" s="1268" customFormat="1" ht="15.75" hidden="1">
      <c r="A22" s="1039">
        <v>45216</v>
      </c>
      <c r="B22" s="1039">
        <v>45582</v>
      </c>
      <c r="C22" s="1025" t="s">
        <v>2350</v>
      </c>
      <c r="D22" s="1025" t="s">
        <v>70</v>
      </c>
      <c r="E22" s="1025" t="s">
        <v>1080</v>
      </c>
      <c r="F22" s="1061">
        <v>2050.2600000000002</v>
      </c>
      <c r="G22" s="1062">
        <v>0.1</v>
      </c>
      <c r="H22" s="1055">
        <v>188.62</v>
      </c>
      <c r="I22" s="1056"/>
      <c r="J22" s="1111"/>
      <c r="K22" s="1115" t="s">
        <v>2015</v>
      </c>
      <c r="L22" s="1058"/>
    </row>
    <row r="23" spans="1:12" ht="15.75" hidden="1">
      <c r="A23" s="1039">
        <v>45217</v>
      </c>
      <c r="B23" s="1039">
        <v>45584</v>
      </c>
      <c r="C23" s="1025" t="s">
        <v>2351</v>
      </c>
      <c r="D23" s="1025" t="s">
        <v>448</v>
      </c>
      <c r="E23" s="1025" t="s">
        <v>948</v>
      </c>
      <c r="F23" s="1061">
        <v>2029.43</v>
      </c>
      <c r="G23" s="1062">
        <v>0.1</v>
      </c>
      <c r="H23" s="1055">
        <v>186.7</v>
      </c>
      <c r="I23" s="1056">
        <v>60</v>
      </c>
      <c r="J23" s="1111" t="s">
        <v>1492</v>
      </c>
      <c r="K23" s="1115" t="s">
        <v>2015</v>
      </c>
    </row>
    <row r="24" spans="1:12" ht="15.75" hidden="1">
      <c r="A24" s="1037">
        <v>45216</v>
      </c>
      <c r="B24" s="1039">
        <v>45585</v>
      </c>
      <c r="C24" s="1025" t="s">
        <v>2352</v>
      </c>
      <c r="D24" s="1026" t="s">
        <v>61</v>
      </c>
      <c r="E24" s="1025" t="s">
        <v>1593</v>
      </c>
      <c r="F24" s="1061">
        <v>3169.28</v>
      </c>
      <c r="G24" s="1062">
        <v>0.1</v>
      </c>
      <c r="H24" s="1055">
        <v>291.57</v>
      </c>
      <c r="I24" s="1056"/>
      <c r="J24" s="1111"/>
      <c r="K24" s="1115" t="s">
        <v>2015</v>
      </c>
    </row>
    <row r="25" spans="1:12" ht="15.75" hidden="1">
      <c r="A25" s="1037">
        <v>45219</v>
      </c>
      <c r="B25" s="1039">
        <v>45585</v>
      </c>
      <c r="C25" s="1025" t="s">
        <v>2286</v>
      </c>
      <c r="D25" s="1026" t="s">
        <v>9</v>
      </c>
      <c r="E25" s="1025" t="s">
        <v>1310</v>
      </c>
      <c r="F25" s="1023">
        <v>2517.37</v>
      </c>
      <c r="G25" s="1062">
        <v>0.1</v>
      </c>
      <c r="H25" s="1023">
        <v>231.59</v>
      </c>
      <c r="I25" s="1056"/>
      <c r="J25" s="1111"/>
      <c r="K25" s="1115" t="s">
        <v>2015</v>
      </c>
    </row>
    <row r="26" spans="1:12" ht="15.75" hidden="1">
      <c r="A26" s="1037">
        <v>45219</v>
      </c>
      <c r="B26" s="1039">
        <v>45585</v>
      </c>
      <c r="C26" s="1025" t="s">
        <v>2353</v>
      </c>
      <c r="D26" s="1026" t="s">
        <v>448</v>
      </c>
      <c r="E26" s="1025" t="s">
        <v>2354</v>
      </c>
      <c r="F26" s="1061">
        <f>241.48*12</f>
        <v>2897.7599999999998</v>
      </c>
      <c r="G26" s="1062">
        <v>0.2</v>
      </c>
      <c r="H26" s="1055">
        <v>533.17999999999995</v>
      </c>
      <c r="I26" s="1056"/>
      <c r="J26" s="1111"/>
      <c r="K26" s="1115" t="s">
        <v>2010</v>
      </c>
      <c r="L26" s="1070"/>
    </row>
    <row r="27" spans="1:12" ht="15.75" hidden="1">
      <c r="A27" s="1037">
        <v>45208</v>
      </c>
      <c r="B27" s="1039">
        <v>45586</v>
      </c>
      <c r="C27" s="1025" t="s">
        <v>2355</v>
      </c>
      <c r="D27" s="1026" t="s">
        <v>448</v>
      </c>
      <c r="E27" s="1025" t="s">
        <v>948</v>
      </c>
      <c r="F27" s="1061">
        <v>804.93</v>
      </c>
      <c r="G27" s="1062">
        <v>0.15</v>
      </c>
      <c r="H27" s="1088">
        <v>111.08</v>
      </c>
      <c r="I27" s="1089">
        <v>55.54</v>
      </c>
      <c r="J27" s="1111" t="s">
        <v>1339</v>
      </c>
      <c r="K27" s="1115" t="s">
        <v>2356</v>
      </c>
    </row>
    <row r="28" spans="1:12" ht="15.75" hidden="1">
      <c r="A28" s="1037">
        <v>45225</v>
      </c>
      <c r="B28" s="1039">
        <v>45586</v>
      </c>
      <c r="C28" s="1190" t="s">
        <v>2357</v>
      </c>
      <c r="D28" s="1026" t="s">
        <v>448</v>
      </c>
      <c r="E28" s="1025" t="s">
        <v>10</v>
      </c>
      <c r="F28" s="1061">
        <v>1799.06</v>
      </c>
      <c r="G28" s="1062">
        <v>0.1</v>
      </c>
      <c r="H28" s="1055">
        <v>165.51</v>
      </c>
      <c r="I28" s="1056"/>
      <c r="J28" s="1111"/>
      <c r="K28" s="1115" t="s">
        <v>2015</v>
      </c>
      <c r="L28" s="1070"/>
    </row>
    <row r="29" spans="1:12" ht="15.75">
      <c r="A29" s="1040">
        <v>45223</v>
      </c>
      <c r="B29" s="1041">
        <v>45588</v>
      </c>
      <c r="C29" s="1027" t="s">
        <v>1891</v>
      </c>
      <c r="D29" s="1030" t="s">
        <v>70</v>
      </c>
      <c r="E29" s="1030" t="s">
        <v>1080</v>
      </c>
      <c r="F29" s="1508">
        <v>2755.16</v>
      </c>
      <c r="G29" s="1066">
        <v>0.1</v>
      </c>
      <c r="H29" s="1067">
        <v>253.47</v>
      </c>
      <c r="I29" s="1068">
        <v>25.34</v>
      </c>
      <c r="J29" s="1112" t="s">
        <v>1470</v>
      </c>
      <c r="K29" s="1117" t="s">
        <v>2015</v>
      </c>
      <c r="L29" s="1070"/>
    </row>
    <row r="30" spans="1:12" ht="15.75" hidden="1">
      <c r="A30" s="1037">
        <v>45217</v>
      </c>
      <c r="B30" s="1038">
        <v>45589</v>
      </c>
      <c r="C30" s="1025" t="s">
        <v>784</v>
      </c>
      <c r="D30" s="1026" t="s">
        <v>2358</v>
      </c>
      <c r="E30" s="1026" t="s">
        <v>1552</v>
      </c>
      <c r="F30" s="1059">
        <v>932.06</v>
      </c>
      <c r="G30" s="1054">
        <v>0.1</v>
      </c>
      <c r="H30" s="1055">
        <v>85.74</v>
      </c>
      <c r="I30" s="1056"/>
      <c r="J30" s="1111"/>
      <c r="K30" s="1115" t="s">
        <v>2015</v>
      </c>
    </row>
    <row r="31" spans="1:12" ht="15.75" hidden="1">
      <c r="A31" s="1037">
        <v>45225</v>
      </c>
      <c r="B31" s="1038">
        <v>45592</v>
      </c>
      <c r="C31" s="1025" t="s">
        <v>2359</v>
      </c>
      <c r="D31" s="1026" t="s">
        <v>448</v>
      </c>
      <c r="E31" s="1026" t="s">
        <v>945</v>
      </c>
      <c r="F31" s="1103">
        <v>1892.82</v>
      </c>
      <c r="G31" s="1054">
        <v>0.1</v>
      </c>
      <c r="H31" s="1055">
        <v>174.13</v>
      </c>
      <c r="I31" s="1056">
        <v>87.06</v>
      </c>
      <c r="J31" s="1111" t="s">
        <v>2094</v>
      </c>
      <c r="K31" s="1115" t="s">
        <v>2015</v>
      </c>
    </row>
    <row r="32" spans="1:12" s="1070" customFormat="1" ht="15.75" hidden="1">
      <c r="A32" s="1037">
        <v>45226</v>
      </c>
      <c r="B32" s="1038">
        <v>45593</v>
      </c>
      <c r="C32" s="1025" t="s">
        <v>2360</v>
      </c>
      <c r="D32" s="1026" t="s">
        <v>9</v>
      </c>
      <c r="E32" s="1026" t="s">
        <v>945</v>
      </c>
      <c r="F32" s="1059">
        <v>1385.91</v>
      </c>
      <c r="G32" s="1054">
        <v>0.1</v>
      </c>
      <c r="H32" s="1055">
        <v>127.5</v>
      </c>
      <c r="I32" s="1056"/>
      <c r="J32" s="1111"/>
      <c r="K32" s="1115" t="s">
        <v>2015</v>
      </c>
      <c r="L32" s="1058"/>
    </row>
    <row r="33" spans="1:12" s="1070" customFormat="1" ht="15.75" hidden="1">
      <c r="A33" s="1037">
        <v>45226</v>
      </c>
      <c r="B33" s="1038">
        <v>45593</v>
      </c>
      <c r="C33" s="1025" t="s">
        <v>2361</v>
      </c>
      <c r="D33" s="1026" t="s">
        <v>70</v>
      </c>
      <c r="E33" s="1026" t="s">
        <v>1080</v>
      </c>
      <c r="F33" s="1059">
        <v>1588.05</v>
      </c>
      <c r="G33" s="1054">
        <v>0.1</v>
      </c>
      <c r="H33" s="1055">
        <v>146.1</v>
      </c>
      <c r="I33" s="1056"/>
      <c r="J33" s="1111"/>
      <c r="K33" s="1115" t="s">
        <v>2015</v>
      </c>
      <c r="L33" s="1058"/>
    </row>
    <row r="34" spans="1:12" ht="15.75" hidden="1">
      <c r="A34" s="1037">
        <v>45226</v>
      </c>
      <c r="B34" s="1038">
        <v>45593</v>
      </c>
      <c r="C34" s="1025" t="s">
        <v>2362</v>
      </c>
      <c r="D34" s="1026" t="s">
        <v>448</v>
      </c>
      <c r="E34" s="1026" t="s">
        <v>945</v>
      </c>
      <c r="F34" s="1059">
        <v>1784.28</v>
      </c>
      <c r="G34" s="1054">
        <v>0.1</v>
      </c>
      <c r="H34" s="1055">
        <v>164.15</v>
      </c>
      <c r="I34" s="1056"/>
      <c r="J34" s="1111"/>
      <c r="K34" s="1115" t="s">
        <v>2015</v>
      </c>
    </row>
    <row r="35" spans="1:12" ht="15.75" hidden="1">
      <c r="A35" s="1037">
        <v>45226</v>
      </c>
      <c r="B35" s="1038">
        <v>45594</v>
      </c>
      <c r="C35" s="1026" t="s">
        <v>2363</v>
      </c>
      <c r="D35" s="1026" t="s">
        <v>9</v>
      </c>
      <c r="E35" s="1026" t="s">
        <v>1080</v>
      </c>
      <c r="F35" s="1118">
        <v>553.32000000000005</v>
      </c>
      <c r="G35" s="1054">
        <v>0.22</v>
      </c>
      <c r="H35" s="1023">
        <v>111.99</v>
      </c>
      <c r="I35" s="1056">
        <v>55.99</v>
      </c>
      <c r="J35" s="1111" t="s">
        <v>1219</v>
      </c>
      <c r="K35" s="1115" t="s">
        <v>2015</v>
      </c>
    </row>
    <row r="36" spans="1:12" ht="15.75" hidden="1">
      <c r="A36" s="1037">
        <v>45226</v>
      </c>
      <c r="B36" s="1038">
        <v>45594</v>
      </c>
      <c r="C36" s="1026" t="s">
        <v>2364</v>
      </c>
      <c r="D36" s="1026" t="s">
        <v>9</v>
      </c>
      <c r="E36" s="1026" t="s">
        <v>948</v>
      </c>
      <c r="F36" s="1059">
        <v>1199.0999999999999</v>
      </c>
      <c r="G36" s="1054">
        <v>0.2</v>
      </c>
      <c r="H36" s="1055">
        <v>220.63</v>
      </c>
      <c r="I36" s="1056"/>
      <c r="J36" s="1111"/>
      <c r="K36" s="1115" t="s">
        <v>2015</v>
      </c>
    </row>
    <row r="37" spans="1:12" ht="15.75" hidden="1">
      <c r="A37" s="1037">
        <v>45226</v>
      </c>
      <c r="B37" s="1038">
        <v>45594</v>
      </c>
      <c r="C37" s="1025" t="s">
        <v>2361</v>
      </c>
      <c r="D37" s="1026" t="s">
        <v>448</v>
      </c>
      <c r="E37" s="1026" t="s">
        <v>945</v>
      </c>
      <c r="F37" s="1059">
        <v>6050.32</v>
      </c>
      <c r="G37" s="1054">
        <v>0.1</v>
      </c>
      <c r="H37" s="1055">
        <v>556.62</v>
      </c>
      <c r="I37" s="1056"/>
      <c r="J37" s="1111"/>
      <c r="K37" s="1115" t="s">
        <v>2015</v>
      </c>
    </row>
    <row r="38" spans="1:12" ht="15.75" hidden="1">
      <c r="A38" s="1037">
        <v>45230</v>
      </c>
      <c r="B38" s="1038">
        <v>45595</v>
      </c>
      <c r="C38" s="1025" t="s">
        <v>2365</v>
      </c>
      <c r="D38" s="1026" t="s">
        <v>448</v>
      </c>
      <c r="E38" s="1026" t="s">
        <v>948</v>
      </c>
      <c r="F38" s="1059">
        <v>2687.9</v>
      </c>
      <c r="G38" s="1054">
        <v>0.1</v>
      </c>
      <c r="H38" s="1055">
        <v>247.28</v>
      </c>
      <c r="I38" s="1056">
        <v>123.64</v>
      </c>
      <c r="J38" s="1111" t="s">
        <v>1396</v>
      </c>
      <c r="K38" s="1115" t="s">
        <v>2015</v>
      </c>
    </row>
    <row r="39" spans="1:12" ht="15.75">
      <c r="A39" s="1040">
        <v>45225</v>
      </c>
      <c r="B39" s="1042">
        <v>45596</v>
      </c>
      <c r="C39" s="1030" t="s">
        <v>2366</v>
      </c>
      <c r="D39" s="1030" t="s">
        <v>61</v>
      </c>
      <c r="E39" s="1030" t="s">
        <v>1552</v>
      </c>
      <c r="F39" s="1072">
        <v>1954.19</v>
      </c>
      <c r="G39" s="1073">
        <v>0.1</v>
      </c>
      <c r="H39" s="1067">
        <v>179.78</v>
      </c>
      <c r="I39" s="1068">
        <v>17.97</v>
      </c>
      <c r="J39" s="1112" t="s">
        <v>1470</v>
      </c>
      <c r="K39" s="1117" t="s">
        <v>2015</v>
      </c>
      <c r="L39" s="1189"/>
    </row>
    <row r="40" spans="1:12" ht="15.75" hidden="1">
      <c r="A40" s="1037">
        <v>45203</v>
      </c>
      <c r="B40" s="1038" t="s">
        <v>1805</v>
      </c>
      <c r="C40" s="1026" t="s">
        <v>1357</v>
      </c>
      <c r="D40" s="1026" t="s">
        <v>61</v>
      </c>
      <c r="E40" s="1026" t="s">
        <v>458</v>
      </c>
      <c r="F40" s="1053">
        <v>1193.46</v>
      </c>
      <c r="G40" s="1054">
        <v>0.1</v>
      </c>
      <c r="H40" s="1055">
        <v>109.79</v>
      </c>
      <c r="I40" s="1056"/>
      <c r="J40" s="1111"/>
      <c r="K40" s="1116" t="s">
        <v>1805</v>
      </c>
    </row>
    <row r="41" spans="1:12" ht="15.75" hidden="1">
      <c r="A41" s="1037"/>
      <c r="B41" s="1038"/>
      <c r="C41" s="1026" t="s">
        <v>442</v>
      </c>
      <c r="D41" s="1026"/>
      <c r="E41" s="1026"/>
      <c r="F41" s="1059"/>
      <c r="G41" s="1054"/>
      <c r="H41" s="1055"/>
      <c r="I41" s="1056"/>
      <c r="J41" s="1111"/>
      <c r="K41" s="1115"/>
    </row>
    <row r="42" spans="1:12" ht="19.5" hidden="1">
      <c r="A42" s="1158"/>
      <c r="B42" s="1159"/>
      <c r="C42" s="1159"/>
      <c r="D42" s="1159"/>
      <c r="E42" s="1159"/>
      <c r="F42" s="1160">
        <f>SUM(F2:F41)</f>
        <v>91284.030000000042</v>
      </c>
      <c r="G42" s="1161"/>
      <c r="H42" s="1162">
        <f>SUM(H2:H41)</f>
        <v>9526.7200000000012</v>
      </c>
      <c r="I42" s="1163">
        <f>SUM(I2:I41)</f>
        <v>1398.15</v>
      </c>
      <c r="J42" s="1164"/>
      <c r="K42" s="1157"/>
    </row>
  </sheetData>
  <autoFilter ref="A1:L42" xr:uid="{F280411A-7FC8-4BB2-87EA-403AA5B9DA50}">
    <filterColumn colId="9">
      <filters>
        <filter val="EQUIPE"/>
      </filters>
    </filterColumn>
    <sortState xmlns:xlrd2="http://schemas.microsoft.com/office/spreadsheetml/2017/richdata2" ref="A2:L42">
      <sortCondition ref="B1"/>
    </sortState>
  </autoFilter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EE55C-D26C-4865-BC27-A8904A59E69A}">
  <dimension ref="A1:K87"/>
  <sheetViews>
    <sheetView topLeftCell="A6" zoomScale="85" zoomScaleNormal="85" workbookViewId="0">
      <selection activeCell="A46" sqref="A46:XFD298"/>
    </sheetView>
  </sheetViews>
  <sheetFormatPr defaultColWidth="9.140625" defaultRowHeight="15"/>
  <cols>
    <col min="1" max="1" width="13" style="1058" customWidth="1"/>
    <col min="2" max="2" width="13.5703125" style="1058" customWidth="1"/>
    <col min="3" max="3" width="65.140625" style="1165" bestFit="1" customWidth="1"/>
    <col min="4" max="4" width="20.85546875" style="1058" bestFit="1" customWidth="1"/>
    <col min="5" max="5" width="16.7109375" style="1058" customWidth="1"/>
    <col min="6" max="6" width="20.7109375" style="1058" bestFit="1" customWidth="1"/>
    <col min="7" max="7" width="13.42578125" style="1058" bestFit="1" customWidth="1"/>
    <col min="8" max="8" width="20.140625" style="1058" customWidth="1"/>
    <col min="9" max="9" width="21.140625" style="1058" customWidth="1"/>
    <col min="10" max="10" width="13.7109375" style="1058" bestFit="1" customWidth="1"/>
    <col min="11" max="11" width="19.7109375" style="1058" customWidth="1"/>
    <col min="12" max="16384" width="9.140625" style="1058"/>
  </cols>
  <sheetData>
    <row r="1" spans="1:11" ht="15" customHeight="1">
      <c r="A1" s="1235" t="s">
        <v>1832</v>
      </c>
      <c r="B1" s="1236" t="s">
        <v>2</v>
      </c>
      <c r="C1" s="1236" t="s">
        <v>3</v>
      </c>
      <c r="D1" s="1236" t="s">
        <v>4</v>
      </c>
      <c r="E1" s="1236" t="s">
        <v>5</v>
      </c>
      <c r="F1" s="1237" t="s">
        <v>644</v>
      </c>
      <c r="G1" s="1238" t="s">
        <v>555</v>
      </c>
      <c r="H1" s="1239" t="s">
        <v>7</v>
      </c>
      <c r="I1" s="1240" t="s">
        <v>307</v>
      </c>
      <c r="J1" s="1238" t="s">
        <v>370</v>
      </c>
      <c r="K1" s="1241" t="s">
        <v>442</v>
      </c>
    </row>
    <row r="2" spans="1:11" s="1070" customFormat="1" ht="15.75">
      <c r="A2" s="1039">
        <v>45230</v>
      </c>
      <c r="B2" s="1039">
        <v>45597</v>
      </c>
      <c r="C2" s="1025" t="s">
        <v>1126</v>
      </c>
      <c r="D2" s="1025" t="s">
        <v>61</v>
      </c>
      <c r="E2" s="1025" t="s">
        <v>458</v>
      </c>
      <c r="F2" s="1092">
        <v>1898.48</v>
      </c>
      <c r="G2" s="1062">
        <v>0.1</v>
      </c>
      <c r="H2" s="1055">
        <v>174.66</v>
      </c>
      <c r="I2" s="1242"/>
      <c r="J2" s="1025"/>
      <c r="K2" s="1115" t="s">
        <v>2015</v>
      </c>
    </row>
    <row r="3" spans="1:11" ht="15.75">
      <c r="A3" s="1039">
        <v>45230</v>
      </c>
      <c r="B3" s="1039">
        <v>45597</v>
      </c>
      <c r="C3" s="1025" t="s">
        <v>1584</v>
      </c>
      <c r="D3" s="1025" t="s">
        <v>198</v>
      </c>
      <c r="E3" s="1025" t="s">
        <v>948</v>
      </c>
      <c r="F3" s="1061">
        <v>1368.6</v>
      </c>
      <c r="G3" s="1062">
        <v>0.15</v>
      </c>
      <c r="H3" s="1055">
        <v>188.86</v>
      </c>
      <c r="I3" s="1242"/>
      <c r="J3" s="1025"/>
      <c r="K3" s="1115" t="s">
        <v>2015</v>
      </c>
    </row>
    <row r="4" spans="1:11" s="1070" customFormat="1" ht="15.75">
      <c r="A4" s="1039">
        <v>45231</v>
      </c>
      <c r="B4" s="1039">
        <v>45597</v>
      </c>
      <c r="C4" s="1025" t="s">
        <v>1580</v>
      </c>
      <c r="D4" s="1025" t="s">
        <v>422</v>
      </c>
      <c r="E4" s="1025" t="s">
        <v>948</v>
      </c>
      <c r="F4" s="1174">
        <v>1459.56</v>
      </c>
      <c r="G4" s="1062">
        <v>0.15</v>
      </c>
      <c r="H4" s="1055">
        <v>201.41</v>
      </c>
      <c r="I4" s="1242"/>
      <c r="J4" s="1025"/>
      <c r="K4" s="1115" t="s">
        <v>2015</v>
      </c>
    </row>
    <row r="5" spans="1:11" s="1189" customFormat="1" ht="15.75">
      <c r="A5" s="1039">
        <v>45233</v>
      </c>
      <c r="B5" s="1039">
        <v>45600</v>
      </c>
      <c r="C5" s="1025" t="s">
        <v>1133</v>
      </c>
      <c r="D5" s="1025" t="s">
        <v>422</v>
      </c>
      <c r="E5" s="1025" t="s">
        <v>1593</v>
      </c>
      <c r="F5" s="1061">
        <v>2886.78</v>
      </c>
      <c r="G5" s="1062">
        <v>0.15</v>
      </c>
      <c r="H5" s="1055">
        <v>398.37</v>
      </c>
      <c r="I5" s="1242"/>
      <c r="J5" s="1025"/>
      <c r="K5" s="1115" t="s">
        <v>2015</v>
      </c>
    </row>
    <row r="6" spans="1:11" ht="15.75">
      <c r="A6" s="1039">
        <v>45233</v>
      </c>
      <c r="B6" s="1039">
        <v>45601</v>
      </c>
      <c r="C6" s="1025" t="s">
        <v>2136</v>
      </c>
      <c r="D6" s="1025" t="s">
        <v>422</v>
      </c>
      <c r="E6" s="1025" t="s">
        <v>90</v>
      </c>
      <c r="F6" s="1061">
        <v>1483.75</v>
      </c>
      <c r="G6" s="1062">
        <v>0.1</v>
      </c>
      <c r="H6" s="1055">
        <v>136.5</v>
      </c>
      <c r="I6" s="1242"/>
      <c r="J6" s="1025"/>
      <c r="K6" s="1116" t="s">
        <v>2015</v>
      </c>
    </row>
    <row r="7" spans="1:11" s="1070" customFormat="1" ht="15.75">
      <c r="A7" s="1039">
        <v>45236</v>
      </c>
      <c r="B7" s="1039">
        <v>45602</v>
      </c>
      <c r="C7" s="1025" t="s">
        <v>2367</v>
      </c>
      <c r="D7" s="1025" t="s">
        <v>61</v>
      </c>
      <c r="E7" s="1025" t="s">
        <v>90</v>
      </c>
      <c r="F7" s="1061">
        <v>1523.8</v>
      </c>
      <c r="G7" s="1062">
        <v>0.1</v>
      </c>
      <c r="H7" s="1055">
        <v>140.18</v>
      </c>
      <c r="I7" s="1242"/>
      <c r="J7" s="1025"/>
      <c r="K7" s="1116" t="s">
        <v>2015</v>
      </c>
    </row>
    <row r="8" spans="1:11" s="1070" customFormat="1" ht="15.75">
      <c r="A8" s="1039">
        <v>45236</v>
      </c>
      <c r="B8" s="1039">
        <v>45602</v>
      </c>
      <c r="C8" s="1025" t="s">
        <v>2368</v>
      </c>
      <c r="D8" s="1025" t="s">
        <v>448</v>
      </c>
      <c r="E8" s="1025" t="s">
        <v>948</v>
      </c>
      <c r="F8" s="1061">
        <v>1951.74</v>
      </c>
      <c r="G8" s="1062">
        <v>0.1</v>
      </c>
      <c r="H8" s="1055">
        <v>179.56</v>
      </c>
      <c r="I8" s="1242"/>
      <c r="J8" s="1025"/>
      <c r="K8" s="1115" t="s">
        <v>2015</v>
      </c>
    </row>
    <row r="9" spans="1:11" s="1070" customFormat="1" ht="15.75">
      <c r="A9" s="1039">
        <v>45238</v>
      </c>
      <c r="B9" s="1039">
        <v>45604</v>
      </c>
      <c r="C9" s="1025" t="s">
        <v>2369</v>
      </c>
      <c r="D9" s="1025" t="s">
        <v>448</v>
      </c>
      <c r="E9" s="1025" t="s">
        <v>948</v>
      </c>
      <c r="F9" s="1061">
        <v>2295.33</v>
      </c>
      <c r="G9" s="1062">
        <v>0.1</v>
      </c>
      <c r="H9" s="1055">
        <v>211.17</v>
      </c>
      <c r="I9" s="1242"/>
      <c r="J9" s="1025"/>
      <c r="K9" s="1115" t="s">
        <v>2015</v>
      </c>
    </row>
    <row r="10" spans="1:11" ht="15.75">
      <c r="A10" s="1040">
        <v>45236</v>
      </c>
      <c r="B10" s="1041">
        <v>45605</v>
      </c>
      <c r="C10" s="1027" t="s">
        <v>1900</v>
      </c>
      <c r="D10" s="1030" t="s">
        <v>14</v>
      </c>
      <c r="E10" s="1027" t="s">
        <v>948</v>
      </c>
      <c r="F10" s="1065">
        <v>1116.73</v>
      </c>
      <c r="G10" s="1066">
        <v>0.15</v>
      </c>
      <c r="H10" s="1067">
        <v>154.1</v>
      </c>
      <c r="I10" s="1068">
        <v>15.41</v>
      </c>
      <c r="J10" s="1112" t="s">
        <v>1470</v>
      </c>
      <c r="K10" s="1117" t="s">
        <v>2015</v>
      </c>
    </row>
    <row r="11" spans="1:11" ht="15.75">
      <c r="A11" s="1037">
        <v>45239</v>
      </c>
      <c r="B11" s="1038">
        <v>45605</v>
      </c>
      <c r="C11" s="1026" t="s">
        <v>2370</v>
      </c>
      <c r="D11" s="1026" t="s">
        <v>448</v>
      </c>
      <c r="E11" s="1026" t="s">
        <v>1080</v>
      </c>
      <c r="F11" s="1103">
        <v>3707.65</v>
      </c>
      <c r="G11" s="1054">
        <v>0.1</v>
      </c>
      <c r="H11" s="1269">
        <v>341.1</v>
      </c>
      <c r="I11" s="1056">
        <v>170.55</v>
      </c>
      <c r="J11" s="1289" t="s">
        <v>1482</v>
      </c>
      <c r="K11" s="1290" t="s">
        <v>1472</v>
      </c>
    </row>
    <row r="12" spans="1:11" ht="15.75">
      <c r="A12" s="1501">
        <v>45238</v>
      </c>
      <c r="B12" s="1501">
        <v>45606</v>
      </c>
      <c r="C12" s="1502" t="s">
        <v>2371</v>
      </c>
      <c r="D12" s="1502" t="s">
        <v>25</v>
      </c>
      <c r="E12" s="1502" t="s">
        <v>19</v>
      </c>
      <c r="F12" s="1503">
        <v>832.7</v>
      </c>
      <c r="G12" s="1504">
        <v>0.1</v>
      </c>
      <c r="H12" s="1505">
        <v>76.599999999999994</v>
      </c>
      <c r="I12" s="1506">
        <v>7.66</v>
      </c>
      <c r="J12" s="1502" t="s">
        <v>1470</v>
      </c>
      <c r="K12" s="1507" t="s">
        <v>2015</v>
      </c>
    </row>
    <row r="13" spans="1:11" ht="15.75">
      <c r="A13" s="1298">
        <v>45240</v>
      </c>
      <c r="B13" s="1298">
        <v>45607</v>
      </c>
      <c r="C13" s="1299" t="s">
        <v>164</v>
      </c>
      <c r="D13" s="1299" t="s">
        <v>448</v>
      </c>
      <c r="E13" s="1299" t="s">
        <v>948</v>
      </c>
      <c r="F13" s="1307">
        <v>1172.51</v>
      </c>
      <c r="G13" s="1300">
        <v>0.13</v>
      </c>
      <c r="H13" s="1301">
        <v>140.22999999999999</v>
      </c>
      <c r="I13" s="1302"/>
      <c r="J13" s="1299"/>
      <c r="K13" s="1303" t="s">
        <v>2015</v>
      </c>
    </row>
    <row r="14" spans="1:11" s="1070" customFormat="1" ht="15.75">
      <c r="A14" s="1124">
        <v>45239</v>
      </c>
      <c r="B14" s="1125">
        <v>45608</v>
      </c>
      <c r="C14" s="1028" t="s">
        <v>1127</v>
      </c>
      <c r="D14" s="1028" t="s">
        <v>25</v>
      </c>
      <c r="E14" s="1028" t="s">
        <v>19</v>
      </c>
      <c r="F14" s="1126">
        <v>2151.86</v>
      </c>
      <c r="G14" s="1127">
        <v>0.1</v>
      </c>
      <c r="H14" s="1128">
        <v>197.97</v>
      </c>
      <c r="I14" s="1129">
        <v>19.79</v>
      </c>
      <c r="J14" s="1130" t="s">
        <v>1470</v>
      </c>
      <c r="K14" s="1468" t="s">
        <v>2015</v>
      </c>
    </row>
    <row r="15" spans="1:11" ht="15.75">
      <c r="A15" s="1037">
        <v>45240</v>
      </c>
      <c r="B15" s="1038">
        <v>45608</v>
      </c>
      <c r="C15" s="1026" t="s">
        <v>1591</v>
      </c>
      <c r="D15" s="1026" t="s">
        <v>25</v>
      </c>
      <c r="E15" s="1026" t="s">
        <v>948</v>
      </c>
      <c r="F15" s="1059">
        <v>816.15</v>
      </c>
      <c r="G15" s="1054">
        <v>0.13</v>
      </c>
      <c r="H15" s="1055">
        <v>97.61</v>
      </c>
      <c r="I15" s="1056"/>
      <c r="J15" s="1111"/>
      <c r="K15" s="1115" t="s">
        <v>2015</v>
      </c>
    </row>
    <row r="16" spans="1:11" ht="15.75">
      <c r="A16" s="1039">
        <v>45243</v>
      </c>
      <c r="B16" s="1039">
        <v>45608</v>
      </c>
      <c r="C16" s="1025" t="s">
        <v>1142</v>
      </c>
      <c r="D16" s="1025" t="s">
        <v>2372</v>
      </c>
      <c r="E16" s="1025" t="s">
        <v>948</v>
      </c>
      <c r="F16" s="1023">
        <v>3240.86</v>
      </c>
      <c r="G16" s="1062">
        <v>0.1</v>
      </c>
      <c r="H16" s="1023">
        <v>298.14999999999998</v>
      </c>
      <c r="I16" s="1063"/>
      <c r="J16" s="1111"/>
      <c r="K16" s="1115" t="s">
        <v>2015</v>
      </c>
    </row>
    <row r="17" spans="1:11" ht="15.75">
      <c r="A17" s="1043">
        <v>45243</v>
      </c>
      <c r="B17" s="1045">
        <v>45609</v>
      </c>
      <c r="C17" s="1075" t="s">
        <v>1590</v>
      </c>
      <c r="D17" s="1075" t="s">
        <v>70</v>
      </c>
      <c r="E17" s="1075" t="s">
        <v>1080</v>
      </c>
      <c r="F17" s="1079">
        <v>3221.4</v>
      </c>
      <c r="G17" s="1076">
        <v>0.1</v>
      </c>
      <c r="H17" s="1055">
        <v>296.36</v>
      </c>
      <c r="I17" s="1077"/>
      <c r="J17" s="1111"/>
      <c r="K17" s="1115" t="s">
        <v>2015</v>
      </c>
    </row>
    <row r="18" spans="1:11" s="1070" customFormat="1" ht="15.75">
      <c r="A18" s="1037">
        <v>45239</v>
      </c>
      <c r="B18" s="1038">
        <v>45612</v>
      </c>
      <c r="C18" s="1119" t="s">
        <v>1906</v>
      </c>
      <c r="D18" s="1026" t="s">
        <v>448</v>
      </c>
      <c r="E18" s="1026" t="s">
        <v>945</v>
      </c>
      <c r="F18" s="1059">
        <v>2240.35</v>
      </c>
      <c r="G18" s="1054">
        <v>0.1</v>
      </c>
      <c r="H18" s="1055">
        <v>206.11</v>
      </c>
      <c r="I18" s="1056"/>
      <c r="J18" s="1111"/>
      <c r="K18" s="1115" t="s">
        <v>2015</v>
      </c>
    </row>
    <row r="19" spans="1:11" s="1070" customFormat="1" ht="15.75">
      <c r="A19" s="1037">
        <v>45247</v>
      </c>
      <c r="B19" s="1038">
        <v>45613</v>
      </c>
      <c r="C19" s="1025" t="s">
        <v>1908</v>
      </c>
      <c r="D19" s="1025" t="s">
        <v>422</v>
      </c>
      <c r="E19" s="1025" t="s">
        <v>1593</v>
      </c>
      <c r="F19" s="1061">
        <v>3654.4</v>
      </c>
      <c r="G19" s="1062">
        <v>0.1</v>
      </c>
      <c r="H19" s="1055">
        <v>336.2</v>
      </c>
      <c r="I19" s="1056"/>
      <c r="J19" s="1111"/>
      <c r="K19" s="1115" t="s">
        <v>2015</v>
      </c>
    </row>
    <row r="20" spans="1:11" s="1070" customFormat="1" ht="15.75">
      <c r="A20" s="1040">
        <v>45244</v>
      </c>
      <c r="B20" s="1042">
        <v>45614</v>
      </c>
      <c r="C20" s="1030" t="s">
        <v>1596</v>
      </c>
      <c r="D20" s="1030" t="s">
        <v>61</v>
      </c>
      <c r="E20" s="1027" t="s">
        <v>438</v>
      </c>
      <c r="F20" s="1065">
        <v>2351.0500000000002</v>
      </c>
      <c r="G20" s="1066">
        <v>0.1</v>
      </c>
      <c r="H20" s="1067">
        <v>216.39</v>
      </c>
      <c r="I20" s="1068">
        <v>21.63</v>
      </c>
      <c r="J20" s="1112" t="s">
        <v>1470</v>
      </c>
      <c r="K20" s="1117" t="s">
        <v>2015</v>
      </c>
    </row>
    <row r="21" spans="1:11" s="1070" customFormat="1" ht="15.75">
      <c r="A21" s="1037">
        <v>45247</v>
      </c>
      <c r="B21" s="1038">
        <v>45614</v>
      </c>
      <c r="C21" s="1025" t="s">
        <v>1597</v>
      </c>
      <c r="D21" s="1026" t="s">
        <v>422</v>
      </c>
      <c r="E21" s="1025" t="s">
        <v>1641</v>
      </c>
      <c r="F21" s="1061">
        <v>2089.87</v>
      </c>
      <c r="G21" s="1062">
        <v>0.1</v>
      </c>
      <c r="H21" s="1055">
        <v>192.26</v>
      </c>
      <c r="I21" s="1056"/>
      <c r="J21" s="1111"/>
      <c r="K21" s="1115" t="s">
        <v>2015</v>
      </c>
    </row>
    <row r="22" spans="1:11" ht="15.75">
      <c r="A22" s="1037">
        <v>45246</v>
      </c>
      <c r="B22" s="1038">
        <v>45615</v>
      </c>
      <c r="C22" s="1025" t="s">
        <v>1909</v>
      </c>
      <c r="D22" s="1026" t="s">
        <v>25</v>
      </c>
      <c r="E22" s="1025" t="s">
        <v>948</v>
      </c>
      <c r="F22" s="1061">
        <v>1710.81</v>
      </c>
      <c r="G22" s="1062">
        <v>0.13</v>
      </c>
      <c r="H22" s="1055">
        <v>204.61</v>
      </c>
      <c r="I22" s="1056">
        <v>102.3</v>
      </c>
      <c r="J22" s="1111" t="s">
        <v>1577</v>
      </c>
      <c r="K22" s="1115" t="s">
        <v>2015</v>
      </c>
    </row>
    <row r="23" spans="1:11" s="1070" customFormat="1" ht="15.75">
      <c r="A23" s="1037">
        <v>45251</v>
      </c>
      <c r="B23" s="1038">
        <v>45617</v>
      </c>
      <c r="C23" s="1032" t="s">
        <v>2017</v>
      </c>
      <c r="D23" s="1026" t="s">
        <v>70</v>
      </c>
      <c r="E23" s="1025" t="s">
        <v>1080</v>
      </c>
      <c r="F23" s="1061">
        <v>1656.45</v>
      </c>
      <c r="G23" s="1062">
        <v>0.1</v>
      </c>
      <c r="H23" s="1055">
        <v>152.38999999999999</v>
      </c>
      <c r="I23" s="1056"/>
      <c r="J23" s="1111"/>
      <c r="K23" s="1115" t="s">
        <v>1472</v>
      </c>
    </row>
    <row r="24" spans="1:11" s="1070" customFormat="1" ht="15.75">
      <c r="A24" s="1039">
        <v>45252</v>
      </c>
      <c r="B24" s="1039">
        <v>45618</v>
      </c>
      <c r="C24" s="1025" t="s">
        <v>1135</v>
      </c>
      <c r="D24" s="1025" t="s">
        <v>448</v>
      </c>
      <c r="E24" s="1025" t="s">
        <v>19</v>
      </c>
      <c r="F24" s="1061">
        <v>1615.9</v>
      </c>
      <c r="G24" s="1062">
        <v>0.1</v>
      </c>
      <c r="H24" s="1055">
        <v>148.66</v>
      </c>
      <c r="I24" s="1056"/>
      <c r="J24" s="1111"/>
      <c r="K24" s="1115" t="s">
        <v>2015</v>
      </c>
    </row>
    <row r="25" spans="1:11" s="1268" customFormat="1" ht="15.75">
      <c r="A25" s="1041">
        <v>45252</v>
      </c>
      <c r="B25" s="1041">
        <v>45622</v>
      </c>
      <c r="C25" s="1027" t="s">
        <v>2373</v>
      </c>
      <c r="D25" s="1027" t="s">
        <v>14</v>
      </c>
      <c r="E25" s="1027" t="s">
        <v>458</v>
      </c>
      <c r="F25" s="1065">
        <v>1811.69</v>
      </c>
      <c r="G25" s="1066">
        <v>0.1</v>
      </c>
      <c r="H25" s="1233">
        <v>166.67</v>
      </c>
      <c r="I25" s="1234">
        <v>16.66</v>
      </c>
      <c r="J25" s="1112" t="s">
        <v>1470</v>
      </c>
      <c r="K25" s="1117" t="s">
        <v>2015</v>
      </c>
    </row>
    <row r="26" spans="1:11" ht="15.75">
      <c r="A26" s="1039">
        <v>45252</v>
      </c>
      <c r="B26" s="1039">
        <v>45622</v>
      </c>
      <c r="C26" s="1025" t="s">
        <v>1605</v>
      </c>
      <c r="D26" s="1025" t="s">
        <v>14</v>
      </c>
      <c r="E26" s="1025" t="s">
        <v>945</v>
      </c>
      <c r="F26" s="1061">
        <v>1897.68</v>
      </c>
      <c r="G26" s="1062">
        <v>0.15</v>
      </c>
      <c r="H26" s="1055">
        <v>261.87</v>
      </c>
      <c r="I26" s="1056">
        <v>130.93</v>
      </c>
      <c r="J26" s="1111" t="s">
        <v>1577</v>
      </c>
      <c r="K26" s="1115" t="s">
        <v>2015</v>
      </c>
    </row>
    <row r="27" spans="1:11" ht="15.75">
      <c r="A27" s="1037">
        <v>45254</v>
      </c>
      <c r="B27" s="1039">
        <v>45622</v>
      </c>
      <c r="C27" s="1033" t="s">
        <v>1608</v>
      </c>
      <c r="D27" s="1026" t="s">
        <v>422</v>
      </c>
      <c r="E27" s="1025" t="s">
        <v>1310</v>
      </c>
      <c r="F27" s="1061">
        <v>3305.35</v>
      </c>
      <c r="G27" s="1062">
        <v>0.1</v>
      </c>
      <c r="H27" s="1055">
        <v>304.08999999999997</v>
      </c>
      <c r="I27" s="1056"/>
      <c r="J27" s="1111"/>
      <c r="K27" s="1115" t="s">
        <v>2015</v>
      </c>
    </row>
    <row r="28" spans="1:11" s="1070" customFormat="1" ht="15.75">
      <c r="A28" s="1037">
        <v>45252</v>
      </c>
      <c r="B28" s="1039">
        <v>45624</v>
      </c>
      <c r="C28" s="1025" t="s">
        <v>672</v>
      </c>
      <c r="D28" s="1026" t="s">
        <v>422</v>
      </c>
      <c r="E28" s="1025" t="s">
        <v>1610</v>
      </c>
      <c r="F28" s="1023">
        <v>1908.45</v>
      </c>
      <c r="G28" s="1062">
        <v>0.1</v>
      </c>
      <c r="H28" s="1055">
        <v>175.57</v>
      </c>
      <c r="I28" s="1056"/>
      <c r="J28" s="1111"/>
      <c r="K28" s="1116" t="s">
        <v>2015</v>
      </c>
    </row>
    <row r="29" spans="1:11" ht="15.75">
      <c r="A29" s="1037">
        <v>45259</v>
      </c>
      <c r="B29" s="1039">
        <v>45625</v>
      </c>
      <c r="C29" s="1025" t="s">
        <v>1917</v>
      </c>
      <c r="D29" s="1026" t="s">
        <v>422</v>
      </c>
      <c r="E29" s="1025" t="s">
        <v>19</v>
      </c>
      <c r="F29" s="1061">
        <v>2167.14</v>
      </c>
      <c r="G29" s="1062">
        <v>0.1</v>
      </c>
      <c r="H29" s="1055">
        <v>199.37</v>
      </c>
      <c r="I29" s="1056"/>
      <c r="J29" s="1111"/>
      <c r="K29" s="1115" t="s">
        <v>2015</v>
      </c>
    </row>
    <row r="30" spans="1:11" ht="15.75">
      <c r="A30" s="1037">
        <v>45259</v>
      </c>
      <c r="B30" s="1039">
        <v>45625</v>
      </c>
      <c r="C30" s="1025" t="s">
        <v>2084</v>
      </c>
      <c r="D30" s="1026" t="s">
        <v>61</v>
      </c>
      <c r="E30" s="1025" t="s">
        <v>1310</v>
      </c>
      <c r="F30" s="1061">
        <v>6318.15</v>
      </c>
      <c r="G30" s="1062">
        <v>0.1</v>
      </c>
      <c r="H30" s="1055">
        <v>581.26</v>
      </c>
      <c r="I30" s="1056"/>
      <c r="J30" s="1111"/>
      <c r="K30" s="1115" t="s">
        <v>1472</v>
      </c>
    </row>
    <row r="31" spans="1:11" ht="15.75">
      <c r="A31" s="1037">
        <v>45254</v>
      </c>
      <c r="B31" s="1039">
        <v>45626</v>
      </c>
      <c r="C31" s="1032" t="s">
        <v>2028</v>
      </c>
      <c r="D31" s="1026" t="s">
        <v>422</v>
      </c>
      <c r="E31" s="1025" t="s">
        <v>1641</v>
      </c>
      <c r="F31" s="1023">
        <v>3072.1</v>
      </c>
      <c r="G31" s="1062">
        <v>0.1</v>
      </c>
      <c r="H31" s="1023">
        <v>282.63</v>
      </c>
      <c r="I31" s="1056">
        <v>141.31</v>
      </c>
      <c r="J31" s="1111" t="s">
        <v>1482</v>
      </c>
      <c r="K31" s="1115" t="s">
        <v>2015</v>
      </c>
    </row>
    <row r="32" spans="1:11" ht="15.75">
      <c r="A32" s="1037">
        <v>45254</v>
      </c>
      <c r="B32" s="1039">
        <v>45626</v>
      </c>
      <c r="C32" s="1025" t="s">
        <v>1918</v>
      </c>
      <c r="D32" s="1026" t="s">
        <v>422</v>
      </c>
      <c r="E32" s="1026" t="s">
        <v>948</v>
      </c>
      <c r="F32" s="1071">
        <v>1678.89</v>
      </c>
      <c r="G32" s="1062">
        <v>0.15</v>
      </c>
      <c r="H32" s="1055">
        <v>231.68</v>
      </c>
      <c r="I32" s="1056"/>
      <c r="J32" s="1111"/>
      <c r="K32" s="1115" t="s">
        <v>2015</v>
      </c>
    </row>
    <row r="33" spans="1:11" ht="15.75">
      <c r="A33" s="1037">
        <v>45261</v>
      </c>
      <c r="B33" s="1038">
        <v>45626</v>
      </c>
      <c r="C33" s="1025" t="s">
        <v>2374</v>
      </c>
      <c r="D33" s="1026" t="s">
        <v>448</v>
      </c>
      <c r="E33" s="1026" t="s">
        <v>458</v>
      </c>
      <c r="F33" s="1059">
        <v>5029.59</v>
      </c>
      <c r="G33" s="1054">
        <v>0.1</v>
      </c>
      <c r="H33" s="1055">
        <v>462.72</v>
      </c>
      <c r="I33" s="1056"/>
      <c r="J33" s="1111"/>
      <c r="K33" s="1115" t="s">
        <v>2015</v>
      </c>
    </row>
    <row r="34" spans="1:11" ht="15.75">
      <c r="A34" s="1040">
        <v>45233</v>
      </c>
      <c r="B34" s="1042" t="s">
        <v>1805</v>
      </c>
      <c r="C34" s="1027" t="s">
        <v>1524</v>
      </c>
      <c r="D34" s="1030" t="s">
        <v>14</v>
      </c>
      <c r="E34" s="1030" t="s">
        <v>948</v>
      </c>
      <c r="F34" s="1072">
        <v>595.08000000000004</v>
      </c>
      <c r="G34" s="1073">
        <v>0.19</v>
      </c>
      <c r="H34" s="1067">
        <v>104.01</v>
      </c>
      <c r="I34" s="1068">
        <v>10.4</v>
      </c>
      <c r="J34" s="1112" t="s">
        <v>1470</v>
      </c>
      <c r="K34" s="1117" t="s">
        <v>510</v>
      </c>
    </row>
    <row r="35" spans="1:11" ht="15.75">
      <c r="A35" s="1040">
        <v>45259</v>
      </c>
      <c r="B35" s="1042" t="s">
        <v>1805</v>
      </c>
      <c r="C35" s="1027" t="s">
        <v>2375</v>
      </c>
      <c r="D35" s="1030" t="s">
        <v>61</v>
      </c>
      <c r="E35" s="1030" t="s">
        <v>1593</v>
      </c>
      <c r="F35" s="1072">
        <v>746.05</v>
      </c>
      <c r="G35" s="1073">
        <v>0.1</v>
      </c>
      <c r="H35" s="1067">
        <v>68.63</v>
      </c>
      <c r="I35" s="1068">
        <v>6.86</v>
      </c>
      <c r="J35" s="1112" t="s">
        <v>1470</v>
      </c>
      <c r="K35" s="1117" t="s">
        <v>1805</v>
      </c>
    </row>
    <row r="36" spans="1:11" s="1070" customFormat="1" ht="15.75">
      <c r="A36" s="1040">
        <v>45257</v>
      </c>
      <c r="B36" s="1042" t="s">
        <v>1805</v>
      </c>
      <c r="C36" s="1027" t="s">
        <v>2376</v>
      </c>
      <c r="D36" s="1030" t="s">
        <v>14</v>
      </c>
      <c r="E36" s="1030" t="s">
        <v>1310</v>
      </c>
      <c r="F36" s="1072">
        <v>1997.81</v>
      </c>
      <c r="G36" s="1073">
        <v>0.1</v>
      </c>
      <c r="H36" s="1067">
        <v>183.79</v>
      </c>
      <c r="I36" s="1068">
        <v>18.37</v>
      </c>
      <c r="J36" s="1112" t="s">
        <v>1470</v>
      </c>
      <c r="K36" s="1117" t="s">
        <v>1805</v>
      </c>
    </row>
    <row r="37" spans="1:11" ht="15.75">
      <c r="A37" s="1037">
        <v>45254</v>
      </c>
      <c r="B37" s="1038" t="s">
        <v>1805</v>
      </c>
      <c r="C37" s="1025" t="s">
        <v>1580</v>
      </c>
      <c r="D37" s="1026" t="s">
        <v>422</v>
      </c>
      <c r="E37" s="1026" t="s">
        <v>948</v>
      </c>
      <c r="F37" s="1059">
        <v>1244.25</v>
      </c>
      <c r="G37" s="1054">
        <v>0.15</v>
      </c>
      <c r="H37" s="1055">
        <v>171.7</v>
      </c>
      <c r="I37" s="1056"/>
      <c r="J37" s="1111"/>
      <c r="K37" s="1115" t="s">
        <v>510</v>
      </c>
    </row>
    <row r="38" spans="1:11" s="1070" customFormat="1" ht="15.75">
      <c r="A38" s="1037">
        <v>45257</v>
      </c>
      <c r="B38" s="1038" t="s">
        <v>1805</v>
      </c>
      <c r="C38" s="1026" t="s">
        <v>2377</v>
      </c>
      <c r="D38" s="1026" t="s">
        <v>25</v>
      </c>
      <c r="E38" s="1026" t="s">
        <v>458</v>
      </c>
      <c r="F38" s="1103">
        <v>-62.35</v>
      </c>
      <c r="G38" s="1054">
        <v>0.15</v>
      </c>
      <c r="H38" s="1055"/>
      <c r="I38" s="1056"/>
      <c r="J38" s="1111"/>
      <c r="K38" s="1115" t="s">
        <v>1805</v>
      </c>
    </row>
    <row r="39" spans="1:11" ht="15.75">
      <c r="A39" s="1037"/>
      <c r="B39" s="1038"/>
      <c r="C39" s="1026"/>
      <c r="D39" s="1026"/>
      <c r="E39" s="1026"/>
      <c r="F39" s="1059"/>
      <c r="G39" s="1054"/>
      <c r="H39" s="1055"/>
      <c r="I39" s="1056"/>
      <c r="J39" s="1111"/>
      <c r="K39" s="1115"/>
    </row>
    <row r="40" spans="1:11" ht="15.75">
      <c r="A40" s="1037"/>
      <c r="B40" s="1038"/>
      <c r="C40" s="1025"/>
      <c r="D40" s="1026"/>
      <c r="E40" s="1026"/>
      <c r="F40" s="1059"/>
      <c r="G40" s="1054"/>
      <c r="H40" s="1055"/>
      <c r="I40" s="1056"/>
      <c r="J40" s="1111"/>
      <c r="K40" s="1115"/>
    </row>
    <row r="41" spans="1:11" ht="15.75">
      <c r="A41" s="1037"/>
      <c r="B41" s="1038"/>
      <c r="C41" s="1025"/>
      <c r="D41" s="1026"/>
      <c r="E41" s="1026"/>
      <c r="F41" s="1118"/>
      <c r="G41" s="1054"/>
      <c r="H41" s="1023"/>
      <c r="I41" s="1056"/>
      <c r="J41" s="1111"/>
      <c r="K41" s="1115"/>
    </row>
    <row r="42" spans="1:11" ht="15.75">
      <c r="A42" s="1037"/>
      <c r="B42" s="1038"/>
      <c r="C42" s="1026"/>
      <c r="D42" s="1026"/>
      <c r="E42" s="1026"/>
      <c r="F42" s="1059"/>
      <c r="G42" s="1054"/>
      <c r="H42" s="1055"/>
      <c r="I42" s="1056"/>
      <c r="J42" s="1111"/>
      <c r="K42" s="1115"/>
    </row>
    <row r="43" spans="1:11" ht="15.75">
      <c r="A43" s="1037"/>
      <c r="B43" s="1038"/>
      <c r="C43" s="1026"/>
      <c r="D43" s="1026"/>
      <c r="E43" s="1026"/>
      <c r="F43" s="1059"/>
      <c r="G43" s="1054"/>
      <c r="H43" s="1055"/>
      <c r="I43" s="1056"/>
      <c r="J43" s="1111"/>
      <c r="K43" s="1115"/>
    </row>
    <row r="44" spans="1:11" ht="16.5" thickBot="1">
      <c r="A44" s="1037"/>
      <c r="B44" s="1038"/>
      <c r="C44" s="1026"/>
      <c r="D44" s="1026"/>
      <c r="E44" s="1026"/>
      <c r="F44" s="1059"/>
      <c r="G44" s="1054"/>
      <c r="H44" s="1055"/>
      <c r="I44" s="1056"/>
      <c r="J44" s="1111"/>
      <c r="K44" s="1115"/>
    </row>
    <row r="45" spans="1:11" ht="19.5">
      <c r="A45" s="1158"/>
      <c r="B45" s="1159"/>
      <c r="C45" s="1159"/>
      <c r="D45" s="1159"/>
      <c r="E45" s="1159"/>
      <c r="F45" s="1160">
        <f>SUM(F2:F10,F12:F44)</f>
        <v>74448.959999999992</v>
      </c>
      <c r="G45" s="1161"/>
      <c r="H45" s="1162">
        <f>SUM(H2:H44)</f>
        <v>7883.4400000000005</v>
      </c>
      <c r="I45" s="1163">
        <f>SUM(I2:I44)</f>
        <v>661.87</v>
      </c>
      <c r="J45" s="1164"/>
      <c r="K45" s="1157"/>
    </row>
    <row r="46" spans="1:11">
      <c r="A46" s="1037"/>
      <c r="B46" s="1038"/>
      <c r="C46" s="1026"/>
      <c r="D46" s="1026"/>
      <c r="E46" s="1026"/>
      <c r="F46" s="1059"/>
      <c r="G46" s="1054"/>
      <c r="H46" s="1269"/>
      <c r="I46" s="1056"/>
      <c r="J46" s="1111"/>
      <c r="K46" s="505"/>
    </row>
    <row r="47" spans="1:11">
      <c r="A47" s="1037"/>
      <c r="B47" s="1038"/>
      <c r="C47" s="1026"/>
      <c r="D47" s="1026"/>
      <c r="E47" s="1026"/>
      <c r="F47" s="1059"/>
      <c r="G47" s="1054"/>
      <c r="H47" s="1269"/>
      <c r="I47" s="1056"/>
      <c r="J47" s="1111"/>
      <c r="K47" s="505"/>
    </row>
    <row r="48" spans="1:11">
      <c r="A48" s="1037"/>
      <c r="B48" s="1038"/>
      <c r="C48" s="1026"/>
      <c r="D48" s="1026"/>
      <c r="E48" s="1026"/>
      <c r="F48" s="1059"/>
      <c r="G48" s="1054"/>
      <c r="H48" s="1269"/>
      <c r="I48" s="1056"/>
      <c r="J48" s="1111"/>
      <c r="K48" s="505"/>
    </row>
    <row r="49" spans="1:11">
      <c r="A49" s="1037"/>
      <c r="B49" s="1038"/>
      <c r="C49" s="1026"/>
      <c r="D49" s="1026"/>
      <c r="E49" s="1026"/>
      <c r="F49" s="1059"/>
      <c r="G49" s="1054"/>
      <c r="H49" s="1269"/>
      <c r="I49" s="1056"/>
      <c r="J49" s="1111"/>
      <c r="K49" s="505"/>
    </row>
    <row r="50" spans="1:11">
      <c r="A50" s="1037"/>
      <c r="B50" s="1038"/>
      <c r="C50" s="1026"/>
      <c r="D50" s="1026"/>
      <c r="E50" s="1026"/>
      <c r="F50" s="1059"/>
      <c r="G50" s="1054"/>
      <c r="H50" s="1269"/>
      <c r="I50" s="1056"/>
      <c r="J50" s="1111"/>
      <c r="K50" s="505"/>
    </row>
    <row r="51" spans="1:11">
      <c r="A51" s="1037"/>
      <c r="B51" s="1038"/>
      <c r="C51" s="1026"/>
      <c r="D51" s="1026"/>
      <c r="E51" s="1026"/>
      <c r="F51" s="1059"/>
      <c r="G51" s="1054"/>
      <c r="H51" s="1269"/>
      <c r="I51" s="1056"/>
      <c r="J51" s="1111"/>
      <c r="K51" s="505"/>
    </row>
    <row r="52" spans="1:11">
      <c r="A52" s="1037"/>
      <c r="B52" s="1038"/>
      <c r="C52" s="1026"/>
      <c r="D52" s="1026"/>
      <c r="E52" s="1026"/>
      <c r="F52" s="1059"/>
      <c r="G52" s="1054"/>
      <c r="H52" s="1269"/>
      <c r="I52" s="1056"/>
      <c r="J52" s="1111"/>
      <c r="K52" s="505"/>
    </row>
    <row r="53" spans="1:11">
      <c r="A53" s="1037"/>
      <c r="B53" s="1038"/>
      <c r="C53" s="1026"/>
      <c r="D53" s="1026"/>
      <c r="E53" s="1026"/>
      <c r="F53" s="1059"/>
      <c r="G53" s="1054"/>
      <c r="H53" s="1269"/>
      <c r="I53" s="1056"/>
      <c r="J53" s="1111"/>
      <c r="K53" s="505"/>
    </row>
    <row r="54" spans="1:11">
      <c r="A54" s="1037"/>
      <c r="B54" s="1038"/>
      <c r="C54" s="1026"/>
      <c r="D54" s="1026"/>
      <c r="E54" s="1026"/>
      <c r="F54" s="1059"/>
      <c r="G54" s="1054"/>
      <c r="H54" s="1269"/>
      <c r="I54" s="1056"/>
      <c r="J54" s="1111"/>
      <c r="K54" s="505"/>
    </row>
    <row r="55" spans="1:11">
      <c r="A55" s="1037"/>
      <c r="B55" s="1038"/>
      <c r="C55" s="1026"/>
      <c r="D55" s="1026"/>
      <c r="E55" s="1026"/>
      <c r="F55" s="1059"/>
      <c r="G55" s="1054"/>
      <c r="H55" s="1269"/>
      <c r="I55" s="1056"/>
      <c r="J55" s="1111"/>
      <c r="K55" s="505"/>
    </row>
    <row r="56" spans="1:11">
      <c r="A56" s="1037"/>
      <c r="B56" s="1038"/>
      <c r="C56" s="1026"/>
      <c r="D56" s="1026"/>
      <c r="E56" s="1026"/>
      <c r="F56" s="1059"/>
      <c r="G56" s="1054"/>
      <c r="H56" s="1269"/>
      <c r="I56" s="1056"/>
      <c r="J56" s="1111"/>
      <c r="K56" s="505"/>
    </row>
    <row r="57" spans="1:11">
      <c r="A57" s="1037"/>
      <c r="B57" s="1038"/>
      <c r="C57" s="1026"/>
      <c r="D57" s="1026"/>
      <c r="E57" s="1026"/>
      <c r="F57" s="1059"/>
      <c r="G57" s="1054"/>
      <c r="H57" s="1269"/>
      <c r="I57" s="1056"/>
      <c r="J57" s="1111"/>
      <c r="K57" s="505"/>
    </row>
    <row r="58" spans="1:11">
      <c r="A58" s="1037"/>
      <c r="B58" s="1038"/>
      <c r="C58" s="1026"/>
      <c r="D58" s="1026"/>
      <c r="E58" s="1026"/>
      <c r="F58" s="1059"/>
      <c r="G58" s="1054"/>
      <c r="H58" s="1269"/>
      <c r="I58" s="1056"/>
      <c r="J58" s="1111"/>
      <c r="K58" s="505"/>
    </row>
    <row r="59" spans="1:11">
      <c r="A59" s="1037"/>
      <c r="B59" s="1038"/>
      <c r="C59" s="1026"/>
      <c r="D59" s="1026"/>
      <c r="E59" s="1026"/>
      <c r="F59" s="1059"/>
      <c r="G59" s="1054"/>
      <c r="H59" s="1269"/>
      <c r="I59" s="1056"/>
      <c r="J59" s="1111"/>
      <c r="K59" s="505"/>
    </row>
    <row r="60" spans="1:11">
      <c r="A60" s="1037"/>
      <c r="B60" s="1038"/>
      <c r="C60" s="1026"/>
      <c r="D60" s="1026"/>
      <c r="E60" s="1026"/>
      <c r="F60" s="1059"/>
      <c r="G60" s="1054"/>
      <c r="H60" s="1269"/>
      <c r="I60" s="1056"/>
      <c r="J60" s="1111"/>
      <c r="K60" s="505"/>
    </row>
    <row r="61" spans="1:11">
      <c r="A61" s="1037"/>
      <c r="B61" s="1038"/>
      <c r="C61" s="1026"/>
      <c r="D61" s="1026"/>
      <c r="E61" s="1026"/>
      <c r="F61" s="1059"/>
      <c r="G61" s="1054"/>
      <c r="H61" s="1269"/>
      <c r="I61" s="1056"/>
      <c r="J61" s="1111"/>
      <c r="K61" s="505"/>
    </row>
    <row r="62" spans="1:11">
      <c r="A62" s="1037"/>
      <c r="B62" s="1038"/>
      <c r="C62" s="1026"/>
      <c r="D62" s="1026"/>
      <c r="E62" s="1026"/>
      <c r="F62" s="1059"/>
      <c r="G62" s="1054"/>
      <c r="H62" s="1269"/>
      <c r="I62" s="1056"/>
      <c r="J62" s="1111"/>
      <c r="K62" s="505"/>
    </row>
    <row r="63" spans="1:11">
      <c r="A63" s="1037"/>
      <c r="B63" s="1038"/>
      <c r="C63" s="1026"/>
      <c r="D63" s="1026"/>
      <c r="E63" s="1026"/>
      <c r="F63" s="1059"/>
      <c r="G63" s="1054"/>
      <c r="H63" s="1269"/>
      <c r="I63" s="1056"/>
      <c r="J63" s="1111"/>
      <c r="K63" s="505"/>
    </row>
    <row r="64" spans="1:11">
      <c r="A64" s="1037"/>
      <c r="B64" s="1038"/>
      <c r="C64" s="1026"/>
      <c r="D64" s="1026"/>
      <c r="E64" s="1026"/>
      <c r="F64" s="1059"/>
      <c r="G64" s="1054"/>
      <c r="H64" s="1269"/>
      <c r="I64" s="1056"/>
      <c r="J64" s="1111"/>
      <c r="K64" s="505"/>
    </row>
    <row r="65" spans="1:1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505"/>
    </row>
    <row r="66" spans="1:11">
      <c r="A66" s="1037"/>
      <c r="B66" s="1038"/>
      <c r="C66" s="1026"/>
      <c r="D66" s="1026"/>
      <c r="E66" s="1026"/>
      <c r="F66" s="1059"/>
      <c r="G66" s="1054"/>
      <c r="H66" s="1269"/>
      <c r="I66" s="1056"/>
      <c r="J66" s="1111"/>
      <c r="K66" s="505"/>
    </row>
    <row r="67" spans="1:11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505"/>
    </row>
    <row r="68" spans="1:11">
      <c r="A68" s="1037"/>
      <c r="B68" s="1038"/>
      <c r="C68" s="1026"/>
      <c r="D68" s="1026"/>
      <c r="E68" s="1026"/>
      <c r="F68" s="1059"/>
      <c r="G68" s="1054"/>
      <c r="H68" s="1269"/>
      <c r="I68" s="1056"/>
      <c r="J68" s="1111"/>
      <c r="K68" s="505"/>
    </row>
    <row r="69" spans="1:11">
      <c r="A69" s="1037"/>
      <c r="B69" s="1038"/>
      <c r="C69" s="1026"/>
      <c r="D69" s="1026"/>
      <c r="E69" s="1026"/>
      <c r="F69" s="1059"/>
      <c r="G69" s="1054"/>
      <c r="H69" s="1269"/>
      <c r="I69" s="1056"/>
      <c r="J69" s="1111"/>
      <c r="K69" s="505"/>
    </row>
    <row r="70" spans="1:11">
      <c r="A70" s="1037"/>
      <c r="B70" s="1038"/>
      <c r="C70" s="1026"/>
      <c r="D70" s="1026"/>
      <c r="E70" s="1026"/>
      <c r="F70" s="1059"/>
      <c r="G70" s="1054"/>
      <c r="H70" s="1269"/>
      <c r="I70" s="1056"/>
      <c r="J70" s="1111"/>
      <c r="K70" s="505"/>
    </row>
    <row r="71" spans="1:1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505"/>
    </row>
    <row r="72" spans="1:11">
      <c r="A72" s="1037"/>
      <c r="B72" s="1038"/>
      <c r="C72" s="1026"/>
      <c r="D72" s="1026"/>
      <c r="E72" s="1026"/>
      <c r="F72" s="1059"/>
      <c r="G72" s="1054"/>
      <c r="H72" s="1269"/>
      <c r="I72" s="1056"/>
      <c r="J72" s="1111"/>
      <c r="K72" s="505"/>
    </row>
    <row r="73" spans="1:11">
      <c r="A73" s="1037"/>
      <c r="B73" s="1038"/>
      <c r="C73" s="1026"/>
      <c r="D73" s="1026"/>
      <c r="E73" s="1026"/>
      <c r="F73" s="1059"/>
      <c r="G73" s="1054"/>
      <c r="H73" s="1269"/>
      <c r="I73" s="1056"/>
      <c r="J73" s="1111"/>
      <c r="K73" s="505"/>
    </row>
    <row r="74" spans="1:11">
      <c r="A74" s="1037"/>
      <c r="B74" s="1038"/>
      <c r="C74" s="1026"/>
      <c r="D74" s="1026"/>
      <c r="E74" s="1026"/>
      <c r="F74" s="1059"/>
      <c r="G74" s="1054"/>
      <c r="H74" s="1269"/>
      <c r="I74" s="1056"/>
      <c r="J74" s="1111"/>
      <c r="K74" s="505"/>
    </row>
    <row r="75" spans="1:11">
      <c r="A75" s="1037"/>
      <c r="B75" s="1038"/>
      <c r="C75" s="1026"/>
      <c r="D75" s="1026"/>
      <c r="E75" s="1026"/>
      <c r="F75" s="1059"/>
      <c r="G75" s="1054"/>
      <c r="H75" s="1269"/>
      <c r="I75" s="1056"/>
      <c r="J75" s="1111"/>
      <c r="K75" s="505"/>
    </row>
    <row r="76" spans="1:11">
      <c r="A76" s="1037"/>
      <c r="B76" s="1038"/>
      <c r="C76" s="1026"/>
      <c r="D76" s="1026"/>
      <c r="E76" s="1026"/>
      <c r="F76" s="1059"/>
      <c r="G76" s="1054"/>
      <c r="H76" s="1269"/>
      <c r="I76" s="1056"/>
      <c r="J76" s="1111"/>
      <c r="K76" s="505"/>
    </row>
    <row r="77" spans="1:11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505"/>
    </row>
    <row r="78" spans="1:11">
      <c r="A78" s="1037"/>
      <c r="B78" s="1038"/>
      <c r="C78" s="1026"/>
      <c r="D78" s="1026"/>
      <c r="E78" s="1026"/>
      <c r="F78" s="1059"/>
      <c r="G78" s="1054"/>
      <c r="H78" s="1269"/>
      <c r="I78" s="1056"/>
      <c r="J78" s="1111"/>
      <c r="K78" s="505"/>
    </row>
    <row r="79" spans="1:11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505"/>
    </row>
    <row r="80" spans="1:11">
      <c r="A80" s="1037"/>
      <c r="B80" s="1038"/>
      <c r="C80" s="1026"/>
      <c r="D80" s="1026"/>
      <c r="E80" s="1026"/>
      <c r="F80" s="1059"/>
      <c r="G80" s="1054"/>
      <c r="H80" s="1269"/>
      <c r="I80" s="1056"/>
      <c r="J80" s="1111"/>
      <c r="K80" s="505"/>
    </row>
    <row r="81" spans="1:11">
      <c r="A81" s="1037"/>
      <c r="B81" s="1038"/>
      <c r="C81" s="1026"/>
      <c r="D81" s="1026"/>
      <c r="E81" s="1026"/>
      <c r="F81" s="1059"/>
      <c r="G81" s="1054"/>
      <c r="H81" s="1269"/>
      <c r="I81" s="1056"/>
      <c r="J81" s="1111"/>
      <c r="K81" s="505"/>
    </row>
    <row r="82" spans="1:11">
      <c r="A82" s="1037"/>
      <c r="B82" s="1038"/>
      <c r="C82" s="1026"/>
      <c r="D82" s="1026"/>
      <c r="E82" s="1026"/>
      <c r="F82" s="1059"/>
      <c r="G82" s="1054"/>
      <c r="H82" s="1269"/>
      <c r="I82" s="1056"/>
      <c r="J82" s="1111"/>
      <c r="K82" s="505"/>
    </row>
    <row r="83" spans="1:11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505"/>
    </row>
    <row r="84" spans="1:11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505"/>
    </row>
    <row r="85" spans="1:11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505"/>
    </row>
    <row r="86" spans="1:11" ht="15.75" thickBot="1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505"/>
    </row>
    <row r="87" spans="1:11" ht="20.25" thickBot="1">
      <c r="A87" s="1158"/>
      <c r="B87" s="1159"/>
      <c r="C87" s="1159"/>
      <c r="D87" s="1159"/>
      <c r="E87" s="1159"/>
      <c r="F87" s="1160" t="e">
        <f>SUM(#REF!,F46:F86)</f>
        <v>#REF!</v>
      </c>
      <c r="G87" s="1159"/>
      <c r="H87" s="1293">
        <f>SUM(H46:H86)</f>
        <v>0</v>
      </c>
      <c r="I87" s="1160">
        <f>SUM(I46:I86)</f>
        <v>0</v>
      </c>
      <c r="J87" s="1164"/>
      <c r="K87" s="1157"/>
    </row>
  </sheetData>
  <autoFilter ref="A1:K1" xr:uid="{EF3EE55C-D26C-4865-BC27-A8904A59E69A}">
    <sortState xmlns:xlrd2="http://schemas.microsoft.com/office/spreadsheetml/2017/richdata2" ref="A2:K38">
      <sortCondition ref="B1"/>
    </sortState>
  </autoFilter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41E8C-FE57-4C2A-9B8A-4C2B392A4881}">
  <dimension ref="A1:K122"/>
  <sheetViews>
    <sheetView zoomScale="85" zoomScaleNormal="85" workbookViewId="0">
      <selection activeCell="C52" sqref="C52"/>
    </sheetView>
  </sheetViews>
  <sheetFormatPr defaultColWidth="9.140625" defaultRowHeight="15"/>
  <cols>
    <col min="1" max="1" width="16.5703125" style="1190" bestFit="1" customWidth="1"/>
    <col min="2" max="2" width="12.5703125" style="1190" bestFit="1" customWidth="1"/>
    <col min="3" max="3" width="61.5703125" style="1190" bestFit="1" customWidth="1"/>
    <col min="4" max="4" width="17.42578125" style="1190" customWidth="1"/>
    <col min="5" max="5" width="16.7109375" style="1190" customWidth="1"/>
    <col min="6" max="6" width="22" style="1190" bestFit="1" customWidth="1"/>
    <col min="7" max="7" width="15.7109375" style="1190" bestFit="1" customWidth="1"/>
    <col min="8" max="8" width="24.85546875" style="1190" bestFit="1" customWidth="1"/>
    <col min="9" max="9" width="19.140625" style="1190" customWidth="1"/>
    <col min="10" max="10" width="13.7109375" style="1190" bestFit="1" customWidth="1"/>
    <col min="11" max="11" width="19.7109375" style="1190" customWidth="1"/>
    <col min="12" max="16384" width="9.140625" style="1190"/>
  </cols>
  <sheetData>
    <row r="1" spans="1:11" ht="15" customHeight="1">
      <c r="A1" s="1235" t="s">
        <v>1832</v>
      </c>
      <c r="B1" s="1236" t="s">
        <v>2</v>
      </c>
      <c r="C1" s="1236" t="s">
        <v>3</v>
      </c>
      <c r="D1" s="1236" t="s">
        <v>4</v>
      </c>
      <c r="E1" s="1236" t="s">
        <v>5</v>
      </c>
      <c r="F1" s="1237" t="s">
        <v>644</v>
      </c>
      <c r="G1" s="1238" t="s">
        <v>555</v>
      </c>
      <c r="H1" s="1239" t="s">
        <v>7</v>
      </c>
      <c r="I1" s="1240" t="s">
        <v>307</v>
      </c>
      <c r="J1" s="1238" t="s">
        <v>370</v>
      </c>
      <c r="K1" s="1308" t="s">
        <v>442</v>
      </c>
    </row>
    <row r="2" spans="1:11" ht="15.75">
      <c r="A2" s="1041">
        <v>45274</v>
      </c>
      <c r="B2" s="1041">
        <v>45640</v>
      </c>
      <c r="C2" s="1027" t="s">
        <v>2378</v>
      </c>
      <c r="D2" s="1027" t="s">
        <v>61</v>
      </c>
      <c r="E2" s="1027" t="s">
        <v>1593</v>
      </c>
      <c r="F2" s="1065">
        <v>6139.18</v>
      </c>
      <c r="G2" s="1066">
        <v>0.1</v>
      </c>
      <c r="H2" s="1067">
        <v>564.79999999999995</v>
      </c>
      <c r="I2" s="1243">
        <v>56.48</v>
      </c>
      <c r="J2" s="1027" t="s">
        <v>2070</v>
      </c>
      <c r="K2" s="1117" t="s">
        <v>1472</v>
      </c>
    </row>
    <row r="3" spans="1:11" ht="15.75">
      <c r="A3" s="1041">
        <v>45279</v>
      </c>
      <c r="B3" s="1041">
        <v>45644</v>
      </c>
      <c r="C3" s="1027" t="s">
        <v>1200</v>
      </c>
      <c r="D3" s="1027" t="s">
        <v>448</v>
      </c>
      <c r="E3" s="1027" t="s">
        <v>458</v>
      </c>
      <c r="F3" s="1065">
        <v>3220.07</v>
      </c>
      <c r="G3" s="1066">
        <v>0.2</v>
      </c>
      <c r="H3" s="1067">
        <v>592.49</v>
      </c>
      <c r="I3" s="1243">
        <v>59.24</v>
      </c>
      <c r="J3" s="1027" t="s">
        <v>2070</v>
      </c>
      <c r="K3" s="1117" t="s">
        <v>2015</v>
      </c>
    </row>
    <row r="4" spans="1:11" s="1222" customFormat="1" ht="15.75">
      <c r="A4" s="1041">
        <v>45286</v>
      </c>
      <c r="B4" s="1041">
        <v>45652</v>
      </c>
      <c r="C4" s="1027" t="s">
        <v>1938</v>
      </c>
      <c r="D4" s="1027" t="s">
        <v>9</v>
      </c>
      <c r="E4" s="1027" t="s">
        <v>945</v>
      </c>
      <c r="F4" s="1065">
        <v>2581.64</v>
      </c>
      <c r="G4" s="1066">
        <v>0.1</v>
      </c>
      <c r="H4" s="1067">
        <v>237.51</v>
      </c>
      <c r="I4" s="1243">
        <v>23.75</v>
      </c>
      <c r="J4" s="1027" t="s">
        <v>2070</v>
      </c>
      <c r="K4" s="1117" t="s">
        <v>2015</v>
      </c>
    </row>
    <row r="5" spans="1:11" s="1031" customFormat="1" ht="15.75">
      <c r="A5" s="1041">
        <v>45288</v>
      </c>
      <c r="B5" s="1041">
        <v>45654</v>
      </c>
      <c r="C5" s="1027" t="s">
        <v>2379</v>
      </c>
      <c r="D5" s="1027" t="s">
        <v>21</v>
      </c>
      <c r="E5" s="1027" t="s">
        <v>458</v>
      </c>
      <c r="F5" s="1065">
        <v>1710.23</v>
      </c>
      <c r="G5" s="1066">
        <v>0.1</v>
      </c>
      <c r="H5" s="1067">
        <v>157.34</v>
      </c>
      <c r="I5" s="1243">
        <v>15.73</v>
      </c>
      <c r="J5" s="1027" t="s">
        <v>2070</v>
      </c>
      <c r="K5" s="1117" t="s">
        <v>2015</v>
      </c>
    </row>
    <row r="6" spans="1:11" ht="15.75">
      <c r="A6" s="1294">
        <v>45280</v>
      </c>
      <c r="B6" s="1294" t="s">
        <v>1805</v>
      </c>
      <c r="C6" s="1085" t="s">
        <v>2380</v>
      </c>
      <c r="D6" s="1085" t="s">
        <v>25</v>
      </c>
      <c r="E6" s="1085" t="s">
        <v>1310</v>
      </c>
      <c r="F6" s="1296">
        <v>2465.63</v>
      </c>
      <c r="G6" s="1101">
        <v>0.1</v>
      </c>
      <c r="H6" s="1083">
        <v>-246.56</v>
      </c>
      <c r="I6" s="1518">
        <v>24.56</v>
      </c>
      <c r="J6" s="1085" t="s">
        <v>2070</v>
      </c>
      <c r="K6" s="1173" t="s">
        <v>1805</v>
      </c>
    </row>
    <row r="7" spans="1:11" s="1222" customFormat="1" ht="15.75">
      <c r="A7" s="1039">
        <v>45288</v>
      </c>
      <c r="B7" s="1039">
        <v>45654</v>
      </c>
      <c r="C7" s="1025" t="s">
        <v>2381</v>
      </c>
      <c r="D7" s="1025" t="s">
        <v>9</v>
      </c>
      <c r="E7" s="1025" t="s">
        <v>948</v>
      </c>
      <c r="F7" s="1061">
        <v>2018.27</v>
      </c>
      <c r="G7" s="1062">
        <v>0.25</v>
      </c>
      <c r="H7" s="1055">
        <v>464.2</v>
      </c>
      <c r="I7" s="1242">
        <v>232.1</v>
      </c>
      <c r="J7" s="1025" t="s">
        <v>371</v>
      </c>
      <c r="K7" s="1115" t="s">
        <v>2015</v>
      </c>
    </row>
    <row r="8" spans="1:11" s="1222" customFormat="1">
      <c r="A8" s="1039">
        <v>45254</v>
      </c>
      <c r="B8" s="1039">
        <v>45633</v>
      </c>
      <c r="C8" s="1025" t="s">
        <v>2382</v>
      </c>
      <c r="D8" s="1025" t="s">
        <v>848</v>
      </c>
      <c r="E8" s="1025" t="s">
        <v>2308</v>
      </c>
      <c r="F8" s="1061">
        <v>670.29</v>
      </c>
      <c r="G8" s="1062">
        <v>0.1</v>
      </c>
      <c r="H8" s="1055">
        <v>61.66</v>
      </c>
      <c r="I8" s="1242">
        <v>30.83</v>
      </c>
      <c r="J8" s="1025" t="s">
        <v>2152</v>
      </c>
      <c r="K8" s="1033" t="s">
        <v>2015</v>
      </c>
    </row>
    <row r="9" spans="1:11" s="1222" customFormat="1" ht="15.75">
      <c r="A9" s="1039">
        <v>45279</v>
      </c>
      <c r="B9" s="1039">
        <v>45645</v>
      </c>
      <c r="C9" s="1025" t="s">
        <v>2383</v>
      </c>
      <c r="D9" s="1025" t="s">
        <v>448</v>
      </c>
      <c r="E9" s="1025" t="s">
        <v>945</v>
      </c>
      <c r="F9" s="1061">
        <v>2229.1</v>
      </c>
      <c r="G9" s="1062">
        <v>0.1</v>
      </c>
      <c r="H9" s="1055">
        <v>205.07</v>
      </c>
      <c r="I9" s="1242">
        <v>102.53</v>
      </c>
      <c r="J9" s="1025" t="s">
        <v>2152</v>
      </c>
      <c r="K9" s="1115" t="s">
        <v>2015</v>
      </c>
    </row>
    <row r="10" spans="1:11" ht="15.75">
      <c r="A10" s="1037">
        <v>45264</v>
      </c>
      <c r="B10" s="1039">
        <v>45635</v>
      </c>
      <c r="C10" s="1025" t="s">
        <v>2384</v>
      </c>
      <c r="D10" s="1026" t="s">
        <v>9</v>
      </c>
      <c r="E10" s="1025" t="s">
        <v>1552</v>
      </c>
      <c r="F10" s="1061">
        <v>1422.89</v>
      </c>
      <c r="G10" s="1062">
        <v>0.1</v>
      </c>
      <c r="H10" s="1055">
        <v>130.9</v>
      </c>
      <c r="I10" s="1056">
        <v>65.45</v>
      </c>
      <c r="J10" s="1111" t="s">
        <v>1577</v>
      </c>
      <c r="K10" s="1115" t="s">
        <v>1472</v>
      </c>
    </row>
    <row r="11" spans="1:11" s="1033" customFormat="1" ht="15.75">
      <c r="A11" s="1039">
        <v>45273</v>
      </c>
      <c r="B11" s="1039">
        <v>45641</v>
      </c>
      <c r="C11" s="1025" t="s">
        <v>2385</v>
      </c>
      <c r="D11" s="1025" t="s">
        <v>25</v>
      </c>
      <c r="E11" s="1025" t="s">
        <v>1552</v>
      </c>
      <c r="F11" s="1061">
        <v>2752.6</v>
      </c>
      <c r="G11" s="1062">
        <v>0.2</v>
      </c>
      <c r="H11" s="1055">
        <v>506.47</v>
      </c>
      <c r="I11" s="1242">
        <v>253.23</v>
      </c>
      <c r="J11" s="1025" t="s">
        <v>1577</v>
      </c>
      <c r="K11" s="1115" t="s">
        <v>2015</v>
      </c>
    </row>
    <row r="12" spans="1:11" s="1033" customFormat="1" ht="15.75">
      <c r="A12" s="1039">
        <v>45275</v>
      </c>
      <c r="B12" s="1039">
        <v>45642</v>
      </c>
      <c r="C12" s="1025" t="s">
        <v>1934</v>
      </c>
      <c r="D12" s="1025" t="s">
        <v>70</v>
      </c>
      <c r="E12" s="1025" t="s">
        <v>1080</v>
      </c>
      <c r="F12" s="1061">
        <v>606.26</v>
      </c>
      <c r="G12" s="1062">
        <v>0.1</v>
      </c>
      <c r="H12" s="1055">
        <v>55.77</v>
      </c>
      <c r="I12" s="1242">
        <v>27.88</v>
      </c>
      <c r="J12" s="1025" t="s">
        <v>1577</v>
      </c>
      <c r="K12" s="1115" t="s">
        <v>2015</v>
      </c>
    </row>
    <row r="13" spans="1:11" ht="15.75">
      <c r="A13" s="1043">
        <v>45275</v>
      </c>
      <c r="B13" s="1045">
        <v>45644</v>
      </c>
      <c r="C13" s="1075" t="s">
        <v>2386</v>
      </c>
      <c r="D13" s="1075" t="s">
        <v>9</v>
      </c>
      <c r="E13" s="1075" t="s">
        <v>1593</v>
      </c>
      <c r="F13" s="1102">
        <v>2713.44</v>
      </c>
      <c r="G13" s="1076">
        <v>0.1</v>
      </c>
      <c r="H13" s="1260">
        <v>249.63</v>
      </c>
      <c r="I13" s="1077">
        <v>124.81</v>
      </c>
      <c r="J13" s="1261" t="s">
        <v>1577</v>
      </c>
      <c r="K13" s="1291" t="s">
        <v>1472</v>
      </c>
    </row>
    <row r="14" spans="1:11" ht="15.75">
      <c r="A14" s="1037">
        <v>45265</v>
      </c>
      <c r="B14" s="1038">
        <v>45627</v>
      </c>
      <c r="C14" s="1026" t="s">
        <v>1615</v>
      </c>
      <c r="D14" s="1026" t="s">
        <v>9</v>
      </c>
      <c r="E14" s="1026" t="s">
        <v>948</v>
      </c>
      <c r="F14" s="1059">
        <v>896.24</v>
      </c>
      <c r="G14" s="1054">
        <v>0.1</v>
      </c>
      <c r="H14" s="1055">
        <v>82.45</v>
      </c>
      <c r="I14" s="1056">
        <v>41.22</v>
      </c>
      <c r="J14" s="1111" t="s">
        <v>1759</v>
      </c>
      <c r="K14" s="1115" t="s">
        <v>2015</v>
      </c>
    </row>
    <row r="15" spans="1:11" ht="15.75">
      <c r="A15" s="1039">
        <v>45281</v>
      </c>
      <c r="B15" s="1039">
        <v>45652</v>
      </c>
      <c r="C15" s="1025" t="s">
        <v>2387</v>
      </c>
      <c r="D15" s="1025" t="s">
        <v>149</v>
      </c>
      <c r="E15" s="1025" t="s">
        <v>2388</v>
      </c>
      <c r="F15" s="1023">
        <v>781.75</v>
      </c>
      <c r="G15" s="1062">
        <v>0.1</v>
      </c>
      <c r="H15" s="1023">
        <v>71.819999999999993</v>
      </c>
      <c r="I15" s="1063">
        <v>35.909999999999997</v>
      </c>
      <c r="J15" s="1111" t="s">
        <v>1759</v>
      </c>
      <c r="K15" s="1115" t="s">
        <v>2015</v>
      </c>
    </row>
    <row r="16" spans="1:11" ht="15.75">
      <c r="A16" s="1043">
        <v>45264</v>
      </c>
      <c r="B16" s="1045">
        <v>45630</v>
      </c>
      <c r="C16" s="1075" t="s">
        <v>2343</v>
      </c>
      <c r="D16" s="1075" t="s">
        <v>9</v>
      </c>
      <c r="E16" s="1075" t="s">
        <v>1593</v>
      </c>
      <c r="F16" s="1102">
        <v>3257.87</v>
      </c>
      <c r="G16" s="1076">
        <v>0.1</v>
      </c>
      <c r="H16" s="1055">
        <v>299.72000000000003</v>
      </c>
      <c r="I16" s="1077">
        <v>149.86000000000001</v>
      </c>
      <c r="J16" s="1111" t="s">
        <v>1482</v>
      </c>
      <c r="K16" s="1115" t="s">
        <v>1472</v>
      </c>
    </row>
    <row r="17" spans="1:11" ht="15.75">
      <c r="A17" s="1037">
        <v>45280</v>
      </c>
      <c r="B17" s="1038">
        <v>45646</v>
      </c>
      <c r="C17" s="1119" t="s">
        <v>1191</v>
      </c>
      <c r="D17" s="1026" t="s">
        <v>448</v>
      </c>
      <c r="E17" s="1026" t="s">
        <v>948</v>
      </c>
      <c r="F17" s="1059">
        <v>1025.18</v>
      </c>
      <c r="G17" s="1054">
        <v>0.1</v>
      </c>
      <c r="H17" s="1055">
        <v>94.31</v>
      </c>
      <c r="I17" s="1056">
        <v>47.15</v>
      </c>
      <c r="J17" s="1111" t="s">
        <v>1482</v>
      </c>
      <c r="K17" s="1115" t="s">
        <v>2015</v>
      </c>
    </row>
    <row r="18" spans="1:11" ht="15.75">
      <c r="A18" s="1037">
        <v>45261</v>
      </c>
      <c r="B18" s="1038">
        <v>45627</v>
      </c>
      <c r="C18" s="1025" t="s">
        <v>1164</v>
      </c>
      <c r="D18" s="1025" t="s">
        <v>25</v>
      </c>
      <c r="E18" s="1025" t="s">
        <v>948</v>
      </c>
      <c r="F18" s="1061">
        <v>917.25</v>
      </c>
      <c r="G18" s="1062">
        <v>0.15</v>
      </c>
      <c r="H18" s="1055">
        <v>126.58</v>
      </c>
      <c r="I18" s="1056"/>
      <c r="J18" s="1111"/>
      <c r="K18" s="1115" t="s">
        <v>2015</v>
      </c>
    </row>
    <row r="19" spans="1:11" ht="15.75">
      <c r="A19" s="1037">
        <v>45261</v>
      </c>
      <c r="B19" s="1038">
        <v>45627</v>
      </c>
      <c r="C19" s="1025" t="s">
        <v>1920</v>
      </c>
      <c r="D19" s="1025" t="s">
        <v>9</v>
      </c>
      <c r="E19" s="1025" t="s">
        <v>1310</v>
      </c>
      <c r="F19" s="1309">
        <v>2052.37</v>
      </c>
      <c r="G19" s="1062">
        <v>0.1</v>
      </c>
      <c r="H19" s="1055">
        <v>188.81</v>
      </c>
      <c r="I19" s="1056"/>
      <c r="J19" s="1111"/>
      <c r="K19" s="1115" t="s">
        <v>2015</v>
      </c>
    </row>
    <row r="20" spans="1:11" s="1222" customFormat="1" ht="15.75">
      <c r="A20" s="1037">
        <v>45264</v>
      </c>
      <c r="B20" s="1038">
        <v>45630</v>
      </c>
      <c r="C20" s="1026" t="s">
        <v>2389</v>
      </c>
      <c r="D20" s="1026" t="s">
        <v>9</v>
      </c>
      <c r="E20" s="1025" t="s">
        <v>1641</v>
      </c>
      <c r="F20" s="1061">
        <v>1621.66</v>
      </c>
      <c r="G20" s="1062">
        <v>0.1</v>
      </c>
      <c r="H20" s="1055">
        <v>149.19</v>
      </c>
      <c r="I20" s="1056"/>
      <c r="J20" s="1111"/>
      <c r="K20" s="1115" t="s">
        <v>1472</v>
      </c>
    </row>
    <row r="21" spans="1:11" ht="15.75">
      <c r="A21" s="1037">
        <v>45264</v>
      </c>
      <c r="B21" s="1038">
        <v>45630</v>
      </c>
      <c r="C21" s="1025" t="s">
        <v>1180</v>
      </c>
      <c r="D21" s="1026" t="s">
        <v>14</v>
      </c>
      <c r="E21" s="1025" t="s">
        <v>945</v>
      </c>
      <c r="F21" s="1061">
        <v>1681.48</v>
      </c>
      <c r="G21" s="1062">
        <v>0.1</v>
      </c>
      <c r="H21" s="1055">
        <v>154.69</v>
      </c>
      <c r="I21" s="1056"/>
      <c r="J21" s="1111"/>
      <c r="K21" s="1116" t="s">
        <v>2015</v>
      </c>
    </row>
    <row r="22" spans="1:11" ht="15.75">
      <c r="A22" s="1037">
        <v>45265</v>
      </c>
      <c r="B22" s="1038">
        <v>45631</v>
      </c>
      <c r="C22" s="1025" t="s">
        <v>2154</v>
      </c>
      <c r="D22" s="1026" t="s">
        <v>9</v>
      </c>
      <c r="E22" s="1025" t="s">
        <v>1310</v>
      </c>
      <c r="F22" s="1061">
        <v>3258.17</v>
      </c>
      <c r="G22" s="1062">
        <v>0.2</v>
      </c>
      <c r="H22" s="1055">
        <v>599.5</v>
      </c>
      <c r="I22" s="1056"/>
      <c r="J22" s="1111"/>
      <c r="K22" s="1116" t="s">
        <v>2015</v>
      </c>
    </row>
    <row r="23" spans="1:11" s="1222" customFormat="1" ht="15.75">
      <c r="A23" s="1037">
        <v>45266</v>
      </c>
      <c r="B23" s="1038">
        <v>45632</v>
      </c>
      <c r="C23" s="1032" t="s">
        <v>2390</v>
      </c>
      <c r="D23" s="1026" t="s">
        <v>9</v>
      </c>
      <c r="E23" s="1025" t="s">
        <v>458</v>
      </c>
      <c r="F23" s="1061">
        <v>2216.0100000000002</v>
      </c>
      <c r="G23" s="1062">
        <v>0.1</v>
      </c>
      <c r="H23" s="1055">
        <v>203.87</v>
      </c>
      <c r="I23" s="1056"/>
      <c r="J23" s="1111"/>
      <c r="K23" s="1115" t="s">
        <v>2015</v>
      </c>
    </row>
    <row r="24" spans="1:11" s="1222" customFormat="1" ht="15.75">
      <c r="A24" s="1039">
        <v>45267</v>
      </c>
      <c r="B24" s="1039">
        <v>45633</v>
      </c>
      <c r="C24" s="1025" t="s">
        <v>1617</v>
      </c>
      <c r="D24" s="1025" t="s">
        <v>9</v>
      </c>
      <c r="E24" s="1025" t="s">
        <v>948</v>
      </c>
      <c r="F24" s="1023">
        <v>2498.15</v>
      </c>
      <c r="G24" s="1062">
        <v>0.1</v>
      </c>
      <c r="H24" s="1055">
        <v>229.82</v>
      </c>
      <c r="I24" s="1056"/>
      <c r="J24" s="1111"/>
      <c r="K24" s="1115" t="s">
        <v>2015</v>
      </c>
    </row>
    <row r="25" spans="1:11" s="1310" customFormat="1" ht="15.75">
      <c r="A25" s="1039">
        <v>45267</v>
      </c>
      <c r="B25" s="1039">
        <v>45635</v>
      </c>
      <c r="C25" s="1025" t="s">
        <v>1185</v>
      </c>
      <c r="D25" s="1025" t="s">
        <v>70</v>
      </c>
      <c r="E25" s="1025" t="s">
        <v>948</v>
      </c>
      <c r="F25" s="1061">
        <v>811.03</v>
      </c>
      <c r="G25" s="1062">
        <v>0.15</v>
      </c>
      <c r="H25" s="1055">
        <v>111.92</v>
      </c>
      <c r="I25" s="1056"/>
      <c r="J25" s="1111"/>
      <c r="K25" s="1115" t="s">
        <v>2015</v>
      </c>
    </row>
    <row r="26" spans="1:11" ht="15.75">
      <c r="A26" s="1039">
        <v>45267</v>
      </c>
      <c r="B26" s="1039">
        <v>45635</v>
      </c>
      <c r="C26" s="1025" t="s">
        <v>2391</v>
      </c>
      <c r="D26" s="1025" t="s">
        <v>61</v>
      </c>
      <c r="E26" s="1025" t="s">
        <v>1593</v>
      </c>
      <c r="F26" s="1023">
        <v>1852.51</v>
      </c>
      <c r="G26" s="1062">
        <v>0.1</v>
      </c>
      <c r="H26" s="1023">
        <v>170.43</v>
      </c>
      <c r="I26" s="1056"/>
      <c r="J26" s="1111"/>
      <c r="K26" s="1115" t="s">
        <v>2015</v>
      </c>
    </row>
    <row r="27" spans="1:11" ht="15.75">
      <c r="A27" s="1037">
        <v>45267</v>
      </c>
      <c r="B27" s="1039">
        <v>45636</v>
      </c>
      <c r="C27" s="1025" t="s">
        <v>1929</v>
      </c>
      <c r="D27" s="1026" t="s">
        <v>61</v>
      </c>
      <c r="E27" s="1025" t="s">
        <v>1593</v>
      </c>
      <c r="F27" s="1061">
        <v>2457.8200000000002</v>
      </c>
      <c r="G27" s="1062">
        <v>0.1</v>
      </c>
      <c r="H27" s="1055">
        <v>226.11</v>
      </c>
      <c r="I27" s="1056"/>
      <c r="J27" s="1111"/>
      <c r="K27" s="1115" t="s">
        <v>2015</v>
      </c>
    </row>
    <row r="28" spans="1:11" ht="15.75">
      <c r="A28" s="1037">
        <v>45267</v>
      </c>
      <c r="B28" s="1039">
        <v>45636</v>
      </c>
      <c r="C28" s="1025" t="s">
        <v>1926</v>
      </c>
      <c r="D28" s="1026" t="s">
        <v>448</v>
      </c>
      <c r="E28" s="1025" t="s">
        <v>458</v>
      </c>
      <c r="F28" s="1061">
        <v>2112.38</v>
      </c>
      <c r="G28" s="1062">
        <v>0.1</v>
      </c>
      <c r="H28" s="1055">
        <v>194.33</v>
      </c>
      <c r="I28" s="1056"/>
      <c r="J28" s="1111"/>
      <c r="K28" s="1115" t="s">
        <v>2015</v>
      </c>
    </row>
    <row r="29" spans="1:11" ht="15.75">
      <c r="A29" s="1037">
        <v>45271</v>
      </c>
      <c r="B29" s="1039">
        <v>45637</v>
      </c>
      <c r="C29" s="1025" t="s">
        <v>1927</v>
      </c>
      <c r="D29" s="1026" t="s">
        <v>9</v>
      </c>
      <c r="E29" s="1025" t="s">
        <v>1593</v>
      </c>
      <c r="F29" s="1061">
        <v>3796.58</v>
      </c>
      <c r="G29" s="1062">
        <v>0.1</v>
      </c>
      <c r="H29" s="1055">
        <v>349.28</v>
      </c>
      <c r="I29" s="1056" t="s">
        <v>442</v>
      </c>
      <c r="J29" s="1111"/>
      <c r="K29" s="1115" t="s">
        <v>2015</v>
      </c>
    </row>
    <row r="30" spans="1:11" ht="15.75">
      <c r="A30" s="1037">
        <v>45272</v>
      </c>
      <c r="B30" s="1039">
        <v>45638</v>
      </c>
      <c r="C30" s="1025" t="s">
        <v>1640</v>
      </c>
      <c r="D30" s="1026" t="s">
        <v>61</v>
      </c>
      <c r="E30" s="1025" t="s">
        <v>1641</v>
      </c>
      <c r="F30" s="1061">
        <v>2914.91</v>
      </c>
      <c r="G30" s="1062">
        <v>0.2</v>
      </c>
      <c r="H30" s="1055">
        <v>536.34</v>
      </c>
      <c r="I30" s="1056"/>
      <c r="J30" s="1111"/>
      <c r="K30" s="1115" t="s">
        <v>2015</v>
      </c>
    </row>
    <row r="31" spans="1:11" ht="15.75">
      <c r="A31" s="1037">
        <v>45273</v>
      </c>
      <c r="B31" s="1039">
        <v>45639</v>
      </c>
      <c r="C31" s="1032" t="s">
        <v>966</v>
      </c>
      <c r="D31" s="1026" t="s">
        <v>9</v>
      </c>
      <c r="E31" s="1025" t="s">
        <v>948</v>
      </c>
      <c r="F31" s="1061">
        <v>1108.68</v>
      </c>
      <c r="G31" s="1062">
        <v>0.15</v>
      </c>
      <c r="H31" s="1055">
        <v>152.99</v>
      </c>
      <c r="I31" s="1056"/>
      <c r="J31" s="1111"/>
      <c r="K31" s="1115" t="s">
        <v>2015</v>
      </c>
    </row>
    <row r="32" spans="1:11" ht="15.75">
      <c r="A32" s="1037">
        <v>45274</v>
      </c>
      <c r="B32" s="1039">
        <v>45640</v>
      </c>
      <c r="C32" s="1025" t="s">
        <v>1155</v>
      </c>
      <c r="D32" s="1026" t="s">
        <v>61</v>
      </c>
      <c r="E32" s="1026" t="s">
        <v>45</v>
      </c>
      <c r="F32" s="1071">
        <v>1711.26</v>
      </c>
      <c r="G32" s="1062">
        <v>0.1</v>
      </c>
      <c r="H32" s="1088">
        <v>157.43</v>
      </c>
      <c r="I32" s="1089"/>
      <c r="J32" s="1111"/>
      <c r="K32" s="1115" t="s">
        <v>2015</v>
      </c>
    </row>
    <row r="33" spans="1:11" s="1222" customFormat="1" ht="15.75">
      <c r="A33" s="1037">
        <v>45253</v>
      </c>
      <c r="B33" s="1038">
        <v>45641</v>
      </c>
      <c r="C33" s="1025" t="s">
        <v>2392</v>
      </c>
      <c r="D33" s="1026" t="s">
        <v>9</v>
      </c>
      <c r="E33" s="1026" t="s">
        <v>1552</v>
      </c>
      <c r="F33" s="1053">
        <v>3347.05</v>
      </c>
      <c r="G33" s="1054">
        <v>0.1</v>
      </c>
      <c r="H33" s="1055">
        <v>307.92</v>
      </c>
      <c r="I33" s="1056"/>
      <c r="J33" s="1111"/>
      <c r="K33" s="1115" t="s">
        <v>1472</v>
      </c>
    </row>
    <row r="34" spans="1:11" ht="15.75">
      <c r="A34" s="1037">
        <v>45275</v>
      </c>
      <c r="B34" s="1038">
        <v>45641</v>
      </c>
      <c r="C34" s="1025" t="s">
        <v>1933</v>
      </c>
      <c r="D34" s="1026" t="s">
        <v>9</v>
      </c>
      <c r="E34" s="1026" t="s">
        <v>1552</v>
      </c>
      <c r="F34" s="1059">
        <v>1981.6</v>
      </c>
      <c r="G34" s="1054">
        <v>0.15</v>
      </c>
      <c r="H34" s="1055">
        <v>273.45999999999998</v>
      </c>
      <c r="I34" s="1056"/>
      <c r="J34" s="1111"/>
      <c r="K34" s="1115" t="s">
        <v>2015</v>
      </c>
    </row>
    <row r="35" spans="1:11" ht="15.75">
      <c r="A35" s="1037">
        <v>45275</v>
      </c>
      <c r="B35" s="1038">
        <v>45641</v>
      </c>
      <c r="C35" s="1025" t="s">
        <v>2393</v>
      </c>
      <c r="D35" s="1026" t="s">
        <v>9</v>
      </c>
      <c r="E35" s="1026" t="s">
        <v>948</v>
      </c>
      <c r="F35" s="1053">
        <v>2225.21</v>
      </c>
      <c r="G35" s="1054">
        <v>0.1</v>
      </c>
      <c r="H35" s="1023">
        <v>204.71</v>
      </c>
      <c r="I35" s="1056"/>
      <c r="J35" s="1111"/>
      <c r="K35" s="1115" t="s">
        <v>1472</v>
      </c>
    </row>
    <row r="36" spans="1:11" ht="15.75">
      <c r="A36" s="1037">
        <v>45275</v>
      </c>
      <c r="B36" s="1038">
        <v>45641</v>
      </c>
      <c r="C36" s="1025" t="s">
        <v>1205</v>
      </c>
      <c r="D36" s="1026" t="s">
        <v>14</v>
      </c>
      <c r="E36" s="1026" t="s">
        <v>945</v>
      </c>
      <c r="F36" s="1059">
        <v>2253.3000000000002</v>
      </c>
      <c r="G36" s="1054">
        <v>0.15</v>
      </c>
      <c r="H36" s="1055">
        <v>310.95</v>
      </c>
      <c r="I36" s="1056"/>
      <c r="J36" s="1111"/>
      <c r="K36" s="1115" t="s">
        <v>2015</v>
      </c>
    </row>
    <row r="37" spans="1:11" ht="15.75">
      <c r="A37" s="1037">
        <v>45275</v>
      </c>
      <c r="B37" s="1038">
        <v>45641</v>
      </c>
      <c r="C37" s="1025" t="s">
        <v>2155</v>
      </c>
      <c r="D37" s="1026" t="s">
        <v>448</v>
      </c>
      <c r="E37" s="1026" t="s">
        <v>945</v>
      </c>
      <c r="F37" s="1053">
        <v>589.58000000000004</v>
      </c>
      <c r="G37" s="1054">
        <v>0.1</v>
      </c>
      <c r="H37" s="1055">
        <v>54.24</v>
      </c>
      <c r="I37" s="1056"/>
      <c r="J37" s="1111"/>
      <c r="K37" s="1116" t="s">
        <v>2015</v>
      </c>
    </row>
    <row r="38" spans="1:11" ht="15.75">
      <c r="A38" s="1037">
        <v>45271</v>
      </c>
      <c r="B38" s="1038">
        <v>45642</v>
      </c>
      <c r="C38" s="1026" t="s">
        <v>1634</v>
      </c>
      <c r="D38" s="1026" t="s">
        <v>25</v>
      </c>
      <c r="E38" s="1026" t="s">
        <v>1080</v>
      </c>
      <c r="F38" s="1053">
        <v>532.47</v>
      </c>
      <c r="G38" s="1054">
        <v>0.1</v>
      </c>
      <c r="H38" s="1055">
        <v>48.98</v>
      </c>
      <c r="I38" s="1056"/>
      <c r="J38" s="1111"/>
      <c r="K38" s="1115" t="s">
        <v>2015</v>
      </c>
    </row>
    <row r="39" spans="1:11" s="1192" customFormat="1" ht="15.75">
      <c r="A39" s="1037">
        <v>45275</v>
      </c>
      <c r="B39" s="1038">
        <v>45643</v>
      </c>
      <c r="C39" s="1140" t="s">
        <v>2157</v>
      </c>
      <c r="D39" s="1026" t="s">
        <v>448</v>
      </c>
      <c r="E39" s="1026" t="s">
        <v>945</v>
      </c>
      <c r="F39" s="1059">
        <v>2853.97</v>
      </c>
      <c r="G39" s="1054">
        <v>0.1</v>
      </c>
      <c r="H39" s="1055">
        <v>262.56</v>
      </c>
      <c r="I39" s="1056"/>
      <c r="J39" s="1111"/>
      <c r="K39" s="1115" t="s">
        <v>2015</v>
      </c>
    </row>
    <row r="40" spans="1:11" ht="15.75">
      <c r="A40" s="1037">
        <v>45266</v>
      </c>
      <c r="B40" s="1038">
        <v>45644</v>
      </c>
      <c r="C40" s="1025" t="s">
        <v>2394</v>
      </c>
      <c r="D40" s="1026" t="s">
        <v>448</v>
      </c>
      <c r="E40" s="1026" t="s">
        <v>458</v>
      </c>
      <c r="F40" s="1059">
        <v>2769.52</v>
      </c>
      <c r="G40" s="1054">
        <v>0.15</v>
      </c>
      <c r="H40" s="1055">
        <v>382.19</v>
      </c>
      <c r="I40" s="1056"/>
      <c r="J40" s="1111"/>
      <c r="K40" s="1115" t="s">
        <v>1472</v>
      </c>
    </row>
    <row r="41" spans="1:11" ht="15.75">
      <c r="A41" s="1037">
        <v>45271</v>
      </c>
      <c r="B41" s="1038">
        <v>45644</v>
      </c>
      <c r="C41" s="1025" t="s">
        <v>826</v>
      </c>
      <c r="D41" s="1026" t="s">
        <v>448</v>
      </c>
      <c r="E41" s="1026" t="s">
        <v>458</v>
      </c>
      <c r="F41" s="1059">
        <v>4200.6000000000004</v>
      </c>
      <c r="G41" s="1054">
        <v>0.1</v>
      </c>
      <c r="H41" s="1055">
        <v>386.45</v>
      </c>
      <c r="I41" s="1056"/>
      <c r="J41" s="1111"/>
      <c r="K41" s="1115" t="s">
        <v>2015</v>
      </c>
    </row>
    <row r="42" spans="1:11" ht="15.75">
      <c r="A42" s="1037">
        <v>45279</v>
      </c>
      <c r="B42" s="1038">
        <v>45645</v>
      </c>
      <c r="C42" s="1026" t="s">
        <v>1677</v>
      </c>
      <c r="D42" s="1026" t="s">
        <v>9</v>
      </c>
      <c r="E42" s="1026" t="s">
        <v>1641</v>
      </c>
      <c r="F42" s="1059">
        <v>2784.03</v>
      </c>
      <c r="G42" s="1054">
        <v>0.1</v>
      </c>
      <c r="H42" s="1055">
        <v>256.13</v>
      </c>
      <c r="I42" s="1056"/>
      <c r="J42" s="1111"/>
      <c r="K42" s="1115" t="s">
        <v>2015</v>
      </c>
    </row>
    <row r="43" spans="1:11" ht="15.75">
      <c r="A43" s="1037">
        <v>45279</v>
      </c>
      <c r="B43" s="1038">
        <v>45646</v>
      </c>
      <c r="C43" s="1026" t="s">
        <v>2158</v>
      </c>
      <c r="D43" s="1026" t="s">
        <v>9</v>
      </c>
      <c r="E43" s="1026" t="s">
        <v>1552</v>
      </c>
      <c r="F43" s="1059">
        <v>2573.5700000000002</v>
      </c>
      <c r="G43" s="1054">
        <v>0.1</v>
      </c>
      <c r="H43" s="1055">
        <v>236.76</v>
      </c>
      <c r="I43" s="1056"/>
      <c r="J43" s="1111"/>
      <c r="K43" s="1115" t="s">
        <v>2015</v>
      </c>
    </row>
    <row r="44" spans="1:11" ht="15.75">
      <c r="A44" s="1037">
        <v>45280</v>
      </c>
      <c r="B44" s="1038">
        <v>45646</v>
      </c>
      <c r="C44" s="1026" t="s">
        <v>2395</v>
      </c>
      <c r="D44" s="1026" t="s">
        <v>448</v>
      </c>
      <c r="E44" s="1026" t="s">
        <v>948</v>
      </c>
      <c r="F44" s="1059">
        <v>1959.09</v>
      </c>
      <c r="G44" s="1054">
        <v>0.1</v>
      </c>
      <c r="H44" s="1055">
        <v>180.23</v>
      </c>
      <c r="I44" s="1056"/>
      <c r="J44" s="1111"/>
      <c r="K44" s="1115" t="s">
        <v>2015</v>
      </c>
    </row>
    <row r="45" spans="1:11" ht="15.75">
      <c r="A45" s="1037">
        <v>45278</v>
      </c>
      <c r="B45" s="1038">
        <v>45647</v>
      </c>
      <c r="C45" s="1026" t="s">
        <v>1637</v>
      </c>
      <c r="D45" s="1026" t="s">
        <v>9</v>
      </c>
      <c r="E45" s="1026" t="s">
        <v>948</v>
      </c>
      <c r="F45" s="1053">
        <v>1504.76</v>
      </c>
      <c r="G45" s="1054">
        <v>0.1</v>
      </c>
      <c r="H45" s="1055">
        <v>1384.28</v>
      </c>
      <c r="I45" s="1056"/>
      <c r="J45" s="1111"/>
      <c r="K45" s="1115" t="s">
        <v>2015</v>
      </c>
    </row>
    <row r="46" spans="1:11" ht="15.75">
      <c r="A46" s="1037">
        <v>45281</v>
      </c>
      <c r="B46" s="1038">
        <v>45647</v>
      </c>
      <c r="C46" s="1026" t="s">
        <v>1133</v>
      </c>
      <c r="D46" s="1026" t="s">
        <v>848</v>
      </c>
      <c r="E46" s="1026" t="s">
        <v>458</v>
      </c>
      <c r="F46" s="1059">
        <v>3615.79</v>
      </c>
      <c r="G46" s="1054">
        <v>0.1</v>
      </c>
      <c r="H46" s="1055">
        <v>332.65</v>
      </c>
      <c r="I46" s="1056"/>
      <c r="J46" s="1111"/>
      <c r="K46" s="1115" t="s">
        <v>2015</v>
      </c>
    </row>
    <row r="47" spans="1:11" s="1222" customFormat="1" ht="15.75">
      <c r="A47" s="1037">
        <v>45281</v>
      </c>
      <c r="B47" s="1038">
        <v>45649</v>
      </c>
      <c r="C47" s="1026" t="s">
        <v>1082</v>
      </c>
      <c r="D47" s="1026" t="s">
        <v>9</v>
      </c>
      <c r="E47" s="1026" t="s">
        <v>1310</v>
      </c>
      <c r="F47" s="1059">
        <v>2128.3000000000002</v>
      </c>
      <c r="G47" s="1054">
        <v>0.1</v>
      </c>
      <c r="H47" s="1055">
        <v>195.8</v>
      </c>
      <c r="I47" s="1056"/>
      <c r="J47" s="1111"/>
      <c r="K47" s="1115" t="s">
        <v>2015</v>
      </c>
    </row>
    <row r="48" spans="1:11" ht="15.75">
      <c r="A48" s="1037">
        <v>45281</v>
      </c>
      <c r="B48" s="1038">
        <v>45649</v>
      </c>
      <c r="C48" s="1026" t="s">
        <v>1936</v>
      </c>
      <c r="D48" s="1026" t="s">
        <v>9</v>
      </c>
      <c r="E48" s="1026" t="s">
        <v>948</v>
      </c>
      <c r="F48" s="1059">
        <v>2116.5500000000002</v>
      </c>
      <c r="G48" s="1054">
        <v>0.1</v>
      </c>
      <c r="H48" s="1055">
        <v>194.72</v>
      </c>
      <c r="I48" s="1056"/>
      <c r="J48" s="1111"/>
      <c r="K48" s="1115" t="s">
        <v>2015</v>
      </c>
    </row>
    <row r="49" spans="1:11" ht="15.75">
      <c r="A49" s="1037">
        <v>45282</v>
      </c>
      <c r="B49" s="1038">
        <v>45649</v>
      </c>
      <c r="C49" s="1026" t="s">
        <v>1198</v>
      </c>
      <c r="D49" s="1026" t="s">
        <v>2396</v>
      </c>
      <c r="E49" s="1026" t="s">
        <v>1641</v>
      </c>
      <c r="F49" s="1059">
        <v>1407.37</v>
      </c>
      <c r="G49" s="1054">
        <v>0.15</v>
      </c>
      <c r="H49" s="1055">
        <v>194.21</v>
      </c>
      <c r="I49" s="1056"/>
      <c r="J49" s="1111"/>
      <c r="K49" s="1115" t="s">
        <v>2015</v>
      </c>
    </row>
    <row r="50" spans="1:11" ht="15.75">
      <c r="A50" s="1037">
        <v>45288</v>
      </c>
      <c r="B50" s="1038">
        <v>45652</v>
      </c>
      <c r="C50" s="1026" t="s">
        <v>2397</v>
      </c>
      <c r="D50" s="1026" t="s">
        <v>448</v>
      </c>
      <c r="E50" s="1026" t="s">
        <v>948</v>
      </c>
      <c r="F50" s="1059">
        <v>2929.3</v>
      </c>
      <c r="G50" s="1054">
        <v>0.1</v>
      </c>
      <c r="H50" s="1055">
        <v>269.49</v>
      </c>
      <c r="I50" s="1056"/>
      <c r="J50" s="1111"/>
      <c r="K50" s="1115" t="s">
        <v>1472</v>
      </c>
    </row>
    <row r="51" spans="1:11" s="1222" customFormat="1" ht="15.75">
      <c r="A51" s="1037">
        <v>45287</v>
      </c>
      <c r="B51" s="1038">
        <v>45653</v>
      </c>
      <c r="C51" s="1026" t="s">
        <v>2398</v>
      </c>
      <c r="D51" s="1026" t="s">
        <v>70</v>
      </c>
      <c r="E51" s="1026" t="s">
        <v>1080</v>
      </c>
      <c r="F51" s="1059">
        <v>646.13</v>
      </c>
      <c r="G51" s="1054">
        <v>0.1</v>
      </c>
      <c r="H51" s="1055">
        <v>59.44</v>
      </c>
      <c r="I51" s="1056"/>
      <c r="J51" s="1111"/>
      <c r="K51" s="1115" t="s">
        <v>2015</v>
      </c>
    </row>
    <row r="52" spans="1:11" ht="15.75">
      <c r="A52" s="1037">
        <v>45287</v>
      </c>
      <c r="B52" s="1038">
        <v>45653</v>
      </c>
      <c r="C52" s="1026" t="s">
        <v>2399</v>
      </c>
      <c r="D52" s="1026" t="s">
        <v>61</v>
      </c>
      <c r="E52" s="1026" t="s">
        <v>1080</v>
      </c>
      <c r="F52" s="1059">
        <v>2029.05</v>
      </c>
      <c r="G52" s="1054">
        <v>0.1</v>
      </c>
      <c r="H52" s="1055">
        <v>186.67</v>
      </c>
      <c r="I52" s="1056"/>
      <c r="J52" s="1111"/>
      <c r="K52" s="1115" t="s">
        <v>1472</v>
      </c>
    </row>
    <row r="53" spans="1:11" ht="15.75">
      <c r="A53" s="1037">
        <v>45286</v>
      </c>
      <c r="B53" s="1038">
        <v>45654</v>
      </c>
      <c r="C53" s="1026" t="s">
        <v>2400</v>
      </c>
      <c r="D53" s="1026" t="s">
        <v>9</v>
      </c>
      <c r="E53" s="1026" t="s">
        <v>1593</v>
      </c>
      <c r="F53" s="1059">
        <v>1263.27</v>
      </c>
      <c r="G53" s="1054">
        <v>0.1</v>
      </c>
      <c r="H53" s="1055">
        <v>116.22</v>
      </c>
      <c r="I53" s="1056"/>
      <c r="J53" s="1111"/>
      <c r="K53" s="1115" t="s">
        <v>2015</v>
      </c>
    </row>
    <row r="54" spans="1:11" ht="15.75">
      <c r="A54" s="1037">
        <v>45288</v>
      </c>
      <c r="B54" s="1038">
        <v>45654</v>
      </c>
      <c r="C54" s="1026" t="s">
        <v>2401</v>
      </c>
      <c r="D54" s="1026" t="s">
        <v>9</v>
      </c>
      <c r="E54" s="1026" t="s">
        <v>1641</v>
      </c>
      <c r="F54" s="1059">
        <v>1998.03</v>
      </c>
      <c r="G54" s="1054">
        <v>0.2</v>
      </c>
      <c r="H54" s="1055">
        <v>367.63</v>
      </c>
      <c r="I54" s="1056"/>
      <c r="J54" s="1111"/>
      <c r="K54" s="1115" t="s">
        <v>2015</v>
      </c>
    </row>
    <row r="55" spans="1:11" ht="15.75">
      <c r="A55" s="1037">
        <v>45288</v>
      </c>
      <c r="B55" s="1038">
        <v>45654</v>
      </c>
      <c r="C55" s="1026" t="s">
        <v>2402</v>
      </c>
      <c r="D55" s="1026" t="s">
        <v>448</v>
      </c>
      <c r="E55" s="1026" t="s">
        <v>945</v>
      </c>
      <c r="F55" s="1059">
        <v>2594.35</v>
      </c>
      <c r="G55" s="1054">
        <v>0.1</v>
      </c>
      <c r="H55" s="1055">
        <v>238.68</v>
      </c>
      <c r="I55" s="1056"/>
      <c r="J55" s="1111"/>
      <c r="K55" s="1115" t="s">
        <v>2015</v>
      </c>
    </row>
    <row r="56" spans="1:11" ht="15.75">
      <c r="A56" s="1037">
        <v>45288</v>
      </c>
      <c r="B56" s="1038">
        <v>45654</v>
      </c>
      <c r="C56" s="1026" t="s">
        <v>2403</v>
      </c>
      <c r="D56" s="1026" t="s">
        <v>448</v>
      </c>
      <c r="E56" s="1026" t="s">
        <v>948</v>
      </c>
      <c r="F56" s="1059">
        <v>1958.47</v>
      </c>
      <c r="G56" s="1054">
        <v>0.1</v>
      </c>
      <c r="H56" s="1055">
        <v>180.17</v>
      </c>
      <c r="I56" s="1056"/>
      <c r="J56" s="1111"/>
      <c r="K56" s="1115" t="s">
        <v>2015</v>
      </c>
    </row>
    <row r="57" spans="1:11" ht="15.75">
      <c r="A57" s="1037">
        <v>45293</v>
      </c>
      <c r="B57" s="1038">
        <v>45654</v>
      </c>
      <c r="C57" s="1026" t="s">
        <v>2404</v>
      </c>
      <c r="D57" s="1026" t="s">
        <v>9</v>
      </c>
      <c r="E57" s="1026" t="s">
        <v>948</v>
      </c>
      <c r="F57" s="1059">
        <v>1939.68</v>
      </c>
      <c r="G57" s="1054">
        <v>0.1</v>
      </c>
      <c r="H57" s="1055">
        <v>178.45</v>
      </c>
      <c r="I57" s="1056"/>
      <c r="J57" s="1111"/>
      <c r="K57" s="1115" t="s">
        <v>1472</v>
      </c>
    </row>
    <row r="58" spans="1:11" ht="15.75">
      <c r="A58" s="1037">
        <v>45288</v>
      </c>
      <c r="B58" s="1038">
        <v>45656</v>
      </c>
      <c r="C58" s="1026" t="s">
        <v>2405</v>
      </c>
      <c r="D58" s="1026" t="s">
        <v>1924</v>
      </c>
      <c r="E58" s="1026" t="s">
        <v>948</v>
      </c>
      <c r="F58" s="1059">
        <v>3081.95</v>
      </c>
      <c r="G58" s="1054">
        <v>0.1</v>
      </c>
      <c r="H58" s="1269">
        <v>283.52999999999997</v>
      </c>
      <c r="I58" s="1056"/>
      <c r="J58" s="1289"/>
      <c r="K58" s="1290" t="s">
        <v>2015</v>
      </c>
    </row>
    <row r="59" spans="1:11" ht="15.75">
      <c r="A59" s="1298">
        <v>45286</v>
      </c>
      <c r="B59" s="1298" t="s">
        <v>1805</v>
      </c>
      <c r="C59" s="1299" t="s">
        <v>2406</v>
      </c>
      <c r="D59" s="1299" t="s">
        <v>149</v>
      </c>
      <c r="E59" s="1299" t="s">
        <v>458</v>
      </c>
      <c r="F59" s="1307">
        <v>597.16999999999996</v>
      </c>
      <c r="G59" s="1300">
        <v>0.1</v>
      </c>
      <c r="H59" s="1301">
        <v>54.93</v>
      </c>
      <c r="I59" s="1302"/>
      <c r="J59" s="1299"/>
      <c r="K59" s="1303" t="s">
        <v>1805</v>
      </c>
    </row>
    <row r="60" spans="1:11" ht="16.5" thickBot="1">
      <c r="A60" s="1314"/>
      <c r="B60" s="1314"/>
      <c r="C60" s="1315"/>
      <c r="D60" s="1315"/>
      <c r="E60" s="1315"/>
      <c r="F60" s="1318"/>
      <c r="G60" s="1316"/>
      <c r="H60" s="1317"/>
      <c r="I60" s="1077"/>
      <c r="J60" s="1032"/>
      <c r="K60" s="1060"/>
    </row>
    <row r="61" spans="1:11" ht="20.25" thickBot="1">
      <c r="A61" s="1436"/>
      <c r="B61" s="1436"/>
      <c r="C61" s="1436"/>
      <c r="D61" s="1436"/>
      <c r="E61" s="1436"/>
      <c r="F61" s="332">
        <f>SUM(F3:F11,F12:F59)</f>
        <v>117241.88000000002</v>
      </c>
      <c r="G61" s="1436"/>
      <c r="H61" s="1437">
        <f>SUM(H3:H59)</f>
        <v>13655.519999999999</v>
      </c>
      <c r="I61" s="1438">
        <f>SUM(I3:I59)</f>
        <v>1234.2500000000005</v>
      </c>
      <c r="J61" s="744"/>
      <c r="K61" s="1057"/>
    </row>
    <row r="62" spans="1:11">
      <c r="A62" s="1037"/>
      <c r="B62" s="1038"/>
      <c r="C62" s="1026"/>
      <c r="D62" s="1026"/>
      <c r="E62" s="1026"/>
      <c r="F62" s="1059"/>
      <c r="G62" s="1054"/>
      <c r="H62" s="1269"/>
      <c r="I62" s="1056"/>
      <c r="J62" s="1111"/>
      <c r="K62" s="1033"/>
    </row>
    <row r="63" spans="1:11">
      <c r="A63" s="1037"/>
      <c r="B63" s="1038"/>
      <c r="C63" s="1026"/>
      <c r="D63" s="1026"/>
      <c r="E63" s="1026"/>
      <c r="F63" s="1059"/>
      <c r="G63" s="1054"/>
      <c r="H63" s="1269"/>
      <c r="I63" s="1056"/>
      <c r="J63" s="1111"/>
      <c r="K63" s="1033"/>
    </row>
    <row r="64" spans="1:11">
      <c r="A64" s="1037"/>
      <c r="B64" s="1038"/>
      <c r="C64" s="1026"/>
      <c r="D64" s="1026"/>
      <c r="E64" s="1026"/>
      <c r="F64" s="1059"/>
      <c r="G64" s="1054"/>
      <c r="H64" s="1269"/>
      <c r="I64" s="1056"/>
      <c r="J64" s="1111"/>
      <c r="K64" s="1033"/>
    </row>
    <row r="65" spans="1:1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033"/>
    </row>
    <row r="66" spans="1:11">
      <c r="A66" s="1037"/>
      <c r="B66" s="1038"/>
      <c r="C66" s="1026"/>
      <c r="D66" s="1026"/>
      <c r="E66" s="1026"/>
      <c r="F66" s="1059"/>
      <c r="G66" s="1054"/>
      <c r="H66" s="1269"/>
      <c r="I66" s="1056"/>
      <c r="J66" s="1111"/>
      <c r="K66" s="1033"/>
    </row>
    <row r="67" spans="1:11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1033"/>
    </row>
    <row r="68" spans="1:11">
      <c r="A68" s="1037"/>
      <c r="B68" s="1038"/>
      <c r="C68" s="1026"/>
      <c r="D68" s="1026"/>
      <c r="E68" s="1026"/>
      <c r="F68" s="1059"/>
      <c r="G68" s="1054"/>
      <c r="H68" s="1269"/>
      <c r="I68" s="1056"/>
      <c r="J68" s="1111"/>
      <c r="K68" s="1033"/>
    </row>
    <row r="69" spans="1:11">
      <c r="A69" s="1039"/>
      <c r="B69" s="1038"/>
      <c r="C69" s="1026"/>
      <c r="D69" s="1026"/>
      <c r="E69" s="1026"/>
      <c r="F69" s="1059"/>
      <c r="G69" s="1054"/>
      <c r="H69" s="1269"/>
      <c r="I69" s="1056"/>
      <c r="J69" s="1111"/>
      <c r="K69" s="1033"/>
    </row>
    <row r="70" spans="1:11">
      <c r="A70" s="1311"/>
      <c r="B70" s="1038"/>
      <c r="C70" s="1026"/>
      <c r="D70" s="1026"/>
      <c r="E70" s="1026"/>
      <c r="F70" s="1059"/>
      <c r="G70" s="1054"/>
      <c r="H70" s="1269"/>
      <c r="I70" s="1056"/>
      <c r="J70" s="1111"/>
      <c r="K70" s="1033"/>
    </row>
    <row r="71" spans="1:1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033"/>
    </row>
    <row r="72" spans="1:11">
      <c r="A72" s="1037"/>
      <c r="B72" s="1038"/>
      <c r="C72" s="1026"/>
      <c r="D72" s="1026"/>
      <c r="E72" s="1026"/>
      <c r="F72" s="1059"/>
      <c r="G72" s="1054"/>
      <c r="H72" s="1269"/>
      <c r="I72" s="1056"/>
      <c r="J72" s="1111"/>
      <c r="K72" s="1033"/>
    </row>
    <row r="73" spans="1:11">
      <c r="A73" s="1037"/>
      <c r="B73" s="1038"/>
      <c r="C73" s="1026"/>
      <c r="D73" s="1026"/>
      <c r="E73" s="1026"/>
      <c r="F73" s="1059"/>
      <c r="G73" s="1054"/>
      <c r="H73" s="1269"/>
      <c r="I73" s="1056"/>
      <c r="J73" s="1111"/>
      <c r="K73" s="1033"/>
    </row>
    <row r="74" spans="1:11">
      <c r="A74" s="1037"/>
      <c r="B74" s="1038"/>
      <c r="C74" s="1026"/>
      <c r="D74" s="1026"/>
      <c r="E74" s="1026"/>
      <c r="F74" s="1059"/>
      <c r="G74" s="1054"/>
      <c r="H74" s="1269"/>
      <c r="I74" s="1056"/>
      <c r="J74" s="1111"/>
      <c r="K74" s="1033"/>
    </row>
    <row r="75" spans="1:11">
      <c r="A75" s="1037"/>
      <c r="B75" s="1038"/>
      <c r="C75" s="1026"/>
      <c r="D75" s="1026"/>
      <c r="E75" s="1026"/>
      <c r="F75" s="1059"/>
      <c r="G75" s="1054"/>
      <c r="H75" s="1269"/>
      <c r="I75" s="1056"/>
      <c r="J75" s="1111"/>
      <c r="K75" s="1033"/>
    </row>
    <row r="76" spans="1:11">
      <c r="A76" s="1037"/>
      <c r="B76" s="1038"/>
      <c r="C76" s="1026"/>
      <c r="D76" s="1026"/>
      <c r="E76" s="1026"/>
      <c r="F76" s="1059"/>
      <c r="G76" s="1054"/>
      <c r="H76" s="1269"/>
      <c r="I76" s="1056"/>
      <c r="J76" s="1111"/>
      <c r="K76" s="1033"/>
    </row>
    <row r="77" spans="1:11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1033"/>
    </row>
    <row r="78" spans="1:11">
      <c r="A78" s="1037"/>
      <c r="B78" s="1038"/>
      <c r="C78" s="1026"/>
      <c r="D78" s="1026"/>
      <c r="E78" s="1026"/>
      <c r="F78" s="1059"/>
      <c r="G78" s="1054"/>
      <c r="H78" s="1269"/>
      <c r="I78" s="1056"/>
      <c r="J78" s="1111"/>
      <c r="K78" s="1033"/>
    </row>
    <row r="79" spans="1:11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1033"/>
    </row>
    <row r="80" spans="1:11">
      <c r="A80" s="1037"/>
      <c r="B80" s="1038"/>
      <c r="C80" s="1026"/>
      <c r="D80" s="1026"/>
      <c r="E80" s="1026"/>
      <c r="F80" s="1059"/>
      <c r="G80" s="1054"/>
      <c r="H80" s="1269"/>
      <c r="I80" s="1056"/>
      <c r="J80" s="1111"/>
      <c r="K80" s="1033"/>
    </row>
    <row r="81" spans="1:11">
      <c r="A81" s="1037"/>
      <c r="B81" s="1038"/>
      <c r="C81" s="1026"/>
      <c r="D81" s="1026"/>
      <c r="E81" s="1026"/>
      <c r="F81" s="1059"/>
      <c r="G81" s="1054"/>
      <c r="H81" s="1269"/>
      <c r="I81" s="1056"/>
      <c r="J81" s="1111"/>
      <c r="K81" s="1033"/>
    </row>
    <row r="82" spans="1:11">
      <c r="A82" s="1037"/>
      <c r="B82" s="1038"/>
      <c r="C82" s="1026"/>
      <c r="D82" s="1026"/>
      <c r="E82" s="1026"/>
      <c r="F82" s="1059"/>
      <c r="G82" s="1054"/>
      <c r="H82" s="1269"/>
      <c r="I82" s="1056"/>
      <c r="J82" s="1111"/>
      <c r="K82" s="1033"/>
    </row>
    <row r="83" spans="1:11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1033"/>
    </row>
    <row r="84" spans="1:11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033"/>
    </row>
    <row r="85" spans="1:11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033"/>
    </row>
    <row r="86" spans="1:11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033"/>
    </row>
    <row r="87" spans="1:11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033"/>
    </row>
    <row r="88" spans="1:11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033"/>
    </row>
    <row r="89" spans="1:11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033"/>
    </row>
    <row r="90" spans="1:11">
      <c r="A90" s="1037"/>
      <c r="B90" s="1038"/>
      <c r="C90" s="1026"/>
      <c r="D90" s="1026"/>
      <c r="E90" s="1026"/>
      <c r="F90" s="1059"/>
      <c r="G90" s="1054"/>
      <c r="H90" s="1269"/>
      <c r="I90" s="1056"/>
      <c r="J90" s="1111"/>
      <c r="K90" s="1033"/>
    </row>
    <row r="91" spans="1:11">
      <c r="A91" s="1037"/>
      <c r="B91" s="1038"/>
      <c r="C91" s="1026"/>
      <c r="D91" s="1026"/>
      <c r="E91" s="1026"/>
      <c r="F91" s="1059"/>
      <c r="G91" s="1054"/>
      <c r="H91" s="1269"/>
      <c r="I91" s="1056"/>
      <c r="J91" s="1111"/>
      <c r="K91" s="1033"/>
    </row>
    <row r="92" spans="1:11">
      <c r="A92" s="1037"/>
      <c r="B92" s="1038"/>
      <c r="C92" s="1026"/>
      <c r="D92" s="1026"/>
      <c r="E92" s="1026"/>
      <c r="F92" s="1059"/>
      <c r="G92" s="1054"/>
      <c r="H92" s="1269"/>
      <c r="I92" s="1056"/>
      <c r="J92" s="1111"/>
      <c r="K92" s="1033"/>
    </row>
    <row r="93" spans="1:11">
      <c r="A93" s="1037"/>
      <c r="B93" s="1038"/>
      <c r="C93" s="1026"/>
      <c r="D93" s="1026"/>
      <c r="E93" s="1026"/>
      <c r="F93" s="1059"/>
      <c r="G93" s="1054"/>
      <c r="H93" s="1269"/>
      <c r="I93" s="1056"/>
      <c r="J93" s="1111"/>
      <c r="K93" s="1033"/>
    </row>
    <row r="94" spans="1:11">
      <c r="A94" s="1037"/>
      <c r="B94" s="1038"/>
      <c r="C94" s="1026"/>
      <c r="D94" s="1026"/>
      <c r="E94" s="1026"/>
      <c r="F94" s="1059"/>
      <c r="G94" s="1054"/>
      <c r="H94" s="1269"/>
      <c r="I94" s="1056"/>
      <c r="J94" s="1111"/>
      <c r="K94" s="1033"/>
    </row>
    <row r="95" spans="1:11">
      <c r="A95" s="1037"/>
      <c r="B95" s="1038"/>
      <c r="C95" s="1026"/>
      <c r="D95" s="1026"/>
      <c r="E95" s="1026"/>
      <c r="F95" s="1059"/>
      <c r="G95" s="1054"/>
      <c r="H95" s="1269"/>
      <c r="I95" s="1056"/>
      <c r="J95" s="1111"/>
      <c r="K95" s="1033"/>
    </row>
    <row r="96" spans="1:11">
      <c r="A96" s="1037"/>
      <c r="B96" s="1038"/>
      <c r="C96" s="1026"/>
      <c r="D96" s="1026"/>
      <c r="E96" s="1026"/>
      <c r="F96" s="1059"/>
      <c r="G96" s="1054"/>
      <c r="H96" s="1269"/>
      <c r="I96" s="1056"/>
      <c r="J96" s="1111"/>
      <c r="K96" s="1033"/>
    </row>
    <row r="97" spans="1:11">
      <c r="A97" s="1037"/>
      <c r="B97" s="1038"/>
      <c r="C97" s="1026"/>
      <c r="D97" s="1026"/>
      <c r="E97" s="1026"/>
      <c r="F97" s="1059"/>
      <c r="G97" s="1054"/>
      <c r="H97" s="1269"/>
      <c r="I97" s="1056"/>
      <c r="J97" s="1111"/>
      <c r="K97" s="1033"/>
    </row>
    <row r="98" spans="1:11">
      <c r="A98" s="1037"/>
      <c r="B98" s="1038"/>
      <c r="C98" s="1026"/>
      <c r="D98" s="1026"/>
      <c r="E98" s="1026"/>
      <c r="F98" s="1059"/>
      <c r="G98" s="1054"/>
      <c r="H98" s="1269"/>
      <c r="I98" s="1056"/>
      <c r="J98" s="1111"/>
      <c r="K98" s="1033"/>
    </row>
    <row r="99" spans="1:11">
      <c r="A99" s="1037"/>
      <c r="B99" s="1038"/>
      <c r="C99" s="1026"/>
      <c r="D99" s="1026"/>
      <c r="E99" s="1026"/>
      <c r="F99" s="1059"/>
      <c r="G99" s="1054"/>
      <c r="H99" s="1269"/>
      <c r="I99" s="1056"/>
      <c r="J99" s="1111"/>
      <c r="K99" s="1033"/>
    </row>
    <row r="100" spans="1:11">
      <c r="A100" s="1037"/>
      <c r="B100" s="1038"/>
      <c r="C100" s="1026"/>
      <c r="D100" s="1026"/>
      <c r="E100" s="1026"/>
      <c r="F100" s="1059"/>
      <c r="G100" s="1054"/>
      <c r="H100" s="1269"/>
      <c r="I100" s="1056"/>
      <c r="J100" s="1111"/>
      <c r="K100" s="1033"/>
    </row>
    <row r="101" spans="1:11">
      <c r="A101" s="1037"/>
      <c r="B101" s="1038"/>
      <c r="C101" s="1026"/>
      <c r="D101" s="1026"/>
      <c r="E101" s="1026"/>
      <c r="F101" s="1059"/>
      <c r="G101" s="1054"/>
      <c r="H101" s="1269"/>
      <c r="I101" s="1056"/>
      <c r="J101" s="1111"/>
      <c r="K101" s="1033"/>
    </row>
    <row r="102" spans="1:11">
      <c r="A102" s="1037"/>
      <c r="B102" s="1038"/>
      <c r="C102" s="1026"/>
      <c r="D102" s="1026"/>
      <c r="E102" s="1026"/>
      <c r="F102" s="1059"/>
      <c r="G102" s="1054"/>
      <c r="H102" s="1269"/>
      <c r="I102" s="1056"/>
      <c r="J102" s="1111"/>
      <c r="K102" s="1033"/>
    </row>
    <row r="103" spans="1:11">
      <c r="A103" s="1037"/>
      <c r="B103" s="1038"/>
      <c r="C103" s="1026"/>
      <c r="D103" s="1026"/>
      <c r="E103" s="1026"/>
      <c r="F103" s="1059"/>
      <c r="G103" s="1054"/>
      <c r="H103" s="1269"/>
      <c r="I103" s="1056"/>
      <c r="J103" s="1111"/>
      <c r="K103" s="1033"/>
    </row>
    <row r="104" spans="1:11">
      <c r="A104" s="1037"/>
      <c r="B104" s="1038"/>
      <c r="C104" s="1026"/>
      <c r="D104" s="1026"/>
      <c r="E104" s="1026"/>
      <c r="F104" s="1059"/>
      <c r="G104" s="1054"/>
      <c r="H104" s="1269"/>
      <c r="I104" s="1056"/>
      <c r="J104" s="1111"/>
      <c r="K104" s="1033"/>
    </row>
    <row r="105" spans="1:11">
      <c r="A105" s="1037"/>
      <c r="B105" s="1038"/>
      <c r="C105" s="1026"/>
      <c r="D105" s="1026"/>
      <c r="E105" s="1026"/>
      <c r="F105" s="1059"/>
      <c r="G105" s="1054"/>
      <c r="H105" s="1269"/>
      <c r="I105" s="1056"/>
      <c r="J105" s="1111"/>
      <c r="K105" s="1033"/>
    </row>
    <row r="106" spans="1:11">
      <c r="A106" s="1037"/>
      <c r="B106" s="1038"/>
      <c r="C106" s="1026"/>
      <c r="D106" s="1026"/>
      <c r="E106" s="1026"/>
      <c r="F106" s="1059"/>
      <c r="G106" s="1054"/>
      <c r="H106" s="1269"/>
      <c r="I106" s="1056"/>
      <c r="J106" s="1111"/>
      <c r="K106" s="1033"/>
    </row>
    <row r="107" spans="1:11">
      <c r="A107" s="1037"/>
      <c r="B107" s="1038"/>
      <c r="C107" s="1026"/>
      <c r="D107" s="1026"/>
      <c r="E107" s="1026"/>
      <c r="F107" s="1059"/>
      <c r="G107" s="1054"/>
      <c r="H107" s="1269"/>
      <c r="I107" s="1056"/>
      <c r="J107" s="1111"/>
      <c r="K107" s="1033"/>
    </row>
    <row r="108" spans="1:11">
      <c r="A108" s="1037"/>
      <c r="B108" s="1038"/>
      <c r="C108" s="1026"/>
      <c r="D108" s="1026"/>
      <c r="E108" s="1026"/>
      <c r="F108" s="1059"/>
      <c r="G108" s="1054"/>
      <c r="H108" s="1269"/>
      <c r="I108" s="1056"/>
      <c r="J108" s="1111"/>
      <c r="K108" s="1033"/>
    </row>
    <row r="109" spans="1:11">
      <c r="A109" s="1037"/>
      <c r="B109" s="1038"/>
      <c r="C109" s="1026"/>
      <c r="D109" s="1026"/>
      <c r="E109" s="1026"/>
      <c r="F109" s="1059"/>
      <c r="G109" s="1054"/>
      <c r="H109" s="1269"/>
      <c r="I109" s="1056"/>
      <c r="J109" s="1111"/>
      <c r="K109" s="1033"/>
    </row>
    <row r="110" spans="1:11">
      <c r="A110" s="1037"/>
      <c r="B110" s="1038"/>
      <c r="C110" s="1026"/>
      <c r="D110" s="1026"/>
      <c r="E110" s="1026"/>
      <c r="F110" s="1059"/>
      <c r="G110" s="1054"/>
      <c r="H110" s="1269"/>
      <c r="I110" s="1056"/>
      <c r="J110" s="1111"/>
      <c r="K110" s="1033"/>
    </row>
    <row r="111" spans="1:11">
      <c r="A111" s="1037"/>
      <c r="B111" s="1038"/>
      <c r="C111" s="1026"/>
      <c r="D111" s="1026"/>
      <c r="E111" s="1026"/>
      <c r="F111" s="1059"/>
      <c r="G111" s="1054"/>
      <c r="H111" s="1269"/>
      <c r="I111" s="1056"/>
      <c r="J111" s="1111"/>
      <c r="K111" s="1033"/>
    </row>
    <row r="112" spans="1:11">
      <c r="A112" s="1037"/>
      <c r="B112" s="1038"/>
      <c r="C112" s="1026"/>
      <c r="D112" s="1026"/>
      <c r="E112" s="1026"/>
      <c r="F112" s="1059"/>
      <c r="G112" s="1054"/>
      <c r="H112" s="1269"/>
      <c r="I112" s="1056"/>
      <c r="J112" s="1111"/>
      <c r="K112" s="1033"/>
    </row>
    <row r="113" spans="1:11">
      <c r="A113" s="1037"/>
      <c r="B113" s="1038"/>
      <c r="C113" s="1026"/>
      <c r="D113" s="1026"/>
      <c r="E113" s="1026"/>
      <c r="F113" s="1059"/>
      <c r="G113" s="1054"/>
      <c r="H113" s="1269"/>
      <c r="I113" s="1056"/>
      <c r="J113" s="1111"/>
      <c r="K113" s="1033"/>
    </row>
    <row r="114" spans="1:11">
      <c r="A114" s="1037"/>
      <c r="B114" s="1038"/>
      <c r="C114" s="1026"/>
      <c r="D114" s="1026"/>
      <c r="E114" s="1026"/>
      <c r="F114" s="1059"/>
      <c r="G114" s="1054"/>
      <c r="H114" s="1269"/>
      <c r="I114" s="1056"/>
      <c r="J114" s="1111"/>
      <c r="K114" s="1033"/>
    </row>
    <row r="115" spans="1:11">
      <c r="A115" s="1037"/>
      <c r="B115" s="1038"/>
      <c r="C115" s="1026"/>
      <c r="D115" s="1026"/>
      <c r="F115" s="1059"/>
      <c r="G115" s="1054"/>
      <c r="H115" s="1269"/>
      <c r="I115" s="1056"/>
      <c r="J115" s="1111"/>
      <c r="K115" s="1033"/>
    </row>
    <row r="116" spans="1:11">
      <c r="A116" s="1037"/>
      <c r="B116" s="1038"/>
      <c r="C116" s="1026"/>
      <c r="D116" s="1026"/>
      <c r="E116" s="1026"/>
      <c r="F116" s="1059"/>
      <c r="G116" s="1054"/>
      <c r="H116" s="1269"/>
      <c r="I116" s="1056"/>
      <c r="J116" s="1111"/>
      <c r="K116" s="1033"/>
    </row>
    <row r="117" spans="1:11">
      <c r="A117" s="1037"/>
      <c r="B117" s="1038"/>
      <c r="C117" s="1026"/>
      <c r="D117" s="1026"/>
      <c r="E117" s="1026"/>
      <c r="F117" s="1059"/>
      <c r="G117" s="1054"/>
      <c r="H117" s="1269"/>
      <c r="I117" s="1056"/>
      <c r="J117" s="1111"/>
      <c r="K117" s="1033"/>
    </row>
    <row r="118" spans="1:11">
      <c r="A118" s="1037"/>
      <c r="B118" s="1038"/>
      <c r="C118" s="1026"/>
      <c r="D118" s="1026"/>
      <c r="E118" s="1026"/>
      <c r="F118" s="1059"/>
      <c r="G118" s="1054"/>
      <c r="H118" s="1269"/>
      <c r="I118" s="1056"/>
      <c r="J118" s="1111"/>
      <c r="K118" s="1033"/>
    </row>
    <row r="119" spans="1:11">
      <c r="A119" s="1037"/>
      <c r="B119" s="1038"/>
      <c r="C119" s="1026"/>
      <c r="D119" s="1026"/>
      <c r="E119" s="1026"/>
      <c r="F119" s="1059"/>
      <c r="G119" s="1054"/>
      <c r="H119" s="1269"/>
      <c r="I119" s="1056"/>
      <c r="J119" s="1111"/>
      <c r="K119" s="1033"/>
    </row>
    <row r="120" spans="1:11">
      <c r="A120" s="1037"/>
      <c r="B120" s="1038"/>
      <c r="C120" s="1026"/>
      <c r="D120" s="1026"/>
      <c r="E120" s="1026"/>
      <c r="F120" s="1059"/>
      <c r="G120" s="1054"/>
      <c r="H120" s="1269"/>
      <c r="I120" s="1056"/>
      <c r="J120" s="1111"/>
      <c r="K120" s="1033"/>
    </row>
    <row r="121" spans="1:11" ht="15.75" thickBot="1">
      <c r="A121" s="1037"/>
      <c r="B121" s="1038"/>
      <c r="C121" s="1026"/>
      <c r="D121" s="1026"/>
      <c r="E121" s="1026"/>
      <c r="F121" s="1059"/>
      <c r="G121" s="1054"/>
      <c r="H121" s="1269"/>
      <c r="I121" s="1056"/>
      <c r="J121" s="1111"/>
      <c r="K121" s="1033"/>
    </row>
    <row r="122" spans="1:11" ht="20.25" thickBot="1">
      <c r="A122" s="1158"/>
      <c r="B122" s="1159"/>
      <c r="C122" s="1159"/>
      <c r="D122" s="1159"/>
      <c r="E122" s="1159"/>
      <c r="F122" s="1160">
        <f>SUM(F62:F68,F70:F121)</f>
        <v>0</v>
      </c>
      <c r="G122" s="1159"/>
      <c r="H122" s="1293">
        <f>SUM(H62:H121)</f>
        <v>0</v>
      </c>
      <c r="I122" s="1160">
        <f>SUM(I62:I121)</f>
        <v>0</v>
      </c>
      <c r="J122" s="1193"/>
      <c r="K122" s="1116"/>
    </row>
  </sheetData>
  <autoFilter ref="A1:K59" xr:uid="{CAB41E8C-FE57-4C2A-9B8A-4C2B392A4881}">
    <sortState xmlns:xlrd2="http://schemas.microsoft.com/office/spreadsheetml/2017/richdata2" ref="A2:K59">
      <sortCondition ref="J1:J59"/>
    </sortState>
  </autoFilter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6C55-601C-4BB1-82E5-06CC2ED04FBD}">
  <dimension ref="A1:K151"/>
  <sheetViews>
    <sheetView topLeftCell="B46" zoomScale="85" zoomScaleNormal="85" workbookViewId="0">
      <selection activeCell="H58" sqref="H58"/>
    </sheetView>
  </sheetViews>
  <sheetFormatPr defaultColWidth="9.140625" defaultRowHeight="15"/>
  <cols>
    <col min="1" max="1" width="13" style="1058" customWidth="1"/>
    <col min="2" max="2" width="13.5703125" style="1058" customWidth="1"/>
    <col min="3" max="3" width="69.28515625" style="1165" bestFit="1" customWidth="1"/>
    <col min="4" max="4" width="22.28515625" style="1058" bestFit="1" customWidth="1"/>
    <col min="5" max="5" width="16.7109375" style="1058" customWidth="1"/>
    <col min="6" max="6" width="22.85546875" style="1058" bestFit="1" customWidth="1"/>
    <col min="7" max="7" width="13.42578125" style="1058" bestFit="1" customWidth="1"/>
    <col min="8" max="8" width="20.140625" style="1058" customWidth="1"/>
    <col min="9" max="9" width="21.140625" style="1058" customWidth="1"/>
    <col min="10" max="10" width="13.7109375" style="1058" bestFit="1" customWidth="1"/>
    <col min="11" max="11" width="19.7109375" style="1058" customWidth="1"/>
    <col min="12" max="16384" width="9.140625" style="1058"/>
  </cols>
  <sheetData>
    <row r="1" spans="1:11" ht="15" customHeight="1">
      <c r="A1" s="1235" t="s">
        <v>1832</v>
      </c>
      <c r="B1" s="1236" t="s">
        <v>2</v>
      </c>
      <c r="C1" s="1236" t="s">
        <v>3</v>
      </c>
      <c r="D1" s="1236" t="s">
        <v>4</v>
      </c>
      <c r="E1" s="1236" t="s">
        <v>5</v>
      </c>
      <c r="F1" s="1237" t="s">
        <v>644</v>
      </c>
      <c r="G1" s="1238" t="s">
        <v>555</v>
      </c>
      <c r="H1" s="1239" t="s">
        <v>7</v>
      </c>
      <c r="I1" s="1240" t="s">
        <v>307</v>
      </c>
      <c r="J1" s="1238" t="s">
        <v>370</v>
      </c>
      <c r="K1" s="1241" t="s">
        <v>442</v>
      </c>
    </row>
    <row r="2" spans="1:11" ht="15.75">
      <c r="A2" s="1041">
        <v>45293</v>
      </c>
      <c r="B2" s="1041">
        <v>45659</v>
      </c>
      <c r="C2" s="1027" t="s">
        <v>1654</v>
      </c>
      <c r="D2" s="1027" t="s">
        <v>61</v>
      </c>
      <c r="E2" s="1027" t="s">
        <v>948</v>
      </c>
      <c r="F2" s="1259">
        <v>1871.81</v>
      </c>
      <c r="G2" s="1066">
        <v>0.13</v>
      </c>
      <c r="H2" s="1067">
        <v>223.86</v>
      </c>
      <c r="I2" s="1243">
        <v>22.38</v>
      </c>
      <c r="J2" s="1027" t="s">
        <v>2070</v>
      </c>
      <c r="K2" s="1117" t="s">
        <v>2015</v>
      </c>
    </row>
    <row r="3" spans="1:11" ht="15.75">
      <c r="A3" s="1041">
        <v>45299</v>
      </c>
      <c r="B3" s="1041">
        <v>45666</v>
      </c>
      <c r="C3" s="1027" t="s">
        <v>1653</v>
      </c>
      <c r="D3" s="1027" t="s">
        <v>1604</v>
      </c>
      <c r="E3" s="1027" t="s">
        <v>948</v>
      </c>
      <c r="F3" s="1065">
        <v>2100.3000000000002</v>
      </c>
      <c r="G3" s="1066">
        <v>0.1</v>
      </c>
      <c r="H3" s="1067">
        <v>193.22</v>
      </c>
      <c r="I3" s="1243">
        <v>19.32</v>
      </c>
      <c r="J3" s="1027" t="s">
        <v>2070</v>
      </c>
      <c r="K3" s="1117" t="s">
        <v>2015</v>
      </c>
    </row>
    <row r="4" spans="1:11" s="1070" customFormat="1" ht="15.75">
      <c r="A4" s="1041">
        <v>45310</v>
      </c>
      <c r="B4" s="1041">
        <v>45677</v>
      </c>
      <c r="C4" s="1027" t="s">
        <v>2407</v>
      </c>
      <c r="D4" s="1027" t="s">
        <v>1604</v>
      </c>
      <c r="E4" s="1027" t="s">
        <v>458</v>
      </c>
      <c r="F4" s="1065">
        <v>1339.54</v>
      </c>
      <c r="G4" s="1066">
        <v>0.1</v>
      </c>
      <c r="H4" s="1067">
        <v>123.23</v>
      </c>
      <c r="I4" s="1243">
        <v>12.32</v>
      </c>
      <c r="J4" s="1027" t="s">
        <v>2070</v>
      </c>
      <c r="K4" s="1117" t="s">
        <v>2015</v>
      </c>
    </row>
    <row r="5" spans="1:11" s="1029" customFormat="1" ht="15.75">
      <c r="A5" s="1039">
        <v>45293</v>
      </c>
      <c r="B5" s="1039">
        <v>45660</v>
      </c>
      <c r="C5" s="1025" t="s">
        <v>2163</v>
      </c>
      <c r="D5" s="1025" t="s">
        <v>448</v>
      </c>
      <c r="E5" s="1025" t="s">
        <v>948</v>
      </c>
      <c r="F5" s="1061">
        <v>1894.53</v>
      </c>
      <c r="G5" s="1062">
        <v>0.1</v>
      </c>
      <c r="H5" s="1055">
        <v>174.29</v>
      </c>
      <c r="I5" s="1242">
        <v>87.14</v>
      </c>
      <c r="J5" s="1025" t="s">
        <v>2408</v>
      </c>
      <c r="K5" s="1115" t="s">
        <v>2015</v>
      </c>
    </row>
    <row r="6" spans="1:11" ht="15.75">
      <c r="A6" s="1039">
        <v>45313</v>
      </c>
      <c r="B6" s="1039">
        <v>45681</v>
      </c>
      <c r="C6" s="1025" t="s">
        <v>2409</v>
      </c>
      <c r="D6" s="1025" t="s">
        <v>448</v>
      </c>
      <c r="E6" s="1025" t="s">
        <v>948</v>
      </c>
      <c r="F6" s="1061">
        <v>1997.58</v>
      </c>
      <c r="G6" s="1062">
        <v>0.1</v>
      </c>
      <c r="H6" s="1055">
        <v>183.77</v>
      </c>
      <c r="I6" s="1242">
        <v>91.88</v>
      </c>
      <c r="J6" s="1025" t="s">
        <v>2152</v>
      </c>
      <c r="K6" s="1115" t="s">
        <v>2015</v>
      </c>
    </row>
    <row r="7" spans="1:11" ht="15.75">
      <c r="A7" s="1039">
        <v>45311</v>
      </c>
      <c r="B7" s="1039">
        <v>45677</v>
      </c>
      <c r="C7" s="1025" t="s">
        <v>2165</v>
      </c>
      <c r="D7" s="1025" t="s">
        <v>448</v>
      </c>
      <c r="E7" s="1025" t="s">
        <v>948</v>
      </c>
      <c r="F7" s="1092">
        <v>1622.8</v>
      </c>
      <c r="G7" s="1062">
        <v>0.2</v>
      </c>
      <c r="H7" s="1055">
        <v>298.58999999999997</v>
      </c>
      <c r="I7" s="1242">
        <v>149.29</v>
      </c>
      <c r="J7" s="1025" t="s">
        <v>1577</v>
      </c>
      <c r="K7" s="1115" t="s">
        <v>2015</v>
      </c>
    </row>
    <row r="8" spans="1:11" ht="15.75">
      <c r="A8" s="1039">
        <v>45313</v>
      </c>
      <c r="B8" s="1039">
        <v>45679</v>
      </c>
      <c r="C8" s="1025" t="s">
        <v>2410</v>
      </c>
      <c r="D8" s="1025" t="s">
        <v>448</v>
      </c>
      <c r="E8" s="1025" t="s">
        <v>1080</v>
      </c>
      <c r="F8" s="1061">
        <v>3559.72</v>
      </c>
      <c r="G8" s="1062">
        <v>0.1</v>
      </c>
      <c r="H8" s="1055">
        <v>327.49</v>
      </c>
      <c r="I8" s="1242">
        <v>163.74</v>
      </c>
      <c r="J8" s="1025" t="s">
        <v>1759</v>
      </c>
      <c r="K8" s="1115" t="s">
        <v>1472</v>
      </c>
    </row>
    <row r="9" spans="1:11" ht="15.75">
      <c r="A9" s="1039">
        <v>45307</v>
      </c>
      <c r="B9" s="1039">
        <v>45675</v>
      </c>
      <c r="C9" s="1025" t="s">
        <v>2411</v>
      </c>
      <c r="D9" s="1025" t="s">
        <v>9</v>
      </c>
      <c r="E9" s="1025" t="s">
        <v>10</v>
      </c>
      <c r="F9" s="1061">
        <v>1388.64</v>
      </c>
      <c r="G9" s="1062">
        <v>0.1</v>
      </c>
      <c r="H9" s="1055">
        <v>127.75</v>
      </c>
      <c r="I9" s="1242">
        <v>63.87</v>
      </c>
      <c r="J9" s="1025" t="s">
        <v>491</v>
      </c>
      <c r="K9" s="1115" t="s">
        <v>2015</v>
      </c>
    </row>
    <row r="10" spans="1:11" ht="15.75">
      <c r="A10" s="1037">
        <v>45307</v>
      </c>
      <c r="B10" s="1038">
        <v>45676</v>
      </c>
      <c r="C10" s="1140" t="s">
        <v>2412</v>
      </c>
      <c r="D10" s="1026" t="s">
        <v>9</v>
      </c>
      <c r="E10" s="1026" t="s">
        <v>945</v>
      </c>
      <c r="F10" s="1059">
        <v>2420.34</v>
      </c>
      <c r="G10" s="1054">
        <v>0.15</v>
      </c>
      <c r="H10" s="1269">
        <v>334</v>
      </c>
      <c r="I10" s="1056">
        <v>167</v>
      </c>
      <c r="J10" s="1289" t="s">
        <v>491</v>
      </c>
      <c r="K10" s="1290" t="s">
        <v>2015</v>
      </c>
    </row>
    <row r="11" spans="1:11" ht="15.75">
      <c r="A11" s="1519">
        <v>45309</v>
      </c>
      <c r="B11" s="1519" t="s">
        <v>1805</v>
      </c>
      <c r="C11" s="1520" t="s">
        <v>2413</v>
      </c>
      <c r="D11" s="1520" t="s">
        <v>1604</v>
      </c>
      <c r="E11" s="1520" t="s">
        <v>1552</v>
      </c>
      <c r="F11" s="1522"/>
      <c r="G11" s="1523"/>
      <c r="H11" s="1524"/>
      <c r="I11" s="1525"/>
      <c r="J11" s="1520" t="s">
        <v>2094</v>
      </c>
      <c r="K11" s="1526" t="s">
        <v>2414</v>
      </c>
    </row>
    <row r="12" spans="1:11" ht="15.75">
      <c r="A12" s="1298">
        <v>45297</v>
      </c>
      <c r="B12" s="1298">
        <v>45663</v>
      </c>
      <c r="C12" s="1299" t="s">
        <v>2168</v>
      </c>
      <c r="D12" s="1299" t="s">
        <v>448</v>
      </c>
      <c r="E12" s="1299" t="s">
        <v>945</v>
      </c>
      <c r="F12" s="1521">
        <v>2441.75</v>
      </c>
      <c r="G12" s="1300">
        <v>0.15</v>
      </c>
      <c r="H12" s="1521">
        <v>336.96</v>
      </c>
      <c r="I12" s="1302">
        <v>168.48</v>
      </c>
      <c r="J12" s="1299" t="s">
        <v>1482</v>
      </c>
      <c r="K12" s="1303" t="s">
        <v>2015</v>
      </c>
    </row>
    <row r="13" spans="1:11" ht="15.75">
      <c r="A13" s="1043">
        <v>45301</v>
      </c>
      <c r="B13" s="1045">
        <v>45672</v>
      </c>
      <c r="C13" s="1075" t="s">
        <v>2287</v>
      </c>
      <c r="D13" s="1075" t="s">
        <v>61</v>
      </c>
      <c r="E13" s="1075" t="s">
        <v>458</v>
      </c>
      <c r="F13" s="1102">
        <v>1626.23</v>
      </c>
      <c r="G13" s="1076">
        <v>0.1</v>
      </c>
      <c r="H13" s="1260">
        <v>149.61000000000001</v>
      </c>
      <c r="I13" s="1077">
        <v>74.8</v>
      </c>
      <c r="J13" s="1261" t="s">
        <v>1482</v>
      </c>
      <c r="K13" s="1291" t="s">
        <v>2015</v>
      </c>
    </row>
    <row r="14" spans="1:11" ht="15.75">
      <c r="A14" s="1037">
        <v>45307</v>
      </c>
      <c r="B14" s="1038">
        <v>45675</v>
      </c>
      <c r="C14" s="1026" t="s">
        <v>2415</v>
      </c>
      <c r="D14" s="1026" t="s">
        <v>9</v>
      </c>
      <c r="E14" s="1026" t="s">
        <v>945</v>
      </c>
      <c r="F14" s="1103">
        <v>3203.23</v>
      </c>
      <c r="G14" s="1054">
        <v>0.1</v>
      </c>
      <c r="H14" s="1055">
        <v>294.69</v>
      </c>
      <c r="I14" s="1056">
        <v>147.34</v>
      </c>
      <c r="J14" s="1111" t="s">
        <v>1482</v>
      </c>
      <c r="K14" s="1115" t="s">
        <v>2015</v>
      </c>
    </row>
    <row r="15" spans="1:11" s="1070" customFormat="1" ht="15.75">
      <c r="A15" s="1039">
        <v>45294</v>
      </c>
      <c r="B15" s="1039">
        <v>45660</v>
      </c>
      <c r="C15" s="1025" t="s">
        <v>1438</v>
      </c>
      <c r="D15" s="1025" t="s">
        <v>1604</v>
      </c>
      <c r="E15" s="1025" t="s">
        <v>948</v>
      </c>
      <c r="F15" s="1061">
        <v>4109.6899999999996</v>
      </c>
      <c r="G15" s="1062">
        <v>0.1</v>
      </c>
      <c r="H15" s="1055">
        <v>378.09</v>
      </c>
      <c r="I15" s="1063"/>
      <c r="J15" s="1111"/>
      <c r="K15" s="1116" t="s">
        <v>1472</v>
      </c>
    </row>
    <row r="16" spans="1:11" ht="15.75">
      <c r="A16" s="1043">
        <v>45286</v>
      </c>
      <c r="B16" s="1045">
        <v>45660</v>
      </c>
      <c r="C16" s="1075" t="s">
        <v>2170</v>
      </c>
      <c r="D16" s="1075" t="s">
        <v>1604</v>
      </c>
      <c r="E16" s="1075" t="s">
        <v>948</v>
      </c>
      <c r="F16" s="1102">
        <v>1676.88</v>
      </c>
      <c r="G16" s="1076">
        <v>0.15</v>
      </c>
      <c r="H16" s="1055">
        <v>231.4</v>
      </c>
      <c r="I16" s="1077"/>
      <c r="J16" s="1111"/>
      <c r="K16" s="1115" t="s">
        <v>2015</v>
      </c>
    </row>
    <row r="17" spans="1:11" ht="15.75">
      <c r="A17" s="1037">
        <v>45288</v>
      </c>
      <c r="B17" s="1038">
        <v>45662</v>
      </c>
      <c r="C17" s="1119" t="s">
        <v>1213</v>
      </c>
      <c r="D17" s="1026" t="s">
        <v>1604</v>
      </c>
      <c r="E17" s="1026" t="s">
        <v>945</v>
      </c>
      <c r="F17" s="1059">
        <v>1591.61</v>
      </c>
      <c r="G17" s="1054">
        <v>0.1</v>
      </c>
      <c r="H17" s="1055">
        <v>146.41999999999999</v>
      </c>
      <c r="I17" s="1056"/>
      <c r="J17" s="1111"/>
      <c r="K17" s="1115" t="s">
        <v>2015</v>
      </c>
    </row>
    <row r="18" spans="1:11" ht="15.75">
      <c r="A18" s="1037">
        <v>45296</v>
      </c>
      <c r="B18" s="1038">
        <v>45663</v>
      </c>
      <c r="C18" s="1025" t="s">
        <v>1655</v>
      </c>
      <c r="D18" s="1025" t="s">
        <v>1862</v>
      </c>
      <c r="E18" s="1025" t="s">
        <v>948</v>
      </c>
      <c r="F18" s="1061">
        <v>1124.5899999999999</v>
      </c>
      <c r="G18" s="1062">
        <v>0.2</v>
      </c>
      <c r="H18" s="1055">
        <v>206.92</v>
      </c>
      <c r="I18" s="1056"/>
      <c r="J18" s="1111"/>
      <c r="K18" s="1115" t="s">
        <v>2015</v>
      </c>
    </row>
    <row r="19" spans="1:11" ht="15.75">
      <c r="A19" s="1037">
        <v>45295</v>
      </c>
      <c r="B19" s="1038">
        <v>45663</v>
      </c>
      <c r="C19" s="1025" t="s">
        <v>2416</v>
      </c>
      <c r="D19" s="1025" t="s">
        <v>14</v>
      </c>
      <c r="E19" s="1025" t="s">
        <v>1641</v>
      </c>
      <c r="F19" s="1061">
        <v>1866.08</v>
      </c>
      <c r="G19" s="1062">
        <v>0.2</v>
      </c>
      <c r="H19" s="1055">
        <v>171.67</v>
      </c>
      <c r="I19" s="1056"/>
      <c r="J19" s="1111"/>
      <c r="K19" s="1115" t="s">
        <v>2015</v>
      </c>
    </row>
    <row r="20" spans="1:11" ht="15.75">
      <c r="A20" s="1037">
        <v>45296</v>
      </c>
      <c r="B20" s="1038">
        <v>45663</v>
      </c>
      <c r="C20" s="1026" t="s">
        <v>1504</v>
      </c>
      <c r="D20" s="1026" t="s">
        <v>448</v>
      </c>
      <c r="E20" s="1025" t="s">
        <v>945</v>
      </c>
      <c r="F20" s="1061">
        <v>2067.85</v>
      </c>
      <c r="G20" s="1062">
        <v>0.15</v>
      </c>
      <c r="H20" s="1055">
        <v>285.36</v>
      </c>
      <c r="I20" s="1056"/>
      <c r="J20" s="1111"/>
      <c r="K20" s="1115" t="s">
        <v>2015</v>
      </c>
    </row>
    <row r="21" spans="1:11" ht="15.75">
      <c r="A21" s="1037">
        <v>45293</v>
      </c>
      <c r="B21" s="1038">
        <v>45665</v>
      </c>
      <c r="C21" s="1025" t="s">
        <v>1217</v>
      </c>
      <c r="D21" s="1026" t="s">
        <v>1604</v>
      </c>
      <c r="E21" s="1025" t="s">
        <v>948</v>
      </c>
      <c r="F21" s="1061">
        <v>903.97</v>
      </c>
      <c r="G21" s="1062">
        <v>0.15</v>
      </c>
      <c r="H21" s="1055">
        <v>124.74</v>
      </c>
      <c r="I21" s="1056"/>
      <c r="J21" s="1111"/>
      <c r="K21" s="1115" t="s">
        <v>2015</v>
      </c>
    </row>
    <row r="22" spans="1:11" ht="15.75">
      <c r="A22" s="1037">
        <v>45299</v>
      </c>
      <c r="B22" s="1038">
        <v>45665</v>
      </c>
      <c r="C22" s="1025" t="s">
        <v>2417</v>
      </c>
      <c r="D22" s="1026" t="s">
        <v>448</v>
      </c>
      <c r="E22" s="1025" t="s">
        <v>2418</v>
      </c>
      <c r="F22" s="1061">
        <v>238.64</v>
      </c>
      <c r="G22" s="1062">
        <v>0.1</v>
      </c>
      <c r="H22" s="1055">
        <v>23.86</v>
      </c>
      <c r="I22" s="1056"/>
      <c r="J22" s="1111"/>
      <c r="K22" s="1115" t="s">
        <v>1472</v>
      </c>
    </row>
    <row r="23" spans="1:11" ht="15.75">
      <c r="A23" s="1037">
        <v>45299</v>
      </c>
      <c r="B23" s="1038">
        <v>45665</v>
      </c>
      <c r="C23" s="1032" t="s">
        <v>1355</v>
      </c>
      <c r="D23" s="1026" t="s">
        <v>1604</v>
      </c>
      <c r="E23" s="1025" t="s">
        <v>1310</v>
      </c>
      <c r="F23" s="1061">
        <v>2419.13</v>
      </c>
      <c r="G23" s="1062">
        <v>0.1</v>
      </c>
      <c r="H23" s="1055">
        <v>222.55</v>
      </c>
      <c r="I23" s="1056"/>
      <c r="J23" s="1111"/>
      <c r="K23" s="1115" t="s">
        <v>2015</v>
      </c>
    </row>
    <row r="24" spans="1:11" ht="15.75">
      <c r="A24" s="1039">
        <v>45293</v>
      </c>
      <c r="B24" s="1039">
        <v>45665</v>
      </c>
      <c r="C24" s="1025" t="s">
        <v>492</v>
      </c>
      <c r="D24" s="1025" t="s">
        <v>1604</v>
      </c>
      <c r="E24" s="1025" t="s">
        <v>22</v>
      </c>
      <c r="F24" s="1061">
        <v>1854.76</v>
      </c>
      <c r="G24" s="1062">
        <v>0.1</v>
      </c>
      <c r="H24" s="1055">
        <v>170.63</v>
      </c>
      <c r="I24" s="1056"/>
      <c r="J24" s="1111"/>
      <c r="K24" s="1116" t="s">
        <v>2015</v>
      </c>
    </row>
    <row r="25" spans="1:11" ht="15.75">
      <c r="A25" s="1039">
        <v>45296</v>
      </c>
      <c r="B25" s="1039">
        <v>45666</v>
      </c>
      <c r="C25" s="1025" t="s">
        <v>784</v>
      </c>
      <c r="D25" s="1025" t="s">
        <v>9</v>
      </c>
      <c r="E25" s="1025" t="s">
        <v>1552</v>
      </c>
      <c r="F25" s="1061">
        <v>4054.39</v>
      </c>
      <c r="G25" s="1062">
        <v>0.15</v>
      </c>
      <c r="H25" s="1055">
        <v>559.5</v>
      </c>
      <c r="I25" s="1056"/>
      <c r="J25" s="1111"/>
      <c r="K25" s="1115" t="s">
        <v>2015</v>
      </c>
    </row>
    <row r="26" spans="1:11" ht="15.75">
      <c r="A26" s="1039">
        <v>45300</v>
      </c>
      <c r="B26" s="1039">
        <v>45666</v>
      </c>
      <c r="C26" s="1025" t="s">
        <v>2419</v>
      </c>
      <c r="D26" s="1025" t="s">
        <v>448</v>
      </c>
      <c r="E26" s="1025" t="s">
        <v>2418</v>
      </c>
      <c r="F26" s="1061">
        <v>238.64</v>
      </c>
      <c r="G26" s="1062">
        <v>0.1</v>
      </c>
      <c r="H26" s="1055">
        <v>23.86</v>
      </c>
      <c r="I26" s="1056"/>
      <c r="J26" s="1111"/>
      <c r="K26" s="1115" t="s">
        <v>1472</v>
      </c>
    </row>
    <row r="27" spans="1:11" ht="15.75">
      <c r="A27" s="1037">
        <v>45301</v>
      </c>
      <c r="B27" s="1039">
        <v>45667</v>
      </c>
      <c r="C27" s="1025" t="s">
        <v>2420</v>
      </c>
      <c r="D27" s="1026" t="s">
        <v>448</v>
      </c>
      <c r="E27" s="1025" t="s">
        <v>1080</v>
      </c>
      <c r="F27" s="1061">
        <v>3979.63</v>
      </c>
      <c r="G27" s="1062">
        <v>0.1</v>
      </c>
      <c r="H27" s="1055">
        <v>366.12</v>
      </c>
      <c r="I27" s="1056"/>
      <c r="J27" s="1111"/>
      <c r="K27" s="1115" t="s">
        <v>1472</v>
      </c>
    </row>
    <row r="28" spans="1:11" ht="15.75">
      <c r="A28" s="1037">
        <v>45295</v>
      </c>
      <c r="B28" s="1039">
        <v>45668</v>
      </c>
      <c r="C28" s="1025" t="s">
        <v>2421</v>
      </c>
      <c r="D28" s="1026" t="s">
        <v>448</v>
      </c>
      <c r="E28" s="1025" t="s">
        <v>948</v>
      </c>
      <c r="F28" s="1092">
        <v>1896.33</v>
      </c>
      <c r="G28" s="1062">
        <v>0.15</v>
      </c>
      <c r="H28" s="1055">
        <v>261.69</v>
      </c>
      <c r="I28" s="1056"/>
      <c r="J28" s="1111"/>
      <c r="K28" s="1115" t="s">
        <v>2015</v>
      </c>
    </row>
    <row r="29" spans="1:11" ht="15.75">
      <c r="A29" s="1037">
        <v>45307</v>
      </c>
      <c r="B29" s="1039">
        <v>45668</v>
      </c>
      <c r="C29" s="1025" t="s">
        <v>2422</v>
      </c>
      <c r="D29" s="1026" t="s">
        <v>448</v>
      </c>
      <c r="E29" s="1025" t="s">
        <v>458</v>
      </c>
      <c r="F29" s="1061">
        <v>2052.8200000000002</v>
      </c>
      <c r="G29" s="1062">
        <v>0.1</v>
      </c>
      <c r="H29" s="1055">
        <v>188.85</v>
      </c>
      <c r="I29" s="1056"/>
      <c r="J29" s="1111"/>
      <c r="K29" s="1115" t="s">
        <v>2015</v>
      </c>
    </row>
    <row r="30" spans="1:11" ht="15.75">
      <c r="A30" s="1037">
        <v>45302</v>
      </c>
      <c r="B30" s="1039">
        <v>45670</v>
      </c>
      <c r="C30" s="1025" t="s">
        <v>2423</v>
      </c>
      <c r="D30" s="1026" t="s">
        <v>448</v>
      </c>
      <c r="E30" s="1025" t="s">
        <v>945</v>
      </c>
      <c r="F30" s="1092">
        <v>2109.7600000000002</v>
      </c>
      <c r="G30" s="1062">
        <v>0.1</v>
      </c>
      <c r="H30" s="1055">
        <v>194.09</v>
      </c>
      <c r="I30" s="1056"/>
      <c r="J30" s="1111"/>
      <c r="K30" s="1115" t="s">
        <v>2015</v>
      </c>
    </row>
    <row r="31" spans="1:11" ht="15.75">
      <c r="A31" s="1037">
        <v>45306</v>
      </c>
      <c r="B31" s="1039">
        <v>45672</v>
      </c>
      <c r="C31" s="1032" t="s">
        <v>2424</v>
      </c>
      <c r="D31" s="1026" t="s">
        <v>448</v>
      </c>
      <c r="E31" s="1025" t="s">
        <v>10</v>
      </c>
      <c r="F31" s="1061">
        <v>1522.96</v>
      </c>
      <c r="G31" s="1062">
        <v>0.2</v>
      </c>
      <c r="H31" s="1055">
        <v>280.22000000000003</v>
      </c>
      <c r="I31" s="1056"/>
      <c r="J31" s="1111"/>
      <c r="K31" s="1115" t="s">
        <v>2015</v>
      </c>
    </row>
    <row r="32" spans="1:11" s="1070" customFormat="1" ht="15.75">
      <c r="A32" s="1037">
        <v>45301</v>
      </c>
      <c r="B32" s="1039">
        <v>45672</v>
      </c>
      <c r="C32" s="1025" t="s">
        <v>2425</v>
      </c>
      <c r="D32" s="1026" t="s">
        <v>21</v>
      </c>
      <c r="E32" s="1026" t="s">
        <v>948</v>
      </c>
      <c r="F32" s="1071">
        <v>2130.94</v>
      </c>
      <c r="G32" s="1062">
        <v>0.2</v>
      </c>
      <c r="H32" s="1088">
        <v>392.09</v>
      </c>
      <c r="I32" s="1089"/>
      <c r="J32" s="1111"/>
      <c r="K32" s="1115" t="s">
        <v>2015</v>
      </c>
    </row>
    <row r="33" spans="1:11" ht="15.75">
      <c r="A33" s="1037">
        <v>45303</v>
      </c>
      <c r="B33" s="1038">
        <v>45675</v>
      </c>
      <c r="C33" s="1025" t="s">
        <v>2426</v>
      </c>
      <c r="D33" s="1026" t="s">
        <v>70</v>
      </c>
      <c r="E33" s="1026" t="s">
        <v>1080</v>
      </c>
      <c r="F33" s="1053">
        <v>469.44</v>
      </c>
      <c r="G33" s="1054">
        <v>0.1</v>
      </c>
      <c r="H33" s="1055">
        <v>43.18</v>
      </c>
      <c r="I33" s="1056"/>
      <c r="J33" s="1111"/>
      <c r="K33" s="1116" t="s">
        <v>2015</v>
      </c>
    </row>
    <row r="34" spans="1:11" ht="15.75">
      <c r="A34" s="1037">
        <v>45309</v>
      </c>
      <c r="B34" s="1038">
        <v>45676</v>
      </c>
      <c r="C34" s="1025" t="s">
        <v>2427</v>
      </c>
      <c r="D34" s="1026" t="s">
        <v>1604</v>
      </c>
      <c r="E34" s="1026" t="s">
        <v>1552</v>
      </c>
      <c r="F34" s="1059">
        <v>1246.6600000000001</v>
      </c>
      <c r="G34" s="1054">
        <v>0.1</v>
      </c>
      <c r="H34" s="1055">
        <v>114.69</v>
      </c>
      <c r="I34" s="1056"/>
      <c r="J34" s="1111"/>
      <c r="K34" s="1115" t="s">
        <v>2015</v>
      </c>
    </row>
    <row r="35" spans="1:11" ht="15.75">
      <c r="A35" s="1037">
        <v>45310</v>
      </c>
      <c r="B35" s="1038">
        <v>45676</v>
      </c>
      <c r="C35" s="1025" t="s">
        <v>2428</v>
      </c>
      <c r="D35" s="1026" t="s">
        <v>61</v>
      </c>
      <c r="E35" s="1026" t="s">
        <v>2429</v>
      </c>
      <c r="F35" s="1059">
        <v>1001.94</v>
      </c>
      <c r="G35" s="1054">
        <v>0.1</v>
      </c>
      <c r="H35" s="1055">
        <v>92.17</v>
      </c>
      <c r="I35" s="1056"/>
      <c r="J35" s="1111"/>
      <c r="K35" s="1115" t="s">
        <v>2015</v>
      </c>
    </row>
    <row r="36" spans="1:11" ht="15.75">
      <c r="A36" s="1037">
        <v>45310</v>
      </c>
      <c r="B36" s="1038">
        <v>45677</v>
      </c>
      <c r="C36" s="1025" t="s">
        <v>2430</v>
      </c>
      <c r="D36" s="1026" t="s">
        <v>9</v>
      </c>
      <c r="E36" s="1026" t="s">
        <v>948</v>
      </c>
      <c r="F36" s="1059">
        <v>2672.35</v>
      </c>
      <c r="G36" s="1054">
        <v>0.15</v>
      </c>
      <c r="H36" s="1055">
        <v>368.78</v>
      </c>
      <c r="I36" s="1056"/>
      <c r="J36" s="1111"/>
      <c r="K36" s="1115" t="s">
        <v>2015</v>
      </c>
    </row>
    <row r="37" spans="1:11" ht="15.75">
      <c r="A37" s="1037">
        <v>45306</v>
      </c>
      <c r="B37" s="1038">
        <v>45679</v>
      </c>
      <c r="C37" s="1025" t="s">
        <v>2431</v>
      </c>
      <c r="D37" s="1026" t="s">
        <v>61</v>
      </c>
      <c r="E37" s="1026" t="s">
        <v>438</v>
      </c>
      <c r="F37" s="1059">
        <v>1303.28</v>
      </c>
      <c r="G37" s="1054">
        <v>0.15</v>
      </c>
      <c r="H37" s="1055">
        <v>179.85</v>
      </c>
      <c r="I37" s="1056"/>
      <c r="J37" s="1111"/>
      <c r="K37" s="1115" t="s">
        <v>2015</v>
      </c>
    </row>
    <row r="38" spans="1:11" ht="15.75">
      <c r="A38" s="1037">
        <v>45315</v>
      </c>
      <c r="B38" s="1038">
        <v>45681</v>
      </c>
      <c r="C38" s="1026" t="s">
        <v>1669</v>
      </c>
      <c r="D38" s="1026" t="s">
        <v>9</v>
      </c>
      <c r="E38" s="1026" t="s">
        <v>948</v>
      </c>
      <c r="F38" s="1059">
        <v>1479.12</v>
      </c>
      <c r="G38" s="1054">
        <v>0.1</v>
      </c>
      <c r="H38" s="1055">
        <v>136.07</v>
      </c>
      <c r="I38" s="1056"/>
      <c r="J38" s="1111"/>
      <c r="K38" s="1115" t="s">
        <v>2015</v>
      </c>
    </row>
    <row r="39" spans="1:11" ht="15.75">
      <c r="A39" s="1037">
        <v>45316</v>
      </c>
      <c r="B39" s="1038">
        <v>45682</v>
      </c>
      <c r="C39" s="1026" t="s">
        <v>2432</v>
      </c>
      <c r="D39" s="1026" t="s">
        <v>422</v>
      </c>
      <c r="E39" s="1026" t="s">
        <v>1641</v>
      </c>
      <c r="F39" s="1059">
        <v>4390.93</v>
      </c>
      <c r="G39" s="1054">
        <v>0.1</v>
      </c>
      <c r="H39" s="1055">
        <v>403.96</v>
      </c>
      <c r="I39" s="1056"/>
      <c r="J39" s="1111"/>
      <c r="K39" s="1115" t="s">
        <v>2015</v>
      </c>
    </row>
    <row r="40" spans="1:11" ht="15.75">
      <c r="A40" s="1037">
        <v>45316</v>
      </c>
      <c r="B40" s="1038">
        <v>45682</v>
      </c>
      <c r="C40" s="1025" t="s">
        <v>2433</v>
      </c>
      <c r="D40" s="1026" t="s">
        <v>70</v>
      </c>
      <c r="E40" s="1026" t="s">
        <v>1080</v>
      </c>
      <c r="F40" s="1118">
        <v>3415.33</v>
      </c>
      <c r="G40" s="1054">
        <v>0.1</v>
      </c>
      <c r="H40" s="1023">
        <v>314.20999999999998</v>
      </c>
      <c r="I40" s="1056"/>
      <c r="J40" s="1111"/>
      <c r="K40" s="1115" t="s">
        <v>2015</v>
      </c>
    </row>
    <row r="41" spans="1:11" ht="15.75">
      <c r="A41" s="1037">
        <v>45317</v>
      </c>
      <c r="B41" s="1038">
        <v>45683</v>
      </c>
      <c r="C41" s="1025" t="s">
        <v>2434</v>
      </c>
      <c r="D41" s="1026" t="s">
        <v>848</v>
      </c>
      <c r="E41" s="1026" t="s">
        <v>10</v>
      </c>
      <c r="F41" s="1059">
        <v>4458.62</v>
      </c>
      <c r="G41" s="1054">
        <v>0.1</v>
      </c>
      <c r="H41" s="1055">
        <v>410.19</v>
      </c>
      <c r="I41" s="1056"/>
      <c r="J41" s="1111"/>
      <c r="K41" s="1115" t="s">
        <v>2015</v>
      </c>
    </row>
    <row r="42" spans="1:11" ht="15.75">
      <c r="A42" s="1037">
        <v>45317</v>
      </c>
      <c r="B42" s="1038">
        <v>45683</v>
      </c>
      <c r="C42" s="1026" t="s">
        <v>2435</v>
      </c>
      <c r="D42" s="1026" t="s">
        <v>9</v>
      </c>
      <c r="E42" s="1026" t="s">
        <v>1310</v>
      </c>
      <c r="F42" s="1059">
        <v>2069.9899999999998</v>
      </c>
      <c r="G42" s="1054">
        <v>0.1</v>
      </c>
      <c r="H42" s="1055">
        <v>190.43</v>
      </c>
      <c r="I42" s="1056"/>
      <c r="J42" s="1111"/>
      <c r="K42" s="1115" t="s">
        <v>2015</v>
      </c>
    </row>
    <row r="43" spans="1:11" ht="15.75">
      <c r="A43" s="1037">
        <v>45317</v>
      </c>
      <c r="B43" s="1039">
        <v>45683</v>
      </c>
      <c r="C43" s="1025" t="s">
        <v>2436</v>
      </c>
      <c r="D43" s="1026" t="s">
        <v>9</v>
      </c>
      <c r="E43" s="1025" t="s">
        <v>438</v>
      </c>
      <c r="F43" s="1061">
        <v>3232.38</v>
      </c>
      <c r="G43" s="1062">
        <v>0.1</v>
      </c>
      <c r="H43" s="1055">
        <v>297.37</v>
      </c>
      <c r="I43" s="1056"/>
      <c r="J43" s="1111"/>
      <c r="K43" s="1115" t="s">
        <v>2015</v>
      </c>
    </row>
    <row r="44" spans="1:11" ht="15.75">
      <c r="A44" s="1037">
        <v>45317</v>
      </c>
      <c r="B44" s="1038">
        <v>45683</v>
      </c>
      <c r="C44" s="1026" t="s">
        <v>2437</v>
      </c>
      <c r="D44" s="1026" t="s">
        <v>9</v>
      </c>
      <c r="E44" s="1026" t="s">
        <v>438</v>
      </c>
      <c r="F44" s="1059">
        <v>4661.3500000000004</v>
      </c>
      <c r="G44" s="1054">
        <v>0.1</v>
      </c>
      <c r="H44" s="1055">
        <v>428.84</v>
      </c>
      <c r="I44" s="1056"/>
      <c r="J44" s="1111"/>
      <c r="K44" s="1115" t="s">
        <v>2015</v>
      </c>
    </row>
    <row r="45" spans="1:11" ht="15.75">
      <c r="A45" s="1037">
        <v>45314</v>
      </c>
      <c r="B45" s="1038">
        <v>45683</v>
      </c>
      <c r="C45" s="1026" t="s">
        <v>2438</v>
      </c>
      <c r="D45" s="1026" t="s">
        <v>448</v>
      </c>
      <c r="E45" s="1026" t="s">
        <v>945</v>
      </c>
      <c r="F45" s="1103">
        <v>2866.6</v>
      </c>
      <c r="G45" s="1054">
        <v>0.1</v>
      </c>
      <c r="H45" s="1055">
        <v>263.72000000000003</v>
      </c>
      <c r="I45" s="1056"/>
      <c r="J45" s="1111"/>
      <c r="K45" s="1115" t="s">
        <v>1472</v>
      </c>
    </row>
    <row r="46" spans="1:11" ht="15.75">
      <c r="A46" s="1037">
        <v>45317</v>
      </c>
      <c r="B46" s="1038">
        <v>45685</v>
      </c>
      <c r="C46" s="1026" t="s">
        <v>2439</v>
      </c>
      <c r="D46" s="1026" t="s">
        <v>448</v>
      </c>
      <c r="E46" s="1026" t="s">
        <v>945</v>
      </c>
      <c r="F46" s="1059">
        <v>1772.2</v>
      </c>
      <c r="G46" s="1054">
        <v>0.1</v>
      </c>
      <c r="H46" s="1055">
        <v>163.04</v>
      </c>
      <c r="I46" s="1056"/>
      <c r="J46" s="1111"/>
      <c r="K46" s="1115" t="s">
        <v>2015</v>
      </c>
    </row>
    <row r="47" spans="1:11" ht="15.75">
      <c r="A47" s="1037">
        <v>45321</v>
      </c>
      <c r="B47" s="1038">
        <v>45686</v>
      </c>
      <c r="C47" s="1026" t="s">
        <v>2440</v>
      </c>
      <c r="D47" s="1026" t="s">
        <v>2441</v>
      </c>
      <c r="E47" s="1026" t="s">
        <v>948</v>
      </c>
      <c r="F47" s="1059">
        <v>2062.56</v>
      </c>
      <c r="G47" s="1054">
        <v>0.1</v>
      </c>
      <c r="H47" s="1055">
        <v>189.75</v>
      </c>
      <c r="I47" s="1056"/>
      <c r="J47" s="1111"/>
      <c r="K47" s="1115" t="s">
        <v>2015</v>
      </c>
    </row>
    <row r="48" spans="1:11" ht="15.75">
      <c r="A48" s="1037">
        <v>45320</v>
      </c>
      <c r="B48" s="1038">
        <v>45687</v>
      </c>
      <c r="C48" s="1026" t="s">
        <v>2442</v>
      </c>
      <c r="D48" s="1026" t="s">
        <v>14</v>
      </c>
      <c r="E48" s="1026" t="s">
        <v>948</v>
      </c>
      <c r="F48" s="1059">
        <v>2682.06</v>
      </c>
      <c r="G48" s="1054">
        <v>0.1</v>
      </c>
      <c r="H48" s="1055">
        <v>246.74</v>
      </c>
      <c r="I48" s="1056"/>
      <c r="J48" s="1111"/>
      <c r="K48" s="1115" t="s">
        <v>2015</v>
      </c>
    </row>
    <row r="49" spans="1:11" ht="15.75">
      <c r="A49" s="1037">
        <v>45321</v>
      </c>
      <c r="B49" s="1038">
        <v>45687</v>
      </c>
      <c r="C49" s="1026" t="s">
        <v>2443</v>
      </c>
      <c r="D49" s="1026" t="s">
        <v>61</v>
      </c>
      <c r="E49" s="1026" t="s">
        <v>1310</v>
      </c>
      <c r="F49" s="1059">
        <v>2696.34</v>
      </c>
      <c r="G49" s="1054">
        <v>0.1</v>
      </c>
      <c r="H49" s="1055">
        <v>248.06</v>
      </c>
      <c r="I49" s="1056"/>
      <c r="J49" s="1111"/>
      <c r="K49" s="1115" t="s">
        <v>1472</v>
      </c>
    </row>
    <row r="50" spans="1:11" ht="15.75">
      <c r="A50" s="1037">
        <v>45321</v>
      </c>
      <c r="B50" s="1038">
        <v>45688</v>
      </c>
      <c r="C50" s="1026" t="s">
        <v>2444</v>
      </c>
      <c r="D50" s="1026" t="s">
        <v>9</v>
      </c>
      <c r="E50" s="1026" t="s">
        <v>948</v>
      </c>
      <c r="F50" s="1059">
        <v>2562.86</v>
      </c>
      <c r="G50" s="1054">
        <v>0.1</v>
      </c>
      <c r="H50" s="1055">
        <v>235.78</v>
      </c>
      <c r="I50" s="1056"/>
      <c r="J50" s="1111"/>
      <c r="K50" s="1115" t="s">
        <v>2015</v>
      </c>
    </row>
    <row r="51" spans="1:11" ht="15.75">
      <c r="A51" s="1037">
        <v>45322</v>
      </c>
      <c r="B51" s="1038">
        <v>45688</v>
      </c>
      <c r="C51" s="1026" t="s">
        <v>2445</v>
      </c>
      <c r="D51" s="1026" t="s">
        <v>9</v>
      </c>
      <c r="E51" s="1026" t="s">
        <v>1641</v>
      </c>
      <c r="F51" s="1059">
        <v>3481.13</v>
      </c>
      <c r="G51" s="1054">
        <v>0.1</v>
      </c>
      <c r="H51" s="1055">
        <v>320.26</v>
      </c>
      <c r="I51" s="1056"/>
      <c r="J51" s="1111"/>
      <c r="K51" s="1115" t="s">
        <v>2015</v>
      </c>
    </row>
    <row r="52" spans="1:11" ht="15.75">
      <c r="A52" s="1037">
        <v>45327</v>
      </c>
      <c r="B52" s="1038">
        <v>45688</v>
      </c>
      <c r="C52" s="1026" t="s">
        <v>1970</v>
      </c>
      <c r="D52" s="1026" t="s">
        <v>448</v>
      </c>
      <c r="E52" s="1026" t="s">
        <v>458</v>
      </c>
      <c r="F52" s="1059">
        <v>1733.02</v>
      </c>
      <c r="G52" s="1054">
        <v>0.1</v>
      </c>
      <c r="H52" s="1055">
        <v>159.43</v>
      </c>
      <c r="I52" s="1056"/>
      <c r="J52" s="1111"/>
      <c r="K52" s="1115" t="s">
        <v>2015</v>
      </c>
    </row>
    <row r="53" spans="1:11" ht="15.75">
      <c r="A53" s="1037">
        <v>45302</v>
      </c>
      <c r="B53" s="1038" t="s">
        <v>1805</v>
      </c>
      <c r="C53" s="1026" t="s">
        <v>2446</v>
      </c>
      <c r="D53" s="1026" t="s">
        <v>1604</v>
      </c>
      <c r="E53" s="1026" t="s">
        <v>10</v>
      </c>
      <c r="F53" s="1059">
        <v>394.35</v>
      </c>
      <c r="G53" s="1054">
        <v>0.15</v>
      </c>
      <c r="H53" s="1055">
        <v>54.42</v>
      </c>
      <c r="I53" s="1056"/>
      <c r="J53" s="1111"/>
      <c r="K53" s="1115" t="s">
        <v>510</v>
      </c>
    </row>
    <row r="54" spans="1:11" ht="15.75">
      <c r="A54" s="1037">
        <v>45302</v>
      </c>
      <c r="B54" s="1038" t="s">
        <v>1805</v>
      </c>
      <c r="C54" s="1026" t="s">
        <v>2447</v>
      </c>
      <c r="D54" s="1026" t="s">
        <v>14</v>
      </c>
      <c r="E54" s="1026" t="s">
        <v>1310</v>
      </c>
      <c r="F54" s="1053">
        <v>210.25</v>
      </c>
      <c r="G54" s="1054">
        <v>0.15</v>
      </c>
      <c r="H54" s="1023">
        <v>29.01</v>
      </c>
      <c r="I54" s="1056"/>
      <c r="J54" s="1111"/>
      <c r="K54" s="1115" t="s">
        <v>510</v>
      </c>
    </row>
    <row r="55" spans="1:11" ht="15.75">
      <c r="A55" s="1037"/>
      <c r="B55" s="1038"/>
      <c r="C55" s="1026"/>
      <c r="D55" s="1026"/>
      <c r="E55" s="1026"/>
      <c r="F55" s="1059"/>
      <c r="G55" s="1054"/>
      <c r="H55" s="1055"/>
      <c r="I55" s="1056"/>
      <c r="J55" s="1111"/>
      <c r="K55" s="1115"/>
    </row>
    <row r="56" spans="1:11" ht="15.75">
      <c r="A56" s="1037"/>
      <c r="B56" s="1038"/>
      <c r="C56" s="1026"/>
      <c r="D56" s="1026"/>
      <c r="E56" s="1026"/>
      <c r="F56" s="1059"/>
      <c r="G56" s="1054"/>
      <c r="H56" s="1055"/>
      <c r="I56" s="1056"/>
      <c r="J56" s="1111"/>
      <c r="K56" s="1115"/>
    </row>
    <row r="57" spans="1:11" ht="16.5" thickBot="1">
      <c r="A57" s="1037"/>
      <c r="B57" s="1038"/>
      <c r="C57" s="1026"/>
      <c r="D57" s="1026"/>
      <c r="E57" s="1026"/>
      <c r="F57" s="1059"/>
      <c r="G57" s="1054"/>
      <c r="H57" s="1055"/>
      <c r="I57" s="1056"/>
      <c r="J57" s="1111"/>
      <c r="K57" s="1115"/>
    </row>
    <row r="58" spans="1:11" ht="19.5">
      <c r="A58" s="1158"/>
      <c r="B58" s="1159"/>
      <c r="C58" s="1159"/>
      <c r="D58" s="1159"/>
      <c r="E58" s="1159"/>
      <c r="F58" s="1160">
        <f>SUM(F2:F10,F11:F57)</f>
        <v>112167.90000000001</v>
      </c>
      <c r="G58" s="1161"/>
      <c r="H58" s="1162">
        <f>SUM(H2:H57)</f>
        <v>11885.470000000001</v>
      </c>
      <c r="I58" s="1163">
        <f>SUM(I2:I57)</f>
        <v>1167.56</v>
      </c>
      <c r="J58" s="1164"/>
      <c r="K58" s="1157"/>
    </row>
    <row r="59" spans="1:11">
      <c r="A59" s="1037"/>
      <c r="B59" s="1038"/>
      <c r="C59" s="1026"/>
      <c r="D59" s="1026"/>
      <c r="E59" s="1026"/>
      <c r="F59" s="1059"/>
      <c r="G59" s="1054"/>
      <c r="H59" s="1269"/>
      <c r="I59" s="1056"/>
      <c r="J59" s="1111"/>
      <c r="K59" s="1262"/>
    </row>
    <row r="60" spans="1:11" ht="15.75">
      <c r="A60" s="1037"/>
      <c r="B60" s="1038"/>
      <c r="C60" s="1026"/>
      <c r="D60" s="1026"/>
      <c r="E60" s="1026"/>
      <c r="F60" s="1059"/>
      <c r="G60" s="1054"/>
      <c r="H60" s="1269"/>
      <c r="I60" s="1056"/>
      <c r="J60" s="1111"/>
      <c r="K60" s="1116"/>
    </row>
    <row r="61" spans="1:11">
      <c r="A61" s="1037"/>
      <c r="B61" s="1038"/>
      <c r="C61" s="1026"/>
      <c r="D61" s="1026"/>
      <c r="E61" s="1026"/>
      <c r="F61" s="1059"/>
      <c r="G61" s="1054"/>
      <c r="H61" s="1269"/>
      <c r="I61" s="1056"/>
      <c r="J61" s="1111"/>
      <c r="K61" s="1262"/>
    </row>
    <row r="62" spans="1:11">
      <c r="A62" s="1037"/>
      <c r="B62" s="1038"/>
      <c r="C62" s="1026"/>
      <c r="D62" s="1026"/>
      <c r="E62" s="1026"/>
      <c r="F62" s="1059"/>
      <c r="G62" s="1054"/>
      <c r="H62" s="1269"/>
      <c r="I62" s="1056"/>
      <c r="J62" s="1111"/>
      <c r="K62" s="1262"/>
    </row>
    <row r="63" spans="1:11">
      <c r="A63" s="1037"/>
      <c r="B63" s="1038"/>
      <c r="C63" s="1026"/>
      <c r="D63" s="1026"/>
      <c r="E63" s="1026"/>
      <c r="F63" s="1059"/>
      <c r="G63" s="1054"/>
      <c r="H63" s="1269"/>
      <c r="I63" s="1056"/>
      <c r="J63" s="1111"/>
      <c r="K63" s="1262"/>
    </row>
    <row r="64" spans="1:11">
      <c r="A64" s="1037"/>
      <c r="B64" s="1038"/>
      <c r="C64" s="1026"/>
      <c r="D64" s="1026"/>
      <c r="E64" s="1026"/>
      <c r="F64" s="1059"/>
      <c r="G64" s="1054"/>
      <c r="H64" s="1269"/>
      <c r="I64" s="1056"/>
      <c r="J64" s="1111"/>
      <c r="K64" s="1262"/>
    </row>
    <row r="65" spans="1:1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262"/>
    </row>
    <row r="66" spans="1:11" ht="15.75">
      <c r="A66" s="1037"/>
      <c r="B66" s="1038"/>
      <c r="C66" s="1026"/>
      <c r="D66" s="1026"/>
      <c r="E66" s="1026"/>
      <c r="F66" s="1059"/>
      <c r="G66" s="1054"/>
      <c r="H66" s="1269"/>
      <c r="I66" s="1056"/>
      <c r="J66" s="1111"/>
      <c r="K66" s="1116"/>
    </row>
    <row r="67" spans="1:11" ht="15.75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1116"/>
    </row>
    <row r="68" spans="1:11">
      <c r="A68" s="1037"/>
      <c r="B68" s="1038"/>
      <c r="C68" s="1026"/>
      <c r="D68" s="1026"/>
      <c r="E68" s="1026"/>
      <c r="F68" s="1059"/>
      <c r="G68" s="1054"/>
      <c r="H68" s="1269"/>
      <c r="I68" s="1056"/>
      <c r="J68" s="1111"/>
      <c r="K68" s="1262"/>
    </row>
    <row r="69" spans="1:11">
      <c r="A69" s="1037"/>
      <c r="B69" s="1038"/>
      <c r="C69" s="1026"/>
      <c r="D69" s="1026"/>
      <c r="E69" s="1026"/>
      <c r="F69" s="1059"/>
      <c r="G69" s="1054"/>
      <c r="H69" s="1269"/>
      <c r="I69" s="1056"/>
      <c r="J69" s="1111"/>
      <c r="K69" s="1262"/>
    </row>
    <row r="70" spans="1:11">
      <c r="A70" s="1037"/>
      <c r="B70" s="1038"/>
      <c r="C70" s="1026"/>
      <c r="D70" s="1026"/>
      <c r="E70" s="1026"/>
      <c r="F70" s="1059"/>
      <c r="G70" s="1054"/>
      <c r="H70" s="1269"/>
      <c r="I70" s="1056"/>
      <c r="J70" s="1111"/>
      <c r="K70" s="1262"/>
    </row>
    <row r="71" spans="1:1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262"/>
    </row>
    <row r="72" spans="1:11">
      <c r="A72" s="1037"/>
      <c r="B72" s="1038"/>
      <c r="C72" s="1026"/>
      <c r="D72" s="1026"/>
      <c r="E72" s="1026"/>
      <c r="F72" s="1059"/>
      <c r="G72" s="1054"/>
      <c r="H72" s="1269"/>
      <c r="I72" s="1056"/>
      <c r="J72" s="1111"/>
      <c r="K72" s="1262"/>
    </row>
    <row r="73" spans="1:11" ht="15.75">
      <c r="A73" s="1037"/>
      <c r="B73" s="1038"/>
      <c r="C73" s="1026"/>
      <c r="D73" s="1026"/>
      <c r="E73" s="1026"/>
      <c r="F73" s="1059"/>
      <c r="G73" s="1054"/>
      <c r="H73" s="1269"/>
      <c r="I73" s="1056"/>
      <c r="J73" s="1111"/>
      <c r="K73" s="1279"/>
    </row>
    <row r="74" spans="1:11">
      <c r="A74" s="1037"/>
      <c r="B74" s="1038"/>
      <c r="C74" s="1026"/>
      <c r="D74" s="1026"/>
      <c r="E74" s="1026"/>
      <c r="F74" s="1059"/>
      <c r="G74" s="1054"/>
      <c r="H74" s="1269"/>
      <c r="I74" s="1056"/>
      <c r="J74" s="1111"/>
      <c r="K74" s="1262"/>
    </row>
    <row r="75" spans="1:11">
      <c r="A75" s="1037"/>
      <c r="B75" s="1038"/>
      <c r="C75" s="1026"/>
      <c r="D75" s="1026"/>
      <c r="E75" s="1026"/>
      <c r="F75" s="1059"/>
      <c r="G75" s="1054"/>
      <c r="H75" s="1269"/>
      <c r="I75" s="1056"/>
      <c r="J75" s="1111"/>
      <c r="K75" s="1262"/>
    </row>
    <row r="76" spans="1:11">
      <c r="A76" s="1037"/>
      <c r="B76" s="1038"/>
      <c r="C76" s="1026"/>
      <c r="D76" s="1026"/>
      <c r="E76" s="1026"/>
      <c r="F76" s="1059"/>
      <c r="G76" s="1054"/>
      <c r="H76" s="1269"/>
      <c r="I76" s="1056"/>
      <c r="J76" s="1111"/>
      <c r="K76" s="1262"/>
    </row>
    <row r="77" spans="1:11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1262"/>
    </row>
    <row r="78" spans="1:11" ht="15.75">
      <c r="A78" s="1037"/>
      <c r="B78" s="1039"/>
      <c r="C78" s="1025"/>
      <c r="D78" s="1025"/>
      <c r="E78" s="1025"/>
      <c r="F78" s="1061"/>
      <c r="G78" s="1062"/>
      <c r="H78" s="1055"/>
      <c r="I78" s="1056"/>
      <c r="J78" s="1111"/>
      <c r="K78" s="1279"/>
    </row>
    <row r="79" spans="1:11">
      <c r="A79" s="1037"/>
      <c r="B79" s="1038"/>
      <c r="C79" s="1026"/>
      <c r="D79" s="1026"/>
      <c r="E79" s="1025"/>
      <c r="F79" s="1059"/>
      <c r="G79" s="1054"/>
      <c r="H79" s="1269"/>
      <c r="I79" s="1056"/>
      <c r="J79" s="1111"/>
      <c r="K79" s="1262"/>
    </row>
    <row r="80" spans="1:11">
      <c r="A80" s="1037"/>
      <c r="B80" s="1038"/>
      <c r="C80" s="1026"/>
      <c r="D80" s="1026"/>
      <c r="E80" s="1026"/>
      <c r="F80" s="1059"/>
      <c r="G80" s="1054"/>
      <c r="H80" s="1269"/>
      <c r="I80" s="1056"/>
      <c r="J80" s="1111"/>
      <c r="K80" s="1262"/>
    </row>
    <row r="81" spans="1:11">
      <c r="A81" s="1037"/>
      <c r="B81" s="1038"/>
      <c r="C81" s="1026"/>
      <c r="D81" s="1026"/>
      <c r="E81" s="1026"/>
      <c r="F81" s="1059"/>
      <c r="G81" s="1054"/>
      <c r="H81" s="1269"/>
      <c r="I81" s="1056"/>
      <c r="J81" s="1111"/>
      <c r="K81" s="1262"/>
    </row>
    <row r="82" spans="1:11">
      <c r="A82" s="1037"/>
      <c r="B82" s="1038"/>
      <c r="C82" s="1026"/>
      <c r="D82" s="1026"/>
      <c r="E82" s="1026"/>
      <c r="F82" s="1059"/>
      <c r="G82" s="1054"/>
      <c r="H82" s="1269"/>
      <c r="I82" s="1056"/>
      <c r="J82" s="1111"/>
      <c r="K82" s="1262"/>
    </row>
    <row r="83" spans="1:11" ht="15.75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1279"/>
    </row>
    <row r="84" spans="1:11" ht="15.75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279"/>
    </row>
    <row r="85" spans="1:11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262"/>
    </row>
    <row r="86" spans="1:11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262"/>
    </row>
    <row r="87" spans="1:11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262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279"/>
    </row>
    <row r="89" spans="1:11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262"/>
    </row>
    <row r="90" spans="1:11">
      <c r="A90" s="1037"/>
      <c r="B90" s="1038"/>
      <c r="C90" s="1026"/>
      <c r="D90" s="1026"/>
      <c r="E90" s="1026"/>
      <c r="F90" s="1059"/>
      <c r="G90" s="1054"/>
      <c r="H90" s="1269"/>
      <c r="I90" s="1056"/>
      <c r="J90" s="1111"/>
      <c r="K90" s="1262"/>
    </row>
    <row r="91" spans="1:11">
      <c r="A91" s="1037"/>
      <c r="B91" s="1038"/>
      <c r="C91" s="1026"/>
      <c r="D91" s="1026"/>
      <c r="E91" s="1026"/>
      <c r="F91" s="1059"/>
      <c r="G91" s="1054"/>
      <c r="H91" s="1269"/>
      <c r="I91" s="1056"/>
      <c r="J91" s="1111"/>
      <c r="K91" s="1262"/>
    </row>
    <row r="92" spans="1:11">
      <c r="A92" s="1037"/>
      <c r="B92" s="1038"/>
      <c r="C92" s="1026"/>
      <c r="D92" s="1026"/>
      <c r="E92" s="1026"/>
      <c r="F92" s="1059"/>
      <c r="G92" s="1054"/>
      <c r="H92" s="1269"/>
      <c r="I92" s="1056"/>
      <c r="J92" s="1111"/>
      <c r="K92" s="1262"/>
    </row>
    <row r="93" spans="1:11">
      <c r="A93" s="1037"/>
      <c r="B93" s="1038"/>
      <c r="C93" s="1026"/>
      <c r="D93" s="1026"/>
      <c r="E93" s="1026"/>
      <c r="F93" s="1059"/>
      <c r="G93" s="1054"/>
      <c r="H93" s="1269"/>
      <c r="I93" s="1056"/>
      <c r="J93" s="1111"/>
      <c r="K93" s="1262"/>
    </row>
    <row r="94" spans="1:11">
      <c r="A94" s="1037"/>
      <c r="B94" s="1038"/>
      <c r="C94" s="1026"/>
      <c r="D94" s="1026"/>
      <c r="E94" s="1026"/>
      <c r="F94" s="1059"/>
      <c r="G94" s="1054"/>
      <c r="H94" s="1269"/>
      <c r="I94" s="1056"/>
      <c r="J94" s="1111"/>
      <c r="K94" s="1262"/>
    </row>
    <row r="95" spans="1:11">
      <c r="A95" s="1037"/>
      <c r="B95" s="1038"/>
      <c r="C95" s="1026"/>
      <c r="D95" s="1026"/>
      <c r="E95" s="1026"/>
      <c r="F95" s="1059"/>
      <c r="G95" s="1054"/>
      <c r="H95" s="1269"/>
      <c r="I95" s="1056"/>
      <c r="J95" s="1111"/>
      <c r="K95" s="1262"/>
    </row>
    <row r="96" spans="1:11">
      <c r="A96" s="1037"/>
      <c r="B96" s="1038"/>
      <c r="C96" s="1026"/>
      <c r="D96" s="1026"/>
      <c r="E96" s="1026"/>
      <c r="F96" s="1059"/>
      <c r="G96" s="1054"/>
      <c r="H96" s="1269"/>
      <c r="I96" s="1056"/>
      <c r="J96" s="1111"/>
      <c r="K96" s="1262"/>
    </row>
    <row r="97" spans="1:11">
      <c r="A97" s="1037"/>
      <c r="B97" s="1038"/>
      <c r="C97" s="1026"/>
      <c r="D97" s="1026"/>
      <c r="E97" s="1026"/>
      <c r="F97" s="1059"/>
      <c r="G97" s="1054"/>
      <c r="H97" s="1269"/>
      <c r="I97" s="1056"/>
      <c r="J97" s="1111"/>
      <c r="K97" s="1262"/>
    </row>
    <row r="98" spans="1:11">
      <c r="A98" s="1039"/>
      <c r="B98" s="1038"/>
      <c r="C98" s="1026"/>
      <c r="D98" s="1026"/>
      <c r="E98" s="1026"/>
      <c r="F98" s="1059"/>
      <c r="G98" s="1054"/>
      <c r="H98" s="1269"/>
      <c r="I98" s="1056"/>
      <c r="J98" s="1111"/>
      <c r="K98" s="1262"/>
    </row>
    <row r="99" spans="1:11">
      <c r="A99" s="1292"/>
      <c r="B99" s="1038"/>
      <c r="C99" s="1026"/>
      <c r="D99" s="1026"/>
      <c r="E99" s="1026"/>
      <c r="F99" s="1059"/>
      <c r="G99" s="1054"/>
      <c r="H99" s="1269"/>
      <c r="I99" s="1056"/>
      <c r="J99" s="1111"/>
      <c r="K99" s="505"/>
    </row>
    <row r="100" spans="1:11">
      <c r="A100" s="1037"/>
      <c r="B100" s="1038"/>
      <c r="C100" s="1026"/>
      <c r="D100" s="1026"/>
      <c r="E100" s="1026"/>
      <c r="F100" s="1059"/>
      <c r="G100" s="1054"/>
      <c r="H100" s="1269"/>
      <c r="I100" s="1056"/>
      <c r="J100" s="1111"/>
      <c r="K100" s="505"/>
    </row>
    <row r="101" spans="1:11">
      <c r="A101" s="1037"/>
      <c r="B101" s="1038"/>
      <c r="C101" s="1026"/>
      <c r="D101" s="1026"/>
      <c r="E101" s="1026"/>
      <c r="F101" s="1059"/>
      <c r="G101" s="1054"/>
      <c r="H101" s="1269"/>
      <c r="I101" s="1056"/>
      <c r="J101" s="1111"/>
      <c r="K101" s="505"/>
    </row>
    <row r="102" spans="1:11">
      <c r="A102" s="1037"/>
      <c r="B102" s="1038"/>
      <c r="C102" s="1026"/>
      <c r="D102" s="1026"/>
      <c r="E102" s="1026"/>
      <c r="F102" s="1059"/>
      <c r="G102" s="1054"/>
      <c r="H102" s="1269"/>
      <c r="I102" s="1056"/>
      <c r="J102" s="1111"/>
      <c r="K102" s="505"/>
    </row>
    <row r="103" spans="1:11">
      <c r="A103" s="1037"/>
      <c r="B103" s="1038"/>
      <c r="C103" s="1026"/>
      <c r="D103" s="1026"/>
      <c r="E103" s="1026"/>
      <c r="F103" s="1059"/>
      <c r="G103" s="1054"/>
      <c r="H103" s="1269"/>
      <c r="I103" s="1056"/>
      <c r="J103" s="1111"/>
      <c r="K103" s="505"/>
    </row>
    <row r="104" spans="1:11">
      <c r="A104" s="1037"/>
      <c r="B104" s="1038"/>
      <c r="C104" s="1026"/>
      <c r="D104" s="1026"/>
      <c r="E104" s="1026"/>
      <c r="F104" s="1059"/>
      <c r="G104" s="1054"/>
      <c r="H104" s="1269"/>
      <c r="I104" s="1056"/>
      <c r="J104" s="1111"/>
      <c r="K104" s="505"/>
    </row>
    <row r="105" spans="1:11">
      <c r="A105" s="1037"/>
      <c r="B105" s="1038"/>
      <c r="C105" s="1026"/>
      <c r="D105" s="1026"/>
      <c r="E105" s="1026"/>
      <c r="F105" s="1059"/>
      <c r="G105" s="1054"/>
      <c r="H105" s="1269"/>
      <c r="I105" s="1056"/>
      <c r="J105" s="1111"/>
      <c r="K105" s="505"/>
    </row>
    <row r="106" spans="1:11">
      <c r="A106" s="1037"/>
      <c r="B106" s="1038"/>
      <c r="C106" s="1026"/>
      <c r="D106" s="1026"/>
      <c r="E106" s="1026"/>
      <c r="F106" s="1059"/>
      <c r="G106" s="1054"/>
      <c r="H106" s="1269"/>
      <c r="I106" s="1056"/>
      <c r="J106" s="1111"/>
      <c r="K106" s="505"/>
    </row>
    <row r="107" spans="1:11">
      <c r="A107" s="1037"/>
      <c r="B107" s="1038"/>
      <c r="C107" s="1026"/>
      <c r="D107" s="1026"/>
      <c r="E107" s="1026"/>
      <c r="F107" s="1059"/>
      <c r="G107" s="1054"/>
      <c r="H107" s="1269"/>
      <c r="I107" s="1056"/>
      <c r="J107" s="1111"/>
      <c r="K107" s="505"/>
    </row>
    <row r="108" spans="1:11">
      <c r="A108" s="1037"/>
      <c r="B108" s="1038"/>
      <c r="C108" s="1026"/>
      <c r="D108" s="1026"/>
      <c r="E108" s="1026"/>
      <c r="F108" s="1059"/>
      <c r="G108" s="1054"/>
      <c r="H108" s="1269"/>
      <c r="I108" s="1056"/>
      <c r="J108" s="1111"/>
      <c r="K108" s="505"/>
    </row>
    <row r="109" spans="1:11">
      <c r="A109" s="1037"/>
      <c r="B109" s="1038"/>
      <c r="C109" s="1026"/>
      <c r="D109" s="1026"/>
      <c r="E109" s="1026"/>
      <c r="F109" s="1059"/>
      <c r="G109" s="1054"/>
      <c r="H109" s="1269"/>
      <c r="I109" s="1056"/>
      <c r="J109" s="1111"/>
      <c r="K109" s="505"/>
    </row>
    <row r="110" spans="1:11">
      <c r="A110" s="1037"/>
      <c r="B110" s="1038"/>
      <c r="C110" s="1026"/>
      <c r="D110" s="1026"/>
      <c r="E110" s="1026"/>
      <c r="F110" s="1059"/>
      <c r="G110" s="1054"/>
      <c r="H110" s="1269"/>
      <c r="I110" s="1056"/>
      <c r="J110" s="1111"/>
      <c r="K110" s="505"/>
    </row>
    <row r="111" spans="1:11">
      <c r="A111" s="1037"/>
      <c r="B111" s="1038"/>
      <c r="C111" s="1026"/>
      <c r="D111" s="1026"/>
      <c r="E111" s="1026"/>
      <c r="F111" s="1059"/>
      <c r="G111" s="1054"/>
      <c r="H111" s="1269"/>
      <c r="I111" s="1056"/>
      <c r="J111" s="1111"/>
      <c r="K111" s="505"/>
    </row>
    <row r="112" spans="1:11">
      <c r="A112" s="1037"/>
      <c r="B112" s="1038"/>
      <c r="C112" s="1026"/>
      <c r="D112" s="1026"/>
      <c r="E112" s="1026"/>
      <c r="F112" s="1059"/>
      <c r="G112" s="1054"/>
      <c r="H112" s="1269"/>
      <c r="I112" s="1056"/>
      <c r="J112" s="1111"/>
      <c r="K112" s="505"/>
    </row>
    <row r="113" spans="1:11">
      <c r="A113" s="1037"/>
      <c r="B113" s="1038"/>
      <c r="C113" s="1026"/>
      <c r="D113" s="1026"/>
      <c r="E113" s="1026"/>
      <c r="F113" s="1059"/>
      <c r="G113" s="1054"/>
      <c r="H113" s="1269"/>
      <c r="I113" s="1056"/>
      <c r="J113" s="1111"/>
      <c r="K113" s="505"/>
    </row>
    <row r="114" spans="1:11">
      <c r="A114" s="1037"/>
      <c r="B114" s="1038"/>
      <c r="C114" s="1026"/>
      <c r="D114" s="1026"/>
      <c r="E114" s="1026"/>
      <c r="F114" s="1059"/>
      <c r="G114" s="1054"/>
      <c r="H114" s="1269"/>
      <c r="I114" s="1056"/>
      <c r="J114" s="1111"/>
      <c r="K114" s="505"/>
    </row>
    <row r="115" spans="1:11">
      <c r="A115" s="1037"/>
      <c r="B115" s="1038"/>
      <c r="C115" s="1026"/>
      <c r="D115" s="1026"/>
      <c r="E115" s="1026"/>
      <c r="F115" s="1059"/>
      <c r="G115" s="1054"/>
      <c r="H115" s="1269"/>
      <c r="I115" s="1056"/>
      <c r="J115" s="1111"/>
      <c r="K115" s="505"/>
    </row>
    <row r="116" spans="1:11">
      <c r="A116" s="1037"/>
      <c r="B116" s="1038"/>
      <c r="C116" s="1026"/>
      <c r="D116" s="1026"/>
      <c r="E116" s="1026"/>
      <c r="F116" s="1059"/>
      <c r="G116" s="1054"/>
      <c r="H116" s="1269"/>
      <c r="I116" s="1056"/>
      <c r="J116" s="1111"/>
      <c r="K116" s="505"/>
    </row>
    <row r="117" spans="1:11">
      <c r="A117" s="1037"/>
      <c r="B117" s="1038"/>
      <c r="C117" s="1026"/>
      <c r="D117" s="1026"/>
      <c r="E117" s="1026"/>
      <c r="F117" s="1059"/>
      <c r="G117" s="1054"/>
      <c r="H117" s="1269"/>
      <c r="I117" s="1056"/>
      <c r="J117" s="1111"/>
      <c r="K117" s="505"/>
    </row>
    <row r="118" spans="1:11">
      <c r="A118" s="1037"/>
      <c r="B118" s="1038"/>
      <c r="C118" s="1026"/>
      <c r="D118" s="1026"/>
      <c r="E118" s="1026"/>
      <c r="F118" s="1059"/>
      <c r="G118" s="1054"/>
      <c r="H118" s="1269"/>
      <c r="I118" s="1056"/>
      <c r="J118" s="1111"/>
      <c r="K118" s="505"/>
    </row>
    <row r="119" spans="1:11">
      <c r="A119" s="1037"/>
      <c r="B119" s="1038"/>
      <c r="C119" s="1026"/>
      <c r="D119" s="1026"/>
      <c r="E119" s="1026"/>
      <c r="F119" s="1059"/>
      <c r="G119" s="1054"/>
      <c r="H119" s="1269"/>
      <c r="I119" s="1056"/>
      <c r="J119" s="1111"/>
      <c r="K119" s="505"/>
    </row>
    <row r="120" spans="1:11">
      <c r="A120" s="1037"/>
      <c r="B120" s="1038"/>
      <c r="C120" s="1026"/>
      <c r="D120" s="1026"/>
      <c r="E120" s="1026"/>
      <c r="F120" s="1059"/>
      <c r="G120" s="1054"/>
      <c r="H120" s="1269"/>
      <c r="I120" s="1056"/>
      <c r="J120" s="1111"/>
      <c r="K120" s="505"/>
    </row>
    <row r="121" spans="1:11">
      <c r="A121" s="1037"/>
      <c r="B121" s="1038"/>
      <c r="C121" s="1026"/>
      <c r="D121" s="1026"/>
      <c r="E121" s="1026"/>
      <c r="F121" s="1059"/>
      <c r="G121" s="1054"/>
      <c r="H121" s="1269"/>
      <c r="I121" s="1056"/>
      <c r="J121" s="1111"/>
      <c r="K121" s="505"/>
    </row>
    <row r="122" spans="1:11">
      <c r="A122" s="1037"/>
      <c r="B122" s="1038"/>
      <c r="C122" s="1026"/>
      <c r="D122" s="1026"/>
      <c r="E122" s="1026"/>
      <c r="F122" s="1059"/>
      <c r="G122" s="1054"/>
      <c r="H122" s="1269"/>
      <c r="I122" s="1056"/>
      <c r="J122" s="1111"/>
      <c r="K122" s="505"/>
    </row>
    <row r="123" spans="1:11">
      <c r="A123" s="1037"/>
      <c r="B123" s="1038"/>
      <c r="C123" s="1026"/>
      <c r="D123" s="1026"/>
      <c r="E123" s="1026"/>
      <c r="F123" s="1059"/>
      <c r="G123" s="1054"/>
      <c r="H123" s="1269"/>
      <c r="I123" s="1056"/>
      <c r="J123" s="1111"/>
      <c r="K123" s="505"/>
    </row>
    <row r="124" spans="1:11">
      <c r="A124" s="1037"/>
      <c r="B124" s="1038"/>
      <c r="C124" s="1026"/>
      <c r="D124" s="1026"/>
      <c r="E124" s="1026"/>
      <c r="F124" s="1059"/>
      <c r="G124" s="1054"/>
      <c r="H124" s="1269"/>
      <c r="I124" s="1056"/>
      <c r="J124" s="1111"/>
      <c r="K124" s="505"/>
    </row>
    <row r="125" spans="1:11">
      <c r="A125" s="1037"/>
      <c r="B125" s="1038"/>
      <c r="C125" s="1026"/>
      <c r="D125" s="1026"/>
      <c r="E125" s="1026"/>
      <c r="F125" s="1059"/>
      <c r="G125" s="1054"/>
      <c r="H125" s="1269"/>
      <c r="I125" s="1056"/>
      <c r="J125" s="1111"/>
      <c r="K125" s="505"/>
    </row>
    <row r="126" spans="1:11">
      <c r="A126" s="1037"/>
      <c r="B126" s="1038"/>
      <c r="C126" s="1026"/>
      <c r="D126" s="1026"/>
      <c r="E126" s="1026"/>
      <c r="F126" s="1059"/>
      <c r="G126" s="1054"/>
      <c r="H126" s="1269"/>
      <c r="I126" s="1056"/>
      <c r="J126" s="1111"/>
      <c r="K126" s="505"/>
    </row>
    <row r="127" spans="1:11">
      <c r="A127" s="1037"/>
      <c r="B127" s="1038"/>
      <c r="C127" s="1026"/>
      <c r="D127" s="1026"/>
      <c r="E127" s="1026"/>
      <c r="F127" s="1059"/>
      <c r="G127" s="1054"/>
      <c r="H127" s="1269"/>
      <c r="I127" s="1056"/>
      <c r="J127" s="1111"/>
      <c r="K127" s="505"/>
    </row>
    <row r="128" spans="1:11">
      <c r="A128" s="1037"/>
      <c r="B128" s="1038"/>
      <c r="C128" s="1026"/>
      <c r="D128" s="1026"/>
      <c r="E128" s="1026"/>
      <c r="F128" s="1059"/>
      <c r="G128" s="1054"/>
      <c r="H128" s="1269"/>
      <c r="I128" s="1056"/>
      <c r="J128" s="1111"/>
      <c r="K128" s="505"/>
    </row>
    <row r="129" spans="1:11">
      <c r="A129" s="1037"/>
      <c r="B129" s="1038"/>
      <c r="C129" s="1026"/>
      <c r="D129" s="1026"/>
      <c r="E129" s="1026"/>
      <c r="F129" s="1059"/>
      <c r="G129" s="1054"/>
      <c r="H129" s="1269"/>
      <c r="I129" s="1056"/>
      <c r="J129" s="1111"/>
      <c r="K129" s="505"/>
    </row>
    <row r="130" spans="1:11">
      <c r="A130" s="1037"/>
      <c r="B130" s="1038"/>
      <c r="C130" s="1026"/>
      <c r="D130" s="1026"/>
      <c r="E130" s="1026"/>
      <c r="F130" s="1059"/>
      <c r="G130" s="1054"/>
      <c r="H130" s="1269"/>
      <c r="I130" s="1056"/>
      <c r="J130" s="1111"/>
      <c r="K130" s="505"/>
    </row>
    <row r="131" spans="1:11">
      <c r="A131" s="1037"/>
      <c r="B131" s="1038"/>
      <c r="C131" s="1026"/>
      <c r="D131" s="1026"/>
      <c r="E131" s="1026"/>
      <c r="F131" s="1059"/>
      <c r="G131" s="1054"/>
      <c r="H131" s="1269"/>
      <c r="I131" s="1056"/>
      <c r="J131" s="1111"/>
      <c r="K131" s="505"/>
    </row>
    <row r="132" spans="1:11">
      <c r="A132" s="1037"/>
      <c r="B132" s="1038"/>
      <c r="C132" s="1026"/>
      <c r="D132" s="1026"/>
      <c r="E132" s="1026"/>
      <c r="F132" s="1059"/>
      <c r="G132" s="1054"/>
      <c r="H132" s="1269"/>
      <c r="I132" s="1056"/>
      <c r="J132" s="1111"/>
      <c r="K132" s="505"/>
    </row>
    <row r="133" spans="1:11">
      <c r="A133" s="1037"/>
      <c r="B133" s="1038"/>
      <c r="C133" s="1026"/>
      <c r="D133" s="1026"/>
      <c r="E133" s="1026"/>
      <c r="F133" s="1059"/>
      <c r="G133" s="1054"/>
      <c r="H133" s="1269"/>
      <c r="I133" s="1056"/>
      <c r="J133" s="1111"/>
      <c r="K133" s="505"/>
    </row>
    <row r="134" spans="1:11">
      <c r="A134" s="1037"/>
      <c r="B134" s="1038"/>
      <c r="C134" s="1026"/>
      <c r="D134" s="1026"/>
      <c r="E134" s="1026"/>
      <c r="F134" s="1059"/>
      <c r="G134" s="1054"/>
      <c r="H134" s="1269"/>
      <c r="I134" s="1056"/>
      <c r="J134" s="1111"/>
      <c r="K134" s="505"/>
    </row>
    <row r="135" spans="1:11">
      <c r="A135" s="1037"/>
      <c r="B135" s="1038"/>
      <c r="C135" s="1026"/>
      <c r="D135" s="1026"/>
      <c r="E135" s="1026"/>
      <c r="F135" s="1059"/>
      <c r="G135" s="1054"/>
      <c r="H135" s="1269"/>
      <c r="I135" s="1056"/>
      <c r="J135" s="1111"/>
      <c r="K135" s="505"/>
    </row>
    <row r="136" spans="1:11">
      <c r="A136" s="1037"/>
      <c r="B136" s="1038"/>
      <c r="C136" s="1026"/>
      <c r="D136" s="1026"/>
      <c r="E136" s="1026"/>
      <c r="F136" s="1059"/>
      <c r="G136" s="1054"/>
      <c r="H136" s="1269"/>
      <c r="I136" s="1056"/>
      <c r="J136" s="1111"/>
      <c r="K136" s="505"/>
    </row>
    <row r="137" spans="1:11">
      <c r="A137" s="1037"/>
      <c r="B137" s="1038"/>
      <c r="C137" s="1026"/>
      <c r="D137" s="1026"/>
      <c r="E137" s="1026"/>
      <c r="F137" s="1059"/>
      <c r="G137" s="1054"/>
      <c r="H137" s="1269"/>
      <c r="I137" s="1056"/>
      <c r="J137" s="1111"/>
      <c r="K137" s="505"/>
    </row>
    <row r="138" spans="1:11">
      <c r="A138" s="1037"/>
      <c r="B138" s="1038"/>
      <c r="C138" s="1026"/>
      <c r="D138" s="1026"/>
      <c r="E138" s="1026"/>
      <c r="F138" s="1059"/>
      <c r="G138" s="1054"/>
      <c r="H138" s="1269"/>
      <c r="I138" s="1056"/>
      <c r="J138" s="1111"/>
      <c r="K138" s="505"/>
    </row>
    <row r="139" spans="1:11">
      <c r="A139" s="1037"/>
      <c r="B139" s="1038"/>
      <c r="C139" s="1026"/>
      <c r="D139" s="1026"/>
      <c r="E139" s="1026"/>
      <c r="F139" s="1059"/>
      <c r="G139" s="1054"/>
      <c r="H139" s="1269"/>
      <c r="I139" s="1056"/>
      <c r="J139" s="1111"/>
      <c r="K139" s="505"/>
    </row>
    <row r="140" spans="1:11">
      <c r="A140" s="1037"/>
      <c r="B140" s="1038"/>
      <c r="C140" s="1026"/>
      <c r="D140" s="1026"/>
      <c r="E140" s="1026"/>
      <c r="F140" s="1059"/>
      <c r="G140" s="1054"/>
      <c r="H140" s="1269"/>
      <c r="I140" s="1056"/>
      <c r="J140" s="1111"/>
      <c r="K140" s="505"/>
    </row>
    <row r="141" spans="1:11">
      <c r="A141" s="1037"/>
      <c r="B141" s="1038"/>
      <c r="C141" s="1026"/>
      <c r="D141" s="1026"/>
      <c r="E141" s="1026"/>
      <c r="F141" s="1059"/>
      <c r="G141" s="1054"/>
      <c r="H141" s="1269"/>
      <c r="I141" s="1056"/>
      <c r="J141" s="1111"/>
      <c r="K141" s="505"/>
    </row>
    <row r="142" spans="1:11">
      <c r="A142" s="1037"/>
      <c r="B142" s="1038"/>
      <c r="C142" s="1026"/>
      <c r="D142" s="1026"/>
      <c r="E142" s="1026"/>
      <c r="F142" s="1059"/>
      <c r="G142" s="1054"/>
      <c r="H142" s="1269"/>
      <c r="I142" s="1056"/>
      <c r="J142" s="1111"/>
      <c r="K142" s="505"/>
    </row>
    <row r="143" spans="1:11">
      <c r="A143" s="1037"/>
      <c r="B143" s="1038"/>
      <c r="C143" s="1026"/>
      <c r="D143" s="1026"/>
      <c r="E143" s="1026"/>
      <c r="F143" s="1059"/>
      <c r="G143" s="1054"/>
      <c r="H143" s="1269"/>
      <c r="I143" s="1056"/>
      <c r="J143" s="1111"/>
      <c r="K143" s="505"/>
    </row>
    <row r="144" spans="1:11">
      <c r="A144" s="1037"/>
      <c r="B144" s="1038"/>
      <c r="C144" s="1026"/>
      <c r="D144" s="1026"/>
      <c r="F144" s="1059"/>
      <c r="G144" s="1054"/>
      <c r="H144" s="1269"/>
      <c r="I144" s="1056"/>
      <c r="J144" s="1111"/>
      <c r="K144" s="505"/>
    </row>
    <row r="145" spans="1:11">
      <c r="A145" s="1037"/>
      <c r="B145" s="1038"/>
      <c r="C145" s="1026"/>
      <c r="D145" s="1026"/>
      <c r="E145" s="1026"/>
      <c r="F145" s="1059"/>
      <c r="G145" s="1054"/>
      <c r="H145" s="1269"/>
      <c r="I145" s="1056"/>
      <c r="J145" s="1111"/>
      <c r="K145" s="505"/>
    </row>
    <row r="146" spans="1:11">
      <c r="A146" s="1037"/>
      <c r="B146" s="1038"/>
      <c r="C146" s="1026"/>
      <c r="D146" s="1026"/>
      <c r="E146" s="1026"/>
      <c r="F146" s="1059"/>
      <c r="G146" s="1054"/>
      <c r="H146" s="1269"/>
      <c r="I146" s="1056"/>
      <c r="J146" s="1111"/>
      <c r="K146" s="505"/>
    </row>
    <row r="147" spans="1:11">
      <c r="A147" s="1037"/>
      <c r="B147" s="1038"/>
      <c r="C147" s="1026"/>
      <c r="D147" s="1026"/>
      <c r="E147" s="1026"/>
      <c r="F147" s="1059"/>
      <c r="G147" s="1054"/>
      <c r="H147" s="1269"/>
      <c r="I147" s="1056"/>
      <c r="J147" s="1111"/>
      <c r="K147" s="505"/>
    </row>
    <row r="148" spans="1:11">
      <c r="A148" s="1037"/>
      <c r="B148" s="1038"/>
      <c r="C148" s="1026"/>
      <c r="D148" s="1026"/>
      <c r="E148" s="1026"/>
      <c r="F148" s="1059"/>
      <c r="G148" s="1054"/>
      <c r="H148" s="1269"/>
      <c r="I148" s="1056"/>
      <c r="J148" s="1111"/>
      <c r="K148" s="505"/>
    </row>
    <row r="149" spans="1:11">
      <c r="A149" s="1037"/>
      <c r="B149" s="1038"/>
      <c r="C149" s="1026"/>
      <c r="D149" s="1026"/>
      <c r="E149" s="1026"/>
      <c r="F149" s="1059"/>
      <c r="G149" s="1054"/>
      <c r="H149" s="1269"/>
      <c r="I149" s="1056"/>
      <c r="J149" s="1111"/>
      <c r="K149" s="505"/>
    </row>
    <row r="150" spans="1:11" ht="15.75" thickBot="1">
      <c r="A150" s="1037"/>
      <c r="B150" s="1038"/>
      <c r="C150" s="1026"/>
      <c r="D150" s="1026"/>
      <c r="E150" s="1026"/>
      <c r="F150" s="1059"/>
      <c r="G150" s="1054"/>
      <c r="H150" s="1269"/>
      <c r="I150" s="1056"/>
      <c r="J150" s="1111"/>
      <c r="K150" s="505"/>
    </row>
    <row r="151" spans="1:11" ht="20.25" thickBot="1">
      <c r="A151" s="1158"/>
      <c r="B151" s="1159"/>
      <c r="C151" s="1159"/>
      <c r="D151" s="1159"/>
      <c r="E151" s="1159"/>
      <c r="F151" s="1160">
        <f>SUM(F89:F97,F99:F150)</f>
        <v>0</v>
      </c>
      <c r="G151" s="1159"/>
      <c r="H151" s="1293">
        <f>SUM(H59:H150)</f>
        <v>0</v>
      </c>
      <c r="I151" s="1160">
        <f>SUM(I89:I150)</f>
        <v>0</v>
      </c>
      <c r="J151" s="1164"/>
      <c r="K151" s="1157"/>
    </row>
  </sheetData>
  <autoFilter ref="A1:K54" xr:uid="{3D116C55-601C-4BB1-82E5-06CC2ED04FBD}">
    <sortState xmlns:xlrd2="http://schemas.microsoft.com/office/spreadsheetml/2017/richdata2" ref="A2:K54">
      <sortCondition ref="J1:J54"/>
    </sortState>
  </autoFilter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67C45-F6B0-4711-81FC-E83BFF409D3E}">
  <dimension ref="A1:K58"/>
  <sheetViews>
    <sheetView topLeftCell="A46" zoomScale="85" zoomScaleNormal="85" workbookViewId="0">
      <selection activeCell="C32" sqref="C32:C47"/>
    </sheetView>
  </sheetViews>
  <sheetFormatPr defaultColWidth="9.140625" defaultRowHeight="15"/>
  <cols>
    <col min="1" max="1" width="13" style="1058" customWidth="1"/>
    <col min="2" max="2" width="13.5703125" style="1058" customWidth="1"/>
    <col min="3" max="3" width="53.5703125" style="1165" bestFit="1" customWidth="1"/>
    <col min="4" max="4" width="22.28515625" style="1058" bestFit="1" customWidth="1"/>
    <col min="5" max="5" width="16.7109375" style="1058" customWidth="1"/>
    <col min="6" max="6" width="20.7109375" style="1058" bestFit="1" customWidth="1"/>
    <col min="7" max="7" width="13.42578125" style="1058" bestFit="1" customWidth="1"/>
    <col min="8" max="8" width="20.140625" style="1058" customWidth="1"/>
    <col min="9" max="9" width="21.140625" style="1058" customWidth="1"/>
    <col min="10" max="10" width="13.7109375" style="1058" bestFit="1" customWidth="1"/>
    <col min="11" max="11" width="19.7109375" style="1058" customWidth="1"/>
    <col min="12" max="16384" width="9.140625" style="1058"/>
  </cols>
  <sheetData>
    <row r="1" spans="1:11" ht="15" customHeight="1">
      <c r="A1" s="1235" t="s">
        <v>1832</v>
      </c>
      <c r="B1" s="1236" t="s">
        <v>2</v>
      </c>
      <c r="C1" s="1236" t="s">
        <v>3</v>
      </c>
      <c r="D1" s="1236" t="s">
        <v>4</v>
      </c>
      <c r="E1" s="1236" t="s">
        <v>5</v>
      </c>
      <c r="F1" s="1237" t="s">
        <v>644</v>
      </c>
      <c r="G1" s="1238" t="s">
        <v>555</v>
      </c>
      <c r="H1" s="1239" t="s">
        <v>7</v>
      </c>
      <c r="I1" s="1240" t="s">
        <v>307</v>
      </c>
      <c r="J1" s="1238" t="s">
        <v>370</v>
      </c>
      <c r="K1" s="1241" t="s">
        <v>442</v>
      </c>
    </row>
    <row r="2" spans="1:11" s="1070" customFormat="1" ht="15.75">
      <c r="A2" s="1041">
        <v>45328</v>
      </c>
      <c r="B2" s="1041">
        <v>45694</v>
      </c>
      <c r="C2" s="1027" t="s">
        <v>1249</v>
      </c>
      <c r="D2" s="1027" t="s">
        <v>9</v>
      </c>
      <c r="E2" s="1027" t="s">
        <v>948</v>
      </c>
      <c r="F2" s="1065">
        <v>1117.31</v>
      </c>
      <c r="G2" s="1066">
        <v>0.1</v>
      </c>
      <c r="H2" s="1067">
        <v>102.79</v>
      </c>
      <c r="I2" s="1243">
        <v>10.27</v>
      </c>
      <c r="J2" s="1027" t="s">
        <v>2070</v>
      </c>
      <c r="K2" s="1117" t="s">
        <v>2015</v>
      </c>
    </row>
    <row r="3" spans="1:11" s="1070" customFormat="1" ht="15.75">
      <c r="A3" s="1041">
        <v>45329</v>
      </c>
      <c r="B3" s="1041">
        <v>45695</v>
      </c>
      <c r="C3" s="1027" t="s">
        <v>1261</v>
      </c>
      <c r="D3" s="1027" t="s">
        <v>25</v>
      </c>
      <c r="E3" s="1027" t="s">
        <v>1044</v>
      </c>
      <c r="F3" s="1065">
        <v>1804.79</v>
      </c>
      <c r="G3" s="1066">
        <v>0.15</v>
      </c>
      <c r="H3" s="1067">
        <v>249.06</v>
      </c>
      <c r="I3" s="1243">
        <v>24.9</v>
      </c>
      <c r="J3" s="1027" t="s">
        <v>2070</v>
      </c>
      <c r="K3" s="1117" t="s">
        <v>2015</v>
      </c>
    </row>
    <row r="4" spans="1:11" ht="15.75">
      <c r="A4" s="1041">
        <v>45342</v>
      </c>
      <c r="B4" s="1041">
        <v>45708</v>
      </c>
      <c r="C4" s="1027" t="s">
        <v>2469</v>
      </c>
      <c r="D4" s="1027" t="s">
        <v>448</v>
      </c>
      <c r="E4" s="1027" t="s">
        <v>945</v>
      </c>
      <c r="F4" s="1065">
        <v>1684.51</v>
      </c>
      <c r="G4" s="1066">
        <v>0.15</v>
      </c>
      <c r="H4" s="1067">
        <v>232.46</v>
      </c>
      <c r="I4" s="1243">
        <v>23.24</v>
      </c>
      <c r="J4" s="1027" t="s">
        <v>2070</v>
      </c>
      <c r="K4" s="1117" t="s">
        <v>2015</v>
      </c>
    </row>
    <row r="5" spans="1:11" s="1029" customFormat="1" ht="15.75">
      <c r="A5" s="1041">
        <v>45350</v>
      </c>
      <c r="B5" s="1041">
        <v>45716</v>
      </c>
      <c r="C5" s="1027" t="s">
        <v>2475</v>
      </c>
      <c r="D5" s="1027" t="s">
        <v>448</v>
      </c>
      <c r="E5" s="1027" t="s">
        <v>945</v>
      </c>
      <c r="F5" s="1065">
        <v>3337.28</v>
      </c>
      <c r="G5" s="1066">
        <v>0.1</v>
      </c>
      <c r="H5" s="1067">
        <v>307.02</v>
      </c>
      <c r="I5" s="1243">
        <v>30.7</v>
      </c>
      <c r="J5" s="1027" t="s">
        <v>2070</v>
      </c>
      <c r="K5" s="1117" t="s">
        <v>2450</v>
      </c>
    </row>
    <row r="6" spans="1:11" s="1338" customFormat="1" ht="15.75">
      <c r="A6" s="1041">
        <v>45349</v>
      </c>
      <c r="B6" s="1041" t="s">
        <v>1805</v>
      </c>
      <c r="C6" s="1027" t="s">
        <v>2481</v>
      </c>
      <c r="D6" s="1027" t="s">
        <v>25</v>
      </c>
      <c r="E6" s="1027" t="s">
        <v>945</v>
      </c>
      <c r="F6" s="1065">
        <v>248.47</v>
      </c>
      <c r="G6" s="1066">
        <v>0.1</v>
      </c>
      <c r="H6" s="1067">
        <v>22.85</v>
      </c>
      <c r="I6" s="1243">
        <v>2.2799999999999998</v>
      </c>
      <c r="J6" s="1027" t="s">
        <v>2070</v>
      </c>
      <c r="K6" s="1117" t="s">
        <v>1805</v>
      </c>
    </row>
    <row r="7" spans="1:11" s="1338" customFormat="1" ht="15.75">
      <c r="A7" s="1331">
        <v>45323</v>
      </c>
      <c r="B7" s="1331">
        <v>45692</v>
      </c>
      <c r="C7" s="1332" t="s">
        <v>1974</v>
      </c>
      <c r="D7" s="1332" t="s">
        <v>70</v>
      </c>
      <c r="E7" s="1332" t="s">
        <v>1552</v>
      </c>
      <c r="F7" s="1333">
        <v>2561.79</v>
      </c>
      <c r="G7" s="1334">
        <v>0.1</v>
      </c>
      <c r="H7" s="1335">
        <v>235.68</v>
      </c>
      <c r="I7" s="1336">
        <v>117.84</v>
      </c>
      <c r="J7" s="1332" t="s">
        <v>1577</v>
      </c>
      <c r="K7" s="1337" t="s">
        <v>2015</v>
      </c>
    </row>
    <row r="8" spans="1:11" s="1338" customFormat="1" ht="15.75">
      <c r="A8" s="1331">
        <v>45344</v>
      </c>
      <c r="B8" s="1331">
        <v>45710</v>
      </c>
      <c r="C8" s="1332" t="s">
        <v>1282</v>
      </c>
      <c r="D8" s="1332" t="s">
        <v>448</v>
      </c>
      <c r="E8" s="1332" t="s">
        <v>1080</v>
      </c>
      <c r="F8" s="1527">
        <v>1659.39</v>
      </c>
      <c r="G8" s="1334">
        <v>0.1</v>
      </c>
      <c r="H8" s="1339">
        <v>152.66</v>
      </c>
      <c r="I8" s="1336">
        <v>76.33</v>
      </c>
      <c r="J8" s="1332" t="s">
        <v>1577</v>
      </c>
      <c r="K8" s="1337" t="s">
        <v>2450</v>
      </c>
    </row>
    <row r="9" spans="1:11" s="1342" customFormat="1" ht="15.75">
      <c r="A9" s="1331">
        <v>45345</v>
      </c>
      <c r="B9" s="1331" t="s">
        <v>2484</v>
      </c>
      <c r="C9" s="1332" t="s">
        <v>2485</v>
      </c>
      <c r="D9" s="1332" t="s">
        <v>25</v>
      </c>
      <c r="E9" s="1332" t="s">
        <v>458</v>
      </c>
      <c r="F9" s="1383">
        <v>17.77</v>
      </c>
      <c r="G9" s="1334">
        <v>0.1</v>
      </c>
      <c r="H9" s="1335">
        <v>1.63</v>
      </c>
      <c r="I9" s="1336">
        <v>0.81</v>
      </c>
      <c r="J9" s="1332" t="s">
        <v>1577</v>
      </c>
      <c r="K9" s="1337" t="s">
        <v>2450</v>
      </c>
    </row>
    <row r="10" spans="1:11" s="1268" customFormat="1" ht="15.75">
      <c r="A10" s="1367">
        <v>45351</v>
      </c>
      <c r="B10" s="1379">
        <v>45716</v>
      </c>
      <c r="C10" s="1380" t="s">
        <v>1809</v>
      </c>
      <c r="D10" s="1368" t="s">
        <v>448</v>
      </c>
      <c r="E10" s="1380" t="s">
        <v>948</v>
      </c>
      <c r="F10" s="1381">
        <v>1761.47</v>
      </c>
      <c r="G10" s="1384">
        <v>0.1</v>
      </c>
      <c r="H10" s="1340">
        <v>162.05000000000001</v>
      </c>
      <c r="I10" s="1369">
        <v>81.02</v>
      </c>
      <c r="J10" s="1370" t="s">
        <v>2476</v>
      </c>
      <c r="K10" s="1341" t="s">
        <v>2450</v>
      </c>
    </row>
    <row r="11" spans="1:11" s="1351" customFormat="1" ht="15.75">
      <c r="A11" s="1263">
        <v>45345</v>
      </c>
      <c r="B11" s="1263">
        <v>45711</v>
      </c>
      <c r="C11" s="1264" t="s">
        <v>1354</v>
      </c>
      <c r="D11" s="1264" t="s">
        <v>9</v>
      </c>
      <c r="E11" s="1264" t="s">
        <v>1552</v>
      </c>
      <c r="F11" s="1343">
        <v>1691.75</v>
      </c>
      <c r="G11" s="1265">
        <v>0.1</v>
      </c>
      <c r="H11" s="1266">
        <v>155.63999999999999</v>
      </c>
      <c r="I11" s="1387">
        <f>155.64/2</f>
        <v>77.819999999999993</v>
      </c>
      <c r="J11" s="1264" t="s">
        <v>2094</v>
      </c>
      <c r="K11" s="1267" t="s">
        <v>2015</v>
      </c>
    </row>
    <row r="12" spans="1:11" s="1351" customFormat="1" ht="15.75">
      <c r="A12" s="1344">
        <v>45327</v>
      </c>
      <c r="B12" s="1344">
        <v>45693</v>
      </c>
      <c r="C12" s="1345" t="s">
        <v>1715</v>
      </c>
      <c r="D12" s="1345" t="s">
        <v>448</v>
      </c>
      <c r="E12" s="1345" t="s">
        <v>1080</v>
      </c>
      <c r="F12" s="1346">
        <v>2365.5</v>
      </c>
      <c r="G12" s="1347">
        <v>0.1</v>
      </c>
      <c r="H12" s="1348">
        <v>217.62</v>
      </c>
      <c r="I12" s="1349">
        <v>108.81</v>
      </c>
      <c r="J12" s="1345" t="s">
        <v>1482</v>
      </c>
      <c r="K12" s="1350" t="s">
        <v>2450</v>
      </c>
    </row>
    <row r="13" spans="1:11" s="1357" customFormat="1" ht="15.75">
      <c r="A13" s="1352">
        <v>45324</v>
      </c>
      <c r="B13" s="1353">
        <v>45695</v>
      </c>
      <c r="C13" s="1354" t="s">
        <v>1714</v>
      </c>
      <c r="D13" s="1354" t="s">
        <v>448</v>
      </c>
      <c r="E13" s="1354" t="s">
        <v>945</v>
      </c>
      <c r="F13" s="1366">
        <v>1749.18</v>
      </c>
      <c r="G13" s="1355">
        <v>0.15</v>
      </c>
      <c r="H13" s="1385">
        <v>241.38</v>
      </c>
      <c r="I13" s="1356">
        <v>120.69</v>
      </c>
      <c r="J13" s="1388" t="s">
        <v>1482</v>
      </c>
      <c r="K13" s="1389" t="s">
        <v>2015</v>
      </c>
    </row>
    <row r="14" spans="1:11" s="1357" customFormat="1" ht="15.75">
      <c r="A14" s="1358">
        <v>45330</v>
      </c>
      <c r="B14" s="1359">
        <v>45696</v>
      </c>
      <c r="C14" s="1360" t="s">
        <v>2453</v>
      </c>
      <c r="D14" s="1360" t="s">
        <v>9</v>
      </c>
      <c r="E14" s="1360" t="s">
        <v>1552</v>
      </c>
      <c r="F14" s="1382">
        <v>8258.66</v>
      </c>
      <c r="G14" s="1361">
        <v>0.1</v>
      </c>
      <c r="H14" s="1348">
        <v>759.79</v>
      </c>
      <c r="I14" s="1362">
        <v>379.89</v>
      </c>
      <c r="J14" s="1363" t="s">
        <v>1482</v>
      </c>
      <c r="K14" s="1350" t="s">
        <v>2450</v>
      </c>
    </row>
    <row r="15" spans="1:11" s="1357" customFormat="1" ht="15.75">
      <c r="A15" s="1344">
        <v>45331</v>
      </c>
      <c r="B15" s="1344">
        <v>45696</v>
      </c>
      <c r="C15" s="1345" t="s">
        <v>2454</v>
      </c>
      <c r="D15" s="1345" t="s">
        <v>9</v>
      </c>
      <c r="E15" s="1345" t="s">
        <v>458</v>
      </c>
      <c r="F15" s="1364">
        <v>2032.3</v>
      </c>
      <c r="G15" s="1347">
        <v>0.1</v>
      </c>
      <c r="H15" s="1348">
        <v>186.97</v>
      </c>
      <c r="I15" s="1386">
        <v>93.48</v>
      </c>
      <c r="J15" s="1363" t="s">
        <v>1482</v>
      </c>
      <c r="K15" s="1365" t="s">
        <v>2450</v>
      </c>
    </row>
    <row r="16" spans="1:11" s="1357" customFormat="1" ht="15.75">
      <c r="A16" s="1352">
        <v>45327</v>
      </c>
      <c r="B16" s="1353">
        <v>45698</v>
      </c>
      <c r="C16" s="1354" t="s">
        <v>1688</v>
      </c>
      <c r="D16" s="1354" t="s">
        <v>448</v>
      </c>
      <c r="E16" s="1354" t="s">
        <v>1080</v>
      </c>
      <c r="F16" s="1550">
        <v>1536.87</v>
      </c>
      <c r="G16" s="1355">
        <v>0.1</v>
      </c>
      <c r="H16" s="1364">
        <v>141.38999999999999</v>
      </c>
      <c r="I16" s="1356">
        <v>70.69</v>
      </c>
      <c r="J16" s="1363" t="s">
        <v>1482</v>
      </c>
      <c r="K16" s="1350" t="s">
        <v>2015</v>
      </c>
    </row>
    <row r="17" spans="1:11" s="1087" customFormat="1" ht="15.75">
      <c r="A17" s="1358" t="s">
        <v>2459</v>
      </c>
      <c r="B17" s="1359">
        <v>45702</v>
      </c>
      <c r="C17" s="1548" t="s">
        <v>2460</v>
      </c>
      <c r="D17" s="1360" t="s">
        <v>848</v>
      </c>
      <c r="E17" s="1360" t="s">
        <v>1080</v>
      </c>
      <c r="F17" s="1382">
        <v>617.80999999999995</v>
      </c>
      <c r="G17" s="1361">
        <v>0.1</v>
      </c>
      <c r="H17" s="1348">
        <v>56.83</v>
      </c>
      <c r="I17" s="1362">
        <v>28.41</v>
      </c>
      <c r="J17" s="1363" t="s">
        <v>1482</v>
      </c>
      <c r="K17" s="1350" t="s">
        <v>2015</v>
      </c>
    </row>
    <row r="18" spans="1:11" s="1357" customFormat="1" ht="15.75">
      <c r="A18" s="1358">
        <v>45337</v>
      </c>
      <c r="B18" s="1359">
        <v>45703</v>
      </c>
      <c r="C18" s="1345" t="s">
        <v>1988</v>
      </c>
      <c r="D18" s="1345" t="s">
        <v>9</v>
      </c>
      <c r="E18" s="1345" t="s">
        <v>1593</v>
      </c>
      <c r="F18" s="1346">
        <v>2312.5</v>
      </c>
      <c r="G18" s="1347">
        <v>0.15</v>
      </c>
      <c r="H18" s="1348">
        <v>319.12</v>
      </c>
      <c r="I18" s="1362">
        <v>159.56</v>
      </c>
      <c r="J18" s="1363" t="s">
        <v>1482</v>
      </c>
      <c r="K18" s="1350" t="s">
        <v>2015</v>
      </c>
    </row>
    <row r="19" spans="1:11" s="1357" customFormat="1" ht="15.75">
      <c r="A19" s="1358">
        <v>45344</v>
      </c>
      <c r="B19" s="1359" t="s">
        <v>1492</v>
      </c>
      <c r="C19" s="1345" t="s">
        <v>2478</v>
      </c>
      <c r="D19" s="1345" t="s">
        <v>25</v>
      </c>
      <c r="E19" s="1345" t="s">
        <v>458</v>
      </c>
      <c r="F19" s="1346">
        <v>50</v>
      </c>
      <c r="G19" s="1347">
        <v>0.1</v>
      </c>
      <c r="H19" s="1348">
        <v>50</v>
      </c>
      <c r="I19" s="1362">
        <v>25</v>
      </c>
      <c r="J19" s="1363" t="s">
        <v>1482</v>
      </c>
      <c r="K19" s="1350" t="s">
        <v>2479</v>
      </c>
    </row>
    <row r="20" spans="1:11" s="1357" customFormat="1" ht="15.75">
      <c r="A20" s="1358">
        <v>45324</v>
      </c>
      <c r="B20" s="1359" t="s">
        <v>1492</v>
      </c>
      <c r="C20" s="1360" t="s">
        <v>2478</v>
      </c>
      <c r="D20" s="1360" t="s">
        <v>25</v>
      </c>
      <c r="E20" s="1345" t="s">
        <v>458</v>
      </c>
      <c r="F20" s="1346">
        <v>60</v>
      </c>
      <c r="G20" s="1347">
        <v>0.1</v>
      </c>
      <c r="H20" s="1348">
        <v>60</v>
      </c>
      <c r="I20" s="1362">
        <v>30</v>
      </c>
      <c r="J20" s="1363" t="s">
        <v>1396</v>
      </c>
      <c r="K20" s="1350" t="s">
        <v>2480</v>
      </c>
    </row>
    <row r="21" spans="1:11" ht="15.75">
      <c r="A21" s="1358">
        <v>45330</v>
      </c>
      <c r="B21" s="1359" t="s">
        <v>1805</v>
      </c>
      <c r="C21" s="1345" t="s">
        <v>2124</v>
      </c>
      <c r="D21" s="1360" t="s">
        <v>25</v>
      </c>
      <c r="E21" s="1345" t="s">
        <v>458</v>
      </c>
      <c r="F21" s="1346">
        <v>1228.1400000000001</v>
      </c>
      <c r="G21" s="1347">
        <v>0.1</v>
      </c>
      <c r="H21" s="1348">
        <v>-122.82</v>
      </c>
      <c r="I21" s="1362">
        <v>-61.42</v>
      </c>
      <c r="J21" s="1363" t="s">
        <v>1396</v>
      </c>
      <c r="K21" s="1350" t="s">
        <v>2482</v>
      </c>
    </row>
    <row r="22" spans="1:11" ht="15.75">
      <c r="A22" s="1037">
        <v>45320</v>
      </c>
      <c r="B22" s="1038">
        <v>45689</v>
      </c>
      <c r="C22" s="1025" t="s">
        <v>1247</v>
      </c>
      <c r="D22" s="1026" t="s">
        <v>448</v>
      </c>
      <c r="E22" s="1025" t="s">
        <v>458</v>
      </c>
      <c r="F22" s="1061">
        <v>5367.71</v>
      </c>
      <c r="G22" s="1062">
        <v>0.1</v>
      </c>
      <c r="H22" s="1055">
        <v>493.82</v>
      </c>
      <c r="I22" s="1056"/>
      <c r="J22" s="1111"/>
      <c r="K22" s="1116" t="s">
        <v>2015</v>
      </c>
    </row>
    <row r="23" spans="1:11" ht="15.75">
      <c r="A23" s="1037">
        <v>45323</v>
      </c>
      <c r="B23" s="1038">
        <v>45689</v>
      </c>
      <c r="C23" s="1032" t="s">
        <v>1976</v>
      </c>
      <c r="D23" s="1026" t="s">
        <v>9</v>
      </c>
      <c r="E23" s="1025" t="s">
        <v>948</v>
      </c>
      <c r="F23" s="1061">
        <v>1118.0999999999999</v>
      </c>
      <c r="G23" s="1062">
        <v>0.1</v>
      </c>
      <c r="H23" s="1055">
        <v>102.86</v>
      </c>
      <c r="I23" s="1056"/>
      <c r="J23" s="1111"/>
      <c r="K23" s="1115" t="s">
        <v>2015</v>
      </c>
    </row>
    <row r="24" spans="1:11" ht="15.75">
      <c r="A24" s="1039">
        <v>45321</v>
      </c>
      <c r="B24" s="1039">
        <v>45690</v>
      </c>
      <c r="C24" s="1025" t="s">
        <v>1251</v>
      </c>
      <c r="D24" s="1025" t="s">
        <v>9</v>
      </c>
      <c r="E24" s="1025" t="s">
        <v>29</v>
      </c>
      <c r="F24" s="1061">
        <v>1341.44</v>
      </c>
      <c r="G24" s="1062">
        <v>0.2</v>
      </c>
      <c r="H24" s="1055">
        <v>246.82</v>
      </c>
      <c r="I24" s="1056"/>
      <c r="J24" s="1111"/>
      <c r="K24" s="1116" t="s">
        <v>2015</v>
      </c>
    </row>
    <row r="25" spans="1:11" ht="15.75">
      <c r="A25" s="1039">
        <v>45323</v>
      </c>
      <c r="B25" s="1039">
        <v>45690</v>
      </c>
      <c r="C25" s="1025" t="s">
        <v>944</v>
      </c>
      <c r="D25" s="1025" t="s">
        <v>448</v>
      </c>
      <c r="E25" s="1025" t="s">
        <v>945</v>
      </c>
      <c r="F25" s="1061">
        <v>2532.04</v>
      </c>
      <c r="G25" s="1062">
        <v>0.15</v>
      </c>
      <c r="H25" s="1055">
        <v>349.42</v>
      </c>
      <c r="I25" s="1056"/>
      <c r="J25" s="1111"/>
      <c r="K25" s="1115" t="s">
        <v>2015</v>
      </c>
    </row>
    <row r="26" spans="1:11" s="1070" customFormat="1" ht="15.75">
      <c r="A26" s="1039">
        <v>45322</v>
      </c>
      <c r="B26" s="1039">
        <v>45691</v>
      </c>
      <c r="C26" s="1025" t="s">
        <v>2448</v>
      </c>
      <c r="D26" s="1025" t="s">
        <v>9</v>
      </c>
      <c r="E26" s="1025" t="s">
        <v>1310</v>
      </c>
      <c r="F26" s="1174">
        <v>2111.4899999999998</v>
      </c>
      <c r="G26" s="1062">
        <v>0.1</v>
      </c>
      <c r="H26" s="1055">
        <v>194.25</v>
      </c>
      <c r="I26" s="1056"/>
      <c r="J26" s="1111"/>
      <c r="K26" s="1115" t="s">
        <v>2015</v>
      </c>
    </row>
    <row r="27" spans="1:11" ht="15.75">
      <c r="A27" s="1037">
        <v>45324</v>
      </c>
      <c r="B27" s="1039">
        <v>45691</v>
      </c>
      <c r="C27" s="1025" t="s">
        <v>1258</v>
      </c>
      <c r="D27" s="1026" t="s">
        <v>61</v>
      </c>
      <c r="E27" s="1025" t="s">
        <v>1593</v>
      </c>
      <c r="F27" s="1061">
        <v>3337.82</v>
      </c>
      <c r="G27" s="1062">
        <v>0.1</v>
      </c>
      <c r="H27" s="1055">
        <v>307.07</v>
      </c>
      <c r="I27" s="1056"/>
      <c r="J27" s="1111"/>
      <c r="K27" s="1115" t="s">
        <v>2015</v>
      </c>
    </row>
    <row r="28" spans="1:11" ht="15.75">
      <c r="A28" s="1037">
        <v>45324</v>
      </c>
      <c r="B28" s="1039">
        <v>45692</v>
      </c>
      <c r="C28" s="1025" t="s">
        <v>2449</v>
      </c>
      <c r="D28" s="1026" t="s">
        <v>61</v>
      </c>
      <c r="E28" s="1025" t="s">
        <v>279</v>
      </c>
      <c r="F28" s="1061">
        <v>997.01</v>
      </c>
      <c r="G28" s="1062">
        <v>0.1</v>
      </c>
      <c r="H28" s="1055">
        <v>91.72</v>
      </c>
      <c r="I28" s="1056"/>
      <c r="J28" s="1111"/>
      <c r="K28" s="1115" t="s">
        <v>2015</v>
      </c>
    </row>
    <row r="29" spans="1:11" ht="15.75">
      <c r="A29" s="1037">
        <v>45351</v>
      </c>
      <c r="B29" s="1039">
        <v>45693</v>
      </c>
      <c r="C29" s="1025" t="s">
        <v>2451</v>
      </c>
      <c r="D29" s="1026" t="s">
        <v>448</v>
      </c>
      <c r="E29" s="1025" t="s">
        <v>458</v>
      </c>
      <c r="F29" s="1061">
        <v>1012.87</v>
      </c>
      <c r="G29" s="1062">
        <v>0.1</v>
      </c>
      <c r="H29" s="1055">
        <v>93.18</v>
      </c>
      <c r="I29" s="1056"/>
      <c r="J29" s="1111"/>
      <c r="K29" s="1115" t="s">
        <v>2015</v>
      </c>
    </row>
    <row r="30" spans="1:11" s="1070" customFormat="1" ht="15.75">
      <c r="A30" s="1037">
        <v>45328</v>
      </c>
      <c r="B30" s="1039">
        <v>45694</v>
      </c>
      <c r="C30" s="1026" t="s">
        <v>1248</v>
      </c>
      <c r="D30" s="1026" t="s">
        <v>448</v>
      </c>
      <c r="E30" s="1025" t="s">
        <v>948</v>
      </c>
      <c r="F30" s="1061">
        <v>1067.31</v>
      </c>
      <c r="G30" s="1062">
        <v>0.1</v>
      </c>
      <c r="H30" s="1055">
        <v>98.19</v>
      </c>
      <c r="I30" s="1056"/>
      <c r="J30" s="1111"/>
      <c r="K30" s="1115" t="s">
        <v>2015</v>
      </c>
    </row>
    <row r="31" spans="1:11" ht="15.75">
      <c r="A31" s="1037">
        <v>45328</v>
      </c>
      <c r="B31" s="1325">
        <v>45694</v>
      </c>
      <c r="C31" s="1025" t="s">
        <v>1079</v>
      </c>
      <c r="D31" s="1326" t="s">
        <v>70</v>
      </c>
      <c r="E31" s="1025" t="s">
        <v>1080</v>
      </c>
      <c r="F31" s="1061">
        <v>648.95000000000005</v>
      </c>
      <c r="G31" s="1062">
        <v>0.1</v>
      </c>
      <c r="H31" s="1055">
        <v>59.7</v>
      </c>
      <c r="I31" s="1056"/>
      <c r="J31" s="1111"/>
      <c r="K31" s="1115" t="s">
        <v>2450</v>
      </c>
    </row>
    <row r="32" spans="1:11" ht="15.75">
      <c r="A32" s="1046">
        <v>45328</v>
      </c>
      <c r="B32" s="1294">
        <v>45695</v>
      </c>
      <c r="C32" s="1313" t="s">
        <v>2452</v>
      </c>
      <c r="D32" s="1080" t="s">
        <v>9</v>
      </c>
      <c r="E32" s="1080" t="s">
        <v>458</v>
      </c>
      <c r="F32" s="1549">
        <v>1627.04</v>
      </c>
      <c r="G32" s="1101">
        <v>0.1</v>
      </c>
      <c r="H32" s="1083">
        <v>149.68</v>
      </c>
      <c r="I32" s="1084"/>
      <c r="J32" s="1184"/>
      <c r="K32" s="1173" t="s">
        <v>2015</v>
      </c>
    </row>
    <row r="33" spans="1:11" ht="15.75">
      <c r="A33" s="1037">
        <v>45329</v>
      </c>
      <c r="B33" s="1038">
        <v>45697</v>
      </c>
      <c r="C33" s="1025" t="s">
        <v>2455</v>
      </c>
      <c r="D33" s="1026" t="s">
        <v>9</v>
      </c>
      <c r="E33" s="1026" t="s">
        <v>1552</v>
      </c>
      <c r="F33" s="1059">
        <v>1869.11</v>
      </c>
      <c r="G33" s="1054">
        <v>0.1</v>
      </c>
      <c r="H33" s="1055">
        <v>171.95</v>
      </c>
      <c r="I33" s="1056"/>
      <c r="J33" s="1111"/>
      <c r="K33" s="1115" t="s">
        <v>2015</v>
      </c>
    </row>
    <row r="34" spans="1:11" ht="15.75">
      <c r="A34" s="1037">
        <v>45331</v>
      </c>
      <c r="B34" s="1038">
        <v>45699</v>
      </c>
      <c r="C34" s="1025" t="s">
        <v>2456</v>
      </c>
      <c r="D34" s="1026" t="s">
        <v>422</v>
      </c>
      <c r="E34" s="1026" t="s">
        <v>1641</v>
      </c>
      <c r="F34" s="1059">
        <v>3890.37</v>
      </c>
      <c r="G34" s="1054">
        <v>0.1</v>
      </c>
      <c r="H34" s="1055">
        <v>357.91</v>
      </c>
      <c r="I34" s="1056"/>
      <c r="J34" s="1111"/>
      <c r="K34" s="1115" t="s">
        <v>2015</v>
      </c>
    </row>
    <row r="35" spans="1:11" ht="15.75">
      <c r="A35" s="1037">
        <v>45330</v>
      </c>
      <c r="B35" s="1038">
        <v>45701</v>
      </c>
      <c r="C35" s="1025" t="s">
        <v>2183</v>
      </c>
      <c r="D35" s="1026" t="s">
        <v>2457</v>
      </c>
      <c r="E35" s="1026" t="s">
        <v>948</v>
      </c>
      <c r="F35" s="1103">
        <v>1290.48</v>
      </c>
      <c r="G35" s="1054">
        <v>0.1</v>
      </c>
      <c r="H35" s="1055">
        <v>118.72</v>
      </c>
      <c r="I35" s="1056"/>
      <c r="J35" s="1111"/>
      <c r="K35" s="1115" t="s">
        <v>2015</v>
      </c>
    </row>
    <row r="36" spans="1:11" ht="15.75">
      <c r="A36" s="1037">
        <v>45330</v>
      </c>
      <c r="B36" s="1038">
        <v>45701</v>
      </c>
      <c r="C36" s="1025" t="s">
        <v>2458</v>
      </c>
      <c r="D36" s="1026" t="s">
        <v>9</v>
      </c>
      <c r="E36" s="1026" t="s">
        <v>948</v>
      </c>
      <c r="F36" s="1059">
        <v>1878.51</v>
      </c>
      <c r="G36" s="1054">
        <v>0.1</v>
      </c>
      <c r="H36" s="1088">
        <v>172.82</v>
      </c>
      <c r="I36" s="1089"/>
      <c r="J36" s="1111"/>
      <c r="K36" s="1115" t="s">
        <v>2015</v>
      </c>
    </row>
    <row r="37" spans="1:11" ht="15.75">
      <c r="A37" s="1037">
        <v>45330</v>
      </c>
      <c r="B37" s="1038">
        <v>45702</v>
      </c>
      <c r="C37" s="1025" t="s">
        <v>1274</v>
      </c>
      <c r="D37" s="1026" t="s">
        <v>25</v>
      </c>
      <c r="E37" s="1026" t="s">
        <v>1641</v>
      </c>
      <c r="F37" s="1059">
        <v>1185.95</v>
      </c>
      <c r="G37" s="1054">
        <v>0.15</v>
      </c>
      <c r="H37" s="1055">
        <v>163.66</v>
      </c>
      <c r="I37" s="1056"/>
      <c r="J37" s="1111"/>
      <c r="K37" s="1115" t="s">
        <v>2015</v>
      </c>
    </row>
    <row r="38" spans="1:11" ht="15.75">
      <c r="A38" s="1037">
        <v>45330</v>
      </c>
      <c r="B38" s="1038">
        <v>45702</v>
      </c>
      <c r="C38" s="1026" t="s">
        <v>2461</v>
      </c>
      <c r="D38" s="1026" t="s">
        <v>61</v>
      </c>
      <c r="E38" s="1026" t="s">
        <v>1552</v>
      </c>
      <c r="F38" s="1059">
        <v>1351.65</v>
      </c>
      <c r="G38" s="1054">
        <v>0.15</v>
      </c>
      <c r="H38" s="1055">
        <v>186.52</v>
      </c>
      <c r="I38" s="1056"/>
      <c r="J38" s="1111"/>
      <c r="K38" s="1115" t="s">
        <v>2015</v>
      </c>
    </row>
    <row r="39" spans="1:11" ht="15.75">
      <c r="A39" s="1037">
        <v>45337</v>
      </c>
      <c r="B39" s="1038">
        <v>45703</v>
      </c>
      <c r="C39" s="1140" t="s">
        <v>2424</v>
      </c>
      <c r="D39" s="1026" t="s">
        <v>448</v>
      </c>
      <c r="E39" s="1026" t="s">
        <v>948</v>
      </c>
      <c r="F39" s="1059">
        <v>1985.29</v>
      </c>
      <c r="G39" s="1054">
        <v>0.2</v>
      </c>
      <c r="H39" s="1055">
        <v>365.29</v>
      </c>
      <c r="I39" s="1056"/>
      <c r="J39" s="1111"/>
      <c r="K39" s="1115" t="s">
        <v>2015</v>
      </c>
    </row>
    <row r="40" spans="1:11" ht="15.75">
      <c r="A40" s="1037">
        <v>45337</v>
      </c>
      <c r="B40" s="1038">
        <v>45703</v>
      </c>
      <c r="C40" s="1025" t="s">
        <v>2462</v>
      </c>
      <c r="D40" s="1026" t="s">
        <v>9</v>
      </c>
      <c r="E40" s="1026" t="s">
        <v>458</v>
      </c>
      <c r="F40" s="1059">
        <v>1401.23</v>
      </c>
      <c r="G40" s="1054">
        <v>0.1</v>
      </c>
      <c r="H40" s="1055">
        <v>128.91</v>
      </c>
      <c r="I40" s="1056"/>
      <c r="J40" s="1111"/>
      <c r="K40" s="1115" t="s">
        <v>2015</v>
      </c>
    </row>
    <row r="41" spans="1:11" ht="15.75">
      <c r="A41" s="1037">
        <v>45337</v>
      </c>
      <c r="B41" s="1038">
        <v>45703</v>
      </c>
      <c r="C41" s="1025" t="s">
        <v>2463</v>
      </c>
      <c r="D41" s="1026" t="s">
        <v>9</v>
      </c>
      <c r="E41" s="1026" t="s">
        <v>1080</v>
      </c>
      <c r="F41" s="1053">
        <v>2215.39</v>
      </c>
      <c r="G41" s="1054">
        <v>0.1</v>
      </c>
      <c r="H41" s="1023">
        <v>203.81</v>
      </c>
      <c r="I41" s="1056"/>
      <c r="J41" s="1111"/>
      <c r="K41" s="1115" t="s">
        <v>2015</v>
      </c>
    </row>
    <row r="42" spans="1:11" ht="15.75">
      <c r="A42" s="1037">
        <v>45337</v>
      </c>
      <c r="B42" s="1038">
        <v>45704</v>
      </c>
      <c r="C42" s="1026" t="s">
        <v>2464</v>
      </c>
      <c r="D42" s="1026" t="s">
        <v>70</v>
      </c>
      <c r="E42" s="1026" t="s">
        <v>1080</v>
      </c>
      <c r="F42" s="1059">
        <v>775</v>
      </c>
      <c r="G42" s="1054">
        <v>0.1</v>
      </c>
      <c r="H42" s="1055">
        <v>71.3</v>
      </c>
      <c r="I42" s="1056"/>
      <c r="J42" s="1111"/>
      <c r="K42" s="1115" t="s">
        <v>2015</v>
      </c>
    </row>
    <row r="43" spans="1:11" ht="15.75">
      <c r="A43" s="1037">
        <v>45338</v>
      </c>
      <c r="B43" s="1039">
        <v>45705</v>
      </c>
      <c r="C43" s="1025" t="s">
        <v>2465</v>
      </c>
      <c r="D43" s="1026" t="s">
        <v>448</v>
      </c>
      <c r="E43" s="1025" t="s">
        <v>948</v>
      </c>
      <c r="F43" s="1061">
        <v>1531.23</v>
      </c>
      <c r="G43" s="1062">
        <v>0.1</v>
      </c>
      <c r="H43" s="1055">
        <v>140.87</v>
      </c>
      <c r="I43" s="1056"/>
      <c r="J43" s="1111"/>
      <c r="K43" s="1115" t="s">
        <v>2015</v>
      </c>
    </row>
    <row r="44" spans="1:11" ht="15.75">
      <c r="A44" s="1037">
        <v>45338</v>
      </c>
      <c r="B44" s="1038">
        <v>45705</v>
      </c>
      <c r="C44" s="1026" t="s">
        <v>2466</v>
      </c>
      <c r="D44" s="1026" t="s">
        <v>9</v>
      </c>
      <c r="E44" s="1026" t="s">
        <v>2212</v>
      </c>
      <c r="F44" s="1059">
        <v>2213.2399999999998</v>
      </c>
      <c r="G44" s="1054">
        <v>0.2</v>
      </c>
      <c r="H44" s="1055">
        <v>407.23</v>
      </c>
      <c r="I44" s="1056"/>
      <c r="J44" s="1111"/>
      <c r="K44" s="1115" t="s">
        <v>2015</v>
      </c>
    </row>
    <row r="45" spans="1:11" ht="15.75">
      <c r="A45" s="1037">
        <v>45341</v>
      </c>
      <c r="B45" s="1038">
        <v>45707</v>
      </c>
      <c r="C45" s="1026" t="s">
        <v>2467</v>
      </c>
      <c r="D45" s="1026" t="s">
        <v>9</v>
      </c>
      <c r="E45" s="1026" t="s">
        <v>1641</v>
      </c>
      <c r="F45" s="1059">
        <v>2045.18</v>
      </c>
      <c r="G45" s="1054">
        <v>0.15</v>
      </c>
      <c r="H45" s="1055">
        <v>282.23</v>
      </c>
      <c r="I45" s="1056"/>
      <c r="J45" s="1111"/>
      <c r="K45" s="1115" t="s">
        <v>2015</v>
      </c>
    </row>
    <row r="46" spans="1:11" ht="15.75">
      <c r="A46" s="1037">
        <v>45341</v>
      </c>
      <c r="B46" s="1038">
        <v>45707</v>
      </c>
      <c r="C46" s="1026" t="s">
        <v>2468</v>
      </c>
      <c r="D46" s="1026" t="s">
        <v>448</v>
      </c>
      <c r="E46" s="1026" t="s">
        <v>948</v>
      </c>
      <c r="F46" s="1059">
        <v>1582.02</v>
      </c>
      <c r="G46" s="1054">
        <v>0.15</v>
      </c>
      <c r="H46" s="1055">
        <v>218.31</v>
      </c>
      <c r="I46" s="1056"/>
      <c r="J46" s="1111"/>
      <c r="K46" s="1115" t="s">
        <v>2015</v>
      </c>
    </row>
    <row r="47" spans="1:11" ht="15.75">
      <c r="A47" s="1037">
        <v>45342</v>
      </c>
      <c r="B47" s="1038">
        <v>45708</v>
      </c>
      <c r="C47" s="1026" t="s">
        <v>2470</v>
      </c>
      <c r="D47" s="1026" t="s">
        <v>61</v>
      </c>
      <c r="E47" s="1026" t="s">
        <v>29</v>
      </c>
      <c r="F47" s="1103">
        <v>1576.78</v>
      </c>
      <c r="G47" s="1054">
        <v>0.1</v>
      </c>
      <c r="H47" s="1055">
        <v>145.06</v>
      </c>
      <c r="I47" s="1056"/>
      <c r="J47" s="1111"/>
      <c r="K47" s="1115" t="s">
        <v>2015</v>
      </c>
    </row>
    <row r="48" spans="1:11" ht="15.75">
      <c r="A48" s="1037">
        <v>45341</v>
      </c>
      <c r="B48" s="1038">
        <v>45709</v>
      </c>
      <c r="C48" s="1026" t="s">
        <v>2471</v>
      </c>
      <c r="D48" s="1026" t="s">
        <v>2472</v>
      </c>
      <c r="E48" s="1026" t="s">
        <v>945</v>
      </c>
      <c r="F48" s="1059">
        <v>3038.67</v>
      </c>
      <c r="G48" s="1054">
        <v>0.1</v>
      </c>
      <c r="H48" s="1055">
        <v>279.55</v>
      </c>
      <c r="I48" s="1056"/>
      <c r="J48" s="1111"/>
      <c r="K48" s="1115" t="s">
        <v>2015</v>
      </c>
    </row>
    <row r="49" spans="1:11" ht="15.75">
      <c r="A49" s="1037">
        <v>45341</v>
      </c>
      <c r="B49" s="1038">
        <v>45710</v>
      </c>
      <c r="C49" s="1026" t="s">
        <v>2473</v>
      </c>
      <c r="D49" s="1026" t="s">
        <v>9</v>
      </c>
      <c r="E49" s="1026" t="s">
        <v>2212</v>
      </c>
      <c r="F49" s="1059">
        <v>1432.53</v>
      </c>
      <c r="G49" s="1054">
        <v>0.15</v>
      </c>
      <c r="H49" s="1055">
        <v>131.79</v>
      </c>
      <c r="I49" s="1056"/>
      <c r="J49" s="1111"/>
      <c r="K49" s="1115" t="s">
        <v>2015</v>
      </c>
    </row>
    <row r="50" spans="1:11" ht="15.75">
      <c r="A50" s="1037">
        <v>45344</v>
      </c>
      <c r="B50" s="1038">
        <v>45710</v>
      </c>
      <c r="C50" s="1026" t="s">
        <v>2474</v>
      </c>
      <c r="D50" s="1026" t="s">
        <v>448</v>
      </c>
      <c r="E50" s="1026" t="s">
        <v>945</v>
      </c>
      <c r="F50" s="1059">
        <v>1536.77</v>
      </c>
      <c r="G50" s="1054">
        <v>0.2</v>
      </c>
      <c r="H50" s="1055">
        <v>282.76</v>
      </c>
      <c r="I50" s="1056"/>
      <c r="J50" s="1111"/>
      <c r="K50" s="1115" t="s">
        <v>2015</v>
      </c>
    </row>
    <row r="51" spans="1:11" s="1087" customFormat="1" ht="15.75">
      <c r="A51" s="1037">
        <v>45348</v>
      </c>
      <c r="B51" s="1038">
        <v>45714</v>
      </c>
      <c r="C51" s="1026" t="s">
        <v>1287</v>
      </c>
      <c r="D51" s="1026" t="s">
        <v>1924</v>
      </c>
      <c r="E51" s="1026" t="s">
        <v>948</v>
      </c>
      <c r="F51" s="1059">
        <v>1425.52</v>
      </c>
      <c r="G51" s="1054">
        <v>0.15</v>
      </c>
      <c r="H51" s="1055">
        <v>196.72</v>
      </c>
      <c r="I51" s="1056"/>
      <c r="J51" s="1111"/>
      <c r="K51" s="1115" t="s">
        <v>2015</v>
      </c>
    </row>
    <row r="52" spans="1:11" ht="15.75">
      <c r="A52" s="1037">
        <v>45350</v>
      </c>
      <c r="B52" s="1038">
        <v>45716</v>
      </c>
      <c r="C52" s="1026" t="s">
        <v>2477</v>
      </c>
      <c r="D52" s="1026" t="s">
        <v>448</v>
      </c>
      <c r="E52" s="1026" t="s">
        <v>1080</v>
      </c>
      <c r="F52" s="1059">
        <v>995.8</v>
      </c>
      <c r="G52" s="1054">
        <v>0.1</v>
      </c>
      <c r="H52" s="1055">
        <v>91.61</v>
      </c>
      <c r="I52" s="1056"/>
      <c r="J52" s="1111"/>
      <c r="K52" s="1115" t="s">
        <v>2015</v>
      </c>
    </row>
    <row r="53" spans="1:11" s="1070" customFormat="1" ht="15.75">
      <c r="A53" s="1037">
        <v>45342</v>
      </c>
      <c r="B53" s="1038" t="s">
        <v>1805</v>
      </c>
      <c r="C53" s="1026" t="s">
        <v>2483</v>
      </c>
      <c r="D53" s="1026" t="s">
        <v>21</v>
      </c>
      <c r="E53" s="1026" t="s">
        <v>948</v>
      </c>
      <c r="F53" s="1059">
        <v>551.09</v>
      </c>
      <c r="G53" s="1054">
        <v>0.15</v>
      </c>
      <c r="H53" s="1055">
        <v>76.05</v>
      </c>
      <c r="I53" s="1056"/>
      <c r="J53" s="1111"/>
      <c r="K53" s="1115" t="s">
        <v>2015</v>
      </c>
    </row>
    <row r="54" spans="1:11" ht="15.75">
      <c r="A54" s="1037"/>
      <c r="B54" s="1038"/>
      <c r="C54" s="1026"/>
      <c r="D54" s="1026"/>
      <c r="E54" s="1026"/>
      <c r="F54" s="1059"/>
      <c r="G54" s="1054"/>
      <c r="H54" s="1055"/>
      <c r="I54" s="1056"/>
      <c r="J54" s="1111"/>
      <c r="K54" s="1115"/>
    </row>
    <row r="55" spans="1:11" ht="15.75">
      <c r="A55" s="1037"/>
      <c r="B55" s="1038"/>
      <c r="C55" s="1026"/>
      <c r="D55" s="1026"/>
      <c r="E55" s="1026"/>
      <c r="F55" s="1059"/>
      <c r="G55" s="1054"/>
      <c r="H55" s="1055"/>
      <c r="I55" s="1056"/>
      <c r="J55" s="1111"/>
      <c r="K55" s="1115"/>
    </row>
    <row r="56" spans="1:11" ht="15.75">
      <c r="A56" s="1037"/>
      <c r="B56" s="1038"/>
      <c r="C56" s="1026"/>
      <c r="D56" s="1026"/>
      <c r="E56" s="1026"/>
      <c r="F56" s="1059"/>
      <c r="G56" s="1054"/>
      <c r="H56" s="1055"/>
      <c r="I56" s="1056"/>
      <c r="J56" s="1111"/>
      <c r="K56" s="1115"/>
    </row>
    <row r="57" spans="1:11" ht="16.5" thickBot="1">
      <c r="A57" s="1037"/>
      <c r="B57" s="1038"/>
      <c r="C57" s="1026"/>
      <c r="D57" s="1026"/>
      <c r="E57" s="1026"/>
      <c r="F57" s="1059"/>
      <c r="G57" s="1054"/>
      <c r="H57" s="1055"/>
      <c r="I57" s="1056"/>
      <c r="J57" s="1111"/>
      <c r="K57" s="1115"/>
    </row>
    <row r="58" spans="1:11" ht="19.5">
      <c r="A58" s="1158"/>
      <c r="B58" s="1159"/>
      <c r="C58" s="1159"/>
      <c r="D58" s="1159"/>
      <c r="E58" s="1159"/>
      <c r="F58" s="1160">
        <f>SUM(F2:F10,F11:F57)</f>
        <v>93029.079999999987</v>
      </c>
      <c r="G58" s="1161"/>
      <c r="H58" s="1162">
        <f>SUM(H2:H57)</f>
        <v>9911.8999999999978</v>
      </c>
      <c r="I58" s="1163">
        <f>SUM(I2:I57)</f>
        <v>1400.32</v>
      </c>
      <c r="J58" s="1164"/>
      <c r="K58" s="1157"/>
    </row>
  </sheetData>
  <autoFilter ref="A1:K53" xr:uid="{62667C45-F6B0-4711-81FC-E83BFF409D3E}">
    <sortState xmlns:xlrd2="http://schemas.microsoft.com/office/spreadsheetml/2017/richdata2" ref="A2:K53">
      <sortCondition ref="J1:J53"/>
    </sortState>
  </autoFilter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668A-FE3D-4528-907F-35FFA7DDA02E}">
  <dimension ref="A1:K57"/>
  <sheetViews>
    <sheetView topLeftCell="A46" zoomScale="85" zoomScaleNormal="85" workbookViewId="0">
      <selection activeCell="A5" sqref="A5:H5"/>
    </sheetView>
  </sheetViews>
  <sheetFormatPr defaultColWidth="9.140625" defaultRowHeight="15"/>
  <cols>
    <col min="1" max="1" width="13" style="1058" customWidth="1"/>
    <col min="2" max="2" width="13.5703125" style="1058" customWidth="1"/>
    <col min="3" max="3" width="53.5703125" style="1165" bestFit="1" customWidth="1"/>
    <col min="4" max="4" width="22.28515625" style="1058" bestFit="1" customWidth="1"/>
    <col min="5" max="5" width="16.7109375" style="1058" customWidth="1"/>
    <col min="6" max="6" width="22" style="1058" bestFit="1" customWidth="1"/>
    <col min="7" max="7" width="15" style="1058" customWidth="1"/>
    <col min="8" max="8" width="20.140625" style="1058" customWidth="1"/>
    <col min="9" max="9" width="21.140625" style="1058" customWidth="1"/>
    <col min="10" max="10" width="13.7109375" style="1058" bestFit="1" customWidth="1"/>
    <col min="11" max="11" width="19.7109375" style="1058" customWidth="1"/>
    <col min="12" max="16384" width="9.140625" style="1058"/>
  </cols>
  <sheetData>
    <row r="1" spans="1:11" ht="15" customHeight="1">
      <c r="A1" s="1235" t="s">
        <v>1832</v>
      </c>
      <c r="B1" s="1236" t="s">
        <v>2</v>
      </c>
      <c r="C1" s="1236" t="s">
        <v>3</v>
      </c>
      <c r="D1" s="1236" t="s">
        <v>4</v>
      </c>
      <c r="E1" s="1236" t="s">
        <v>5</v>
      </c>
      <c r="F1" s="1237" t="s">
        <v>644</v>
      </c>
      <c r="G1" s="1238" t="s">
        <v>555</v>
      </c>
      <c r="H1" s="1239" t="s">
        <v>7</v>
      </c>
      <c r="I1" s="1240" t="s">
        <v>307</v>
      </c>
      <c r="J1" s="1238" t="s">
        <v>370</v>
      </c>
      <c r="K1" s="1241" t="s">
        <v>442</v>
      </c>
    </row>
    <row r="2" spans="1:11" s="1070" customFormat="1" ht="15.75">
      <c r="A2" s="1041">
        <v>45351</v>
      </c>
      <c r="B2" s="1041">
        <v>45717</v>
      </c>
      <c r="C2" s="1027" t="s">
        <v>2486</v>
      </c>
      <c r="D2" s="1027" t="s">
        <v>9</v>
      </c>
      <c r="E2" s="1027" t="s">
        <v>1552</v>
      </c>
      <c r="F2" s="1065">
        <v>2701.25</v>
      </c>
      <c r="G2" s="1066">
        <v>0.1</v>
      </c>
      <c r="H2" s="1067">
        <v>248.51</v>
      </c>
      <c r="I2" s="1243">
        <v>24.85</v>
      </c>
      <c r="J2" s="1027" t="s">
        <v>1470</v>
      </c>
      <c r="K2" s="1131" t="s">
        <v>2450</v>
      </c>
    </row>
    <row r="3" spans="1:11" ht="15.75">
      <c r="A3" s="1041">
        <v>45355</v>
      </c>
      <c r="B3" s="1041">
        <v>45720</v>
      </c>
      <c r="C3" s="1027" t="s">
        <v>2488</v>
      </c>
      <c r="D3" s="1027" t="s">
        <v>70</v>
      </c>
      <c r="E3" s="1027" t="s">
        <v>1080</v>
      </c>
      <c r="F3" s="1065">
        <v>1015.97</v>
      </c>
      <c r="G3" s="1066">
        <v>0.1</v>
      </c>
      <c r="H3" s="1067">
        <v>93.46</v>
      </c>
      <c r="I3" s="1243">
        <v>9.34</v>
      </c>
      <c r="J3" s="1027" t="s">
        <v>1470</v>
      </c>
      <c r="K3" s="1117" t="s">
        <v>2450</v>
      </c>
    </row>
    <row r="4" spans="1:11" s="1070" customFormat="1" ht="15.75">
      <c r="A4" s="1041">
        <v>45362</v>
      </c>
      <c r="B4" s="1041">
        <v>45727</v>
      </c>
      <c r="C4" s="1027" t="s">
        <v>2493</v>
      </c>
      <c r="D4" s="1027" t="s">
        <v>9</v>
      </c>
      <c r="E4" s="1027" t="s">
        <v>1593</v>
      </c>
      <c r="F4" s="1065">
        <v>2425.25</v>
      </c>
      <c r="G4" s="1066">
        <v>0.1</v>
      </c>
      <c r="H4" s="1067">
        <v>223.12</v>
      </c>
      <c r="I4" s="1243">
        <v>22.31</v>
      </c>
      <c r="J4" s="1027" t="s">
        <v>1470</v>
      </c>
      <c r="K4" s="1117" t="s">
        <v>2450</v>
      </c>
    </row>
    <row r="5" spans="1:11" s="1338" customFormat="1" ht="15.75">
      <c r="A5" s="1041">
        <v>45371</v>
      </c>
      <c r="B5" s="1041">
        <v>45736</v>
      </c>
      <c r="C5" s="1027" t="s">
        <v>2498</v>
      </c>
      <c r="D5" s="1027" t="s">
        <v>448</v>
      </c>
      <c r="E5" s="1027" t="s">
        <v>2354</v>
      </c>
      <c r="F5" s="1065">
        <v>4051.97</v>
      </c>
      <c r="G5" s="1066">
        <v>0.2</v>
      </c>
      <c r="H5" s="1067">
        <v>745.56</v>
      </c>
      <c r="I5" s="1243">
        <v>74.55</v>
      </c>
      <c r="J5" s="1027" t="s">
        <v>1470</v>
      </c>
      <c r="K5" s="1117" t="s">
        <v>2450</v>
      </c>
    </row>
    <row r="6" spans="1:11" s="1338" customFormat="1" ht="15.75">
      <c r="A6" s="1041">
        <v>45373</v>
      </c>
      <c r="B6" s="1041">
        <v>45738</v>
      </c>
      <c r="C6" s="1027" t="s">
        <v>2500</v>
      </c>
      <c r="D6" s="1027" t="s">
        <v>61</v>
      </c>
      <c r="E6" s="1027" t="s">
        <v>1310</v>
      </c>
      <c r="F6" s="1401">
        <v>15338.05</v>
      </c>
      <c r="G6" s="1066">
        <v>0.05</v>
      </c>
      <c r="H6" s="1067">
        <v>705.55</v>
      </c>
      <c r="I6" s="1243">
        <v>70.55</v>
      </c>
      <c r="J6" s="1027" t="s">
        <v>1470</v>
      </c>
      <c r="K6" s="1117" t="s">
        <v>2015</v>
      </c>
    </row>
    <row r="7" spans="1:11" s="1268" customFormat="1" ht="15.75">
      <c r="A7" s="1040">
        <v>45373</v>
      </c>
      <c r="B7" s="1042">
        <v>45738</v>
      </c>
      <c r="C7" s="1027" t="s">
        <v>2501</v>
      </c>
      <c r="D7" s="1030" t="s">
        <v>448</v>
      </c>
      <c r="E7" s="1030" t="s">
        <v>2354</v>
      </c>
      <c r="F7" s="1072">
        <v>4337.72</v>
      </c>
      <c r="G7" s="1073">
        <v>0.2</v>
      </c>
      <c r="H7" s="1067">
        <v>798.14</v>
      </c>
      <c r="I7" s="1068">
        <v>79.81</v>
      </c>
      <c r="J7" s="1112" t="s">
        <v>1470</v>
      </c>
      <c r="K7" s="1117" t="s">
        <v>2450</v>
      </c>
    </row>
    <row r="8" spans="1:11" s="1357" customFormat="1" ht="15.75">
      <c r="A8" s="1041" t="s">
        <v>2502</v>
      </c>
      <c r="B8" s="1041">
        <v>45741</v>
      </c>
      <c r="C8" s="1027" t="s">
        <v>2503</v>
      </c>
      <c r="D8" s="1027" t="s">
        <v>9</v>
      </c>
      <c r="E8" s="1027" t="s">
        <v>1080</v>
      </c>
      <c r="F8" s="1400">
        <v>1731.59</v>
      </c>
      <c r="G8" s="1066">
        <v>0.1</v>
      </c>
      <c r="H8" s="1090">
        <v>159.30000000000001</v>
      </c>
      <c r="I8" s="1243">
        <v>15.93</v>
      </c>
      <c r="J8" s="1027" t="s">
        <v>1470</v>
      </c>
      <c r="K8" s="1117" t="s">
        <v>2450</v>
      </c>
    </row>
    <row r="9" spans="1:11" s="1357" customFormat="1" ht="15.75">
      <c r="A9" s="1040">
        <v>45366</v>
      </c>
      <c r="B9" s="1041">
        <v>45745</v>
      </c>
      <c r="C9" s="1027" t="s">
        <v>2512</v>
      </c>
      <c r="D9" s="1030" t="s">
        <v>70</v>
      </c>
      <c r="E9" s="1027" t="s">
        <v>1080</v>
      </c>
      <c r="F9" s="1065">
        <v>2414.87</v>
      </c>
      <c r="G9" s="1066">
        <v>0.1</v>
      </c>
      <c r="H9" s="1067">
        <v>222.16</v>
      </c>
      <c r="I9" s="1068">
        <v>22.21</v>
      </c>
      <c r="J9" s="1112" t="s">
        <v>1470</v>
      </c>
      <c r="K9" s="1117" t="s">
        <v>2015</v>
      </c>
    </row>
    <row r="10" spans="1:11" s="1262" customFormat="1" ht="15.75">
      <c r="A10" s="1041">
        <v>45379</v>
      </c>
      <c r="B10" s="1041">
        <v>45746</v>
      </c>
      <c r="C10" s="1027" t="s">
        <v>2513</v>
      </c>
      <c r="D10" s="1027" t="s">
        <v>1924</v>
      </c>
      <c r="E10" s="1027" t="s">
        <v>945</v>
      </c>
      <c r="F10" s="1065">
        <v>1856.6</v>
      </c>
      <c r="G10" s="1066">
        <v>0.1</v>
      </c>
      <c r="H10" s="1067">
        <v>170.8</v>
      </c>
      <c r="I10" s="1243">
        <v>17.079999999999998</v>
      </c>
      <c r="J10" s="1027" t="s">
        <v>1470</v>
      </c>
      <c r="K10" s="1117" t="s">
        <v>2450</v>
      </c>
    </row>
    <row r="11" spans="1:11" s="1262" customFormat="1" ht="15.75">
      <c r="A11" s="1041">
        <v>45357</v>
      </c>
      <c r="B11" s="1041" t="s">
        <v>1805</v>
      </c>
      <c r="C11" s="1027" t="s">
        <v>2515</v>
      </c>
      <c r="D11" s="1027" t="s">
        <v>25</v>
      </c>
      <c r="E11" s="1027" t="s">
        <v>1310</v>
      </c>
      <c r="F11" s="1065">
        <v>1120.69</v>
      </c>
      <c r="G11" s="1066">
        <v>0.1</v>
      </c>
      <c r="H11" s="1067">
        <v>103.1</v>
      </c>
      <c r="I11" s="1243">
        <v>10.31</v>
      </c>
      <c r="J11" s="1027" t="s">
        <v>1470</v>
      </c>
      <c r="K11" s="1117" t="s">
        <v>1805</v>
      </c>
    </row>
    <row r="12" spans="1:11" ht="15.75">
      <c r="A12" s="1391">
        <v>45362</v>
      </c>
      <c r="B12" s="1392">
        <v>45717</v>
      </c>
      <c r="C12" s="1394" t="s">
        <v>2487</v>
      </c>
      <c r="D12" s="1394" t="s">
        <v>9</v>
      </c>
      <c r="E12" s="1394" t="s">
        <v>948</v>
      </c>
      <c r="F12" s="1568">
        <v>4734.87</v>
      </c>
      <c r="G12" s="1396">
        <v>0.1</v>
      </c>
      <c r="H12" s="1570">
        <v>435.6</v>
      </c>
      <c r="I12" s="1397">
        <v>217.8</v>
      </c>
      <c r="J12" s="1572" t="s">
        <v>1577</v>
      </c>
      <c r="K12" s="1573" t="s">
        <v>2450</v>
      </c>
    </row>
    <row r="13" spans="1:11" ht="15.75">
      <c r="A13" s="1372">
        <v>45354</v>
      </c>
      <c r="B13" s="1373">
        <v>45719</v>
      </c>
      <c r="C13" s="1377" t="s">
        <v>1282</v>
      </c>
      <c r="D13" s="1377" t="s">
        <v>448</v>
      </c>
      <c r="E13" s="1377" t="s">
        <v>1080</v>
      </c>
      <c r="F13" s="1569">
        <v>1659.39</v>
      </c>
      <c r="G13" s="1378">
        <v>0.1</v>
      </c>
      <c r="H13" s="1339">
        <v>152.66</v>
      </c>
      <c r="I13" s="1374">
        <v>76.33</v>
      </c>
      <c r="J13" s="1375" t="s">
        <v>1577</v>
      </c>
      <c r="K13" s="1337" t="s">
        <v>2450</v>
      </c>
    </row>
    <row r="14" spans="1:11" ht="15.75">
      <c r="A14" s="1331">
        <v>45352</v>
      </c>
      <c r="B14" s="1331">
        <v>45721</v>
      </c>
      <c r="C14" s="1332" t="s">
        <v>1717</v>
      </c>
      <c r="D14" s="1332" t="s">
        <v>448</v>
      </c>
      <c r="E14" s="1332" t="s">
        <v>948</v>
      </c>
      <c r="F14" s="1333">
        <v>1733.17</v>
      </c>
      <c r="G14" s="1334">
        <v>0.1</v>
      </c>
      <c r="H14" s="1335">
        <v>159.44999999999999</v>
      </c>
      <c r="I14" s="1571">
        <f>79.72+30</f>
        <v>109.72</v>
      </c>
      <c r="J14" s="1375" t="s">
        <v>1577</v>
      </c>
      <c r="K14" s="1371" t="s">
        <v>2015</v>
      </c>
    </row>
    <row r="15" spans="1:11" ht="15.75">
      <c r="A15" s="1391">
        <v>45359</v>
      </c>
      <c r="B15" s="1392">
        <v>45724</v>
      </c>
      <c r="C15" s="1394" t="s">
        <v>2489</v>
      </c>
      <c r="D15" s="1394" t="s">
        <v>9</v>
      </c>
      <c r="E15" s="1394" t="s">
        <v>1310</v>
      </c>
      <c r="F15" s="1395">
        <v>8149</v>
      </c>
      <c r="G15" s="1396">
        <v>0.1</v>
      </c>
      <c r="H15" s="1335">
        <v>749.7</v>
      </c>
      <c r="I15" s="1397">
        <v>374.85</v>
      </c>
      <c r="J15" s="1375" t="s">
        <v>1577</v>
      </c>
      <c r="K15" s="1337" t="s">
        <v>2015</v>
      </c>
    </row>
    <row r="16" spans="1:11" s="1338" customFormat="1" ht="15.75">
      <c r="A16" s="1372">
        <v>45379</v>
      </c>
      <c r="B16" s="1373">
        <v>45746</v>
      </c>
      <c r="C16" s="1377" t="s">
        <v>2514</v>
      </c>
      <c r="D16" s="1377" t="s">
        <v>448</v>
      </c>
      <c r="E16" s="1377" t="s">
        <v>948</v>
      </c>
      <c r="F16" s="1402">
        <v>5135.6400000000003</v>
      </c>
      <c r="G16" s="1378">
        <v>0.1</v>
      </c>
      <c r="H16" s="1335">
        <v>472.47</v>
      </c>
      <c r="I16" s="1374">
        <v>236.23</v>
      </c>
      <c r="J16" s="1375" t="s">
        <v>1577</v>
      </c>
      <c r="K16" s="1337" t="s">
        <v>2015</v>
      </c>
    </row>
    <row r="17" spans="1:11" ht="15.75">
      <c r="A17" s="1367">
        <v>45378</v>
      </c>
      <c r="B17" s="1390">
        <v>45743</v>
      </c>
      <c r="C17" s="1380" t="s">
        <v>2506</v>
      </c>
      <c r="D17" s="1380" t="s">
        <v>448</v>
      </c>
      <c r="E17" s="1380" t="s">
        <v>2354</v>
      </c>
      <c r="F17" s="1381">
        <v>942.61</v>
      </c>
      <c r="G17" s="1384">
        <v>0.2</v>
      </c>
      <c r="H17" s="1340">
        <v>188.52</v>
      </c>
      <c r="I17" s="1369">
        <v>94.26</v>
      </c>
      <c r="J17" s="1370" t="s">
        <v>1759</v>
      </c>
      <c r="K17" s="1341" t="s">
        <v>2450</v>
      </c>
    </row>
    <row r="18" spans="1:11" s="1357" customFormat="1" ht="15.75">
      <c r="A18" s="1367">
        <v>45378</v>
      </c>
      <c r="B18" s="1390" t="s">
        <v>1805</v>
      </c>
      <c r="C18" s="1380" t="s">
        <v>2516</v>
      </c>
      <c r="D18" s="1380" t="s">
        <v>25</v>
      </c>
      <c r="E18" s="1380" t="s">
        <v>948</v>
      </c>
      <c r="F18" s="1381">
        <v>185.97</v>
      </c>
      <c r="G18" s="1384">
        <v>0.15</v>
      </c>
      <c r="H18" s="1340">
        <v>25.66</v>
      </c>
      <c r="I18" s="1369">
        <v>12.83</v>
      </c>
      <c r="J18" s="1370" t="s">
        <v>1759</v>
      </c>
      <c r="K18" s="1341" t="s">
        <v>1805</v>
      </c>
    </row>
    <row r="19" spans="1:11" ht="15.75">
      <c r="A19" s="1284">
        <v>45376</v>
      </c>
      <c r="B19" s="1399">
        <v>45744</v>
      </c>
      <c r="C19" s="1285" t="s">
        <v>2508</v>
      </c>
      <c r="D19" s="1285" t="s">
        <v>848</v>
      </c>
      <c r="E19" s="1264" t="s">
        <v>2354</v>
      </c>
      <c r="F19" s="1343">
        <v>1478.43</v>
      </c>
      <c r="G19" s="1265">
        <v>0.2</v>
      </c>
      <c r="H19" s="1266">
        <v>272.02999999999997</v>
      </c>
      <c r="I19" s="1286">
        <v>136.01</v>
      </c>
      <c r="J19" s="1287" t="s">
        <v>2094</v>
      </c>
      <c r="K19" s="1267" t="s">
        <v>2450</v>
      </c>
    </row>
    <row r="20" spans="1:11" s="1338" customFormat="1" ht="15.75">
      <c r="A20" s="1358">
        <v>45352</v>
      </c>
      <c r="B20" s="1359">
        <v>45719</v>
      </c>
      <c r="C20" s="1345" t="s">
        <v>1715</v>
      </c>
      <c r="D20" s="1360" t="s">
        <v>21</v>
      </c>
      <c r="E20" s="1345" t="s">
        <v>1080</v>
      </c>
      <c r="F20" s="1346">
        <v>743.3</v>
      </c>
      <c r="G20" s="1347">
        <v>0.1</v>
      </c>
      <c r="H20" s="1348">
        <v>68.38</v>
      </c>
      <c r="I20" s="1362">
        <v>34.19</v>
      </c>
      <c r="J20" s="1363" t="s">
        <v>1482</v>
      </c>
      <c r="K20" s="1350" t="s">
        <v>2015</v>
      </c>
    </row>
    <row r="21" spans="1:11" s="1070" customFormat="1" ht="15.75">
      <c r="A21" s="1358">
        <v>45352</v>
      </c>
      <c r="B21" s="1359">
        <v>45719</v>
      </c>
      <c r="C21" s="1345" t="s">
        <v>1302</v>
      </c>
      <c r="D21" s="1360" t="s">
        <v>70</v>
      </c>
      <c r="E21" s="1345" t="s">
        <v>1080</v>
      </c>
      <c r="F21" s="1346">
        <v>2509.29</v>
      </c>
      <c r="G21" s="1347">
        <v>0.1</v>
      </c>
      <c r="H21" s="1348">
        <v>230.85</v>
      </c>
      <c r="I21" s="1362">
        <v>115.42</v>
      </c>
      <c r="J21" s="1363" t="s">
        <v>1482</v>
      </c>
      <c r="K21" s="1350" t="s">
        <v>2015</v>
      </c>
    </row>
    <row r="22" spans="1:11" ht="15.75">
      <c r="A22" s="1358">
        <v>45359</v>
      </c>
      <c r="B22" s="1359">
        <v>45724</v>
      </c>
      <c r="C22" s="1404" t="s">
        <v>2490</v>
      </c>
      <c r="D22" s="1360" t="s">
        <v>448</v>
      </c>
      <c r="E22" s="1345" t="s">
        <v>1080</v>
      </c>
      <c r="F22" s="1376">
        <v>3654.89</v>
      </c>
      <c r="G22" s="1347">
        <v>0.1</v>
      </c>
      <c r="H22" s="1348">
        <v>336.24</v>
      </c>
      <c r="I22" s="1362">
        <v>168.12</v>
      </c>
      <c r="J22" s="1363" t="s">
        <v>1482</v>
      </c>
      <c r="K22" s="1350" t="s">
        <v>2450</v>
      </c>
    </row>
    <row r="23" spans="1:11" ht="15.75">
      <c r="A23" s="1344">
        <v>45363</v>
      </c>
      <c r="B23" s="1344">
        <v>45728</v>
      </c>
      <c r="C23" s="1345" t="s">
        <v>2494</v>
      </c>
      <c r="D23" s="1345" t="s">
        <v>9</v>
      </c>
      <c r="E23" s="1345" t="s">
        <v>948</v>
      </c>
      <c r="F23" s="1376">
        <v>1940.49</v>
      </c>
      <c r="G23" s="1347">
        <v>0.1</v>
      </c>
      <c r="H23" s="1348">
        <v>178.52</v>
      </c>
      <c r="I23" s="1362">
        <v>89.26</v>
      </c>
      <c r="J23" s="1363" t="s">
        <v>1482</v>
      </c>
      <c r="K23" s="1350" t="s">
        <v>2450</v>
      </c>
    </row>
    <row r="24" spans="1:11" s="1338" customFormat="1">
      <c r="A24" s="1344">
        <v>45370</v>
      </c>
      <c r="B24" s="1344">
        <v>45736</v>
      </c>
      <c r="C24" s="1344" t="s">
        <v>2499</v>
      </c>
      <c r="D24" s="1344" t="s">
        <v>61</v>
      </c>
      <c r="E24" s="1344" t="s">
        <v>1641</v>
      </c>
      <c r="F24" s="1364">
        <v>1381.74</v>
      </c>
      <c r="G24" s="1347">
        <v>0.1</v>
      </c>
      <c r="H24" s="1364">
        <v>127.12</v>
      </c>
      <c r="I24" s="1398">
        <v>63.56</v>
      </c>
      <c r="J24" s="1393" t="s">
        <v>1482</v>
      </c>
      <c r="K24" s="1344" t="s">
        <v>2450</v>
      </c>
    </row>
    <row r="25" spans="1:11" s="1357" customFormat="1" ht="15.75">
      <c r="A25" s="1344">
        <v>45376</v>
      </c>
      <c r="B25" s="1344">
        <v>45741</v>
      </c>
      <c r="C25" s="1345" t="s">
        <v>2504</v>
      </c>
      <c r="D25" s="1345" t="s">
        <v>149</v>
      </c>
      <c r="E25" s="1345" t="s">
        <v>1593</v>
      </c>
      <c r="F25" s="1346">
        <v>2525.35</v>
      </c>
      <c r="G25" s="1347">
        <v>0.1</v>
      </c>
      <c r="H25" s="1348">
        <v>232.33</v>
      </c>
      <c r="I25" s="1362">
        <v>116.16</v>
      </c>
      <c r="J25" s="1363" t="s">
        <v>1482</v>
      </c>
      <c r="K25" s="1350" t="s">
        <v>2450</v>
      </c>
    </row>
    <row r="26" spans="1:11" s="1357" customFormat="1" ht="15.75">
      <c r="A26" s="1358">
        <v>45379</v>
      </c>
      <c r="B26" s="1344">
        <v>45744</v>
      </c>
      <c r="C26" s="1345" t="s">
        <v>2509</v>
      </c>
      <c r="D26" s="1360" t="s">
        <v>9</v>
      </c>
      <c r="E26" s="1345" t="s">
        <v>1552</v>
      </c>
      <c r="F26" s="1346">
        <v>7433.11</v>
      </c>
      <c r="G26" s="1347">
        <v>0.1</v>
      </c>
      <c r="H26" s="1348">
        <v>683.84</v>
      </c>
      <c r="I26" s="1362">
        <v>341.92</v>
      </c>
      <c r="J26" s="1363" t="s">
        <v>2510</v>
      </c>
      <c r="K26" s="1350" t="s">
        <v>2450</v>
      </c>
    </row>
    <row r="27" spans="1:11" ht="15.75">
      <c r="A27" s="1358">
        <v>45366</v>
      </c>
      <c r="B27" s="1344">
        <v>45731</v>
      </c>
      <c r="C27" s="1345" t="s">
        <v>2496</v>
      </c>
      <c r="D27" s="1360" t="s">
        <v>448</v>
      </c>
      <c r="E27" s="1345" t="s">
        <v>948</v>
      </c>
      <c r="F27" s="1346">
        <v>1603.84</v>
      </c>
      <c r="G27" s="1347">
        <v>0.2</v>
      </c>
      <c r="H27" s="1348">
        <v>295.10000000000002</v>
      </c>
      <c r="I27" s="1362">
        <v>147.55000000000001</v>
      </c>
      <c r="J27" s="1363" t="s">
        <v>2497</v>
      </c>
      <c r="K27" s="1350" t="s">
        <v>2015</v>
      </c>
    </row>
    <row r="28" spans="1:11" ht="15.75">
      <c r="A28" s="1037">
        <v>45352</v>
      </c>
      <c r="B28" s="1039">
        <v>45717</v>
      </c>
      <c r="C28" s="1025" t="s">
        <v>1297</v>
      </c>
      <c r="D28" s="1026" t="s">
        <v>9</v>
      </c>
      <c r="E28" s="1025" t="s">
        <v>1641</v>
      </c>
      <c r="F28" s="1174">
        <v>1889.7</v>
      </c>
      <c r="G28" s="1062">
        <v>0.2</v>
      </c>
      <c r="H28" s="1055">
        <v>377.94</v>
      </c>
      <c r="I28" s="1056"/>
      <c r="J28" s="1111"/>
      <c r="K28" s="1115" t="s">
        <v>2015</v>
      </c>
    </row>
    <row r="29" spans="1:11" ht="15.75">
      <c r="A29" s="1037">
        <v>45355</v>
      </c>
      <c r="B29" s="1039">
        <v>45720</v>
      </c>
      <c r="C29" s="1026" t="s">
        <v>1995</v>
      </c>
      <c r="D29" s="1026" t="s">
        <v>448</v>
      </c>
      <c r="E29" s="1025" t="s">
        <v>948</v>
      </c>
      <c r="F29" s="1023">
        <v>1680.42</v>
      </c>
      <c r="G29" s="1062">
        <v>0.15</v>
      </c>
      <c r="H29" s="1023">
        <v>231.89</v>
      </c>
      <c r="I29" s="1056"/>
      <c r="J29" s="1111"/>
      <c r="K29" s="1115" t="s">
        <v>2015</v>
      </c>
    </row>
    <row r="30" spans="1:11" ht="15.75">
      <c r="A30" s="1037">
        <v>45355</v>
      </c>
      <c r="B30" s="1325">
        <v>45720</v>
      </c>
      <c r="C30" s="1025" t="s">
        <v>1299</v>
      </c>
      <c r="D30" s="1326" t="s">
        <v>25</v>
      </c>
      <c r="E30" s="1025" t="s">
        <v>948</v>
      </c>
      <c r="F30" s="1061">
        <v>1020.18</v>
      </c>
      <c r="G30" s="1062">
        <v>0.15</v>
      </c>
      <c r="H30" s="1055">
        <v>140.78</v>
      </c>
      <c r="I30" s="1056"/>
      <c r="J30" s="1111"/>
      <c r="K30" s="1115" t="s">
        <v>2015</v>
      </c>
    </row>
    <row r="31" spans="1:11" s="1070" customFormat="1" ht="15.75">
      <c r="A31" s="1037">
        <v>45356</v>
      </c>
      <c r="B31" s="1039">
        <v>45722</v>
      </c>
      <c r="C31" s="1032" t="s">
        <v>1998</v>
      </c>
      <c r="D31" s="1026" t="s">
        <v>61</v>
      </c>
      <c r="E31" s="1026" t="s">
        <v>945</v>
      </c>
      <c r="F31" s="1071">
        <v>2111.5300000000002</v>
      </c>
      <c r="G31" s="1062">
        <v>0.15</v>
      </c>
      <c r="H31" s="1055">
        <v>291.39</v>
      </c>
      <c r="I31" s="1056"/>
      <c r="J31" s="1111"/>
      <c r="K31" s="1115" t="s">
        <v>2015</v>
      </c>
    </row>
    <row r="32" spans="1:11" ht="15.75">
      <c r="A32" s="1037">
        <v>45356</v>
      </c>
      <c r="B32" s="1038">
        <v>45722</v>
      </c>
      <c r="C32" s="1025" t="s">
        <v>1312</v>
      </c>
      <c r="D32" s="1026" t="s">
        <v>33</v>
      </c>
      <c r="E32" s="1026" t="s">
        <v>948</v>
      </c>
      <c r="F32" s="1059">
        <v>2411.7600000000002</v>
      </c>
      <c r="G32" s="1054">
        <v>0.15</v>
      </c>
      <c r="H32" s="1055">
        <v>332.82</v>
      </c>
      <c r="I32" s="1056"/>
      <c r="J32" s="1111"/>
      <c r="K32" s="1115" t="s">
        <v>2015</v>
      </c>
    </row>
    <row r="33" spans="1:11" ht="15.75">
      <c r="A33" s="1037">
        <v>45357</v>
      </c>
      <c r="B33" s="1038">
        <v>45722</v>
      </c>
      <c r="C33" s="1025" t="s">
        <v>1309</v>
      </c>
      <c r="D33" s="1026" t="s">
        <v>9</v>
      </c>
      <c r="E33" s="1026" t="s">
        <v>948</v>
      </c>
      <c r="F33" s="1059">
        <v>1162.82</v>
      </c>
      <c r="G33" s="1054">
        <v>0.15</v>
      </c>
      <c r="H33" s="1055">
        <v>160.46</v>
      </c>
      <c r="I33" s="1056"/>
      <c r="J33" s="1111"/>
      <c r="K33" s="1115" t="s">
        <v>2015</v>
      </c>
    </row>
    <row r="34" spans="1:11" ht="15.75">
      <c r="A34" s="1037">
        <v>45355</v>
      </c>
      <c r="B34" s="1038">
        <v>45725</v>
      </c>
      <c r="C34" s="1025" t="s">
        <v>2491</v>
      </c>
      <c r="D34" s="1026" t="s">
        <v>25</v>
      </c>
      <c r="E34" s="1026" t="s">
        <v>945</v>
      </c>
      <c r="F34" s="1059">
        <v>1210.19</v>
      </c>
      <c r="G34" s="1054">
        <v>0.1</v>
      </c>
      <c r="H34" s="1055">
        <v>111.33</v>
      </c>
      <c r="I34" s="1056"/>
      <c r="J34" s="1111"/>
      <c r="K34" s="1115" t="s">
        <v>2015</v>
      </c>
    </row>
    <row r="35" spans="1:11" ht="15.75">
      <c r="A35" s="1039">
        <v>45359</v>
      </c>
      <c r="B35" s="1039">
        <v>45726</v>
      </c>
      <c r="C35" s="1025" t="s">
        <v>2492</v>
      </c>
      <c r="D35" s="1025" t="s">
        <v>448</v>
      </c>
      <c r="E35" s="1025" t="s">
        <v>945</v>
      </c>
      <c r="F35" s="1061">
        <v>1317.14</v>
      </c>
      <c r="G35" s="1062">
        <v>0.13</v>
      </c>
      <c r="H35" s="1055">
        <v>157.52000000000001</v>
      </c>
      <c r="I35" s="1242"/>
      <c r="J35" s="1025"/>
      <c r="K35" s="1115" t="s">
        <v>2015</v>
      </c>
    </row>
    <row r="36" spans="1:11" ht="15.75">
      <c r="A36" s="1037">
        <v>45359</v>
      </c>
      <c r="B36" s="1038">
        <v>45727</v>
      </c>
      <c r="C36" s="1025" t="s">
        <v>876</v>
      </c>
      <c r="D36" s="1026" t="s">
        <v>448</v>
      </c>
      <c r="E36" s="1026" t="s">
        <v>945</v>
      </c>
      <c r="F36" s="1059">
        <v>1166.8499999999999</v>
      </c>
      <c r="G36" s="1054">
        <v>0.1</v>
      </c>
      <c r="H36" s="1055">
        <v>107.35</v>
      </c>
      <c r="I36" s="1056"/>
      <c r="J36" s="1111"/>
      <c r="K36" s="1115" t="s">
        <v>2015</v>
      </c>
    </row>
    <row r="37" spans="1:11" ht="15.75">
      <c r="A37" s="1037">
        <v>45365</v>
      </c>
      <c r="B37" s="1038">
        <v>45730</v>
      </c>
      <c r="C37" s="1140" t="s">
        <v>1319</v>
      </c>
      <c r="D37" s="1026" t="s">
        <v>9</v>
      </c>
      <c r="E37" s="1026" t="s">
        <v>945</v>
      </c>
      <c r="F37" s="1059">
        <v>5135.1899999999996</v>
      </c>
      <c r="G37" s="1054">
        <v>0.1</v>
      </c>
      <c r="H37" s="1055">
        <v>472.43</v>
      </c>
      <c r="I37" s="1056"/>
      <c r="J37" s="1111"/>
      <c r="K37" s="1115" t="s">
        <v>2015</v>
      </c>
    </row>
    <row r="38" spans="1:11" s="1070" customFormat="1" ht="15.75">
      <c r="A38" s="1037">
        <v>45365</v>
      </c>
      <c r="B38" s="1038">
        <v>45730</v>
      </c>
      <c r="C38" s="1026" t="s">
        <v>1900</v>
      </c>
      <c r="D38" s="1026" t="s">
        <v>9</v>
      </c>
      <c r="E38" s="1026" t="s">
        <v>948</v>
      </c>
      <c r="F38" s="1059">
        <v>1609.06</v>
      </c>
      <c r="G38" s="1054">
        <v>0.15</v>
      </c>
      <c r="H38" s="1055">
        <v>222.05</v>
      </c>
      <c r="I38" s="1056"/>
      <c r="J38" s="1111"/>
      <c r="K38" s="1115" t="s">
        <v>2015</v>
      </c>
    </row>
    <row r="39" spans="1:11" ht="15.75">
      <c r="A39" s="1037">
        <v>45365</v>
      </c>
      <c r="B39" s="1038">
        <v>45730</v>
      </c>
      <c r="C39" s="1025" t="s">
        <v>2495</v>
      </c>
      <c r="D39" s="1026" t="s">
        <v>1862</v>
      </c>
      <c r="E39" s="1026" t="s">
        <v>1310</v>
      </c>
      <c r="F39" s="1053">
        <v>2988.92</v>
      </c>
      <c r="G39" s="1054">
        <v>0.1</v>
      </c>
      <c r="H39" s="1023">
        <v>274.98</v>
      </c>
      <c r="I39" s="1056"/>
      <c r="J39" s="1111"/>
      <c r="K39" s="1115" t="s">
        <v>2015</v>
      </c>
    </row>
    <row r="40" spans="1:11" s="1070" customFormat="1" ht="15.75">
      <c r="A40" s="1037">
        <v>45364</v>
      </c>
      <c r="B40" s="1038">
        <v>45731</v>
      </c>
      <c r="C40" s="1025" t="s">
        <v>676</v>
      </c>
      <c r="D40" s="1026" t="s">
        <v>1924</v>
      </c>
      <c r="E40" s="1026" t="s">
        <v>458</v>
      </c>
      <c r="F40" s="1059">
        <v>975.14</v>
      </c>
      <c r="G40" s="1054">
        <v>0.15</v>
      </c>
      <c r="H40" s="1055">
        <v>134.56</v>
      </c>
      <c r="I40" s="1056"/>
      <c r="J40" s="1111"/>
      <c r="K40" s="1115" t="s">
        <v>2015</v>
      </c>
    </row>
    <row r="41" spans="1:11" ht="15.75">
      <c r="A41" s="1037">
        <v>45362</v>
      </c>
      <c r="B41" s="1038">
        <v>45733</v>
      </c>
      <c r="C41" s="1026" t="s">
        <v>1724</v>
      </c>
      <c r="D41" s="1026" t="s">
        <v>25</v>
      </c>
      <c r="E41" s="1026" t="s">
        <v>10</v>
      </c>
      <c r="F41" s="1059">
        <v>2922.33</v>
      </c>
      <c r="G41" s="1054">
        <v>0.15</v>
      </c>
      <c r="H41" s="1088">
        <v>403.28</v>
      </c>
      <c r="I41" s="1089"/>
      <c r="J41" s="1111"/>
      <c r="K41" s="1115" t="s">
        <v>2015</v>
      </c>
    </row>
    <row r="42" spans="1:11" s="1342" customFormat="1" ht="15.75">
      <c r="A42" s="1037">
        <v>45366</v>
      </c>
      <c r="B42" s="1039">
        <v>45733</v>
      </c>
      <c r="C42" s="1033" t="s">
        <v>1497</v>
      </c>
      <c r="D42" s="1026" t="s">
        <v>448</v>
      </c>
      <c r="E42" s="1025" t="s">
        <v>10</v>
      </c>
      <c r="F42" s="1061">
        <v>3545.79</v>
      </c>
      <c r="G42" s="1062">
        <v>0.14000000000000001</v>
      </c>
      <c r="H42" s="1055">
        <v>456.69</v>
      </c>
      <c r="I42" s="1056"/>
      <c r="J42" s="1111"/>
      <c r="K42" s="1115" t="s">
        <v>2015</v>
      </c>
    </row>
    <row r="43" spans="1:11" s="1342" customFormat="1" ht="15.75">
      <c r="A43" s="1037">
        <v>45366</v>
      </c>
      <c r="B43" s="1038">
        <v>45734</v>
      </c>
      <c r="C43" s="1026" t="s">
        <v>1195</v>
      </c>
      <c r="D43" s="1026" t="s">
        <v>70</v>
      </c>
      <c r="E43" s="1026" t="s">
        <v>1080</v>
      </c>
      <c r="F43" s="1059">
        <v>457.45</v>
      </c>
      <c r="G43" s="1054">
        <v>0.15</v>
      </c>
      <c r="H43" s="1055">
        <v>63.12</v>
      </c>
      <c r="I43" s="1056"/>
      <c r="J43" s="1111"/>
      <c r="K43" s="1115" t="s">
        <v>2015</v>
      </c>
    </row>
    <row r="44" spans="1:11" ht="15.75">
      <c r="A44" s="1037">
        <v>45372</v>
      </c>
      <c r="B44" s="1038">
        <v>45736</v>
      </c>
      <c r="C44" s="1026" t="s">
        <v>400</v>
      </c>
      <c r="D44" s="1026" t="s">
        <v>14</v>
      </c>
      <c r="E44" s="1026" t="s">
        <v>10</v>
      </c>
      <c r="F44" s="1059">
        <v>2163.41</v>
      </c>
      <c r="G44" s="1054">
        <v>0.1</v>
      </c>
      <c r="H44" s="1055">
        <v>199.03</v>
      </c>
      <c r="I44" s="1056"/>
      <c r="J44" s="1111"/>
      <c r="K44" s="1115" t="s">
        <v>2015</v>
      </c>
    </row>
    <row r="45" spans="1:11" ht="15.75">
      <c r="A45" s="1037">
        <v>45369</v>
      </c>
      <c r="B45" s="1038">
        <v>45739</v>
      </c>
      <c r="C45" s="1026" t="s">
        <v>1579</v>
      </c>
      <c r="D45" s="1026" t="s">
        <v>14</v>
      </c>
      <c r="E45" s="1026" t="s">
        <v>948</v>
      </c>
      <c r="F45" s="1059">
        <v>986.7</v>
      </c>
      <c r="G45" s="1054">
        <v>0.2</v>
      </c>
      <c r="H45" s="1055">
        <v>181.55</v>
      </c>
      <c r="I45" s="1056"/>
      <c r="J45" s="1111"/>
      <c r="K45" s="1115" t="s">
        <v>2015</v>
      </c>
    </row>
    <row r="46" spans="1:11" ht="15.75">
      <c r="A46" s="1037">
        <v>45370</v>
      </c>
      <c r="B46" s="1038">
        <v>45739</v>
      </c>
      <c r="C46" s="1026" t="s">
        <v>882</v>
      </c>
      <c r="D46" s="1026" t="s">
        <v>70</v>
      </c>
      <c r="E46" s="1026" t="s">
        <v>458</v>
      </c>
      <c r="F46" s="1059">
        <v>1361.5</v>
      </c>
      <c r="G46" s="1054">
        <v>0.15</v>
      </c>
      <c r="H46" s="1055">
        <v>187.88</v>
      </c>
      <c r="I46" s="1056"/>
      <c r="J46" s="1111"/>
      <c r="K46" s="1115" t="s">
        <v>2015</v>
      </c>
    </row>
    <row r="47" spans="1:11" s="1070" customFormat="1" ht="15.75">
      <c r="A47" s="1037">
        <v>45376</v>
      </c>
      <c r="B47" s="1038">
        <v>45741</v>
      </c>
      <c r="C47" s="1025" t="s">
        <v>2505</v>
      </c>
      <c r="D47" s="1026" t="s">
        <v>9</v>
      </c>
      <c r="E47" s="1026" t="s">
        <v>1080</v>
      </c>
      <c r="F47" s="1059">
        <v>785.19</v>
      </c>
      <c r="G47" s="1054">
        <v>0.1</v>
      </c>
      <c r="H47" s="1055">
        <v>72.23</v>
      </c>
      <c r="I47" s="1056"/>
      <c r="J47" s="1111"/>
      <c r="K47" s="1115" t="s">
        <v>2015</v>
      </c>
    </row>
    <row r="48" spans="1:11" ht="15.75">
      <c r="A48" s="1037">
        <v>45377</v>
      </c>
      <c r="B48" s="1038">
        <v>45742</v>
      </c>
      <c r="C48" s="1032" t="s">
        <v>1325</v>
      </c>
      <c r="D48" s="1026" t="s">
        <v>448</v>
      </c>
      <c r="E48" s="1026" t="s">
        <v>948</v>
      </c>
      <c r="F48" s="1059">
        <v>1482.76</v>
      </c>
      <c r="G48" s="1054">
        <v>0.15</v>
      </c>
      <c r="H48" s="1055">
        <v>204.62</v>
      </c>
      <c r="I48" s="1056"/>
      <c r="J48" s="1111"/>
      <c r="K48" s="1115" t="s">
        <v>2015</v>
      </c>
    </row>
    <row r="49" spans="1:11" s="1357" customFormat="1" ht="15.75">
      <c r="A49" s="1037">
        <v>45385</v>
      </c>
      <c r="B49" s="1038">
        <v>45743</v>
      </c>
      <c r="C49" s="1026" t="s">
        <v>2507</v>
      </c>
      <c r="D49" s="1026" t="s">
        <v>149</v>
      </c>
      <c r="E49" s="1026" t="s">
        <v>458</v>
      </c>
      <c r="F49" s="1059">
        <v>1880.48</v>
      </c>
      <c r="G49" s="1054">
        <v>0.13</v>
      </c>
      <c r="H49" s="1055">
        <v>224.9</v>
      </c>
      <c r="I49" s="1056"/>
      <c r="J49" s="1111"/>
      <c r="K49" s="1115" t="s">
        <v>2015</v>
      </c>
    </row>
    <row r="50" spans="1:11" s="1070" customFormat="1" ht="15.75">
      <c r="A50" s="1037">
        <v>45379</v>
      </c>
      <c r="B50" s="1038">
        <v>45744</v>
      </c>
      <c r="C50" s="267" t="s">
        <v>2511</v>
      </c>
      <c r="D50" s="1026" t="s">
        <v>533</v>
      </c>
      <c r="E50" s="1026" t="s">
        <v>458</v>
      </c>
      <c r="F50" s="1059">
        <v>849.11</v>
      </c>
      <c r="G50" s="1054">
        <v>0.1</v>
      </c>
      <c r="H50" s="1055">
        <v>78.11</v>
      </c>
      <c r="I50" s="1056" t="s">
        <v>2038</v>
      </c>
      <c r="J50" s="1111"/>
      <c r="K50" s="1115" t="s">
        <v>2450</v>
      </c>
    </row>
    <row r="51" spans="1:11" s="1070" customFormat="1" ht="15.75">
      <c r="A51" s="1037">
        <v>45377</v>
      </c>
      <c r="B51" s="1038">
        <v>45745</v>
      </c>
      <c r="C51" s="1026" t="s">
        <v>272</v>
      </c>
      <c r="D51" s="1026" t="s">
        <v>14</v>
      </c>
      <c r="E51" s="1026" t="s">
        <v>948</v>
      </c>
      <c r="F51" s="1103">
        <v>1182.02</v>
      </c>
      <c r="G51" s="1054">
        <v>0.15</v>
      </c>
      <c r="H51" s="1055">
        <v>163.11000000000001</v>
      </c>
      <c r="I51" s="1056"/>
      <c r="J51" s="1111"/>
      <c r="K51" s="1115" t="s">
        <v>2015</v>
      </c>
    </row>
    <row r="52" spans="1:11" ht="15.75">
      <c r="A52" s="1037">
        <v>45362</v>
      </c>
      <c r="B52" s="1038" t="s">
        <v>1805</v>
      </c>
      <c r="C52" s="1026" t="s">
        <v>2517</v>
      </c>
      <c r="D52" s="1026" t="s">
        <v>70</v>
      </c>
      <c r="E52" s="1026" t="s">
        <v>1080</v>
      </c>
      <c r="F52" s="1059">
        <v>190.7</v>
      </c>
      <c r="G52" s="1054">
        <v>0.1</v>
      </c>
      <c r="H52" s="1055">
        <v>17.54</v>
      </c>
      <c r="I52" s="1056"/>
      <c r="J52" s="1111"/>
      <c r="K52" s="1115" t="s">
        <v>1805</v>
      </c>
    </row>
    <row r="53" spans="1:11" s="1448" customFormat="1" ht="15.75">
      <c r="A53" s="1037">
        <v>45379</v>
      </c>
      <c r="B53" s="1038" t="s">
        <v>1805</v>
      </c>
      <c r="C53" s="1026" t="s">
        <v>2518</v>
      </c>
      <c r="D53" s="1026" t="s">
        <v>14</v>
      </c>
      <c r="E53" s="1026" t="s">
        <v>458</v>
      </c>
      <c r="F53" s="1059">
        <v>373.62</v>
      </c>
      <c r="G53" s="1054">
        <v>0.15</v>
      </c>
      <c r="H53" s="1055">
        <v>51.55</v>
      </c>
      <c r="I53" s="1056"/>
      <c r="J53" s="1111"/>
      <c r="K53" s="1115" t="s">
        <v>1805</v>
      </c>
    </row>
    <row r="54" spans="1:11" ht="15.75">
      <c r="A54" s="1037"/>
      <c r="B54" s="1038"/>
      <c r="C54" s="1026"/>
      <c r="D54" s="1026"/>
      <c r="E54" s="1026"/>
      <c r="F54" s="1059"/>
      <c r="G54" s="1054"/>
      <c r="H54" s="1055"/>
      <c r="I54" s="1056"/>
      <c r="J54" s="1111"/>
      <c r="K54" s="1115"/>
    </row>
    <row r="55" spans="1:11" ht="15.75">
      <c r="A55" s="1037"/>
      <c r="B55" s="1038"/>
      <c r="C55" s="1026"/>
      <c r="D55" s="1026"/>
      <c r="E55" s="1026"/>
      <c r="F55" s="1059"/>
      <c r="G55" s="1054"/>
      <c r="H55" s="1055"/>
      <c r="I55" s="1056"/>
      <c r="J55" s="1111"/>
      <c r="K55" s="1115"/>
    </row>
    <row r="56" spans="1:11" ht="16.5" thickBot="1">
      <c r="A56" s="1037"/>
      <c r="B56" s="1038"/>
      <c r="C56" s="1026"/>
      <c r="D56" s="1026"/>
      <c r="E56" s="1026"/>
      <c r="F56" s="1059"/>
      <c r="G56" s="1054"/>
      <c r="H56" s="1269"/>
      <c r="I56" s="1056"/>
      <c r="J56" s="1111"/>
      <c r="K56" s="1115"/>
    </row>
    <row r="57" spans="1:11" ht="20.25" thickBot="1">
      <c r="A57" s="1158"/>
      <c r="B57" s="1159"/>
      <c r="C57" s="1159"/>
      <c r="D57" s="1159"/>
      <c r="E57" s="1159"/>
      <c r="F57" s="1160">
        <f>SUM(F2:F9,F10:F56)</f>
        <v>125665.01</v>
      </c>
      <c r="G57" s="1161"/>
      <c r="H57" s="1270">
        <f>SUM(H2:H56)</f>
        <v>13397.28</v>
      </c>
      <c r="I57" s="1163">
        <f>SUM(I2:I56)</f>
        <v>2681.1500000000005</v>
      </c>
      <c r="J57" s="1164"/>
      <c r="K57" s="1157"/>
    </row>
  </sheetData>
  <autoFilter ref="A1:K1" xr:uid="{B8A2668A-FE3D-4528-907F-35FFA7DDA02E}">
    <sortState xmlns:xlrd2="http://schemas.microsoft.com/office/spreadsheetml/2017/richdata2" ref="A2:K53">
      <sortCondition ref="J1"/>
    </sortState>
  </autoFilter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F5BE1-A614-41B4-A9B1-BED44AB7A3C8}">
  <dimension ref="A1:K278"/>
  <sheetViews>
    <sheetView topLeftCell="A46" zoomScale="85" zoomScaleNormal="85" workbookViewId="0">
      <selection activeCell="C6" sqref="C6"/>
    </sheetView>
  </sheetViews>
  <sheetFormatPr defaultColWidth="17.7109375" defaultRowHeight="15"/>
  <cols>
    <col min="1" max="1" width="17.5703125" style="1058" bestFit="1" customWidth="1"/>
    <col min="2" max="2" width="12.5703125" style="1058" bestFit="1" customWidth="1"/>
    <col min="3" max="3" width="43.5703125" style="1165" bestFit="1" customWidth="1"/>
    <col min="4" max="7" width="17.7109375" style="1058"/>
    <col min="8" max="8" width="24.85546875" style="1058" bestFit="1" customWidth="1"/>
    <col min="9" max="9" width="17.7109375" style="1058"/>
    <col min="10" max="10" width="18" style="1058" bestFit="1" customWidth="1"/>
    <col min="11" max="16384" width="17.7109375" style="1058"/>
  </cols>
  <sheetData>
    <row r="1" spans="1:11" ht="15" customHeight="1">
      <c r="A1" s="1235" t="s">
        <v>2519</v>
      </c>
      <c r="B1" s="1236" t="s">
        <v>2</v>
      </c>
      <c r="C1" s="1236" t="s">
        <v>3</v>
      </c>
      <c r="D1" s="1236" t="s">
        <v>4</v>
      </c>
      <c r="E1" s="1236" t="s">
        <v>5</v>
      </c>
      <c r="F1" s="1237" t="s">
        <v>644</v>
      </c>
      <c r="G1" s="1238" t="s">
        <v>555</v>
      </c>
      <c r="H1" s="1239" t="s">
        <v>7</v>
      </c>
      <c r="I1" s="1240" t="s">
        <v>307</v>
      </c>
      <c r="J1" s="1238" t="s">
        <v>370</v>
      </c>
      <c r="K1" s="1241" t="s">
        <v>442</v>
      </c>
    </row>
    <row r="2" spans="1:11" ht="15.75">
      <c r="A2" s="1041">
        <v>45394</v>
      </c>
      <c r="B2" s="1041">
        <v>45760</v>
      </c>
      <c r="C2" s="1027" t="s">
        <v>2520</v>
      </c>
      <c r="D2" s="1027" t="s">
        <v>9</v>
      </c>
      <c r="E2" s="1027" t="s">
        <v>1310</v>
      </c>
      <c r="F2" s="1065">
        <v>84688.77</v>
      </c>
      <c r="G2" s="1066">
        <v>0.1</v>
      </c>
      <c r="H2" s="1067">
        <v>7791.36</v>
      </c>
      <c r="I2" s="1243">
        <v>779.13</v>
      </c>
      <c r="J2" s="1027" t="s">
        <v>2070</v>
      </c>
      <c r="K2" s="1117" t="s">
        <v>2015</v>
      </c>
    </row>
    <row r="3" spans="1:11" s="1357" customFormat="1" ht="15.75">
      <c r="A3" s="1041">
        <v>45398</v>
      </c>
      <c r="B3" s="1041">
        <v>45760</v>
      </c>
      <c r="C3" s="1027" t="s">
        <v>2522</v>
      </c>
      <c r="D3" s="1027" t="s">
        <v>448</v>
      </c>
      <c r="E3" s="1027" t="s">
        <v>948</v>
      </c>
      <c r="F3" s="1065">
        <v>1971.61</v>
      </c>
      <c r="G3" s="1066">
        <v>0.1</v>
      </c>
      <c r="H3" s="1067">
        <v>181.38</v>
      </c>
      <c r="I3" s="1243">
        <v>18.13</v>
      </c>
      <c r="J3" s="1027" t="s">
        <v>2070</v>
      </c>
      <c r="K3" s="1117" t="s">
        <v>2015</v>
      </c>
    </row>
    <row r="4" spans="1:11" ht="15.75">
      <c r="A4" s="1041">
        <v>45394</v>
      </c>
      <c r="B4" s="1041">
        <v>45765</v>
      </c>
      <c r="C4" s="1027" t="s">
        <v>2521</v>
      </c>
      <c r="D4" s="1027" t="s">
        <v>1924</v>
      </c>
      <c r="E4" s="1027" t="s">
        <v>948</v>
      </c>
      <c r="F4" s="1065">
        <v>1196.83</v>
      </c>
      <c r="G4" s="1066">
        <v>0.1</v>
      </c>
      <c r="H4" s="1067">
        <v>110.1</v>
      </c>
      <c r="I4" s="1243">
        <v>11.01</v>
      </c>
      <c r="J4" s="1027" t="s">
        <v>2070</v>
      </c>
      <c r="K4" s="1117" t="s">
        <v>2015</v>
      </c>
    </row>
    <row r="5" spans="1:11" ht="15.75">
      <c r="A5" s="1041">
        <v>45406</v>
      </c>
      <c r="B5" s="1041">
        <v>45771</v>
      </c>
      <c r="C5" s="1027" t="s">
        <v>2524</v>
      </c>
      <c r="D5" s="1027" t="s">
        <v>304</v>
      </c>
      <c r="E5" s="1027" t="s">
        <v>1552</v>
      </c>
      <c r="F5" s="1065">
        <v>1884.78</v>
      </c>
      <c r="G5" s="1066">
        <v>0.13</v>
      </c>
      <c r="H5" s="1067">
        <v>225.41</v>
      </c>
      <c r="I5" s="1243">
        <v>22.54</v>
      </c>
      <c r="J5" s="1027" t="s">
        <v>2070</v>
      </c>
      <c r="K5" s="1117" t="s">
        <v>2015</v>
      </c>
    </row>
    <row r="6" spans="1:11" s="1338" customFormat="1" ht="15.75">
      <c r="A6" s="1040">
        <v>45408</v>
      </c>
      <c r="B6" s="1042">
        <v>45773</v>
      </c>
      <c r="C6" s="1027" t="s">
        <v>2525</v>
      </c>
      <c r="D6" s="1030" t="s">
        <v>61</v>
      </c>
      <c r="E6" s="1030" t="s">
        <v>19</v>
      </c>
      <c r="F6" s="1120">
        <v>2590.71</v>
      </c>
      <c r="G6" s="1073">
        <v>0.1</v>
      </c>
      <c r="H6" s="1090">
        <v>238.34</v>
      </c>
      <c r="I6" s="1068">
        <v>23.83</v>
      </c>
      <c r="J6" s="1112" t="s">
        <v>2070</v>
      </c>
      <c r="K6" s="1117" t="s">
        <v>2015</v>
      </c>
    </row>
    <row r="7" spans="1:11" ht="15.75">
      <c r="A7" s="1041">
        <v>45400</v>
      </c>
      <c r="B7" s="1041" t="s">
        <v>1805</v>
      </c>
      <c r="C7" s="1027" t="s">
        <v>2523</v>
      </c>
      <c r="D7" s="1027" t="s">
        <v>448</v>
      </c>
      <c r="E7" s="1027" t="s">
        <v>545</v>
      </c>
      <c r="F7" s="1401" t="s">
        <v>889</v>
      </c>
      <c r="G7" s="1066">
        <v>0.1</v>
      </c>
      <c r="H7" s="1067"/>
      <c r="I7" s="1243"/>
      <c r="J7" s="1027" t="s">
        <v>2070</v>
      </c>
      <c r="K7" s="1117" t="s">
        <v>1805</v>
      </c>
    </row>
    <row r="8" spans="1:11" ht="15.75">
      <c r="A8" s="1372">
        <v>45386</v>
      </c>
      <c r="B8" s="1331" t="s">
        <v>1805</v>
      </c>
      <c r="C8" s="1332" t="s">
        <v>1651</v>
      </c>
      <c r="D8" s="1377" t="s">
        <v>448</v>
      </c>
      <c r="E8" s="1332" t="s">
        <v>545</v>
      </c>
      <c r="F8" s="1339" t="s">
        <v>889</v>
      </c>
      <c r="G8" s="1334">
        <v>0.1</v>
      </c>
      <c r="H8" s="1339">
        <v>69.62</v>
      </c>
      <c r="I8" s="1374">
        <f>69.62/2</f>
        <v>34.81</v>
      </c>
      <c r="J8" s="1375" t="s">
        <v>1577</v>
      </c>
      <c r="K8" s="1337" t="s">
        <v>1805</v>
      </c>
    </row>
    <row r="9" spans="1:11" s="1262" customFormat="1" ht="15.75">
      <c r="A9" s="1417">
        <v>45407</v>
      </c>
      <c r="B9" s="1417">
        <v>45772</v>
      </c>
      <c r="C9" s="1418" t="s">
        <v>2526</v>
      </c>
      <c r="D9" s="1411" t="s">
        <v>25</v>
      </c>
      <c r="E9" s="1411" t="s">
        <v>948</v>
      </c>
      <c r="F9" s="1412">
        <v>1390.7</v>
      </c>
      <c r="G9" s="1413">
        <v>0.1</v>
      </c>
      <c r="H9" s="1414">
        <v>127.94</v>
      </c>
      <c r="I9" s="1574">
        <v>63.97</v>
      </c>
      <c r="J9" s="1411" t="s">
        <v>2527</v>
      </c>
      <c r="K9" s="1415" t="s">
        <v>2015</v>
      </c>
    </row>
    <row r="10" spans="1:11" s="1262" customFormat="1" ht="15.75">
      <c r="A10" s="1344">
        <v>45387</v>
      </c>
      <c r="B10" s="1344">
        <v>45752</v>
      </c>
      <c r="C10" s="1345" t="s">
        <v>2528</v>
      </c>
      <c r="D10" s="1345" t="s">
        <v>448</v>
      </c>
      <c r="E10" s="1345" t="s">
        <v>279</v>
      </c>
      <c r="F10" s="1346">
        <v>2177.63</v>
      </c>
      <c r="G10" s="1347">
        <v>0.1</v>
      </c>
      <c r="H10" s="1348">
        <v>200.34</v>
      </c>
      <c r="I10" s="1349">
        <v>100.17</v>
      </c>
      <c r="J10" s="1345" t="s">
        <v>1482</v>
      </c>
      <c r="K10" s="1365" t="s">
        <v>1472</v>
      </c>
    </row>
    <row r="11" spans="1:11" s="1262" customFormat="1" ht="15.75">
      <c r="A11" s="1344">
        <v>45385</v>
      </c>
      <c r="B11" s="1344">
        <v>45754</v>
      </c>
      <c r="C11" s="1345" t="s">
        <v>2028</v>
      </c>
      <c r="D11" s="1345" t="s">
        <v>9</v>
      </c>
      <c r="E11" s="1345" t="s">
        <v>1641</v>
      </c>
      <c r="F11" s="1346">
        <v>1904.53</v>
      </c>
      <c r="G11" s="1347">
        <v>0.1</v>
      </c>
      <c r="H11" s="1348">
        <v>175.21</v>
      </c>
      <c r="I11" s="1349">
        <v>87.6</v>
      </c>
      <c r="J11" s="1345" t="s">
        <v>1482</v>
      </c>
      <c r="K11" s="1365" t="s">
        <v>2015</v>
      </c>
    </row>
    <row r="12" spans="1:11" ht="15.75">
      <c r="A12" s="1358">
        <v>45390</v>
      </c>
      <c r="B12" s="1359">
        <v>45755</v>
      </c>
      <c r="C12" s="1360" t="s">
        <v>2529</v>
      </c>
      <c r="D12" s="1360" t="s">
        <v>9</v>
      </c>
      <c r="E12" s="1360" t="s">
        <v>279</v>
      </c>
      <c r="F12" s="1419">
        <v>866.17</v>
      </c>
      <c r="G12" s="1361">
        <v>0.1</v>
      </c>
      <c r="H12" s="1348">
        <v>79.680000000000007</v>
      </c>
      <c r="I12" s="1362">
        <v>39.840000000000003</v>
      </c>
      <c r="J12" s="1363" t="s">
        <v>1482</v>
      </c>
      <c r="K12" s="1365" t="s">
        <v>1472</v>
      </c>
    </row>
    <row r="13" spans="1:11" ht="15.75">
      <c r="A13" s="1344">
        <v>45408</v>
      </c>
      <c r="B13" s="1344">
        <v>45776</v>
      </c>
      <c r="C13" s="1345" t="s">
        <v>2530</v>
      </c>
      <c r="D13" s="1345" t="s">
        <v>448</v>
      </c>
      <c r="E13" s="1345" t="s">
        <v>545</v>
      </c>
      <c r="F13" s="1346" t="s">
        <v>889</v>
      </c>
      <c r="G13" s="1347">
        <v>0.05</v>
      </c>
      <c r="H13" s="1348">
        <v>150</v>
      </c>
      <c r="I13" s="1386">
        <v>75</v>
      </c>
      <c r="J13" s="1363" t="s">
        <v>1482</v>
      </c>
      <c r="K13" s="1365" t="s">
        <v>1472</v>
      </c>
    </row>
    <row r="14" spans="1:11" s="1070" customFormat="1" ht="15.75">
      <c r="A14" s="1043">
        <v>45381</v>
      </c>
      <c r="B14" s="1045">
        <v>45748</v>
      </c>
      <c r="C14" s="1075" t="s">
        <v>1329</v>
      </c>
      <c r="D14" s="1075" t="s">
        <v>9</v>
      </c>
      <c r="E14" s="1075" t="s">
        <v>948</v>
      </c>
      <c r="F14" s="1102">
        <v>1713.94</v>
      </c>
      <c r="G14" s="1076">
        <v>0.1</v>
      </c>
      <c r="H14" s="1055">
        <v>157.68</v>
      </c>
      <c r="I14" s="1077"/>
      <c r="J14" s="1111"/>
      <c r="K14" s="1116" t="s">
        <v>2015</v>
      </c>
    </row>
    <row r="15" spans="1:11" s="1070" customFormat="1" ht="15.75">
      <c r="A15" s="1037">
        <v>45387</v>
      </c>
      <c r="B15" s="1038">
        <v>45754</v>
      </c>
      <c r="C15" s="1026" t="s">
        <v>2531</v>
      </c>
      <c r="D15" s="1026" t="s">
        <v>9</v>
      </c>
      <c r="E15" s="1026" t="s">
        <v>1310</v>
      </c>
      <c r="F15" s="1059">
        <v>3493.75</v>
      </c>
      <c r="G15" s="1054">
        <v>0.15</v>
      </c>
      <c r="H15" s="1055">
        <v>482.13</v>
      </c>
      <c r="I15" s="1056"/>
      <c r="J15" s="1111"/>
      <c r="K15" s="1115" t="s">
        <v>2015</v>
      </c>
    </row>
    <row r="16" spans="1:11" ht="15.75">
      <c r="A16" s="1037">
        <v>45390</v>
      </c>
      <c r="B16" s="1038">
        <v>45755</v>
      </c>
      <c r="C16" s="1025" t="s">
        <v>2533</v>
      </c>
      <c r="D16" s="1025" t="s">
        <v>448</v>
      </c>
      <c r="E16" s="1025" t="s">
        <v>545</v>
      </c>
      <c r="F16" s="1061" t="s">
        <v>889</v>
      </c>
      <c r="G16" s="1062">
        <v>0.1</v>
      </c>
      <c r="H16" s="1055">
        <v>100</v>
      </c>
      <c r="I16" s="1056"/>
      <c r="J16" s="1111"/>
      <c r="K16" s="1115" t="s">
        <v>1472</v>
      </c>
    </row>
    <row r="17" spans="1:11" s="1070" customFormat="1" ht="15.75">
      <c r="A17" s="1037">
        <v>45392</v>
      </c>
      <c r="B17" s="1038">
        <v>45757</v>
      </c>
      <c r="C17" s="1025" t="s">
        <v>2534</v>
      </c>
      <c r="D17" s="1025" t="s">
        <v>448</v>
      </c>
      <c r="E17" s="1025" t="s">
        <v>948</v>
      </c>
      <c r="F17" s="1023">
        <v>2473.36</v>
      </c>
      <c r="G17" s="1062">
        <v>0.1</v>
      </c>
      <c r="H17" s="1023">
        <v>227.54</v>
      </c>
      <c r="I17" s="1056"/>
      <c r="J17" s="1111"/>
      <c r="K17" s="1115" t="s">
        <v>2015</v>
      </c>
    </row>
    <row r="18" spans="1:11" ht="15.75">
      <c r="A18" s="1037">
        <v>45387</v>
      </c>
      <c r="B18" s="1038">
        <v>45759</v>
      </c>
      <c r="C18" s="1026" t="s">
        <v>696</v>
      </c>
      <c r="D18" s="1026" t="s">
        <v>9</v>
      </c>
      <c r="E18" s="1025" t="s">
        <v>1641</v>
      </c>
      <c r="F18" s="1061">
        <v>1678.26</v>
      </c>
      <c r="G18" s="1062">
        <v>0.2</v>
      </c>
      <c r="H18" s="1055">
        <v>308.79000000000002</v>
      </c>
      <c r="I18" s="1056"/>
      <c r="J18" s="1111"/>
      <c r="K18" s="1115" t="s">
        <v>2015</v>
      </c>
    </row>
    <row r="19" spans="1:11" ht="15.75">
      <c r="A19" s="1037">
        <v>45392</v>
      </c>
      <c r="B19" s="1038">
        <v>45761</v>
      </c>
      <c r="C19" s="1025" t="s">
        <v>2535</v>
      </c>
      <c r="D19" s="1026" t="s">
        <v>9</v>
      </c>
      <c r="E19" s="1025" t="s">
        <v>458</v>
      </c>
      <c r="F19" s="1061">
        <v>1404.82</v>
      </c>
      <c r="G19" s="1062">
        <v>0.1</v>
      </c>
      <c r="H19" s="1055">
        <v>129.24</v>
      </c>
      <c r="I19" s="1056"/>
      <c r="J19" s="1111"/>
      <c r="K19" s="1115" t="s">
        <v>2015</v>
      </c>
    </row>
    <row r="20" spans="1:11" ht="15.75">
      <c r="A20" s="1037">
        <v>45394</v>
      </c>
      <c r="B20" s="1038">
        <v>45761</v>
      </c>
      <c r="C20" s="1025" t="s">
        <v>2537</v>
      </c>
      <c r="D20" s="1026" t="s">
        <v>9</v>
      </c>
      <c r="E20" s="1025" t="s">
        <v>1641</v>
      </c>
      <c r="F20" s="1061">
        <v>2516.52</v>
      </c>
      <c r="G20" s="1062">
        <v>0.15</v>
      </c>
      <c r="H20" s="1055">
        <v>347.27</v>
      </c>
      <c r="I20" s="1056"/>
      <c r="J20" s="1111"/>
      <c r="K20" s="1115" t="s">
        <v>2015</v>
      </c>
    </row>
    <row r="21" spans="1:11" ht="15.75">
      <c r="A21" s="1037">
        <v>45394</v>
      </c>
      <c r="B21" s="1038">
        <v>45762</v>
      </c>
      <c r="C21" s="1032" t="s">
        <v>2538</v>
      </c>
      <c r="D21" s="1026" t="s">
        <v>9</v>
      </c>
      <c r="E21" s="1025" t="s">
        <v>948</v>
      </c>
      <c r="F21" s="1061">
        <v>4031.99</v>
      </c>
      <c r="G21" s="1062">
        <v>0.1</v>
      </c>
      <c r="H21" s="1055">
        <v>370.94</v>
      </c>
      <c r="I21" s="1056"/>
      <c r="J21" s="1111"/>
      <c r="K21" s="1115" t="s">
        <v>2015</v>
      </c>
    </row>
    <row r="22" spans="1:11" ht="15.75">
      <c r="A22" s="1039">
        <v>45392</v>
      </c>
      <c r="B22" s="1039">
        <v>45763</v>
      </c>
      <c r="C22" s="1025" t="s">
        <v>2536</v>
      </c>
      <c r="D22" s="1025" t="s">
        <v>1924</v>
      </c>
      <c r="E22" s="1025" t="s">
        <v>948</v>
      </c>
      <c r="F22" s="1061">
        <v>1584.23</v>
      </c>
      <c r="G22" s="1062">
        <v>0.15</v>
      </c>
      <c r="H22" s="1055">
        <v>218.62</v>
      </c>
      <c r="I22" s="1056"/>
      <c r="J22" s="1111"/>
      <c r="K22" s="1115" t="s">
        <v>2015</v>
      </c>
    </row>
    <row r="23" spans="1:11" ht="15.75">
      <c r="A23" s="1039">
        <v>45404</v>
      </c>
      <c r="B23" s="1039">
        <v>45769</v>
      </c>
      <c r="C23" s="1025" t="s">
        <v>2542</v>
      </c>
      <c r="D23" s="1025" t="s">
        <v>198</v>
      </c>
      <c r="E23" s="1025" t="s">
        <v>458</v>
      </c>
      <c r="F23" s="1023">
        <v>1162.45</v>
      </c>
      <c r="G23" s="1062">
        <v>0.1</v>
      </c>
      <c r="H23" s="1055">
        <v>106.94</v>
      </c>
      <c r="I23" s="1056"/>
      <c r="J23" s="1111"/>
      <c r="K23" s="1116" t="s">
        <v>2015</v>
      </c>
    </row>
    <row r="24" spans="1:11" ht="15.75">
      <c r="A24" s="1039">
        <v>45400</v>
      </c>
      <c r="B24" s="1039">
        <v>45771</v>
      </c>
      <c r="C24" s="1025" t="s">
        <v>2539</v>
      </c>
      <c r="D24" s="1025" t="s">
        <v>2457</v>
      </c>
      <c r="E24" s="1025" t="s">
        <v>1310</v>
      </c>
      <c r="F24" s="1092">
        <v>2612.86</v>
      </c>
      <c r="G24" s="1062">
        <v>0.1</v>
      </c>
      <c r="H24" s="1055">
        <v>240.38</v>
      </c>
      <c r="I24" s="1056"/>
      <c r="J24" s="1111"/>
      <c r="K24" s="1115" t="s">
        <v>2015</v>
      </c>
    </row>
    <row r="25" spans="1:11" ht="15.75">
      <c r="A25" s="1037">
        <v>45401</v>
      </c>
      <c r="B25" s="1039">
        <v>45771</v>
      </c>
      <c r="C25" s="1025" t="s">
        <v>2540</v>
      </c>
      <c r="D25" s="1026" t="s">
        <v>25</v>
      </c>
      <c r="E25" s="1025" t="s">
        <v>19</v>
      </c>
      <c r="F25" s="1061">
        <v>2046.5</v>
      </c>
      <c r="G25" s="1062">
        <v>0.1</v>
      </c>
      <c r="H25" s="1055">
        <v>188.27</v>
      </c>
      <c r="I25" s="1056"/>
      <c r="J25" s="1111"/>
      <c r="K25" s="1115" t="s">
        <v>2015</v>
      </c>
    </row>
    <row r="26" spans="1:11" s="1416" customFormat="1" ht="15.75">
      <c r="A26" s="1037">
        <v>45406</v>
      </c>
      <c r="B26" s="1039">
        <v>45771</v>
      </c>
      <c r="C26" s="1025" t="s">
        <v>2544</v>
      </c>
      <c r="D26" s="1026" t="s">
        <v>9</v>
      </c>
      <c r="E26" s="1025" t="s">
        <v>948</v>
      </c>
      <c r="F26" s="1092">
        <v>1812.68</v>
      </c>
      <c r="G26" s="1062">
        <v>0.1</v>
      </c>
      <c r="H26" s="1055">
        <v>166.76</v>
      </c>
      <c r="I26" s="1056"/>
      <c r="J26" s="1111"/>
      <c r="K26" s="1115" t="s">
        <v>1472</v>
      </c>
    </row>
    <row r="27" spans="1:11" ht="15.75">
      <c r="A27" s="1037">
        <v>45401</v>
      </c>
      <c r="B27" s="1039">
        <v>45772</v>
      </c>
      <c r="C27" s="1025" t="s">
        <v>2541</v>
      </c>
      <c r="D27" s="1026" t="s">
        <v>25</v>
      </c>
      <c r="E27" s="1025" t="s">
        <v>948</v>
      </c>
      <c r="F27" s="1061">
        <v>830.21</v>
      </c>
      <c r="G27" s="1062">
        <v>0.15</v>
      </c>
      <c r="H27" s="1055">
        <v>114.56</v>
      </c>
      <c r="I27" s="1056"/>
      <c r="J27" s="1111"/>
      <c r="K27" s="1115" t="s">
        <v>2015</v>
      </c>
    </row>
    <row r="28" spans="1:11" s="1070" customFormat="1" ht="15.75">
      <c r="A28" s="1037">
        <v>45406</v>
      </c>
      <c r="B28" s="1039">
        <v>45777</v>
      </c>
      <c r="C28" s="1026" t="s">
        <v>2545</v>
      </c>
      <c r="D28" s="1026" t="s">
        <v>448</v>
      </c>
      <c r="E28" s="1025" t="s">
        <v>948</v>
      </c>
      <c r="F28" s="1061">
        <v>3169.97</v>
      </c>
      <c r="G28" s="1062">
        <v>0.1</v>
      </c>
      <c r="H28" s="1055">
        <v>291.64</v>
      </c>
      <c r="I28" s="1056"/>
      <c r="J28" s="1111"/>
      <c r="K28" s="1115" t="s">
        <v>2015</v>
      </c>
    </row>
    <row r="29" spans="1:11" ht="15.75">
      <c r="A29" s="1039">
        <v>45387</v>
      </c>
      <c r="B29" s="1039" t="s">
        <v>1805</v>
      </c>
      <c r="C29" s="1025" t="s">
        <v>2532</v>
      </c>
      <c r="D29" s="1025" t="s">
        <v>198</v>
      </c>
      <c r="E29" s="1025" t="s">
        <v>279</v>
      </c>
      <c r="F29" s="1061">
        <v>825.93</v>
      </c>
      <c r="G29" s="1062">
        <v>0.1</v>
      </c>
      <c r="H29" s="1055">
        <v>75.98</v>
      </c>
      <c r="I29" s="1242"/>
      <c r="J29" s="1025"/>
      <c r="K29" s="1115" t="s">
        <v>1805</v>
      </c>
    </row>
    <row r="30" spans="1:11" ht="15.75">
      <c r="A30" s="1037">
        <v>45404</v>
      </c>
      <c r="B30" s="1039" t="s">
        <v>1805</v>
      </c>
      <c r="C30" s="1032" t="s">
        <v>2436</v>
      </c>
      <c r="D30" s="1026" t="s">
        <v>70</v>
      </c>
      <c r="E30" s="1026" t="s">
        <v>438</v>
      </c>
      <c r="F30" s="1071">
        <v>251.66</v>
      </c>
      <c r="G30" s="1062">
        <v>0.1</v>
      </c>
      <c r="H30" s="1055">
        <v>23.15</v>
      </c>
      <c r="I30" s="1056"/>
      <c r="J30" s="1111"/>
      <c r="K30" s="1115" t="s">
        <v>1805</v>
      </c>
    </row>
    <row r="31" spans="1:11" s="1070" customFormat="1" ht="15.75">
      <c r="A31" s="1037">
        <v>45405</v>
      </c>
      <c r="B31" s="1038" t="s">
        <v>1805</v>
      </c>
      <c r="C31" s="1025" t="s">
        <v>2543</v>
      </c>
      <c r="D31" s="1026" t="s">
        <v>25</v>
      </c>
      <c r="E31" s="1026" t="s">
        <v>19</v>
      </c>
      <c r="F31" s="1059">
        <v>57.14</v>
      </c>
      <c r="G31" s="1054">
        <v>0.15</v>
      </c>
      <c r="H31" s="1088">
        <v>7.88</v>
      </c>
      <c r="I31" s="1089"/>
      <c r="J31" s="1111"/>
      <c r="K31" s="1115" t="s">
        <v>1805</v>
      </c>
    </row>
    <row r="32" spans="1:11" ht="15.75">
      <c r="A32" s="1037"/>
      <c r="B32" s="1038"/>
      <c r="C32" s="1025"/>
      <c r="D32" s="1026"/>
      <c r="E32" s="1026"/>
      <c r="F32" s="1059"/>
      <c r="G32" s="1054"/>
      <c r="H32" s="1055"/>
      <c r="I32" s="1056"/>
      <c r="J32" s="1111"/>
      <c r="K32" s="1115"/>
    </row>
    <row r="33" spans="1:11" ht="15.75">
      <c r="A33" s="1037"/>
      <c r="B33" s="1038"/>
      <c r="C33" s="1025"/>
      <c r="D33" s="1026"/>
      <c r="E33" s="1026"/>
      <c r="F33" s="1059"/>
      <c r="G33" s="1054"/>
      <c r="H33" s="1055"/>
      <c r="I33" s="1056"/>
      <c r="J33" s="1111"/>
      <c r="K33" s="1115"/>
    </row>
    <row r="34" spans="1:11">
      <c r="A34" s="1039"/>
      <c r="B34" s="1039"/>
      <c r="C34" s="1039"/>
      <c r="D34" s="1039"/>
      <c r="E34" s="1039"/>
      <c r="F34" s="1039"/>
      <c r="G34" s="1039"/>
      <c r="H34" s="1039"/>
      <c r="I34" s="1039"/>
      <c r="J34" s="1039"/>
      <c r="K34" s="1039"/>
    </row>
    <row r="35" spans="1:11" ht="15.75">
      <c r="A35" s="1037"/>
      <c r="B35" s="1038"/>
      <c r="C35" s="1025"/>
      <c r="D35" s="1026"/>
      <c r="E35" s="1026"/>
      <c r="F35" s="1059"/>
      <c r="G35" s="1054"/>
      <c r="H35" s="1055"/>
      <c r="I35" s="1056"/>
      <c r="J35" s="1111"/>
      <c r="K35" s="1115"/>
    </row>
    <row r="36" spans="1:11" ht="15.75">
      <c r="A36" s="1037"/>
      <c r="B36" s="1038"/>
      <c r="C36" s="1026"/>
      <c r="D36" s="1026"/>
      <c r="E36" s="1026"/>
      <c r="F36" s="1059"/>
      <c r="G36" s="1054"/>
      <c r="H36" s="1055"/>
      <c r="I36" s="1056"/>
      <c r="J36" s="1111"/>
      <c r="K36" s="1115"/>
    </row>
    <row r="37" spans="1:11" ht="15.75">
      <c r="A37" s="1037"/>
      <c r="B37" s="1038"/>
      <c r="C37" s="1026"/>
      <c r="D37" s="1026"/>
      <c r="E37" s="1026"/>
      <c r="F37" s="1103"/>
      <c r="G37" s="1054"/>
      <c r="H37" s="1055"/>
      <c r="I37" s="1056"/>
      <c r="J37" s="1111"/>
      <c r="K37" s="1115"/>
    </row>
    <row r="38" spans="1:11" ht="15.75">
      <c r="A38" s="1037"/>
      <c r="B38" s="1038"/>
      <c r="C38" s="1025"/>
      <c r="D38" s="1026"/>
      <c r="E38" s="1026"/>
      <c r="F38" s="1059"/>
      <c r="G38" s="1054"/>
      <c r="H38" s="1055"/>
      <c r="I38" s="1056"/>
      <c r="J38" s="1111"/>
      <c r="K38" s="1115"/>
    </row>
    <row r="39" spans="1:11" ht="15.75">
      <c r="A39" s="1037"/>
      <c r="B39" s="1038"/>
      <c r="C39" s="1025"/>
      <c r="D39" s="1026"/>
      <c r="E39" s="1026"/>
      <c r="F39" s="1059"/>
      <c r="G39" s="1054"/>
      <c r="H39" s="1055"/>
      <c r="I39" s="1056"/>
      <c r="J39" s="1111"/>
      <c r="K39" s="1115"/>
    </row>
    <row r="40" spans="1:11" ht="15.75">
      <c r="A40" s="1037"/>
      <c r="B40" s="1038"/>
      <c r="C40" s="1026"/>
      <c r="D40" s="1026"/>
      <c r="E40" s="1026"/>
      <c r="F40" s="1103"/>
      <c r="G40" s="1054"/>
      <c r="H40" s="1055"/>
      <c r="I40" s="1056"/>
      <c r="J40" s="1111"/>
      <c r="K40" s="1115"/>
    </row>
    <row r="41" spans="1:11" ht="15.75">
      <c r="A41" s="1037"/>
      <c r="B41" s="1039"/>
      <c r="C41" s="1025"/>
      <c r="D41" s="1026"/>
      <c r="E41" s="1025"/>
      <c r="F41" s="1061"/>
      <c r="G41" s="1062"/>
      <c r="H41" s="1055"/>
      <c r="I41" s="1056"/>
      <c r="J41" s="1111"/>
      <c r="K41" s="1115"/>
    </row>
    <row r="42" spans="1:11" ht="15.75">
      <c r="A42" s="1037"/>
      <c r="B42" s="1038"/>
      <c r="C42" s="1026"/>
      <c r="D42" s="1026"/>
      <c r="E42" s="1026"/>
      <c r="F42" s="1059"/>
      <c r="G42" s="1054"/>
      <c r="H42" s="1055"/>
      <c r="I42" s="1056"/>
      <c r="J42" s="1111"/>
      <c r="K42" s="1115"/>
    </row>
    <row r="43" spans="1:11" ht="15.75">
      <c r="A43" s="1037"/>
      <c r="B43" s="1038"/>
      <c r="C43" s="1026"/>
      <c r="D43" s="1026"/>
      <c r="E43" s="1026"/>
      <c r="F43" s="1059"/>
      <c r="G43" s="1054"/>
      <c r="H43" s="1055"/>
      <c r="I43" s="1056"/>
      <c r="J43" s="1111"/>
      <c r="K43" s="1115"/>
    </row>
    <row r="44" spans="1:11" ht="15.75">
      <c r="A44" s="1037"/>
      <c r="B44" s="1038"/>
      <c r="C44" s="1026"/>
      <c r="D44" s="1026"/>
      <c r="E44" s="1026"/>
      <c r="F44" s="1059"/>
      <c r="G44" s="1054"/>
      <c r="H44" s="1055"/>
      <c r="I44" s="1056"/>
      <c r="J44" s="1111"/>
      <c r="K44" s="1115"/>
    </row>
    <row r="45" spans="1:11" ht="15.75">
      <c r="A45" s="1037"/>
      <c r="B45" s="1038"/>
      <c r="C45" s="1026"/>
      <c r="D45" s="1026"/>
      <c r="E45" s="1026"/>
      <c r="F45" s="1059"/>
      <c r="G45" s="1054"/>
      <c r="H45" s="1055"/>
      <c r="I45" s="1056"/>
      <c r="J45" s="1111"/>
      <c r="K45" s="1115"/>
    </row>
    <row r="46" spans="1:11" ht="15.75">
      <c r="A46" s="1037"/>
      <c r="B46" s="1038"/>
      <c r="C46" s="314"/>
      <c r="D46" s="1026"/>
      <c r="E46" s="1026"/>
      <c r="F46" s="1059"/>
      <c r="G46" s="1054"/>
      <c r="H46" s="1055"/>
      <c r="I46" s="1056"/>
      <c r="J46" s="1111"/>
      <c r="K46" s="1115"/>
    </row>
    <row r="47" spans="1:11" ht="15.75">
      <c r="A47" s="1037"/>
      <c r="B47" s="1038"/>
      <c r="C47" s="1032"/>
      <c r="D47" s="1026"/>
      <c r="E47" s="1026"/>
      <c r="F47" s="1118"/>
      <c r="G47" s="1054"/>
      <c r="H47" s="1023"/>
      <c r="I47" s="1056"/>
      <c r="J47" s="1111"/>
      <c r="K47" s="1115"/>
    </row>
    <row r="48" spans="1:11" ht="15.75">
      <c r="A48" s="1037"/>
      <c r="B48" s="1038"/>
      <c r="C48" s="1026"/>
      <c r="D48" s="1026"/>
      <c r="E48" s="1026"/>
      <c r="F48" s="1059"/>
      <c r="G48" s="1054"/>
      <c r="H48" s="1055"/>
      <c r="I48" s="1056"/>
      <c r="J48" s="1111"/>
      <c r="K48" s="1115"/>
    </row>
    <row r="49" spans="1:11" ht="15.75">
      <c r="A49" s="1037"/>
      <c r="B49" s="1038"/>
      <c r="C49" s="1026"/>
      <c r="D49" s="1026"/>
      <c r="E49" s="1026"/>
      <c r="F49" s="1059"/>
      <c r="G49" s="1054"/>
      <c r="H49" s="1055"/>
      <c r="I49" s="1056"/>
      <c r="J49" s="1111"/>
      <c r="K49" s="1115"/>
    </row>
    <row r="50" spans="1:11" ht="15.75">
      <c r="A50" s="1037"/>
      <c r="B50" s="1038"/>
      <c r="C50" s="1026"/>
      <c r="D50" s="1026"/>
      <c r="E50" s="1026"/>
      <c r="F50" s="1059"/>
      <c r="G50" s="1054"/>
      <c r="H50" s="1055"/>
      <c r="I50" s="1056"/>
      <c r="J50" s="1111"/>
      <c r="K50" s="1115"/>
    </row>
    <row r="51" spans="1:11" ht="15.75">
      <c r="A51" s="1037"/>
      <c r="B51" s="1038"/>
      <c r="C51" s="1026"/>
      <c r="D51" s="1026"/>
      <c r="E51" s="1026"/>
      <c r="F51" s="1059"/>
      <c r="G51" s="1054"/>
      <c r="H51" s="1055"/>
      <c r="I51" s="1056"/>
      <c r="J51" s="1111"/>
      <c r="K51" s="1115"/>
    </row>
    <row r="52" spans="1:11" ht="15.75">
      <c r="A52" s="1037"/>
      <c r="B52" s="1038"/>
      <c r="C52" s="1026"/>
      <c r="D52" s="1026"/>
      <c r="E52" s="1026"/>
      <c r="F52" s="1059"/>
      <c r="G52" s="1054"/>
      <c r="H52" s="1055"/>
      <c r="I52" s="1056"/>
      <c r="J52" s="1111"/>
      <c r="K52" s="1115"/>
    </row>
    <row r="53" spans="1:11" ht="15.75">
      <c r="A53" s="1037"/>
      <c r="B53" s="1038"/>
      <c r="C53" s="1026"/>
      <c r="D53" s="1026"/>
      <c r="E53" s="1026"/>
      <c r="F53" s="1059"/>
      <c r="G53" s="1054"/>
      <c r="H53" s="1055"/>
      <c r="I53" s="1056"/>
      <c r="J53" s="1111"/>
      <c r="K53" s="1115"/>
    </row>
    <row r="54" spans="1:11" ht="15.75">
      <c r="A54" s="1037"/>
      <c r="B54" s="1038"/>
      <c r="C54" s="1026"/>
      <c r="D54" s="1026"/>
      <c r="E54" s="1026"/>
      <c r="F54" s="1059"/>
      <c r="G54" s="1054"/>
      <c r="H54" s="1055"/>
      <c r="I54" s="1056"/>
      <c r="J54" s="1111"/>
      <c r="K54" s="1115"/>
    </row>
    <row r="55" spans="1:11" ht="16.5" thickBot="1">
      <c r="A55" s="1037"/>
      <c r="B55" s="1038"/>
      <c r="C55" s="1026"/>
      <c r="D55" s="1026"/>
      <c r="E55" s="1026"/>
      <c r="F55" s="1059"/>
      <c r="G55" s="1054"/>
      <c r="H55" s="1055"/>
      <c r="I55" s="1056"/>
      <c r="J55" s="1111"/>
      <c r="K55" s="1115"/>
    </row>
    <row r="56" spans="1:11" ht="20.25" thickBot="1">
      <c r="A56" s="1158"/>
      <c r="B56" s="1159"/>
      <c r="C56" s="1159"/>
      <c r="D56" s="1159"/>
      <c r="E56" s="1159"/>
      <c r="F56" s="1160">
        <f>SUM(F2:F8,F9:F55)</f>
        <v>130338.00000000001</v>
      </c>
      <c r="G56" s="1161"/>
      <c r="H56" s="1162">
        <f>SUM(H2:H55)</f>
        <v>12907.150000000001</v>
      </c>
      <c r="I56" s="1163">
        <f>SUM(I2:I55)</f>
        <v>1256.03</v>
      </c>
      <c r="J56" s="1164"/>
      <c r="K56" s="1157"/>
    </row>
    <row r="57" spans="1:11" ht="15.75" customHeight="1">
      <c r="A57" s="1037"/>
      <c r="B57" s="1038"/>
      <c r="C57" s="1026"/>
      <c r="D57" s="1026"/>
      <c r="E57" s="1026"/>
      <c r="F57" s="1059"/>
      <c r="G57" s="1054"/>
      <c r="H57" s="1269"/>
      <c r="I57" s="1056"/>
      <c r="J57" s="1111"/>
      <c r="K57" s="1116"/>
    </row>
    <row r="58" spans="1:11" ht="15.75" customHeight="1">
      <c r="A58" s="1037"/>
      <c r="B58" s="1037"/>
      <c r="C58" s="1026"/>
      <c r="D58" s="1026"/>
      <c r="E58" s="1026"/>
      <c r="F58" s="1059"/>
      <c r="G58" s="1054"/>
      <c r="H58" s="1269"/>
      <c r="I58" s="1056"/>
      <c r="J58" s="1111"/>
      <c r="K58" s="1116"/>
    </row>
    <row r="59" spans="1:11" ht="15.75" customHeight="1">
      <c r="A59" s="1037"/>
      <c r="B59" s="1038"/>
      <c r="C59" s="1026"/>
      <c r="D59" s="1026"/>
      <c r="E59" s="1026"/>
      <c r="F59" s="1059"/>
      <c r="G59" s="1054"/>
      <c r="H59" s="1269"/>
      <c r="I59" s="1056"/>
      <c r="J59" s="1111"/>
      <c r="K59" s="1116"/>
    </row>
    <row r="60" spans="1:11" ht="15.75" customHeight="1">
      <c r="A60" s="1037"/>
      <c r="B60" s="1038"/>
      <c r="C60" s="1026"/>
      <c r="D60" s="1026"/>
      <c r="E60" s="1026"/>
      <c r="F60" s="1059"/>
      <c r="G60" s="1054"/>
      <c r="H60" s="1269"/>
      <c r="I60" s="1056"/>
      <c r="J60" s="1111"/>
      <c r="K60" s="1116"/>
    </row>
    <row r="61" spans="1:11" ht="15.75" customHeight="1">
      <c r="A61" s="1037"/>
      <c r="B61" s="1038"/>
      <c r="C61" s="1026"/>
      <c r="D61" s="1026"/>
      <c r="E61" s="1026"/>
      <c r="F61" s="1059"/>
      <c r="G61" s="1054"/>
      <c r="H61" s="1269"/>
      <c r="I61" s="1056"/>
      <c r="J61" s="1111"/>
      <c r="K61" s="1116"/>
    </row>
    <row r="62" spans="1:11" ht="15.75" customHeight="1">
      <c r="A62" s="1037"/>
      <c r="B62" s="1038"/>
      <c r="C62" s="1026"/>
      <c r="D62" s="1026"/>
      <c r="E62" s="1026"/>
      <c r="F62" s="1059"/>
      <c r="G62" s="1054"/>
      <c r="H62" s="1269"/>
      <c r="I62" s="1056"/>
      <c r="J62" s="1111"/>
      <c r="K62" s="1116"/>
    </row>
    <row r="63" spans="1:11" ht="15.75" customHeight="1">
      <c r="A63" s="1037"/>
      <c r="B63" s="1038"/>
      <c r="C63" s="1026"/>
      <c r="D63" s="1026"/>
      <c r="E63" s="1026"/>
      <c r="F63" s="1059"/>
      <c r="G63" s="1054"/>
      <c r="H63" s="1269"/>
      <c r="I63" s="1056"/>
      <c r="J63" s="1111"/>
      <c r="K63" s="1116"/>
    </row>
    <row r="64" spans="1:11" ht="15.75" customHeight="1">
      <c r="A64" s="1037"/>
      <c r="B64" s="1038"/>
      <c r="C64" s="1026"/>
      <c r="D64" s="1026"/>
      <c r="E64" s="1026"/>
      <c r="F64" s="1059"/>
      <c r="G64" s="1054"/>
      <c r="H64" s="1269"/>
      <c r="I64" s="1056"/>
      <c r="J64" s="1111"/>
      <c r="K64" s="1116"/>
    </row>
    <row r="65" spans="1:11" ht="15.75" customHeight="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116"/>
    </row>
    <row r="66" spans="1:11" ht="15.75" customHeight="1">
      <c r="A66" s="1037"/>
      <c r="B66" s="1038"/>
      <c r="C66" s="1026"/>
      <c r="D66" s="1026"/>
      <c r="E66" s="1026"/>
      <c r="F66" s="1059"/>
      <c r="G66" s="1054"/>
      <c r="H66" s="1269"/>
      <c r="I66" s="1056"/>
      <c r="J66" s="1111"/>
      <c r="K66" s="1262"/>
    </row>
    <row r="67" spans="1:11" ht="15.75" customHeight="1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1116"/>
    </row>
    <row r="68" spans="1:11" ht="15.75" customHeight="1">
      <c r="A68" s="1037"/>
      <c r="B68" s="1038"/>
      <c r="C68" s="1026"/>
      <c r="D68" s="1026"/>
      <c r="E68" s="1026"/>
      <c r="F68" s="1059"/>
      <c r="G68" s="1059"/>
      <c r="H68" s="1269"/>
      <c r="I68" s="1056"/>
      <c r="J68" s="1111"/>
      <c r="K68" s="1116"/>
    </row>
    <row r="69" spans="1:11" ht="15.75" customHeight="1">
      <c r="A69" s="1037"/>
      <c r="B69" s="1038"/>
      <c r="C69" s="1026"/>
      <c r="D69" s="1026"/>
      <c r="E69" s="1026"/>
      <c r="F69" s="1059"/>
      <c r="G69" s="1059"/>
      <c r="H69" s="1269"/>
      <c r="I69" s="1056"/>
      <c r="J69" s="1111"/>
      <c r="K69" s="1262"/>
    </row>
    <row r="70" spans="1:11" ht="15.75" customHeight="1">
      <c r="A70" s="1037"/>
      <c r="B70" s="1038"/>
      <c r="C70" s="1026"/>
      <c r="D70" s="1026"/>
      <c r="E70" s="1026"/>
      <c r="F70" s="1059"/>
      <c r="G70" s="1059"/>
      <c r="H70" s="1269"/>
      <c r="I70" s="1056"/>
      <c r="J70" s="1111"/>
      <c r="K70" s="505"/>
    </row>
    <row r="71" spans="1:11" ht="15.75" customHeight="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116"/>
    </row>
    <row r="72" spans="1:11" ht="15.75" customHeight="1">
      <c r="A72" s="1037"/>
      <c r="B72" s="1038"/>
      <c r="C72" s="1026"/>
      <c r="D72" s="1026"/>
      <c r="E72" s="1026"/>
      <c r="F72" s="1059"/>
      <c r="G72" s="1054"/>
      <c r="H72" s="1269"/>
      <c r="I72" s="1056"/>
      <c r="J72" s="1111"/>
      <c r="K72" s="1116"/>
    </row>
    <row r="73" spans="1:11" ht="15.75" customHeight="1">
      <c r="A73" s="1037"/>
      <c r="B73" s="1038"/>
      <c r="C73" s="1026"/>
      <c r="D73" s="1026"/>
      <c r="E73" s="1026"/>
      <c r="F73" s="1059"/>
      <c r="G73" s="1054"/>
      <c r="H73" s="1269"/>
      <c r="I73" s="1056"/>
      <c r="J73" s="1111"/>
      <c r="K73" s="1116"/>
    </row>
    <row r="74" spans="1:11" ht="15.75">
      <c r="A74" s="1037"/>
      <c r="B74" s="1038"/>
      <c r="C74" s="1026"/>
      <c r="D74" s="1026"/>
      <c r="E74" s="1026"/>
      <c r="F74" s="1059"/>
      <c r="G74" s="1054"/>
      <c r="H74" s="1269"/>
      <c r="I74" s="1056"/>
      <c r="J74" s="1111"/>
      <c r="K74" s="1116"/>
    </row>
    <row r="75" spans="1:11" ht="15.75">
      <c r="A75" s="1037"/>
      <c r="B75" s="1038"/>
      <c r="C75" s="1026"/>
      <c r="D75" s="1026"/>
      <c r="E75" s="1026"/>
      <c r="F75" s="1059"/>
      <c r="G75" s="1054"/>
      <c r="H75" s="1269"/>
      <c r="I75" s="1056"/>
      <c r="J75" s="1111"/>
      <c r="K75" s="1116"/>
    </row>
    <row r="76" spans="1:11" ht="15.75">
      <c r="A76" s="1037"/>
      <c r="B76" s="1038"/>
      <c r="C76" s="1025"/>
      <c r="D76" s="1025"/>
      <c r="E76" s="1025"/>
      <c r="F76" s="1059"/>
      <c r="G76" s="1062"/>
      <c r="H76" s="1055"/>
      <c r="I76" s="1056"/>
      <c r="J76" s="1111"/>
      <c r="K76" s="1116"/>
    </row>
    <row r="77" spans="1:11" ht="15.75">
      <c r="A77" s="1037"/>
      <c r="B77" s="1039"/>
      <c r="C77" s="1025"/>
      <c r="D77" s="1025"/>
      <c r="E77" s="1025"/>
      <c r="F77" s="1059"/>
      <c r="G77" s="1054"/>
      <c r="H77" s="1269"/>
      <c r="I77" s="1056"/>
      <c r="J77" s="1111"/>
      <c r="K77" s="1116"/>
    </row>
    <row r="78" spans="1:11" ht="15.75">
      <c r="A78" s="1037"/>
      <c r="B78" s="1038"/>
      <c r="C78" s="1026"/>
      <c r="D78" s="1026"/>
      <c r="E78" s="1026"/>
      <c r="F78" s="1059"/>
      <c r="G78" s="1054"/>
      <c r="H78" s="1269"/>
      <c r="I78" s="1056"/>
      <c r="J78" s="1111"/>
      <c r="K78" s="1116"/>
    </row>
    <row r="79" spans="1:11" ht="15.75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1116"/>
    </row>
    <row r="80" spans="1:11" ht="15.75">
      <c r="A80" s="1037"/>
      <c r="B80" s="1038"/>
      <c r="C80" s="1026"/>
      <c r="D80" s="1026"/>
      <c r="E80" s="1026"/>
      <c r="F80" s="1059"/>
      <c r="G80" s="1054"/>
      <c r="H80" s="1269"/>
      <c r="I80" s="1056"/>
      <c r="J80" s="1111"/>
      <c r="K80" s="1116"/>
    </row>
    <row r="81" spans="1:11" ht="15.75">
      <c r="A81" s="1037"/>
      <c r="B81" s="1038"/>
      <c r="C81" s="1026"/>
      <c r="D81" s="1026"/>
      <c r="E81" s="1026"/>
      <c r="F81" s="1059"/>
      <c r="G81" s="1054"/>
      <c r="H81" s="1269"/>
      <c r="I81" s="1056"/>
      <c r="J81" s="1111"/>
      <c r="K81" s="1116"/>
    </row>
    <row r="82" spans="1:11" ht="15.75">
      <c r="A82" s="1037"/>
      <c r="B82" s="1038"/>
      <c r="C82" s="1026"/>
      <c r="D82" s="1026"/>
      <c r="E82" s="1026"/>
      <c r="F82" s="1059"/>
      <c r="G82" s="1054"/>
      <c r="H82" s="1269"/>
      <c r="I82" s="1056"/>
      <c r="J82" s="1111"/>
      <c r="K82" s="1116"/>
    </row>
    <row r="83" spans="1:11" ht="15.75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1116"/>
    </row>
    <row r="84" spans="1:11" ht="15.75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116"/>
    </row>
    <row r="85" spans="1:11" ht="15.75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116"/>
    </row>
    <row r="86" spans="1:11" ht="15.75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116"/>
    </row>
    <row r="87" spans="1:11" ht="15.75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6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116"/>
    </row>
    <row r="89" spans="1:11" ht="15.75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116"/>
    </row>
    <row r="90" spans="1:11" ht="15.75">
      <c r="A90" s="1037"/>
      <c r="B90" s="1038"/>
      <c r="C90" s="1026"/>
      <c r="D90" s="1026"/>
      <c r="E90" s="1026"/>
      <c r="F90" s="1059"/>
      <c r="G90" s="1054"/>
      <c r="H90" s="1269"/>
      <c r="I90" s="1056"/>
      <c r="J90" s="1111"/>
      <c r="K90" s="1116"/>
    </row>
    <row r="91" spans="1:11">
      <c r="A91" s="1037"/>
      <c r="B91" s="1038"/>
      <c r="C91" s="1026"/>
      <c r="D91" s="1026"/>
      <c r="E91" s="1026"/>
      <c r="F91" s="1059"/>
      <c r="G91" s="1059"/>
      <c r="H91" s="1269"/>
      <c r="I91" s="1056"/>
      <c r="J91" s="1111"/>
      <c r="K91" s="1262"/>
    </row>
    <row r="92" spans="1:11">
      <c r="A92" s="1037"/>
      <c r="B92" s="1038"/>
      <c r="C92" s="1026"/>
      <c r="D92" s="1026"/>
      <c r="E92" s="1026"/>
      <c r="F92" s="1059"/>
      <c r="G92" s="1059"/>
      <c r="H92" s="1269"/>
      <c r="I92" s="1056"/>
      <c r="J92" s="1111"/>
      <c r="K92" s="1262"/>
    </row>
    <row r="93" spans="1:11">
      <c r="A93" s="1037"/>
      <c r="B93" s="1038"/>
      <c r="C93" s="1026"/>
      <c r="D93" s="1026"/>
      <c r="E93" s="1026"/>
      <c r="F93" s="1059"/>
      <c r="G93" s="1059"/>
      <c r="H93" s="1269"/>
      <c r="I93" s="1056"/>
      <c r="J93" s="1111"/>
      <c r="K93" s="505"/>
    </row>
    <row r="94" spans="1:11" ht="15.75">
      <c r="A94" s="1037"/>
      <c r="B94" s="1038"/>
      <c r="C94" s="1026"/>
      <c r="D94" s="1026"/>
      <c r="E94" s="1026"/>
      <c r="F94" s="1059"/>
      <c r="G94" s="1054"/>
      <c r="H94" s="1269"/>
      <c r="I94" s="1056"/>
      <c r="J94" s="1111"/>
      <c r="K94" s="1116"/>
    </row>
    <row r="95" spans="1:11">
      <c r="A95" s="1037"/>
      <c r="B95" s="1038"/>
      <c r="C95" s="1026"/>
      <c r="D95" s="1026"/>
      <c r="E95" s="1026"/>
      <c r="F95" s="1059"/>
      <c r="G95" s="1059"/>
      <c r="H95" s="1269"/>
      <c r="I95" s="1056"/>
      <c r="J95" s="1111"/>
      <c r="K95" s="1262"/>
    </row>
    <row r="96" spans="1:11">
      <c r="A96" s="1037"/>
      <c r="B96" s="1038"/>
      <c r="C96" s="1026"/>
      <c r="D96" s="1026"/>
      <c r="E96" s="1026"/>
      <c r="F96" s="1059"/>
      <c r="G96" s="1059"/>
      <c r="H96" s="1269"/>
      <c r="I96" s="1056"/>
      <c r="J96" s="1111"/>
      <c r="K96" s="1262"/>
    </row>
    <row r="97" spans="1:11">
      <c r="A97" s="1037"/>
      <c r="B97" s="1038"/>
      <c r="C97" s="1026"/>
      <c r="D97" s="1026"/>
      <c r="E97" s="1026"/>
      <c r="F97" s="1059"/>
      <c r="G97" s="1059"/>
      <c r="H97" s="1269"/>
      <c r="I97" s="1056"/>
      <c r="J97" s="1111"/>
      <c r="K97" s="505"/>
    </row>
    <row r="98" spans="1:11" ht="15.75">
      <c r="A98" s="1037"/>
      <c r="B98" s="1038"/>
      <c r="C98" s="1026"/>
      <c r="D98" s="1026"/>
      <c r="E98" s="1026"/>
      <c r="F98" s="1059"/>
      <c r="G98" s="1054"/>
      <c r="H98" s="1269"/>
      <c r="I98" s="1056"/>
      <c r="J98" s="1111"/>
      <c r="K98" s="1116"/>
    </row>
    <row r="99" spans="1:11" ht="15.75">
      <c r="A99" s="1037"/>
      <c r="B99" s="1038"/>
      <c r="C99" s="1026"/>
      <c r="D99" s="1026"/>
      <c r="E99" s="1026"/>
      <c r="F99" s="1059"/>
      <c r="G99" s="1054"/>
      <c r="H99" s="1269"/>
      <c r="I99" s="1056"/>
      <c r="J99" s="1111"/>
      <c r="K99" s="1116"/>
    </row>
    <row r="100" spans="1:11">
      <c r="A100" s="1037"/>
      <c r="B100" s="1038"/>
      <c r="C100" s="1026"/>
      <c r="D100" s="1026"/>
      <c r="E100" s="1026"/>
      <c r="F100" s="1059"/>
      <c r="G100" s="1059"/>
      <c r="H100" s="1269"/>
      <c r="I100" s="1056"/>
      <c r="J100" s="1111"/>
      <c r="K100" s="1262"/>
    </row>
    <row r="101" spans="1:11">
      <c r="A101" s="1037"/>
      <c r="B101" s="1038"/>
      <c r="C101" s="1026"/>
      <c r="D101" s="1026"/>
      <c r="E101" s="1026"/>
      <c r="F101" s="1059"/>
      <c r="G101" s="1059"/>
      <c r="H101" s="1269"/>
      <c r="I101" s="1056"/>
      <c r="J101" s="1111"/>
      <c r="K101" s="1262"/>
    </row>
    <row r="102" spans="1:11">
      <c r="A102" s="1037"/>
      <c r="B102" s="1038"/>
      <c r="C102" s="1026"/>
      <c r="D102" s="1026"/>
      <c r="E102" s="1026"/>
      <c r="F102" s="1059"/>
      <c r="G102" s="1059"/>
      <c r="H102" s="1269"/>
      <c r="I102" s="1056"/>
      <c r="J102" s="1111"/>
      <c r="K102" s="505"/>
    </row>
    <row r="103" spans="1:11">
      <c r="A103" s="1037"/>
      <c r="B103" s="1038"/>
      <c r="C103" s="1026"/>
      <c r="D103" s="1026"/>
      <c r="E103" s="1026"/>
      <c r="F103" s="1059"/>
      <c r="G103" s="1059"/>
      <c r="H103" s="1269"/>
      <c r="I103" s="1056"/>
      <c r="J103" s="1111"/>
      <c r="K103" s="1262"/>
    </row>
    <row r="104" spans="1:11">
      <c r="A104" s="1037"/>
      <c r="B104" s="1038"/>
      <c r="C104" s="1026"/>
      <c r="D104" s="1026"/>
      <c r="E104" s="1026"/>
      <c r="F104" s="1059"/>
      <c r="G104" s="1059"/>
      <c r="H104" s="1269"/>
      <c r="I104" s="1056"/>
      <c r="J104" s="1111"/>
      <c r="K104" s="505"/>
    </row>
    <row r="105" spans="1:11">
      <c r="A105" s="1037"/>
      <c r="B105" s="1038"/>
      <c r="C105" s="1026"/>
      <c r="D105" s="1026"/>
      <c r="E105" s="1026"/>
      <c r="F105" s="1059"/>
      <c r="G105" s="1059"/>
      <c r="H105" s="1269"/>
      <c r="I105" s="1056"/>
      <c r="J105" s="1111"/>
      <c r="K105" s="505"/>
    </row>
    <row r="106" spans="1:11" ht="15.75">
      <c r="A106" s="1037"/>
      <c r="B106" s="1038"/>
      <c r="C106" s="1026"/>
      <c r="D106" s="1026"/>
      <c r="E106" s="1026"/>
      <c r="F106" s="1059"/>
      <c r="G106" s="1054"/>
      <c r="H106" s="1269"/>
      <c r="I106" s="1056"/>
      <c r="J106" s="1111"/>
      <c r="K106" s="1116"/>
    </row>
    <row r="107" spans="1:11">
      <c r="A107" s="1037"/>
      <c r="B107" s="1038"/>
      <c r="C107" s="1026"/>
      <c r="D107" s="1026"/>
      <c r="E107" s="1026"/>
      <c r="F107" s="1059"/>
      <c r="G107" s="1059"/>
      <c r="H107" s="1269"/>
      <c r="I107" s="1056"/>
      <c r="J107" s="1111"/>
      <c r="K107" s="1262"/>
    </row>
    <row r="108" spans="1:11">
      <c r="A108" s="1037"/>
      <c r="B108" s="1038"/>
      <c r="C108" s="1026"/>
      <c r="D108" s="1026"/>
      <c r="E108" s="1026"/>
      <c r="F108" s="1059"/>
      <c r="G108" s="1059"/>
      <c r="H108" s="1269"/>
      <c r="I108" s="1056"/>
      <c r="J108" s="1111"/>
      <c r="K108" s="505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505"/>
    </row>
    <row r="110" spans="1:11" ht="15.75">
      <c r="A110" s="1037"/>
      <c r="B110" s="1038"/>
      <c r="C110" s="1026"/>
      <c r="D110" s="1026"/>
      <c r="E110" s="1026"/>
      <c r="F110" s="1059"/>
      <c r="G110" s="1059"/>
      <c r="H110" s="1269"/>
      <c r="I110" s="1056"/>
      <c r="J110" s="1111"/>
      <c r="K110" s="1116"/>
    </row>
    <row r="111" spans="1:11">
      <c r="A111" s="1037"/>
      <c r="B111" s="1038"/>
      <c r="C111" s="1026"/>
      <c r="D111" s="1026"/>
      <c r="E111" s="1026"/>
      <c r="F111" s="1059"/>
      <c r="G111" s="1059"/>
      <c r="H111" s="1269"/>
      <c r="I111" s="1056"/>
      <c r="J111" s="1111"/>
      <c r="K111" s="505"/>
    </row>
    <row r="112" spans="1:11">
      <c r="A112" s="1037"/>
      <c r="B112" s="1038"/>
      <c r="C112" s="1026"/>
      <c r="D112" s="1026"/>
      <c r="E112" s="1026"/>
      <c r="F112" s="1059"/>
      <c r="G112" s="1059"/>
      <c r="H112" s="1269"/>
      <c r="I112" s="1056"/>
      <c r="J112" s="1111"/>
      <c r="K112" s="505"/>
    </row>
    <row r="113" spans="1:11">
      <c r="A113" s="1037"/>
      <c r="B113" s="1038"/>
      <c r="C113" s="1026"/>
      <c r="D113" s="1026"/>
      <c r="E113" s="1026"/>
      <c r="F113" s="1059"/>
      <c r="G113" s="1059"/>
      <c r="H113" s="1269"/>
      <c r="I113" s="1056"/>
      <c r="J113" s="1111"/>
      <c r="K113" s="1262"/>
    </row>
    <row r="114" spans="1:11">
      <c r="A114" s="1037"/>
      <c r="B114" s="1038"/>
      <c r="C114" s="1026"/>
      <c r="D114" s="1026"/>
      <c r="E114" s="1026"/>
      <c r="F114" s="1059"/>
      <c r="G114" s="1059"/>
      <c r="H114" s="1269"/>
      <c r="I114" s="1056"/>
      <c r="J114" s="1111"/>
      <c r="K114" s="505"/>
    </row>
    <row r="115" spans="1:11">
      <c r="A115" s="1037"/>
      <c r="B115" s="1038"/>
      <c r="C115" s="1026"/>
      <c r="D115" s="1026"/>
      <c r="E115" s="1026"/>
      <c r="F115" s="1059"/>
      <c r="G115" s="1054"/>
      <c r="H115" s="1269"/>
      <c r="I115" s="1056"/>
      <c r="J115" s="1111"/>
      <c r="K115" s="505"/>
    </row>
    <row r="116" spans="1:11" ht="15.75">
      <c r="A116" s="1037"/>
      <c r="B116" s="1038"/>
      <c r="C116" s="1025"/>
      <c r="D116" s="1026"/>
      <c r="E116" s="1026"/>
      <c r="F116" s="1059"/>
      <c r="G116" s="1054"/>
      <c r="H116" s="1269"/>
      <c r="I116" s="1056"/>
      <c r="J116" s="1111"/>
      <c r="K116" s="1116"/>
    </row>
    <row r="117" spans="1:11" ht="15.75">
      <c r="A117" s="1037"/>
      <c r="B117" s="1038"/>
      <c r="C117" s="1026"/>
      <c r="D117" s="1026"/>
      <c r="E117" s="1026"/>
      <c r="F117" s="1059"/>
      <c r="G117" s="1054"/>
      <c r="H117" s="1269"/>
      <c r="I117" s="1056"/>
      <c r="J117" s="1111"/>
      <c r="K117" s="1116"/>
    </row>
    <row r="118" spans="1:11" ht="15.75">
      <c r="A118" s="1037"/>
      <c r="B118" s="1038"/>
      <c r="C118" s="1026"/>
      <c r="D118" s="1026"/>
      <c r="E118" s="1026"/>
      <c r="F118" s="1059"/>
      <c r="G118" s="1054"/>
      <c r="H118" s="1269"/>
      <c r="I118" s="1056"/>
      <c r="J118" s="1111"/>
      <c r="K118" s="1116"/>
    </row>
    <row r="119" spans="1:11" ht="15.75">
      <c r="A119" s="1037"/>
      <c r="B119" s="1038"/>
      <c r="C119" s="1026"/>
      <c r="D119" s="1026"/>
      <c r="E119" s="1026"/>
      <c r="F119" s="1059"/>
      <c r="G119" s="1054"/>
      <c r="H119" s="1269"/>
      <c r="I119" s="1056"/>
      <c r="J119" s="1111"/>
      <c r="K119" s="1116"/>
    </row>
    <row r="120" spans="1:11" ht="15.75">
      <c r="A120" s="1037"/>
      <c r="B120" s="1038"/>
      <c r="C120" s="1026"/>
      <c r="D120" s="1026"/>
      <c r="E120" s="1026"/>
      <c r="F120" s="1059"/>
      <c r="G120" s="1054"/>
      <c r="H120" s="1269"/>
      <c r="I120" s="1056"/>
      <c r="J120" s="1111"/>
      <c r="K120" s="1116"/>
    </row>
    <row r="121" spans="1:11">
      <c r="A121" s="1037"/>
      <c r="B121" s="1038"/>
      <c r="C121" s="1026"/>
      <c r="D121" s="1026"/>
      <c r="E121" s="1026"/>
      <c r="F121" s="1059"/>
      <c r="G121" s="1059"/>
      <c r="H121" s="1269"/>
      <c r="I121" s="1056"/>
      <c r="J121" s="1111"/>
      <c r="K121" s="1262"/>
    </row>
    <row r="122" spans="1:11">
      <c r="A122" s="1037"/>
      <c r="B122" s="1038"/>
      <c r="C122" s="1026"/>
      <c r="D122" s="1026"/>
      <c r="E122" s="1026"/>
      <c r="F122" s="1059"/>
      <c r="G122" s="1059"/>
      <c r="H122" s="1269"/>
      <c r="I122" s="1056"/>
      <c r="J122" s="1111"/>
      <c r="K122" s="505"/>
    </row>
    <row r="123" spans="1:11" ht="15.75">
      <c r="A123" s="1037"/>
      <c r="B123" s="1038"/>
      <c r="C123" s="1026"/>
      <c r="D123" s="1026"/>
      <c r="E123" s="1026"/>
      <c r="F123" s="1059"/>
      <c r="G123" s="1054"/>
      <c r="H123" s="1269"/>
      <c r="I123" s="1056"/>
      <c r="J123" s="1111"/>
      <c r="K123" s="1116"/>
    </row>
    <row r="124" spans="1:11" ht="15.75">
      <c r="A124" s="1037"/>
      <c r="B124" s="1038"/>
      <c r="C124" s="1026"/>
      <c r="D124" s="1026"/>
      <c r="E124" s="1026"/>
      <c r="F124" s="1059"/>
      <c r="G124" s="1054"/>
      <c r="H124" s="1269"/>
      <c r="I124" s="1056"/>
      <c r="J124" s="1111"/>
      <c r="K124" s="1116"/>
    </row>
    <row r="125" spans="1:11" ht="15.75">
      <c r="A125" s="1037"/>
      <c r="B125" s="1038"/>
      <c r="C125" s="1026"/>
      <c r="D125" s="1026"/>
      <c r="E125" s="1026"/>
      <c r="F125" s="1059"/>
      <c r="G125" s="1054"/>
      <c r="H125" s="1269"/>
      <c r="I125" s="1056"/>
      <c r="J125" s="1111"/>
      <c r="K125" s="1116"/>
    </row>
    <row r="126" spans="1:11">
      <c r="A126" s="1037"/>
      <c r="B126" s="1038"/>
      <c r="C126" s="1026"/>
      <c r="D126" s="1026"/>
      <c r="E126" s="1026"/>
      <c r="F126" s="1059"/>
      <c r="G126" s="1054"/>
      <c r="H126" s="1269"/>
      <c r="I126" s="1056"/>
      <c r="J126" s="1111"/>
      <c r="K126" s="1262"/>
    </row>
    <row r="127" spans="1:11">
      <c r="A127" s="1037"/>
      <c r="B127" s="1038"/>
      <c r="C127" s="1026"/>
      <c r="D127" s="1026"/>
      <c r="E127" s="1026"/>
      <c r="F127" s="1059"/>
      <c r="G127" s="1054"/>
      <c r="H127" s="1269"/>
      <c r="I127" s="1056"/>
      <c r="J127" s="1111"/>
      <c r="K127" s="1262"/>
    </row>
    <row r="128" spans="1:11">
      <c r="A128" s="1037"/>
      <c r="B128" s="1038"/>
      <c r="C128" s="1026"/>
      <c r="D128" s="1026"/>
      <c r="E128" s="1026"/>
      <c r="F128" s="1059"/>
      <c r="G128" s="1059"/>
      <c r="H128" s="1269"/>
      <c r="I128" s="1056"/>
      <c r="J128" s="1111"/>
      <c r="K128" s="1262"/>
    </row>
    <row r="129" spans="1:11">
      <c r="A129" s="1037"/>
      <c r="B129" s="1038"/>
      <c r="C129" s="1026"/>
      <c r="D129" s="1026"/>
      <c r="E129" s="1026"/>
      <c r="F129" s="1059"/>
      <c r="G129" s="1059"/>
      <c r="H129" s="1269"/>
      <c r="I129" s="1056"/>
      <c r="J129" s="1111"/>
      <c r="K129" s="505"/>
    </row>
    <row r="130" spans="1:11">
      <c r="A130" s="1037"/>
      <c r="B130" s="1038"/>
      <c r="C130" s="1026"/>
      <c r="D130" s="1026"/>
      <c r="E130" s="1026"/>
      <c r="F130" s="1059"/>
      <c r="G130" s="1059"/>
      <c r="H130" s="1269"/>
      <c r="I130" s="1056"/>
      <c r="J130" s="1111"/>
      <c r="K130" s="1262"/>
    </row>
    <row r="131" spans="1:11">
      <c r="A131" s="1037"/>
      <c r="B131" s="1038"/>
      <c r="C131" s="1026"/>
      <c r="D131" s="1026"/>
      <c r="E131" s="1026"/>
      <c r="F131" s="1059"/>
      <c r="G131" s="1059"/>
      <c r="H131" s="1269"/>
      <c r="I131" s="1056"/>
      <c r="J131" s="1111"/>
      <c r="K131" s="505"/>
    </row>
    <row r="132" spans="1:11" ht="15.75">
      <c r="A132" s="1037"/>
      <c r="B132" s="1038"/>
      <c r="C132" s="1026"/>
      <c r="D132" s="1026"/>
      <c r="E132" s="1026"/>
      <c r="F132" s="1059"/>
      <c r="G132" s="1054"/>
      <c r="H132" s="1269"/>
      <c r="I132" s="1056"/>
      <c r="J132" s="1111"/>
      <c r="K132" s="1116"/>
    </row>
    <row r="133" spans="1:11" ht="15.75">
      <c r="A133" s="1037"/>
      <c r="B133" s="1038"/>
      <c r="C133" s="1026"/>
      <c r="D133" s="1026"/>
      <c r="E133" s="1026"/>
      <c r="F133" s="1059"/>
      <c r="G133" s="1059"/>
      <c r="H133" s="1269"/>
      <c r="I133" s="1056"/>
      <c r="J133" s="1111"/>
      <c r="K133" s="1116"/>
    </row>
    <row r="134" spans="1:11">
      <c r="A134" s="1037"/>
      <c r="B134" s="1038"/>
      <c r="C134" s="1026"/>
      <c r="D134" s="1026"/>
      <c r="E134" s="1026"/>
      <c r="F134" s="1059"/>
      <c r="G134" s="1059"/>
      <c r="H134" s="1269"/>
      <c r="I134" s="1056"/>
      <c r="J134" s="1111"/>
      <c r="K134" s="505"/>
    </row>
    <row r="135" spans="1:11">
      <c r="A135" s="1037"/>
      <c r="B135" s="1038"/>
      <c r="C135" s="1026"/>
      <c r="D135" s="1026"/>
      <c r="E135" s="1328"/>
      <c r="F135" s="1059"/>
      <c r="G135" s="1054"/>
      <c r="H135" s="1269"/>
      <c r="I135" s="1056"/>
      <c r="J135" s="1111"/>
      <c r="K135" s="505"/>
    </row>
    <row r="136" spans="1:11" ht="15.75">
      <c r="A136" s="1037"/>
      <c r="B136" s="1038"/>
      <c r="C136" s="1026"/>
      <c r="D136" s="1026"/>
      <c r="E136" s="1026"/>
      <c r="F136" s="1059"/>
      <c r="G136" s="1054"/>
      <c r="H136" s="1269"/>
      <c r="I136" s="1056"/>
      <c r="J136" s="1111"/>
      <c r="K136" s="1116"/>
    </row>
    <row r="137" spans="1:11">
      <c r="A137" s="1037"/>
      <c r="B137" s="1038"/>
      <c r="C137" s="1026"/>
      <c r="D137" s="1026"/>
      <c r="E137" s="1026"/>
      <c r="F137" s="1059"/>
      <c r="G137" s="1054"/>
      <c r="H137" s="1269"/>
      <c r="I137" s="1056"/>
      <c r="J137" s="1111"/>
      <c r="K137" s="1262"/>
    </row>
    <row r="138" spans="1:11">
      <c r="A138" s="1037"/>
      <c r="B138" s="1038"/>
      <c r="C138" s="1026"/>
      <c r="D138" s="1026"/>
      <c r="E138" s="1026"/>
      <c r="F138" s="1059"/>
      <c r="G138" s="1059"/>
      <c r="H138" s="1269"/>
      <c r="I138" s="1056"/>
      <c r="J138" s="1111"/>
      <c r="K138" s="1262"/>
    </row>
    <row r="139" spans="1:11">
      <c r="A139" s="1037"/>
      <c r="B139" s="1038"/>
      <c r="C139" s="1026"/>
      <c r="D139" s="1026"/>
      <c r="E139" s="1026"/>
      <c r="F139" s="1059"/>
      <c r="G139" s="1059"/>
      <c r="H139" s="1269"/>
      <c r="I139" s="1056"/>
      <c r="J139" s="1111"/>
      <c r="K139" s="505"/>
    </row>
    <row r="140" spans="1:11" ht="15.75">
      <c r="A140" s="1037"/>
      <c r="B140" s="1038"/>
      <c r="C140" s="1026"/>
      <c r="D140" s="1026"/>
      <c r="E140" s="1026"/>
      <c r="F140" s="1059"/>
      <c r="G140" s="1054"/>
      <c r="H140" s="1269"/>
      <c r="I140" s="1056"/>
      <c r="J140" s="1111"/>
      <c r="K140" s="1116"/>
    </row>
    <row r="141" spans="1:11" ht="15.75">
      <c r="A141" s="1037"/>
      <c r="B141" s="1038"/>
      <c r="C141" s="1026"/>
      <c r="D141" s="1026"/>
      <c r="E141" s="1026"/>
      <c r="F141" s="1059"/>
      <c r="G141" s="1054"/>
      <c r="H141" s="1269"/>
      <c r="I141" s="1056"/>
      <c r="J141" s="1111"/>
      <c r="K141" s="1116"/>
    </row>
    <row r="142" spans="1:11" ht="15.75">
      <c r="A142" s="1037"/>
      <c r="B142" s="1038"/>
      <c r="C142" s="1026"/>
      <c r="D142" s="1026"/>
      <c r="E142" s="1026"/>
      <c r="F142" s="1059"/>
      <c r="G142" s="1054"/>
      <c r="H142" s="1269"/>
      <c r="I142" s="1056"/>
      <c r="J142" s="1111"/>
      <c r="K142" s="1116"/>
    </row>
    <row r="143" spans="1:11" ht="15.75">
      <c r="A143" s="1037"/>
      <c r="B143" s="1038"/>
      <c r="C143" s="1026"/>
      <c r="D143" s="1026"/>
      <c r="E143" s="1026"/>
      <c r="F143" s="1059"/>
      <c r="G143" s="1054"/>
      <c r="H143" s="1269"/>
      <c r="I143" s="1056"/>
      <c r="J143" s="1111"/>
      <c r="K143" s="1116"/>
    </row>
    <row r="144" spans="1:11" ht="15.75">
      <c r="A144" s="1037"/>
      <c r="B144" s="1038"/>
      <c r="C144" s="1026"/>
      <c r="D144" s="1026"/>
      <c r="E144" s="1026"/>
      <c r="F144" s="1059"/>
      <c r="G144" s="1054"/>
      <c r="H144" s="1269"/>
      <c r="I144" s="1056"/>
      <c r="J144" s="1111"/>
      <c r="K144" s="1116"/>
    </row>
    <row r="145" spans="1:11">
      <c r="A145" s="1037"/>
      <c r="B145" s="1038"/>
      <c r="C145" s="1026"/>
      <c r="D145" s="1026"/>
      <c r="E145" s="1026"/>
      <c r="F145" s="1059"/>
      <c r="G145" s="1054"/>
      <c r="H145" s="1269"/>
      <c r="I145" s="1056"/>
      <c r="J145" s="1111"/>
      <c r="K145" s="1262"/>
    </row>
    <row r="146" spans="1:11">
      <c r="A146" s="1037"/>
      <c r="B146" s="1038"/>
      <c r="C146" s="1025"/>
      <c r="D146" s="1026"/>
      <c r="E146" s="1026"/>
      <c r="F146" s="1061"/>
      <c r="G146" s="1054"/>
      <c r="H146" s="1055"/>
      <c r="I146" s="1056"/>
      <c r="J146" s="1111"/>
      <c r="K146" s="1262"/>
    </row>
    <row r="147" spans="1:11">
      <c r="A147" s="1037"/>
      <c r="B147" s="1038"/>
      <c r="C147" s="1026"/>
      <c r="D147" s="1026"/>
      <c r="E147" s="1026"/>
      <c r="F147" s="1059"/>
      <c r="G147" s="1054"/>
      <c r="H147" s="1269"/>
      <c r="I147" s="1056"/>
      <c r="J147" s="1111"/>
      <c r="K147" s="1262"/>
    </row>
    <row r="148" spans="1:11">
      <c r="A148" s="1037"/>
      <c r="B148" s="1038"/>
      <c r="C148" s="1026"/>
      <c r="D148" s="1026"/>
      <c r="E148" s="1026"/>
      <c r="F148" s="1059"/>
      <c r="G148" s="1054"/>
      <c r="H148" s="1269"/>
      <c r="I148" s="1056"/>
      <c r="J148" s="1111"/>
      <c r="K148" s="1262"/>
    </row>
    <row r="149" spans="1:11">
      <c r="A149" s="1037"/>
      <c r="B149" s="1038"/>
      <c r="C149" s="1026"/>
      <c r="D149" s="1026"/>
      <c r="E149" s="1026"/>
      <c r="F149" s="1059"/>
      <c r="G149" s="1059"/>
      <c r="H149" s="1269"/>
      <c r="I149" s="1056"/>
      <c r="J149" s="1111"/>
      <c r="K149" s="1262"/>
    </row>
    <row r="150" spans="1:11">
      <c r="A150" s="1037"/>
      <c r="B150" s="1038"/>
      <c r="C150" s="1026"/>
      <c r="D150" s="1026"/>
      <c r="E150" s="1026"/>
      <c r="F150" s="1059"/>
      <c r="G150" s="1059"/>
      <c r="H150" s="1269"/>
      <c r="I150" s="1056"/>
      <c r="J150" s="1111"/>
      <c r="K150" s="505"/>
    </row>
    <row r="151" spans="1:11" ht="15.75">
      <c r="A151" s="1037"/>
      <c r="B151" s="1038"/>
      <c r="C151" s="1026"/>
      <c r="D151" s="1026"/>
      <c r="E151" s="1026"/>
      <c r="F151" s="1059"/>
      <c r="G151" s="1054"/>
      <c r="H151" s="1269"/>
      <c r="I151" s="1056"/>
      <c r="J151" s="1111"/>
      <c r="K151" s="1116"/>
    </row>
    <row r="152" spans="1:11">
      <c r="A152" s="1037"/>
      <c r="B152" s="1038"/>
      <c r="C152" s="1026"/>
      <c r="D152" s="1026"/>
      <c r="E152" s="1026"/>
      <c r="F152" s="1059"/>
      <c r="G152" s="1054"/>
      <c r="H152" s="1269"/>
      <c r="I152" s="1056"/>
      <c r="J152" s="1111"/>
      <c r="K152" s="1262"/>
    </row>
    <row r="153" spans="1:11">
      <c r="A153" s="1037"/>
      <c r="B153" s="1038"/>
      <c r="C153" s="1026"/>
      <c r="D153" s="1026"/>
      <c r="E153" s="1026"/>
      <c r="F153" s="1059"/>
      <c r="G153" s="1059"/>
      <c r="H153" s="1269"/>
      <c r="I153" s="1056"/>
      <c r="J153" s="1111"/>
      <c r="K153" s="1262"/>
    </row>
    <row r="154" spans="1:11">
      <c r="A154" s="1037"/>
      <c r="B154" s="1038"/>
      <c r="C154" s="1026"/>
      <c r="D154" s="1026"/>
      <c r="E154" s="1026"/>
      <c r="F154" s="1059"/>
      <c r="G154" s="1059"/>
      <c r="H154" s="1269"/>
      <c r="I154" s="1056"/>
      <c r="J154" s="1111"/>
      <c r="K154" s="505"/>
    </row>
    <row r="155" spans="1:11">
      <c r="A155" s="1037"/>
      <c r="B155" s="1038"/>
      <c r="C155" s="1026"/>
      <c r="D155" s="1026"/>
      <c r="E155" s="1026"/>
      <c r="F155" s="1059"/>
      <c r="G155" s="1054"/>
      <c r="H155" s="1269"/>
      <c r="I155" s="1056"/>
      <c r="J155" s="1111"/>
      <c r="K155" s="505"/>
    </row>
    <row r="156" spans="1:11">
      <c r="A156" s="1037"/>
      <c r="B156" s="1038"/>
      <c r="C156" s="1026"/>
      <c r="D156" s="1026"/>
      <c r="E156" s="1026"/>
      <c r="F156" s="1059"/>
      <c r="G156" s="1054"/>
      <c r="H156" s="1269"/>
      <c r="I156" s="1056"/>
      <c r="J156" s="1111"/>
      <c r="K156" s="505"/>
    </row>
    <row r="157" spans="1:11">
      <c r="A157" s="1037"/>
      <c r="B157" s="1038"/>
      <c r="C157" s="1026"/>
      <c r="D157" s="1026"/>
      <c r="E157" s="1026"/>
      <c r="F157" s="1059"/>
      <c r="G157" s="1054"/>
      <c r="H157" s="1269"/>
      <c r="I157" s="1056"/>
      <c r="J157" s="1111"/>
      <c r="K157" s="505"/>
    </row>
    <row r="158" spans="1:11" ht="15.75">
      <c r="A158" s="1037"/>
      <c r="B158" s="1038"/>
      <c r="C158" s="1026"/>
      <c r="D158" s="1026"/>
      <c r="E158" s="1026"/>
      <c r="F158" s="1059"/>
      <c r="G158" s="1054"/>
      <c r="H158" s="1269"/>
      <c r="I158" s="1056"/>
      <c r="J158" s="1111"/>
      <c r="K158" s="1116"/>
    </row>
    <row r="159" spans="1:11">
      <c r="A159" s="1037"/>
      <c r="B159" s="1038"/>
      <c r="C159" s="1026"/>
      <c r="D159" s="1026"/>
      <c r="E159" s="1026"/>
      <c r="F159" s="1059"/>
      <c r="G159" s="1054"/>
      <c r="H159" s="1269"/>
      <c r="I159" s="1056"/>
      <c r="J159" s="1111"/>
      <c r="K159" s="1262"/>
    </row>
    <row r="160" spans="1:11">
      <c r="A160" s="1037"/>
      <c r="B160" s="1038"/>
      <c r="C160" s="346"/>
      <c r="D160" s="1026"/>
      <c r="E160" s="1026"/>
      <c r="F160" s="1059"/>
      <c r="G160" s="1054"/>
      <c r="H160" s="1269"/>
      <c r="I160" s="1056"/>
      <c r="J160" s="1111"/>
      <c r="K160" s="1262"/>
    </row>
    <row r="161" spans="1:11">
      <c r="A161" s="1037"/>
      <c r="B161" s="1038"/>
      <c r="C161" s="1026"/>
      <c r="D161" s="1026"/>
      <c r="E161" s="1026"/>
      <c r="F161" s="1059"/>
      <c r="G161" s="1054"/>
      <c r="H161" s="1269"/>
      <c r="I161" s="1056"/>
      <c r="J161" s="1111"/>
      <c r="K161" s="1262"/>
    </row>
    <row r="162" spans="1:11">
      <c r="A162" s="1037"/>
      <c r="B162" s="1038"/>
      <c r="C162" s="1026"/>
      <c r="D162" s="1026"/>
      <c r="E162" s="1026"/>
      <c r="F162" s="1059"/>
      <c r="G162" s="1054"/>
      <c r="H162" s="1269"/>
      <c r="I162" s="1056"/>
      <c r="J162" s="1111"/>
      <c r="K162" s="1262"/>
    </row>
    <row r="163" spans="1:11">
      <c r="A163" s="1037"/>
      <c r="B163" s="1038"/>
      <c r="C163" s="1026"/>
      <c r="D163" s="1026"/>
      <c r="E163" s="1026"/>
      <c r="F163" s="1059"/>
      <c r="G163" s="1054"/>
      <c r="H163" s="1269"/>
      <c r="I163" s="1056"/>
      <c r="J163" s="1111"/>
      <c r="K163" s="1262"/>
    </row>
    <row r="164" spans="1:11">
      <c r="A164" s="1037"/>
      <c r="B164" s="1038"/>
      <c r="C164" s="1026"/>
      <c r="D164" s="1026"/>
      <c r="E164" s="1026"/>
      <c r="F164" s="1059"/>
      <c r="G164" s="1054"/>
      <c r="H164" s="1269"/>
      <c r="I164" s="1056"/>
      <c r="J164" s="1111"/>
      <c r="K164" s="1262"/>
    </row>
    <row r="165" spans="1:11">
      <c r="A165" s="1037"/>
      <c r="B165" s="1038"/>
      <c r="C165" s="1026"/>
      <c r="D165" s="1026"/>
      <c r="E165" s="1026"/>
      <c r="F165" s="1059"/>
      <c r="G165" s="1054"/>
      <c r="H165" s="1269"/>
      <c r="I165" s="1056"/>
      <c r="J165" s="1111"/>
      <c r="K165" s="1262"/>
    </row>
    <row r="166" spans="1:11">
      <c r="A166" s="1037"/>
      <c r="B166" s="1038"/>
      <c r="C166" s="1026"/>
      <c r="D166" s="1026"/>
      <c r="E166" s="1026"/>
      <c r="F166" s="1059"/>
      <c r="G166" s="1054"/>
      <c r="H166" s="1269"/>
      <c r="I166" s="1056"/>
      <c r="J166" s="1111"/>
      <c r="K166" s="1262"/>
    </row>
    <row r="167" spans="1:11">
      <c r="A167" s="1037"/>
      <c r="B167" s="1038"/>
      <c r="C167" s="1026"/>
      <c r="D167" s="1026"/>
      <c r="E167" s="1026"/>
      <c r="F167" s="1059"/>
      <c r="G167" s="1054"/>
      <c r="H167" s="1269"/>
      <c r="I167" s="1056"/>
      <c r="J167" s="1111"/>
      <c r="K167" s="505"/>
    </row>
    <row r="168" spans="1:11">
      <c r="A168" s="1037"/>
      <c r="B168" s="1038"/>
      <c r="C168" s="1026"/>
      <c r="D168" s="1026"/>
      <c r="E168" s="1026"/>
      <c r="F168" s="1059"/>
      <c r="G168" s="1054"/>
      <c r="H168" s="1269"/>
      <c r="I168" s="1056"/>
      <c r="J168" s="1111"/>
      <c r="K168" s="505"/>
    </row>
    <row r="169" spans="1:11">
      <c r="A169" s="1037"/>
      <c r="B169" s="1038"/>
      <c r="C169" s="1026"/>
      <c r="D169" s="1026"/>
      <c r="E169" s="1026"/>
      <c r="F169" s="1059"/>
      <c r="G169" s="1059"/>
      <c r="H169" s="1269"/>
      <c r="I169" s="1056"/>
      <c r="J169" s="1111"/>
      <c r="K169" s="1262"/>
    </row>
    <row r="170" spans="1:11">
      <c r="A170" s="1037"/>
      <c r="B170" s="1038"/>
      <c r="C170" s="1026"/>
      <c r="D170" s="1026"/>
      <c r="E170" s="1026"/>
      <c r="F170" s="1059"/>
      <c r="G170" s="1059"/>
      <c r="H170" s="1269"/>
      <c r="I170" s="1056"/>
      <c r="J170" s="1111"/>
      <c r="K170" s="505"/>
    </row>
    <row r="171" spans="1:11">
      <c r="A171" s="1037"/>
      <c r="B171" s="1038"/>
      <c r="C171" s="1026"/>
      <c r="D171" s="1026"/>
      <c r="E171" s="1026"/>
      <c r="F171" s="1059"/>
      <c r="G171" s="1054"/>
      <c r="H171" s="1269"/>
      <c r="I171" s="1056"/>
      <c r="J171" s="1111"/>
      <c r="K171" s="505"/>
    </row>
    <row r="172" spans="1:11">
      <c r="A172" s="1037"/>
      <c r="B172" s="1038"/>
      <c r="C172" s="1026"/>
      <c r="D172" s="1026"/>
      <c r="E172" s="1026"/>
      <c r="F172" s="1059"/>
      <c r="G172" s="1054"/>
      <c r="H172" s="1269"/>
      <c r="I172" s="1056"/>
      <c r="J172" s="1111"/>
      <c r="K172" s="505"/>
    </row>
    <row r="173" spans="1:11">
      <c r="A173" s="1037"/>
      <c r="B173" s="1038"/>
      <c r="C173" s="1026"/>
      <c r="D173" s="1026"/>
      <c r="E173" s="1026"/>
      <c r="F173" s="1059"/>
      <c r="G173" s="1054"/>
      <c r="H173" s="1269"/>
      <c r="I173" s="1056"/>
      <c r="J173" s="1111"/>
      <c r="K173" s="1262"/>
    </row>
    <row r="174" spans="1:11" ht="15.75">
      <c r="A174" s="1037"/>
      <c r="B174" s="1038"/>
      <c r="C174" s="1026"/>
      <c r="D174" s="1026"/>
      <c r="E174" s="1026"/>
      <c r="F174" s="1059"/>
      <c r="G174" s="1059"/>
      <c r="H174" s="1269"/>
      <c r="I174" s="1056"/>
      <c r="J174" s="1111"/>
      <c r="K174" s="1116"/>
    </row>
    <row r="175" spans="1:11">
      <c r="A175" s="1037"/>
      <c r="B175" s="1038"/>
      <c r="C175" s="1026"/>
      <c r="D175" s="1026"/>
      <c r="E175" s="1026"/>
      <c r="F175" s="1059"/>
      <c r="G175" s="1059"/>
      <c r="H175" s="1269"/>
      <c r="I175" s="1056"/>
      <c r="J175" s="1111"/>
      <c r="K175" s="505"/>
    </row>
    <row r="176" spans="1:11" ht="15.75">
      <c r="A176" s="1037"/>
      <c r="B176" s="1038"/>
      <c r="C176" s="1026"/>
      <c r="D176" s="1026"/>
      <c r="E176" s="1026"/>
      <c r="F176" s="1059"/>
      <c r="G176" s="1054"/>
      <c r="H176" s="1269"/>
      <c r="I176" s="1056"/>
      <c r="J176" s="1111"/>
      <c r="K176" s="1116"/>
    </row>
    <row r="177" spans="1:11" ht="15.75">
      <c r="A177" s="1037"/>
      <c r="B177" s="1038"/>
      <c r="C177" s="1026"/>
      <c r="D177" s="1026"/>
      <c r="E177" s="1026"/>
      <c r="F177" s="1059"/>
      <c r="G177" s="1054"/>
      <c r="H177" s="1269"/>
      <c r="I177" s="1056"/>
      <c r="J177" s="1111"/>
      <c r="K177" s="1116"/>
    </row>
    <row r="178" spans="1:11" ht="15.75">
      <c r="A178" s="1037"/>
      <c r="B178" s="1038"/>
      <c r="C178" s="1026"/>
      <c r="D178" s="1026"/>
      <c r="E178" s="1026"/>
      <c r="F178" s="1059"/>
      <c r="G178" s="1054"/>
      <c r="H178" s="1269"/>
      <c r="I178" s="1056"/>
      <c r="J178" s="1111"/>
      <c r="K178" s="1116"/>
    </row>
    <row r="179" spans="1:11" ht="15.75">
      <c r="A179" s="1037"/>
      <c r="B179" s="1038"/>
      <c r="C179" s="1026"/>
      <c r="D179" s="1026"/>
      <c r="E179" s="1026"/>
      <c r="F179" s="1059"/>
      <c r="G179" s="1054"/>
      <c r="H179" s="1269"/>
      <c r="I179" s="1056"/>
      <c r="J179" s="1111"/>
      <c r="K179" s="1116"/>
    </row>
    <row r="180" spans="1:11" ht="15.75">
      <c r="A180" s="1037"/>
      <c r="B180" s="1038"/>
      <c r="C180" s="1026"/>
      <c r="D180" s="1026"/>
      <c r="E180" s="1026"/>
      <c r="F180" s="1059"/>
      <c r="G180" s="1059"/>
      <c r="H180" s="1269"/>
      <c r="I180" s="1056"/>
      <c r="J180" s="1111"/>
      <c r="K180" s="1116"/>
    </row>
    <row r="181" spans="1:11">
      <c r="A181" s="1037"/>
      <c r="B181" s="1038"/>
      <c r="C181" s="1026"/>
      <c r="D181" s="1026"/>
      <c r="E181" s="1026"/>
      <c r="F181" s="1059"/>
      <c r="G181" s="1059"/>
      <c r="H181" s="1269"/>
      <c r="I181" s="1056"/>
      <c r="J181" s="1111"/>
      <c r="K181" s="505"/>
    </row>
    <row r="182" spans="1:11" ht="15.75">
      <c r="A182" s="1037"/>
      <c r="B182" s="1038"/>
      <c r="C182" s="1026"/>
      <c r="D182" s="1026"/>
      <c r="E182" s="1026"/>
      <c r="F182" s="1059"/>
      <c r="G182" s="1054"/>
      <c r="H182" s="1269"/>
      <c r="I182" s="1056"/>
      <c r="J182" s="1111"/>
      <c r="K182" s="1116"/>
    </row>
    <row r="183" spans="1:11">
      <c r="A183" s="1037"/>
      <c r="B183" s="1038"/>
      <c r="C183" s="1026"/>
      <c r="D183" s="1026"/>
      <c r="E183" s="1026"/>
      <c r="F183" s="1059"/>
      <c r="G183" s="1059"/>
      <c r="H183" s="1269"/>
      <c r="I183" s="1056"/>
      <c r="J183" s="1111"/>
      <c r="K183" s="1262"/>
    </row>
    <row r="184" spans="1:11">
      <c r="A184" s="1037"/>
      <c r="B184" s="1038"/>
      <c r="C184" s="1026"/>
      <c r="D184" s="1026"/>
      <c r="E184" s="1026"/>
      <c r="F184" s="1059"/>
      <c r="G184" s="1059"/>
      <c r="H184" s="1269"/>
      <c r="I184" s="1056"/>
      <c r="J184" s="1111"/>
      <c r="K184" s="505"/>
    </row>
    <row r="185" spans="1:11">
      <c r="A185" s="1037"/>
      <c r="B185" s="1038"/>
      <c r="C185" s="1026"/>
      <c r="D185" s="1026"/>
      <c r="E185" s="1026"/>
      <c r="F185" s="1059"/>
      <c r="G185" s="1059"/>
      <c r="H185" s="1269"/>
      <c r="I185" s="1056"/>
      <c r="J185" s="1111"/>
      <c r="K185" s="1262"/>
    </row>
    <row r="186" spans="1:11">
      <c r="A186" s="1037"/>
      <c r="B186" s="1038"/>
      <c r="C186" s="1026"/>
      <c r="D186" s="1026"/>
      <c r="E186" s="1026"/>
      <c r="F186" s="1059"/>
      <c r="G186" s="1059"/>
      <c r="H186" s="1269"/>
      <c r="I186" s="1056"/>
      <c r="J186" s="1111"/>
      <c r="K186" s="505"/>
    </row>
    <row r="187" spans="1:11">
      <c r="A187" s="1037"/>
      <c r="B187" s="1038"/>
      <c r="C187" s="1026"/>
      <c r="D187" s="1026"/>
      <c r="E187" s="1026"/>
      <c r="F187" s="1059"/>
      <c r="G187" s="1054"/>
      <c r="H187" s="1269"/>
      <c r="I187" s="1056"/>
      <c r="J187" s="1111"/>
      <c r="K187" s="505"/>
    </row>
    <row r="188" spans="1:11">
      <c r="A188" s="1037"/>
      <c r="B188" s="1038"/>
      <c r="C188" s="1026"/>
      <c r="D188" s="1026"/>
      <c r="E188" s="1026"/>
      <c r="F188" s="1059"/>
      <c r="G188" s="1054"/>
      <c r="H188" s="1269"/>
      <c r="I188" s="1056"/>
      <c r="J188" s="1111"/>
      <c r="K188" s="505"/>
    </row>
    <row r="189" spans="1:11">
      <c r="A189" s="1037"/>
      <c r="B189" s="1038"/>
      <c r="C189" s="1026"/>
      <c r="D189" s="1026"/>
      <c r="E189" s="1026"/>
      <c r="F189" s="1059"/>
      <c r="G189" s="1054"/>
      <c r="H189" s="1269"/>
      <c r="I189" s="1056"/>
      <c r="J189" s="1111"/>
      <c r="K189" s="505"/>
    </row>
    <row r="190" spans="1:11">
      <c r="A190" s="1037"/>
      <c r="B190" s="1038"/>
      <c r="C190" s="1026"/>
      <c r="D190" s="1026"/>
      <c r="E190" s="1026"/>
      <c r="F190" s="1059"/>
      <c r="G190" s="1054"/>
      <c r="H190" s="1269"/>
      <c r="I190" s="1056"/>
      <c r="J190" s="1111"/>
      <c r="K190" s="505"/>
    </row>
    <row r="191" spans="1:11">
      <c r="A191" s="1037"/>
      <c r="B191" s="1038"/>
      <c r="C191" s="1026"/>
      <c r="D191" s="1026"/>
      <c r="E191" s="1026"/>
      <c r="F191" s="1059"/>
      <c r="G191" s="1054"/>
      <c r="H191" s="1269"/>
      <c r="I191" s="1056"/>
      <c r="J191" s="1111"/>
      <c r="K191" s="505"/>
    </row>
    <row r="192" spans="1:11">
      <c r="A192" s="1037"/>
      <c r="B192" s="1038"/>
      <c r="C192" s="1026"/>
      <c r="D192" s="1026"/>
      <c r="E192" s="1026"/>
      <c r="F192" s="1059"/>
      <c r="G192" s="1054"/>
      <c r="H192" s="1269"/>
      <c r="I192" s="1056"/>
      <c r="J192" s="1111"/>
      <c r="K192" s="505"/>
    </row>
    <row r="193" spans="1:11">
      <c r="A193" s="1037"/>
      <c r="B193" s="1038"/>
      <c r="C193" s="1026"/>
      <c r="D193" s="1026"/>
      <c r="E193" s="1026"/>
      <c r="F193" s="1059"/>
      <c r="G193" s="1054"/>
      <c r="H193" s="1269"/>
      <c r="I193" s="1056"/>
      <c r="J193" s="1111"/>
      <c r="K193" s="505"/>
    </row>
    <row r="194" spans="1:11">
      <c r="A194" s="1037"/>
      <c r="B194" s="1038"/>
      <c r="C194" s="1026"/>
      <c r="D194" s="1026"/>
      <c r="E194" s="1026"/>
      <c r="F194" s="1059"/>
      <c r="G194" s="1059"/>
      <c r="H194" s="1269"/>
      <c r="I194" s="1056"/>
      <c r="J194" s="1111"/>
      <c r="K194" s="1262"/>
    </row>
    <row r="195" spans="1:11">
      <c r="A195" s="1037"/>
      <c r="B195" s="1038"/>
      <c r="C195" s="1026"/>
      <c r="D195" s="1026"/>
      <c r="E195" s="1026"/>
      <c r="F195" s="1059"/>
      <c r="G195" s="1059"/>
      <c r="H195" s="1269"/>
      <c r="I195" s="1056"/>
      <c r="J195" s="1111"/>
      <c r="K195" s="505"/>
    </row>
    <row r="196" spans="1:11" ht="15.75">
      <c r="A196" s="1037"/>
      <c r="B196" s="1038"/>
      <c r="C196" s="1026"/>
      <c r="D196" s="1026"/>
      <c r="E196" s="1026"/>
      <c r="F196" s="1059"/>
      <c r="G196" s="1054"/>
      <c r="H196" s="1269"/>
      <c r="I196" s="1056"/>
      <c r="J196" s="1111"/>
      <c r="K196" s="1116"/>
    </row>
    <row r="197" spans="1:11">
      <c r="A197" s="1037"/>
      <c r="B197" s="1038"/>
      <c r="C197" s="1026"/>
      <c r="D197" s="1026"/>
      <c r="E197" s="1026"/>
      <c r="F197" s="1059"/>
      <c r="G197" s="1054"/>
      <c r="H197" s="1269"/>
      <c r="I197" s="1056"/>
      <c r="J197" s="1111"/>
      <c r="K197" s="1262"/>
    </row>
    <row r="198" spans="1:11">
      <c r="A198" s="1037"/>
      <c r="B198" s="1038"/>
      <c r="C198" s="1025"/>
      <c r="D198" s="1025"/>
      <c r="E198" s="1025"/>
      <c r="F198" s="1061"/>
      <c r="G198" s="1054"/>
      <c r="H198" s="1269"/>
      <c r="I198" s="1056"/>
      <c r="J198" s="1111"/>
      <c r="K198" s="1262"/>
    </row>
    <row r="199" spans="1:11">
      <c r="A199" s="1037"/>
      <c r="B199" s="1038"/>
      <c r="C199" s="1026"/>
      <c r="D199" s="1026"/>
      <c r="E199" s="1026"/>
      <c r="F199" s="1061"/>
      <c r="G199" s="1054"/>
      <c r="H199" s="1269"/>
      <c r="I199" s="1056"/>
      <c r="J199" s="1111"/>
      <c r="K199" s="505"/>
    </row>
    <row r="200" spans="1:11" ht="15.75">
      <c r="A200" s="1037"/>
      <c r="B200" s="1038"/>
      <c r="C200" s="1026"/>
      <c r="D200" s="1026"/>
      <c r="E200" s="1026"/>
      <c r="F200" s="1059"/>
      <c r="G200" s="1059"/>
      <c r="H200" s="1269"/>
      <c r="I200" s="1056"/>
      <c r="J200" s="1111"/>
      <c r="K200" s="1116"/>
    </row>
    <row r="201" spans="1:11">
      <c r="A201" s="1037"/>
      <c r="B201" s="1038"/>
      <c r="C201" s="1026"/>
      <c r="D201" s="1026"/>
      <c r="E201" s="1026"/>
      <c r="F201" s="1059"/>
      <c r="G201" s="1059"/>
      <c r="H201" s="1269"/>
      <c r="I201" s="1056"/>
      <c r="J201" s="1111"/>
      <c r="K201" s="505"/>
    </row>
    <row r="202" spans="1:11" ht="15.75">
      <c r="A202" s="1037"/>
      <c r="B202" s="1038"/>
      <c r="C202" s="1026"/>
      <c r="D202" s="1026"/>
      <c r="E202" s="1026"/>
      <c r="F202" s="1059"/>
      <c r="G202" s="1054"/>
      <c r="H202" s="1269"/>
      <c r="I202" s="1056"/>
      <c r="J202" s="1111"/>
      <c r="K202" s="1116"/>
    </row>
    <row r="203" spans="1:11" ht="15.75">
      <c r="A203" s="1037"/>
      <c r="B203" s="1038"/>
      <c r="C203" s="1026"/>
      <c r="D203" s="1026"/>
      <c r="E203" s="1026"/>
      <c r="F203" s="1059"/>
      <c r="G203" s="1054"/>
      <c r="H203" s="1269"/>
      <c r="I203" s="1056"/>
      <c r="J203" s="1111"/>
      <c r="K203" s="1116"/>
    </row>
    <row r="204" spans="1:11" ht="15.75">
      <c r="A204" s="1037"/>
      <c r="B204" s="1038"/>
      <c r="C204" s="1026"/>
      <c r="D204" s="1026"/>
      <c r="E204" s="1026"/>
      <c r="F204" s="1059"/>
      <c r="G204" s="1054"/>
      <c r="H204" s="1269"/>
      <c r="I204" s="1056"/>
      <c r="J204" s="1111"/>
      <c r="K204" s="1116"/>
    </row>
    <row r="205" spans="1:11" ht="15.75">
      <c r="A205" s="1037"/>
      <c r="B205" s="1038"/>
      <c r="C205" s="1026"/>
      <c r="D205" s="1026"/>
      <c r="E205" s="1026"/>
      <c r="F205" s="1059"/>
      <c r="G205" s="1054"/>
      <c r="H205" s="1269"/>
      <c r="I205" s="1056"/>
      <c r="J205" s="1111"/>
      <c r="K205" s="1116"/>
    </row>
    <row r="206" spans="1:11" ht="15.75">
      <c r="A206" s="1037"/>
      <c r="B206" s="1038"/>
      <c r="C206" s="1026"/>
      <c r="D206" s="1026"/>
      <c r="E206" s="1026"/>
      <c r="F206" s="1059"/>
      <c r="G206" s="1054"/>
      <c r="H206" s="1269"/>
      <c r="I206" s="1056"/>
      <c r="J206" s="1111"/>
      <c r="K206" s="1116"/>
    </row>
    <row r="207" spans="1:11" ht="15.75">
      <c r="A207" s="1037"/>
      <c r="B207" s="1038"/>
      <c r="C207" s="1026"/>
      <c r="D207" s="1026"/>
      <c r="E207" s="1026"/>
      <c r="F207" s="1059"/>
      <c r="G207" s="1054"/>
      <c r="H207" s="1269"/>
      <c r="I207" s="1056"/>
      <c r="J207" s="1111"/>
      <c r="K207" s="1116"/>
    </row>
    <row r="208" spans="1:11" ht="15.75">
      <c r="A208" s="1037"/>
      <c r="B208" s="1038"/>
      <c r="C208" s="1026"/>
      <c r="D208" s="1026"/>
      <c r="E208" s="1026"/>
      <c r="F208" s="1059"/>
      <c r="G208" s="1054"/>
      <c r="H208" s="1269"/>
      <c r="I208" s="1056"/>
      <c r="J208" s="1111"/>
      <c r="K208" s="1116"/>
    </row>
    <row r="209" spans="1:11" ht="15.75">
      <c r="A209" s="1037"/>
      <c r="B209" s="1038"/>
      <c r="C209" s="1026"/>
      <c r="D209" s="1026"/>
      <c r="E209" s="1026"/>
      <c r="F209" s="1059"/>
      <c r="G209" s="1054"/>
      <c r="H209" s="1269"/>
      <c r="I209" s="1056"/>
      <c r="J209" s="1111"/>
      <c r="K209" s="1116"/>
    </row>
    <row r="210" spans="1:11" ht="15.75">
      <c r="A210" s="1037"/>
      <c r="B210" s="1038"/>
      <c r="C210" s="1026"/>
      <c r="D210" s="1026"/>
      <c r="E210" s="1032"/>
      <c r="F210" s="1059"/>
      <c r="G210" s="1054"/>
      <c r="H210" s="1269"/>
      <c r="I210" s="1056"/>
      <c r="J210" s="1111"/>
      <c r="K210" s="1116"/>
    </row>
    <row r="211" spans="1:11" ht="15.75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116"/>
    </row>
    <row r="212" spans="1:11" ht="15.75">
      <c r="A212" s="1037"/>
      <c r="B212" s="1038"/>
      <c r="C212" s="1026"/>
      <c r="D212" s="1026"/>
      <c r="E212" s="1026"/>
      <c r="F212" s="1059"/>
      <c r="G212" s="1054"/>
      <c r="H212" s="1269"/>
      <c r="I212" s="1056"/>
      <c r="J212" s="1111"/>
      <c r="K212" s="1116"/>
    </row>
    <row r="213" spans="1:11" ht="15.75">
      <c r="A213" s="1037"/>
      <c r="B213" s="1038"/>
      <c r="C213" s="1026"/>
      <c r="D213" s="1026"/>
      <c r="E213" s="1026"/>
      <c r="F213" s="1059"/>
      <c r="G213" s="1054"/>
      <c r="H213" s="1269"/>
      <c r="I213" s="1056"/>
      <c r="J213" s="1111"/>
      <c r="K213" s="1116"/>
    </row>
    <row r="214" spans="1:11" ht="15.75">
      <c r="A214" s="1037"/>
      <c r="B214" s="1038"/>
      <c r="C214" s="1026"/>
      <c r="D214" s="1026"/>
      <c r="E214" s="1026"/>
      <c r="F214" s="1059"/>
      <c r="G214" s="1054"/>
      <c r="H214" s="1269"/>
      <c r="I214" s="1056"/>
      <c r="J214" s="1111"/>
      <c r="K214" s="1116"/>
    </row>
    <row r="215" spans="1:11">
      <c r="A215" s="1037"/>
      <c r="B215" s="1038"/>
      <c r="C215" s="1026"/>
      <c r="D215" s="1026"/>
      <c r="E215" s="1026"/>
      <c r="F215" s="1059"/>
      <c r="G215" s="1054"/>
      <c r="H215" s="1269"/>
      <c r="I215" s="1056"/>
      <c r="J215" s="1111"/>
      <c r="K215" s="1262"/>
    </row>
    <row r="216" spans="1:11">
      <c r="A216" s="1039"/>
      <c r="B216" s="1039"/>
      <c r="C216" s="1025"/>
      <c r="D216" s="1025"/>
      <c r="E216" s="1025"/>
      <c r="F216" s="1061"/>
      <c r="G216" s="1062"/>
      <c r="H216" s="1269"/>
      <c r="I216" s="1056"/>
      <c r="J216" s="1111"/>
      <c r="K216" s="505"/>
    </row>
    <row r="217" spans="1:11">
      <c r="A217" s="1039"/>
      <c r="B217" s="1039"/>
      <c r="C217" s="1025"/>
      <c r="D217" s="1025"/>
      <c r="E217" s="1025"/>
      <c r="F217" s="1061"/>
      <c r="G217" s="1062"/>
      <c r="H217" s="1269"/>
      <c r="I217" s="1056"/>
      <c r="J217" s="1111"/>
      <c r="K217" s="505"/>
    </row>
    <row r="218" spans="1:11">
      <c r="A218" s="1039"/>
      <c r="B218" s="1039"/>
      <c r="C218" s="1025"/>
      <c r="D218" s="1025"/>
      <c r="E218" s="1025"/>
      <c r="F218" s="1061"/>
      <c r="G218" s="1062"/>
      <c r="H218" s="1269"/>
      <c r="I218" s="1056"/>
      <c r="J218" s="1111"/>
      <c r="K218" s="505"/>
    </row>
    <row r="219" spans="1:11">
      <c r="A219" s="1039"/>
      <c r="B219" s="1039"/>
      <c r="C219" s="1025"/>
      <c r="D219" s="1025"/>
      <c r="E219" s="1025"/>
      <c r="F219" s="1061"/>
      <c r="G219" s="1062"/>
      <c r="H219" s="1269"/>
      <c r="I219" s="1056"/>
      <c r="J219" s="1111"/>
      <c r="K219" s="505"/>
    </row>
    <row r="220" spans="1:11">
      <c r="A220" s="1039"/>
      <c r="B220" s="1039"/>
      <c r="C220" s="1025"/>
      <c r="D220" s="1025"/>
      <c r="E220" s="1025"/>
      <c r="F220" s="1061"/>
      <c r="G220" s="1062"/>
      <c r="H220" s="1269"/>
      <c r="I220" s="1056"/>
      <c r="J220" s="1111"/>
      <c r="K220" s="505"/>
    </row>
    <row r="221" spans="1:11">
      <c r="A221" s="1039"/>
      <c r="B221" s="1039"/>
      <c r="C221" s="1025"/>
      <c r="D221" s="1025"/>
      <c r="E221" s="1025"/>
      <c r="F221" s="1061"/>
      <c r="G221" s="1062"/>
      <c r="H221" s="1269"/>
      <c r="I221" s="1056"/>
      <c r="J221" s="1111"/>
      <c r="K221" s="505"/>
    </row>
    <row r="222" spans="1:11">
      <c r="A222" s="1039"/>
      <c r="B222" s="1039"/>
      <c r="C222" s="1025"/>
      <c r="D222" s="1025"/>
      <c r="E222" s="1025"/>
      <c r="F222" s="1061"/>
      <c r="G222" s="1062"/>
      <c r="H222" s="1269"/>
      <c r="I222" s="1056"/>
      <c r="J222" s="1111"/>
      <c r="K222" s="505"/>
    </row>
    <row r="223" spans="1:11">
      <c r="A223" s="1039"/>
      <c r="B223" s="1039"/>
      <c r="C223" s="1025"/>
      <c r="D223" s="1025"/>
      <c r="E223" s="1025"/>
      <c r="F223" s="1061"/>
      <c r="G223" s="1062"/>
      <c r="H223" s="1269"/>
      <c r="I223" s="1056"/>
      <c r="J223" s="1111"/>
      <c r="K223" s="505"/>
    </row>
    <row r="224" spans="1:11">
      <c r="A224" s="1039"/>
      <c r="B224" s="1039"/>
      <c r="C224" s="1025"/>
      <c r="D224" s="1025"/>
      <c r="E224" s="1025"/>
      <c r="F224" s="1061"/>
      <c r="G224" s="1062"/>
      <c r="H224" s="1269"/>
      <c r="I224" s="1056"/>
      <c r="J224" s="1111"/>
      <c r="K224" s="505"/>
    </row>
    <row r="225" spans="1:11">
      <c r="A225" s="1039"/>
      <c r="B225" s="1039"/>
      <c r="C225" s="1025"/>
      <c r="D225" s="1025"/>
      <c r="E225" s="1025"/>
      <c r="F225" s="1061"/>
      <c r="G225" s="1062"/>
      <c r="H225" s="1269"/>
      <c r="I225" s="1056"/>
      <c r="J225" s="1111"/>
      <c r="K225" s="505"/>
    </row>
    <row r="226" spans="1:11">
      <c r="A226" s="1039"/>
      <c r="B226" s="1039"/>
      <c r="C226" s="1025"/>
      <c r="D226" s="1025"/>
      <c r="E226" s="1025"/>
      <c r="F226" s="1061"/>
      <c r="G226" s="1062"/>
      <c r="H226" s="1269"/>
      <c r="I226" s="1056"/>
      <c r="J226" s="1111"/>
      <c r="K226" s="505"/>
    </row>
    <row r="227" spans="1:11">
      <c r="A227" s="1039"/>
      <c r="B227" s="1039"/>
      <c r="C227" s="1025"/>
      <c r="D227" s="1025"/>
      <c r="E227" s="1025"/>
      <c r="F227" s="1061"/>
      <c r="G227" s="1062"/>
      <c r="H227" s="1269"/>
      <c r="I227" s="1056"/>
      <c r="J227" s="1111"/>
      <c r="K227" s="505"/>
    </row>
    <row r="228" spans="1:11">
      <c r="A228" s="1039"/>
      <c r="B228" s="1039"/>
      <c r="C228" s="1025"/>
      <c r="D228" s="1025"/>
      <c r="E228" s="1025"/>
      <c r="F228" s="1061"/>
      <c r="G228" s="1062"/>
      <c r="H228" s="1269"/>
      <c r="I228" s="1056"/>
      <c r="J228" s="1111"/>
      <c r="K228" s="505"/>
    </row>
    <row r="229" spans="1:11">
      <c r="A229" s="1039"/>
      <c r="B229" s="1039"/>
      <c r="C229" s="1025"/>
      <c r="D229" s="1025"/>
      <c r="E229" s="1025"/>
      <c r="F229" s="1061"/>
      <c r="G229" s="1062"/>
      <c r="H229" s="1269"/>
      <c r="I229" s="1056"/>
      <c r="J229" s="1111"/>
      <c r="K229" s="505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505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505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505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505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505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505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505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505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505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505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505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505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505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505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505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505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505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505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505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505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505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505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505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505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505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505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505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505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505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505"/>
    </row>
    <row r="260" spans="1:11">
      <c r="A260" s="1039"/>
      <c r="B260" s="1039"/>
      <c r="C260" s="1025"/>
      <c r="D260" s="1025"/>
      <c r="E260" s="1025"/>
      <c r="F260" s="1061"/>
      <c r="G260" s="1062"/>
      <c r="H260" s="1269"/>
      <c r="I260" s="1056"/>
      <c r="J260" s="1111"/>
      <c r="K260" s="505"/>
    </row>
    <row r="261" spans="1:11">
      <c r="A261" s="1039"/>
      <c r="B261" s="1039"/>
      <c r="C261" s="1025"/>
      <c r="D261" s="1025"/>
      <c r="E261" s="1025"/>
      <c r="F261" s="1061"/>
      <c r="G261" s="1062"/>
      <c r="H261" s="1269"/>
      <c r="I261" s="1056"/>
      <c r="J261" s="1111"/>
      <c r="K261" s="505"/>
    </row>
    <row r="262" spans="1:11">
      <c r="A262" s="1039"/>
      <c r="B262" s="1039"/>
      <c r="C262" s="1025"/>
      <c r="D262" s="1025"/>
      <c r="E262" s="1025"/>
      <c r="F262" s="1061"/>
      <c r="G262" s="1062"/>
      <c r="H262" s="1269"/>
      <c r="I262" s="1056"/>
      <c r="J262" s="1111"/>
      <c r="K262" s="505"/>
    </row>
    <row r="263" spans="1:11">
      <c r="A263" s="1262"/>
      <c r="B263" s="1262"/>
      <c r="C263" s="1327"/>
      <c r="D263" s="1262"/>
      <c r="E263" s="1262"/>
      <c r="F263" s="1262"/>
      <c r="G263" s="1262"/>
      <c r="H263" s="1269"/>
      <c r="I263" s="1056"/>
      <c r="J263" s="1111"/>
      <c r="K263" s="505"/>
    </row>
    <row r="264" spans="1:11">
      <c r="A264" s="1262"/>
      <c r="B264" s="1262"/>
      <c r="C264" s="1327"/>
      <c r="D264" s="1262"/>
      <c r="E264" s="1262"/>
      <c r="F264" s="1262"/>
      <c r="G264" s="1262"/>
      <c r="H264" s="1269"/>
      <c r="I264" s="1056"/>
      <c r="J264" s="1111"/>
      <c r="K264" s="505"/>
    </row>
    <row r="265" spans="1:11">
      <c r="A265" s="1262"/>
      <c r="B265" s="1262"/>
      <c r="C265" s="1327"/>
      <c r="D265" s="1262"/>
      <c r="E265" s="1262"/>
      <c r="F265" s="1262"/>
      <c r="G265" s="1262"/>
      <c r="H265" s="1269"/>
      <c r="I265" s="1056"/>
      <c r="J265" s="1111"/>
      <c r="K265" s="505"/>
    </row>
    <row r="266" spans="1:11">
      <c r="A266" s="1262"/>
      <c r="B266" s="1262"/>
      <c r="C266" s="1327"/>
      <c r="D266" s="1262"/>
      <c r="E266" s="1262"/>
      <c r="F266" s="1262"/>
      <c r="G266" s="1262"/>
      <c r="H266" s="1269"/>
      <c r="I266" s="1056"/>
      <c r="J266" s="1111"/>
      <c r="K266" s="505"/>
    </row>
    <row r="267" spans="1:11">
      <c r="A267" s="1262"/>
      <c r="B267" s="1262"/>
      <c r="C267" s="1327"/>
      <c r="D267" s="1262"/>
      <c r="E267" s="1262"/>
      <c r="F267" s="1262"/>
      <c r="G267" s="1262"/>
      <c r="H267" s="1269"/>
      <c r="I267" s="1056"/>
      <c r="J267" s="1111"/>
      <c r="K267" s="505"/>
    </row>
    <row r="268" spans="1:11">
      <c r="A268" s="1262"/>
      <c r="B268" s="1262"/>
      <c r="C268" s="1327"/>
      <c r="D268" s="1262"/>
      <c r="E268" s="1262"/>
      <c r="F268" s="1262"/>
      <c r="G268" s="1262"/>
      <c r="H268" s="1269"/>
      <c r="I268" s="1056"/>
      <c r="J268" s="1111"/>
      <c r="K268" s="505"/>
    </row>
    <row r="269" spans="1:11">
      <c r="A269" s="1262"/>
      <c r="B269" s="1262"/>
      <c r="C269" s="1327"/>
      <c r="D269" s="1262"/>
      <c r="E269" s="1262"/>
      <c r="F269" s="1262"/>
      <c r="G269" s="1262"/>
      <c r="H269" s="1269"/>
      <c r="I269" s="1056"/>
      <c r="J269" s="1111"/>
      <c r="K269" s="505"/>
    </row>
    <row r="270" spans="1:11">
      <c r="A270" s="1262"/>
      <c r="B270" s="1262"/>
      <c r="C270" s="1327"/>
      <c r="D270" s="1262"/>
      <c r="E270" s="1262"/>
      <c r="F270" s="1262"/>
      <c r="G270" s="1262"/>
      <c r="H270" s="1269"/>
      <c r="I270" s="1056"/>
      <c r="J270" s="1111"/>
      <c r="K270" s="505"/>
    </row>
    <row r="271" spans="1:11">
      <c r="A271" s="1262"/>
      <c r="B271" s="1262"/>
      <c r="C271" s="1327"/>
      <c r="D271" s="1262"/>
      <c r="E271" s="1262"/>
      <c r="F271" s="1262"/>
      <c r="G271" s="1262"/>
      <c r="H271" s="1269"/>
      <c r="I271" s="1056"/>
      <c r="J271" s="1111"/>
      <c r="K271" s="505"/>
    </row>
    <row r="272" spans="1:11">
      <c r="A272" s="1262"/>
      <c r="B272" s="1262"/>
      <c r="C272" s="1327"/>
      <c r="D272" s="1262"/>
      <c r="E272" s="1262"/>
      <c r="F272" s="1262"/>
      <c r="G272" s="1262"/>
      <c r="H272" s="1269"/>
      <c r="I272" s="1056"/>
      <c r="J272" s="1111"/>
      <c r="K272" s="505"/>
    </row>
    <row r="273" spans="1:11">
      <c r="A273" s="1262"/>
      <c r="B273" s="1262"/>
      <c r="C273" s="1327"/>
      <c r="D273" s="1262"/>
      <c r="E273" s="1262"/>
      <c r="F273" s="1262"/>
      <c r="G273" s="1262"/>
      <c r="H273" s="1269"/>
      <c r="I273" s="1056"/>
      <c r="J273" s="1111"/>
      <c r="K273" s="505"/>
    </row>
    <row r="274" spans="1:11">
      <c r="A274" s="1262"/>
      <c r="B274" s="1262"/>
      <c r="C274" s="1327"/>
      <c r="D274" s="1262"/>
      <c r="E274" s="1262"/>
      <c r="F274" s="1262"/>
      <c r="G274" s="1262"/>
      <c r="H274" s="1269"/>
      <c r="I274" s="1056"/>
      <c r="J274" s="1111"/>
      <c r="K274" s="505"/>
    </row>
    <row r="275" spans="1:11">
      <c r="A275" s="1262"/>
      <c r="B275" s="1262"/>
      <c r="C275" s="1327"/>
      <c r="D275" s="1262"/>
      <c r="E275" s="1262"/>
      <c r="F275" s="1262"/>
      <c r="G275" s="1262"/>
      <c r="H275" s="1269"/>
      <c r="I275" s="1056"/>
      <c r="J275" s="1111"/>
      <c r="K275" s="505"/>
    </row>
    <row r="276" spans="1:11">
      <c r="A276" s="1262"/>
      <c r="B276" s="1262"/>
      <c r="C276" s="1327"/>
      <c r="D276" s="1262"/>
      <c r="E276" s="1262"/>
      <c r="F276" s="1262"/>
      <c r="G276" s="1262"/>
      <c r="H276" s="1269"/>
      <c r="I276" s="1056"/>
      <c r="J276" s="1111"/>
      <c r="K276" s="505"/>
    </row>
    <row r="277" spans="1:11" ht="15.75" thickBot="1">
      <c r="A277" s="1037"/>
      <c r="B277" s="1038"/>
      <c r="C277" s="1026"/>
      <c r="D277" s="1026"/>
      <c r="E277" s="1026"/>
      <c r="F277" s="1059"/>
      <c r="G277" s="1054"/>
      <c r="H277" s="1269"/>
      <c r="I277" s="1056"/>
      <c r="J277" s="1111"/>
      <c r="K277" s="505"/>
    </row>
    <row r="278" spans="1:11" ht="20.25" thickBot="1">
      <c r="A278" s="1158"/>
      <c r="B278" s="1159"/>
      <c r="C278" s="1159"/>
      <c r="D278" s="1159"/>
      <c r="E278" s="1159"/>
      <c r="F278" s="1160">
        <f>SUM(F157:F165,F167:F277)</f>
        <v>0</v>
      </c>
      <c r="G278" s="1159"/>
      <c r="H278" s="1293">
        <f>SUM(H57:H277)</f>
        <v>0</v>
      </c>
      <c r="I278" s="1160">
        <f>SUM(I157:I277)</f>
        <v>0</v>
      </c>
      <c r="J278" s="1164"/>
      <c r="K278" s="1157"/>
    </row>
  </sheetData>
  <autoFilter ref="A1:K31" xr:uid="{15EF5BE1-A614-41B4-A9B1-BED44AB7A3C8}">
    <sortState xmlns:xlrd2="http://schemas.microsoft.com/office/spreadsheetml/2017/richdata2" ref="A2:K31">
      <sortCondition ref="J1:J31"/>
    </sortState>
  </autoFilter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B56B1-56C3-4315-9198-199A5BDE07A4}">
  <dimension ref="A1:K276"/>
  <sheetViews>
    <sheetView zoomScale="85" zoomScaleNormal="85" workbookViewId="0">
      <selection activeCell="C23" sqref="C23"/>
    </sheetView>
  </sheetViews>
  <sheetFormatPr defaultColWidth="9.140625" defaultRowHeight="15"/>
  <cols>
    <col min="1" max="1" width="15.140625" style="1058" bestFit="1" customWidth="1"/>
    <col min="2" max="2" width="13.5703125" style="1058" customWidth="1"/>
    <col min="3" max="3" width="44.5703125" style="1165" bestFit="1" customWidth="1"/>
    <col min="4" max="4" width="22.28515625" style="1058" bestFit="1" customWidth="1"/>
    <col min="5" max="5" width="16.7109375" style="1058" customWidth="1"/>
    <col min="6" max="6" width="22" style="1058" bestFit="1" customWidth="1"/>
    <col min="7" max="7" width="15" style="1058" customWidth="1"/>
    <col min="8" max="8" width="24.85546875" style="1058" bestFit="1" customWidth="1"/>
    <col min="9" max="9" width="21.140625" style="1058" customWidth="1"/>
    <col min="10" max="10" width="13.28515625" style="1058" customWidth="1"/>
    <col min="11" max="11" width="19.7109375" style="1058" customWidth="1"/>
    <col min="12" max="16384" width="9.140625" style="1058"/>
  </cols>
  <sheetData>
    <row r="1" spans="1:11" ht="15" customHeight="1">
      <c r="A1" s="1235" t="s">
        <v>2519</v>
      </c>
      <c r="B1" s="1236" t="s">
        <v>2</v>
      </c>
      <c r="C1" s="1236" t="s">
        <v>3</v>
      </c>
      <c r="D1" s="1236" t="s">
        <v>4</v>
      </c>
      <c r="E1" s="1236" t="s">
        <v>5</v>
      </c>
      <c r="F1" s="1237" t="s">
        <v>644</v>
      </c>
      <c r="G1" s="1238" t="s">
        <v>555</v>
      </c>
      <c r="H1" s="1239" t="s">
        <v>7</v>
      </c>
      <c r="I1" s="1240" t="s">
        <v>307</v>
      </c>
      <c r="J1" s="1238" t="s">
        <v>370</v>
      </c>
      <c r="K1" s="1241" t="s">
        <v>442</v>
      </c>
    </row>
    <row r="2" spans="1:11" ht="15.75">
      <c r="A2" s="1041">
        <v>45422</v>
      </c>
      <c r="B2" s="1041">
        <v>45785</v>
      </c>
      <c r="C2" s="1027" t="s">
        <v>2018</v>
      </c>
      <c r="D2" s="1027" t="s">
        <v>448</v>
      </c>
      <c r="E2" s="1027" t="s">
        <v>945</v>
      </c>
      <c r="F2" s="1401">
        <v>15634.04</v>
      </c>
      <c r="G2" s="1066">
        <v>0.1</v>
      </c>
      <c r="H2" s="1067">
        <v>1438.33</v>
      </c>
      <c r="I2" s="1243">
        <v>143.83000000000001</v>
      </c>
      <c r="J2" s="1027" t="s">
        <v>1470</v>
      </c>
      <c r="K2" s="1117" t="s">
        <v>2015</v>
      </c>
    </row>
    <row r="3" spans="1:11" ht="15.75">
      <c r="A3" s="1041">
        <v>45446</v>
      </c>
      <c r="B3" s="1041">
        <v>45801</v>
      </c>
      <c r="C3" s="1027" t="s">
        <v>2230</v>
      </c>
      <c r="D3" s="1027" t="s">
        <v>33</v>
      </c>
      <c r="E3" s="1027" t="s">
        <v>948</v>
      </c>
      <c r="F3" s="1065">
        <v>1789.11</v>
      </c>
      <c r="G3" s="1066">
        <v>0.15</v>
      </c>
      <c r="H3" s="1067">
        <v>246.89</v>
      </c>
      <c r="I3" s="1243">
        <v>24.68</v>
      </c>
      <c r="J3" s="1027" t="s">
        <v>1470</v>
      </c>
      <c r="K3" s="1117" t="s">
        <v>2015</v>
      </c>
    </row>
    <row r="4" spans="1:11" ht="15.75">
      <c r="A4" s="1041">
        <v>45436</v>
      </c>
      <c r="B4" s="1041">
        <v>45802</v>
      </c>
      <c r="C4" s="1027" t="s">
        <v>2546</v>
      </c>
      <c r="D4" s="1027" t="s">
        <v>848</v>
      </c>
      <c r="E4" s="1027" t="s">
        <v>19</v>
      </c>
      <c r="F4" s="1065">
        <v>1250.58</v>
      </c>
      <c r="G4" s="1066">
        <v>0.1</v>
      </c>
      <c r="H4" s="1067">
        <v>115.05</v>
      </c>
      <c r="I4" s="1243">
        <v>11.5</v>
      </c>
      <c r="J4" s="1027" t="s">
        <v>1470</v>
      </c>
      <c r="K4" s="1117" t="s">
        <v>2015</v>
      </c>
    </row>
    <row r="5" spans="1:11" s="1338" customFormat="1" ht="15.75">
      <c r="A5" s="1331">
        <v>45436</v>
      </c>
      <c r="B5" s="1331">
        <v>45801</v>
      </c>
      <c r="C5" s="1332" t="s">
        <v>2547</v>
      </c>
      <c r="D5" s="1332" t="s">
        <v>448</v>
      </c>
      <c r="E5" s="1332" t="s">
        <v>1080</v>
      </c>
      <c r="F5" s="1333">
        <v>1639.76</v>
      </c>
      <c r="G5" s="1334">
        <v>0.1</v>
      </c>
      <c r="H5" s="1335">
        <v>150.84</v>
      </c>
      <c r="I5" s="1336">
        <v>75.42</v>
      </c>
      <c r="J5" s="1332" t="s">
        <v>1577</v>
      </c>
      <c r="K5" s="1337" t="s">
        <v>1472</v>
      </c>
    </row>
    <row r="6" spans="1:11" s="1338" customFormat="1" ht="15.75">
      <c r="A6" s="1331">
        <v>45433</v>
      </c>
      <c r="B6" s="1331" t="s">
        <v>1805</v>
      </c>
      <c r="C6" s="1332" t="s">
        <v>2548</v>
      </c>
      <c r="D6" s="1332" t="s">
        <v>149</v>
      </c>
      <c r="E6" s="1332" t="s">
        <v>1552</v>
      </c>
      <c r="F6" s="1333">
        <v>515.78</v>
      </c>
      <c r="G6" s="1334">
        <v>0.1</v>
      </c>
      <c r="H6" s="1335">
        <v>47.45</v>
      </c>
      <c r="I6" s="1336">
        <v>23.72</v>
      </c>
      <c r="J6" s="1332" t="s">
        <v>1577</v>
      </c>
      <c r="K6" s="1337" t="s">
        <v>1805</v>
      </c>
    </row>
    <row r="7" spans="1:11" s="1342" customFormat="1">
      <c r="A7" s="1367">
        <v>45434</v>
      </c>
      <c r="B7" s="1390">
        <v>45804</v>
      </c>
      <c r="C7" s="1379" t="s">
        <v>2549</v>
      </c>
      <c r="D7" s="1390" t="s">
        <v>9</v>
      </c>
      <c r="E7" s="1390" t="s">
        <v>1552</v>
      </c>
      <c r="F7" s="1429">
        <v>1601.88</v>
      </c>
      <c r="G7" s="1430">
        <v>0.15</v>
      </c>
      <c r="H7" s="1431">
        <v>221.05</v>
      </c>
      <c r="I7" s="1432">
        <v>110.52</v>
      </c>
      <c r="J7" s="1433" t="s">
        <v>1759</v>
      </c>
      <c r="K7" s="1379" t="s">
        <v>2015</v>
      </c>
    </row>
    <row r="8" spans="1:11" s="1262" customFormat="1" ht="15.75">
      <c r="A8" s="1427">
        <v>45426</v>
      </c>
      <c r="B8" s="1427">
        <v>45791</v>
      </c>
      <c r="C8" s="1420" t="s">
        <v>2550</v>
      </c>
      <c r="D8" s="1421" t="s">
        <v>448</v>
      </c>
      <c r="E8" s="1421" t="s">
        <v>458</v>
      </c>
      <c r="F8" s="1422">
        <v>2400.56</v>
      </c>
      <c r="G8" s="1423">
        <v>0.1</v>
      </c>
      <c r="H8" s="1424">
        <v>220.85</v>
      </c>
      <c r="I8" s="1599">
        <v>110.42</v>
      </c>
      <c r="J8" s="1421" t="s">
        <v>2094</v>
      </c>
      <c r="K8" s="1425" t="s">
        <v>2015</v>
      </c>
    </row>
    <row r="9" spans="1:11" ht="15.75">
      <c r="A9" s="1358">
        <v>45416</v>
      </c>
      <c r="B9" s="1344">
        <v>45781</v>
      </c>
      <c r="C9" s="1345" t="s">
        <v>1760</v>
      </c>
      <c r="D9" s="1360" t="s">
        <v>21</v>
      </c>
      <c r="E9" s="1345" t="s">
        <v>279</v>
      </c>
      <c r="F9" s="1346">
        <v>518.92999999999995</v>
      </c>
      <c r="G9" s="1347">
        <v>0.15</v>
      </c>
      <c r="H9" s="1348">
        <v>71.61</v>
      </c>
      <c r="I9" s="1362">
        <v>35.799999999999997</v>
      </c>
      <c r="J9" s="1363" t="s">
        <v>1482</v>
      </c>
      <c r="K9" s="1365" t="s">
        <v>2015</v>
      </c>
    </row>
    <row r="10" spans="1:11" s="1262" customFormat="1" ht="15.75">
      <c r="A10" s="1344">
        <v>45422</v>
      </c>
      <c r="B10" s="1344">
        <v>45787</v>
      </c>
      <c r="C10" s="1345" t="s">
        <v>2551</v>
      </c>
      <c r="D10" s="1345" t="s">
        <v>112</v>
      </c>
      <c r="E10" s="1345" t="s">
        <v>1080</v>
      </c>
      <c r="F10" s="1346">
        <v>1180.97</v>
      </c>
      <c r="G10" s="1347">
        <v>0.1</v>
      </c>
      <c r="H10" s="1348">
        <v>108.64</v>
      </c>
      <c r="I10" s="1349">
        <v>54.32</v>
      </c>
      <c r="J10" s="1345" t="s">
        <v>1482</v>
      </c>
      <c r="K10" s="1350" t="s">
        <v>1472</v>
      </c>
    </row>
    <row r="11" spans="1:11" ht="15.75">
      <c r="A11" s="1352">
        <v>45443</v>
      </c>
      <c r="B11" s="1353" t="s">
        <v>1805</v>
      </c>
      <c r="C11" s="1354" t="s">
        <v>2552</v>
      </c>
      <c r="D11" s="1354" t="s">
        <v>33</v>
      </c>
      <c r="E11" s="1354" t="s">
        <v>19</v>
      </c>
      <c r="F11" s="1366">
        <v>195.51</v>
      </c>
      <c r="G11" s="1355">
        <v>0.15</v>
      </c>
      <c r="H11" s="1385">
        <v>26.98</v>
      </c>
      <c r="I11" s="1356">
        <v>13.49</v>
      </c>
      <c r="J11" s="1388" t="s">
        <v>1482</v>
      </c>
      <c r="K11" s="1389" t="s">
        <v>1805</v>
      </c>
    </row>
    <row r="12" spans="1:11" ht="15.75">
      <c r="A12" s="1344">
        <v>45420</v>
      </c>
      <c r="B12" s="1344">
        <v>45785</v>
      </c>
      <c r="C12" s="1345" t="s">
        <v>2553</v>
      </c>
      <c r="D12" s="1345" t="s">
        <v>448</v>
      </c>
      <c r="E12" s="1345" t="s">
        <v>948</v>
      </c>
      <c r="F12" s="1346">
        <v>2017.36</v>
      </c>
      <c r="G12" s="1347">
        <v>0.1</v>
      </c>
      <c r="H12" s="1348">
        <v>185.59</v>
      </c>
      <c r="I12" s="1386">
        <v>92.79</v>
      </c>
      <c r="J12" s="1363" t="s">
        <v>2554</v>
      </c>
      <c r="K12" s="1365" t="s">
        <v>1472</v>
      </c>
    </row>
    <row r="13" spans="1:11" s="1262" customFormat="1" ht="15.75">
      <c r="A13" s="1344">
        <v>45435</v>
      </c>
      <c r="B13" s="1344">
        <v>45800</v>
      </c>
      <c r="C13" s="1345" t="s">
        <v>2555</v>
      </c>
      <c r="D13" s="1345" t="s">
        <v>448</v>
      </c>
      <c r="E13" s="1345" t="s">
        <v>948</v>
      </c>
      <c r="F13" s="1346">
        <v>3097.01</v>
      </c>
      <c r="G13" s="1347">
        <v>0.1</v>
      </c>
      <c r="H13" s="1348">
        <v>284.92</v>
      </c>
      <c r="I13" s="1349">
        <v>142.46</v>
      </c>
      <c r="J13" s="1345" t="s">
        <v>2554</v>
      </c>
      <c r="K13" s="1350" t="s">
        <v>1472</v>
      </c>
    </row>
    <row r="14" spans="1:11" ht="15.75">
      <c r="A14" s="1037">
        <v>45412</v>
      </c>
      <c r="B14" s="1038">
        <v>45779</v>
      </c>
      <c r="C14" s="1026" t="s">
        <v>2044</v>
      </c>
      <c r="D14" s="1026" t="s">
        <v>448</v>
      </c>
      <c r="E14" s="1026" t="s">
        <v>948</v>
      </c>
      <c r="F14" s="1059">
        <v>2054.13</v>
      </c>
      <c r="G14" s="1054">
        <v>0.1</v>
      </c>
      <c r="H14" s="1055">
        <v>188.97</v>
      </c>
      <c r="I14" s="1056"/>
      <c r="J14" s="1111"/>
      <c r="K14" s="1116" t="s">
        <v>2015</v>
      </c>
    </row>
    <row r="15" spans="1:11" ht="15.75">
      <c r="A15" s="1037">
        <v>45414</v>
      </c>
      <c r="B15" s="1038">
        <v>45779</v>
      </c>
      <c r="C15" s="1025" t="s">
        <v>1117</v>
      </c>
      <c r="D15" s="1025" t="s">
        <v>25</v>
      </c>
      <c r="E15" s="1025" t="s">
        <v>1552</v>
      </c>
      <c r="F15" s="1023">
        <v>1501.93</v>
      </c>
      <c r="G15" s="1062">
        <v>0.1</v>
      </c>
      <c r="H15" s="1023">
        <v>138.16999999999999</v>
      </c>
      <c r="I15" s="1056"/>
      <c r="J15" s="1111"/>
      <c r="K15" s="1115" t="s">
        <v>1472</v>
      </c>
    </row>
    <row r="16" spans="1:11" ht="15.75">
      <c r="A16" s="1037">
        <v>45415</v>
      </c>
      <c r="B16" s="1038">
        <v>45780</v>
      </c>
      <c r="C16" s="1025" t="s">
        <v>1590</v>
      </c>
      <c r="D16" s="1025" t="s">
        <v>70</v>
      </c>
      <c r="E16" s="1025" t="s">
        <v>279</v>
      </c>
      <c r="F16" s="1061">
        <v>2033.24</v>
      </c>
      <c r="G16" s="1062">
        <v>0.1</v>
      </c>
      <c r="H16" s="1055">
        <v>187.05</v>
      </c>
      <c r="I16" s="1056"/>
      <c r="J16" s="1111"/>
      <c r="K16" s="1115" t="s">
        <v>2015</v>
      </c>
    </row>
    <row r="17" spans="1:11" ht="15.75">
      <c r="A17" s="1037">
        <v>45415</v>
      </c>
      <c r="B17" s="1038">
        <v>45780</v>
      </c>
      <c r="C17" s="1026" t="s">
        <v>2559</v>
      </c>
      <c r="D17" s="1026" t="s">
        <v>9</v>
      </c>
      <c r="E17" s="1025" t="s">
        <v>948</v>
      </c>
      <c r="F17" s="1061">
        <v>1434.44</v>
      </c>
      <c r="G17" s="1062">
        <v>0.1</v>
      </c>
      <c r="H17" s="1055">
        <v>131.96</v>
      </c>
      <c r="I17" s="1056"/>
      <c r="J17" s="1111"/>
      <c r="K17" s="1116" t="s">
        <v>2015</v>
      </c>
    </row>
    <row r="18" spans="1:11" s="1070" customFormat="1" ht="15.75">
      <c r="A18" s="1037">
        <v>45415</v>
      </c>
      <c r="B18" s="1038">
        <v>45781</v>
      </c>
      <c r="C18" s="1025" t="s">
        <v>2560</v>
      </c>
      <c r="D18" s="1026" t="s">
        <v>9</v>
      </c>
      <c r="E18" s="1025" t="s">
        <v>1310</v>
      </c>
      <c r="F18" s="1061">
        <v>2348.16</v>
      </c>
      <c r="G18" s="1062">
        <v>0.15</v>
      </c>
      <c r="H18" s="1055">
        <v>352.22</v>
      </c>
      <c r="I18" s="1056"/>
      <c r="J18" s="1111"/>
      <c r="K18" s="1116" t="s">
        <v>2015</v>
      </c>
    </row>
    <row r="19" spans="1:11" s="1357" customFormat="1" ht="15.75">
      <c r="A19" s="1037">
        <v>45415</v>
      </c>
      <c r="B19" s="1038">
        <v>45781</v>
      </c>
      <c r="C19" s="1025" t="s">
        <v>2561</v>
      </c>
      <c r="D19" s="1026" t="s">
        <v>70</v>
      </c>
      <c r="E19" s="1025" t="s">
        <v>279</v>
      </c>
      <c r="F19" s="1061">
        <v>1684.29</v>
      </c>
      <c r="G19" s="1062">
        <v>0.1</v>
      </c>
      <c r="H19" s="1055">
        <v>154.94999999999999</v>
      </c>
      <c r="I19" s="1056"/>
      <c r="J19" s="1111"/>
      <c r="K19" s="1115" t="s">
        <v>2015</v>
      </c>
    </row>
    <row r="20" spans="1:11" s="1426" customFormat="1" ht="15.75">
      <c r="A20" s="1037">
        <v>45415</v>
      </c>
      <c r="B20" s="1038">
        <v>45782</v>
      </c>
      <c r="C20" s="1025" t="s">
        <v>2223</v>
      </c>
      <c r="D20" s="1026" t="s">
        <v>448</v>
      </c>
      <c r="E20" s="1025" t="s">
        <v>19</v>
      </c>
      <c r="F20" s="1061">
        <v>3480.68</v>
      </c>
      <c r="G20" s="1062">
        <v>0.1</v>
      </c>
      <c r="H20" s="1055">
        <v>322.33</v>
      </c>
      <c r="I20" s="1056"/>
      <c r="J20" s="1111"/>
      <c r="K20" s="1115" t="s">
        <v>2015</v>
      </c>
    </row>
    <row r="21" spans="1:11" ht="15.75">
      <c r="A21" s="1039">
        <v>45418</v>
      </c>
      <c r="B21" s="1039">
        <v>45783</v>
      </c>
      <c r="C21" s="1025" t="s">
        <v>2562</v>
      </c>
      <c r="D21" s="1025" t="s">
        <v>448</v>
      </c>
      <c r="E21" s="1025" t="s">
        <v>1610</v>
      </c>
      <c r="F21" s="1023">
        <v>5447.96</v>
      </c>
      <c r="G21" s="1062">
        <v>0.1</v>
      </c>
      <c r="H21" s="1023">
        <v>501.21</v>
      </c>
      <c r="I21" s="1056"/>
      <c r="J21" s="1111"/>
      <c r="K21" s="1115" t="s">
        <v>1472</v>
      </c>
    </row>
    <row r="22" spans="1:11" ht="15.75">
      <c r="A22" s="1039">
        <v>45419</v>
      </c>
      <c r="B22" s="1039">
        <v>45784</v>
      </c>
      <c r="C22" s="1025" t="s">
        <v>2563</v>
      </c>
      <c r="D22" s="1025" t="s">
        <v>9</v>
      </c>
      <c r="E22" s="1025" t="s">
        <v>948</v>
      </c>
      <c r="F22" s="1061">
        <v>1930.6</v>
      </c>
      <c r="G22" s="1062">
        <v>0.13</v>
      </c>
      <c r="H22" s="1055">
        <v>230.89</v>
      </c>
      <c r="I22" s="1056"/>
      <c r="J22" s="1111"/>
      <c r="K22" s="1115" t="s">
        <v>2015</v>
      </c>
    </row>
    <row r="23" spans="1:11" ht="15.75">
      <c r="A23" s="1037">
        <v>45419</v>
      </c>
      <c r="B23" s="1039">
        <v>45784</v>
      </c>
      <c r="C23" s="1025" t="s">
        <v>2564</v>
      </c>
      <c r="D23" s="1026" t="s">
        <v>448</v>
      </c>
      <c r="E23" s="1025" t="s">
        <v>458</v>
      </c>
      <c r="F23" s="1061">
        <v>4084.45</v>
      </c>
      <c r="G23" s="1062">
        <v>0.1</v>
      </c>
      <c r="H23" s="1055">
        <v>375.76</v>
      </c>
      <c r="I23" s="1056"/>
      <c r="J23" s="1111"/>
      <c r="K23" s="1115" t="s">
        <v>2015</v>
      </c>
    </row>
    <row r="24" spans="1:11" ht="15.75">
      <c r="A24" s="1037">
        <v>45421</v>
      </c>
      <c r="B24" s="1039">
        <v>45786</v>
      </c>
      <c r="C24" s="1025" t="s">
        <v>2565</v>
      </c>
      <c r="D24" s="1026" t="s">
        <v>9</v>
      </c>
      <c r="E24" s="1025" t="s">
        <v>143</v>
      </c>
      <c r="F24" s="1061">
        <v>1492.58</v>
      </c>
      <c r="G24" s="1062">
        <v>0.1</v>
      </c>
      <c r="H24" s="1055">
        <v>137.31</v>
      </c>
      <c r="I24" s="1056"/>
      <c r="J24" s="1111"/>
      <c r="K24" s="1115" t="s">
        <v>2015</v>
      </c>
    </row>
    <row r="25" spans="1:11" ht="15.75">
      <c r="A25" s="1037">
        <v>45421</v>
      </c>
      <c r="B25" s="1039">
        <v>45786</v>
      </c>
      <c r="C25" s="1025" t="s">
        <v>2566</v>
      </c>
      <c r="D25" s="1026" t="s">
        <v>21</v>
      </c>
      <c r="E25" s="1025" t="s">
        <v>948</v>
      </c>
      <c r="F25" s="1092">
        <v>983.24</v>
      </c>
      <c r="G25" s="1062">
        <v>0.15</v>
      </c>
      <c r="H25" s="1055">
        <v>135.68</v>
      </c>
      <c r="I25" s="1056"/>
      <c r="J25" s="1111"/>
      <c r="K25" s="1115" t="s">
        <v>2015</v>
      </c>
    </row>
    <row r="26" spans="1:11" ht="15.75">
      <c r="A26" s="1037">
        <v>45422</v>
      </c>
      <c r="B26" s="1039">
        <v>45787</v>
      </c>
      <c r="C26" s="1026" t="s">
        <v>2567</v>
      </c>
      <c r="D26" s="1026" t="s">
        <v>9</v>
      </c>
      <c r="E26" s="1025" t="s">
        <v>948</v>
      </c>
      <c r="F26" s="1061">
        <v>2571.29</v>
      </c>
      <c r="G26" s="1062">
        <v>0.1</v>
      </c>
      <c r="H26" s="1055">
        <v>236.55</v>
      </c>
      <c r="I26" s="1056"/>
      <c r="J26" s="1111"/>
      <c r="K26" s="1115" t="s">
        <v>1472</v>
      </c>
    </row>
    <row r="27" spans="1:11" ht="15.75">
      <c r="A27" s="1039">
        <v>45420</v>
      </c>
      <c r="B27" s="1039">
        <v>45788</v>
      </c>
      <c r="C27" s="1025" t="s">
        <v>2568</v>
      </c>
      <c r="D27" s="1025" t="s">
        <v>70</v>
      </c>
      <c r="E27" s="1025" t="s">
        <v>1080</v>
      </c>
      <c r="F27" s="1061">
        <v>2472.9299999999998</v>
      </c>
      <c r="G27" s="1062">
        <v>0.1</v>
      </c>
      <c r="H27" s="1055">
        <v>227.5</v>
      </c>
      <c r="I27" s="1242"/>
      <c r="J27" s="1025"/>
      <c r="K27" s="1115" t="s">
        <v>2015</v>
      </c>
    </row>
    <row r="28" spans="1:11" ht="15.75">
      <c r="A28" s="1037">
        <v>45425</v>
      </c>
      <c r="B28" s="1039">
        <v>45789</v>
      </c>
      <c r="C28" s="1032" t="s">
        <v>2569</v>
      </c>
      <c r="D28" s="1026" t="s">
        <v>448</v>
      </c>
      <c r="E28" s="1026" t="s">
        <v>458</v>
      </c>
      <c r="F28" s="1071">
        <v>916.15</v>
      </c>
      <c r="G28" s="1062">
        <v>0.1</v>
      </c>
      <c r="H28" s="1088">
        <v>84.28</v>
      </c>
      <c r="I28" s="1089"/>
      <c r="J28" s="1111"/>
      <c r="K28" s="1115" t="s">
        <v>2015</v>
      </c>
    </row>
    <row r="29" spans="1:11" ht="15.75">
      <c r="A29" s="1037">
        <v>45425</v>
      </c>
      <c r="B29" s="1038">
        <v>45791</v>
      </c>
      <c r="C29" s="1025" t="s">
        <v>2570</v>
      </c>
      <c r="D29" s="1026" t="s">
        <v>448</v>
      </c>
      <c r="E29" s="1026" t="s">
        <v>948</v>
      </c>
      <c r="F29" s="1059">
        <v>2468.7800000000002</v>
      </c>
      <c r="G29" s="1054">
        <v>0.1</v>
      </c>
      <c r="H29" s="1055">
        <v>227.12</v>
      </c>
      <c r="I29" s="1056"/>
      <c r="J29" s="1111"/>
      <c r="K29" s="1115" t="s">
        <v>1472</v>
      </c>
    </row>
    <row r="30" spans="1:11" ht="15.75">
      <c r="A30" s="1037">
        <v>45425</v>
      </c>
      <c r="B30" s="1038">
        <v>45791</v>
      </c>
      <c r="C30" s="1025" t="s">
        <v>2571</v>
      </c>
      <c r="D30" s="1026" t="s">
        <v>14</v>
      </c>
      <c r="E30" s="1026" t="s">
        <v>458</v>
      </c>
      <c r="F30" s="1059">
        <v>2575.5300000000002</v>
      </c>
      <c r="G30" s="1054">
        <v>0.15</v>
      </c>
      <c r="H30" s="1055">
        <v>355.42</v>
      </c>
      <c r="I30" s="1056"/>
      <c r="J30" s="1111"/>
      <c r="K30" s="1115" t="s">
        <v>2015</v>
      </c>
    </row>
    <row r="31" spans="1:11" ht="15.75">
      <c r="A31" s="1037">
        <v>45421</v>
      </c>
      <c r="B31" s="1038">
        <v>45792</v>
      </c>
      <c r="C31" s="1025" t="s">
        <v>2572</v>
      </c>
      <c r="D31" s="1026" t="s">
        <v>448</v>
      </c>
      <c r="E31" s="1026" t="s">
        <v>458</v>
      </c>
      <c r="F31" s="1059">
        <v>2321.44</v>
      </c>
      <c r="G31" s="1054">
        <v>0.15</v>
      </c>
      <c r="H31" s="1055">
        <v>320.35000000000002</v>
      </c>
      <c r="I31" s="1056"/>
      <c r="J31" s="1111"/>
      <c r="K31" s="1115" t="s">
        <v>2015</v>
      </c>
    </row>
    <row r="32" spans="1:11" ht="15.75">
      <c r="A32" s="1039">
        <v>45425</v>
      </c>
      <c r="B32" s="1039">
        <v>45793</v>
      </c>
      <c r="C32" s="1025" t="s">
        <v>2573</v>
      </c>
      <c r="D32" s="1025" t="s">
        <v>9</v>
      </c>
      <c r="E32" s="1025" t="s">
        <v>458</v>
      </c>
      <c r="F32" s="1092">
        <v>2461.16</v>
      </c>
      <c r="G32" s="1062">
        <v>0.15</v>
      </c>
      <c r="H32" s="1055">
        <v>339.64</v>
      </c>
      <c r="I32" s="1242"/>
      <c r="J32" s="1025"/>
      <c r="K32" s="1115" t="s">
        <v>2015</v>
      </c>
    </row>
    <row r="33" spans="1:11" ht="15.75">
      <c r="A33" s="1037">
        <v>45428</v>
      </c>
      <c r="B33" s="1038">
        <v>45793</v>
      </c>
      <c r="C33" s="1025" t="s">
        <v>2574</v>
      </c>
      <c r="D33" s="1026" t="s">
        <v>448</v>
      </c>
      <c r="E33" s="1026" t="s">
        <v>19</v>
      </c>
      <c r="F33" s="1059">
        <v>2415.9699999999998</v>
      </c>
      <c r="G33" s="1054">
        <v>0.1</v>
      </c>
      <c r="H33" s="1055">
        <v>222.26</v>
      </c>
      <c r="I33" s="1056"/>
      <c r="J33" s="1111"/>
      <c r="K33" s="1115" t="s">
        <v>2015</v>
      </c>
    </row>
    <row r="34" spans="1:11" ht="15.75">
      <c r="A34" s="1037">
        <v>45429</v>
      </c>
      <c r="B34" s="1038">
        <v>45794</v>
      </c>
      <c r="C34" s="1026" t="s">
        <v>2575</v>
      </c>
      <c r="D34" s="1026" t="s">
        <v>70</v>
      </c>
      <c r="E34" s="1026" t="s">
        <v>279</v>
      </c>
      <c r="F34" s="1059">
        <v>741.09</v>
      </c>
      <c r="G34" s="1054">
        <v>0.1</v>
      </c>
      <c r="H34" s="1055">
        <v>68.180000000000007</v>
      </c>
      <c r="I34" s="1056"/>
      <c r="J34" s="1111"/>
      <c r="K34" s="1115" t="s">
        <v>2015</v>
      </c>
    </row>
    <row r="35" spans="1:11" ht="15.75">
      <c r="A35" s="1037">
        <v>45428</v>
      </c>
      <c r="B35" s="1038">
        <v>45796</v>
      </c>
      <c r="C35" s="1026" t="s">
        <v>2556</v>
      </c>
      <c r="D35" s="1026" t="s">
        <v>448</v>
      </c>
      <c r="E35" s="1026" t="s">
        <v>948</v>
      </c>
      <c r="F35" s="1053">
        <v>1391.99</v>
      </c>
      <c r="G35" s="1054">
        <v>0.15</v>
      </c>
      <c r="H35" s="1023">
        <v>192.09</v>
      </c>
      <c r="I35" s="1056"/>
      <c r="J35" s="1111"/>
      <c r="K35" s="1115" t="s">
        <v>2015</v>
      </c>
    </row>
    <row r="36" spans="1:11" ht="15.75">
      <c r="A36" s="1037">
        <v>45435</v>
      </c>
      <c r="B36" s="1038">
        <v>45798</v>
      </c>
      <c r="C36" s="1025" t="s">
        <v>2557</v>
      </c>
      <c r="D36" s="1026" t="s">
        <v>448</v>
      </c>
      <c r="E36" s="1026" t="s">
        <v>948</v>
      </c>
      <c r="F36" s="1059">
        <v>5644.94</v>
      </c>
      <c r="G36" s="1054">
        <v>0.22</v>
      </c>
      <c r="H36" s="1055">
        <v>1142.53</v>
      </c>
      <c r="I36" s="1056"/>
      <c r="J36" s="1111"/>
      <c r="K36" s="1115" t="s">
        <v>2015</v>
      </c>
    </row>
    <row r="37" spans="1:11" ht="15.75">
      <c r="A37" s="1037">
        <v>45435</v>
      </c>
      <c r="B37" s="1038">
        <v>45798</v>
      </c>
      <c r="C37" s="1026" t="s">
        <v>2558</v>
      </c>
      <c r="D37" s="1026" t="s">
        <v>9</v>
      </c>
      <c r="E37" s="1025" t="s">
        <v>948</v>
      </c>
      <c r="F37" s="1092">
        <v>1731.12</v>
      </c>
      <c r="G37" s="1062">
        <v>0.15</v>
      </c>
      <c r="H37" s="1055">
        <v>238.89</v>
      </c>
      <c r="I37" s="1056"/>
      <c r="J37" s="1111"/>
      <c r="K37" s="1115" t="s">
        <v>2015</v>
      </c>
    </row>
    <row r="38" spans="1:11" ht="15.75">
      <c r="A38" s="1037">
        <v>45425</v>
      </c>
      <c r="B38" s="1038">
        <v>45798</v>
      </c>
      <c r="C38" s="1026" t="s">
        <v>2576</v>
      </c>
      <c r="D38" s="1026" t="s">
        <v>9</v>
      </c>
      <c r="E38" s="1026" t="s">
        <v>29</v>
      </c>
      <c r="F38" s="1059">
        <v>1640.99</v>
      </c>
      <c r="G38" s="1054">
        <v>0.15</v>
      </c>
      <c r="H38" s="1055">
        <v>226.45</v>
      </c>
      <c r="I38" s="1056"/>
      <c r="J38" s="1111"/>
      <c r="K38" s="1115" t="s">
        <v>2015</v>
      </c>
    </row>
    <row r="39" spans="1:11" ht="15.75">
      <c r="A39" s="1037">
        <v>45435</v>
      </c>
      <c r="B39" s="1039">
        <v>45799</v>
      </c>
      <c r="C39" s="1025" t="s">
        <v>2577</v>
      </c>
      <c r="D39" s="1026" t="s">
        <v>448</v>
      </c>
      <c r="E39" s="1025" t="s">
        <v>458</v>
      </c>
      <c r="F39" s="1092">
        <v>3018.65</v>
      </c>
      <c r="G39" s="1062">
        <v>0.1</v>
      </c>
      <c r="H39" s="1055">
        <v>277.70999999999998</v>
      </c>
      <c r="I39" s="1056"/>
      <c r="J39" s="1111"/>
      <c r="K39" s="1115" t="s">
        <v>2015</v>
      </c>
    </row>
    <row r="40" spans="1:11" ht="15.75">
      <c r="A40" s="1037">
        <v>45435</v>
      </c>
      <c r="B40" s="1038">
        <v>45800</v>
      </c>
      <c r="C40" s="1026" t="s">
        <v>2578</v>
      </c>
      <c r="D40" s="1026" t="s">
        <v>448</v>
      </c>
      <c r="E40" s="1026" t="s">
        <v>948</v>
      </c>
      <c r="F40" s="1059">
        <v>3008.12</v>
      </c>
      <c r="G40" s="1054">
        <v>0.1</v>
      </c>
      <c r="H40" s="1055">
        <v>276.74</v>
      </c>
      <c r="I40" s="1056"/>
      <c r="J40" s="1111"/>
      <c r="K40" s="1115" t="s">
        <v>2015</v>
      </c>
    </row>
    <row r="41" spans="1:11" ht="15.75">
      <c r="A41" s="1037">
        <v>45435</v>
      </c>
      <c r="B41" s="1038">
        <v>45800</v>
      </c>
      <c r="C41" s="1026" t="s">
        <v>2579</v>
      </c>
      <c r="D41" s="1026" t="s">
        <v>1862</v>
      </c>
      <c r="E41" s="1026" t="s">
        <v>45</v>
      </c>
      <c r="F41" s="1059">
        <v>1871.18</v>
      </c>
      <c r="G41" s="1054">
        <v>0.1</v>
      </c>
      <c r="H41" s="1055">
        <v>172.14</v>
      </c>
      <c r="I41" s="1056"/>
      <c r="J41" s="1111"/>
      <c r="K41" s="1115" t="s">
        <v>2015</v>
      </c>
    </row>
    <row r="42" spans="1:11" ht="15.75">
      <c r="A42" s="1037">
        <v>45439</v>
      </c>
      <c r="B42" s="1038">
        <v>45801</v>
      </c>
      <c r="C42" s="1026" t="s">
        <v>2580</v>
      </c>
      <c r="D42" s="1026" t="s">
        <v>61</v>
      </c>
      <c r="E42" s="1026" t="s">
        <v>948</v>
      </c>
      <c r="F42" s="1053">
        <v>797.25</v>
      </c>
      <c r="G42" s="1054">
        <v>0.15</v>
      </c>
      <c r="H42" s="1023">
        <v>110.02</v>
      </c>
      <c r="I42" s="1056"/>
      <c r="J42" s="1111"/>
      <c r="K42" s="1115" t="s">
        <v>2015</v>
      </c>
    </row>
    <row r="43" spans="1:11" ht="15.75">
      <c r="A43" s="1037">
        <v>45436</v>
      </c>
      <c r="B43" s="1038">
        <v>45802</v>
      </c>
      <c r="C43" s="1026" t="s">
        <v>2581</v>
      </c>
      <c r="D43" s="1026" t="s">
        <v>448</v>
      </c>
      <c r="E43" s="1026" t="s">
        <v>279</v>
      </c>
      <c r="F43" s="1059">
        <v>3052.78</v>
      </c>
      <c r="G43" s="1054">
        <v>0.1</v>
      </c>
      <c r="H43" s="1055">
        <v>280.85000000000002</v>
      </c>
      <c r="I43" s="1056"/>
      <c r="J43" s="1111"/>
      <c r="K43" s="1115" t="s">
        <v>2015</v>
      </c>
    </row>
    <row r="44" spans="1:11" s="1070" customFormat="1" ht="15.75">
      <c r="A44" s="1037">
        <v>45436</v>
      </c>
      <c r="B44" s="1038">
        <v>45802</v>
      </c>
      <c r="C44" s="1026" t="s">
        <v>2582</v>
      </c>
      <c r="D44" s="1026" t="s">
        <v>21</v>
      </c>
      <c r="E44" s="1026" t="s">
        <v>1310</v>
      </c>
      <c r="F44" s="1059">
        <v>2215.37</v>
      </c>
      <c r="G44" s="1054">
        <v>0.1</v>
      </c>
      <c r="H44" s="1055">
        <v>203.81</v>
      </c>
      <c r="I44" s="1056"/>
      <c r="J44" s="1111"/>
      <c r="K44" s="1115" t="s">
        <v>2015</v>
      </c>
    </row>
    <row r="45" spans="1:11" ht="15.75">
      <c r="A45" s="1037">
        <v>45434</v>
      </c>
      <c r="B45" s="1038">
        <v>45804</v>
      </c>
      <c r="C45" s="1025" t="s">
        <v>2583</v>
      </c>
      <c r="D45" s="1026" t="s">
        <v>448</v>
      </c>
      <c r="E45" s="1026" t="s">
        <v>948</v>
      </c>
      <c r="F45" s="1059">
        <v>3466.96</v>
      </c>
      <c r="G45" s="1054">
        <v>0.1</v>
      </c>
      <c r="H45" s="1055">
        <v>318.95999999999998</v>
      </c>
      <c r="I45" s="1056"/>
      <c r="J45" s="1111"/>
      <c r="K45" s="1115" t="s">
        <v>2015</v>
      </c>
    </row>
    <row r="46" spans="1:11" ht="15.75">
      <c r="A46" s="1037">
        <v>45439</v>
      </c>
      <c r="B46" s="1038">
        <v>45804</v>
      </c>
      <c r="C46" s="314" t="s">
        <v>2584</v>
      </c>
      <c r="D46" s="1026" t="s">
        <v>448</v>
      </c>
      <c r="E46" s="1026" t="s">
        <v>279</v>
      </c>
      <c r="F46" s="1059">
        <v>680.57</v>
      </c>
      <c r="G46" s="1054">
        <v>0.25</v>
      </c>
      <c r="H46" s="1055">
        <v>156.53</v>
      </c>
      <c r="I46" s="1056"/>
      <c r="J46" s="1111"/>
      <c r="K46" s="1115" t="s">
        <v>2015</v>
      </c>
    </row>
    <row r="47" spans="1:11" ht="15.75">
      <c r="A47" s="1037">
        <v>45439</v>
      </c>
      <c r="B47" s="1038">
        <v>45804</v>
      </c>
      <c r="C47" s="1026" t="s">
        <v>2585</v>
      </c>
      <c r="D47" s="1026" t="s">
        <v>9</v>
      </c>
      <c r="E47" s="1026" t="s">
        <v>458</v>
      </c>
      <c r="F47" s="1059">
        <v>4753.1499999999996</v>
      </c>
      <c r="G47" s="1054">
        <v>0.1</v>
      </c>
      <c r="H47" s="1055">
        <v>437.28</v>
      </c>
      <c r="I47" s="1056"/>
      <c r="J47" s="1111"/>
      <c r="K47" s="1115" t="s">
        <v>2015</v>
      </c>
    </row>
    <row r="48" spans="1:11" ht="15.75">
      <c r="A48" s="1037">
        <v>45440</v>
      </c>
      <c r="B48" s="1038">
        <v>45805</v>
      </c>
      <c r="C48" s="1026" t="s">
        <v>2586</v>
      </c>
      <c r="D48" s="1026" t="s">
        <v>25</v>
      </c>
      <c r="E48" s="1026" t="s">
        <v>948</v>
      </c>
      <c r="F48" s="1059">
        <v>1788.15</v>
      </c>
      <c r="G48" s="1054">
        <v>0.1</v>
      </c>
      <c r="H48" s="1055">
        <v>164.5</v>
      </c>
      <c r="I48" s="1056"/>
      <c r="J48" s="1111"/>
      <c r="K48" s="1115" t="s">
        <v>2015</v>
      </c>
    </row>
    <row r="49" spans="1:11" ht="15.75">
      <c r="A49" s="1037">
        <v>45441</v>
      </c>
      <c r="B49" s="1038">
        <v>45806</v>
      </c>
      <c r="C49" s="1026" t="s">
        <v>2236</v>
      </c>
      <c r="D49" s="1026" t="s">
        <v>61</v>
      </c>
      <c r="E49" s="1026" t="s">
        <v>29</v>
      </c>
      <c r="F49" s="1059">
        <v>1591.82</v>
      </c>
      <c r="G49" s="1054">
        <v>0.15</v>
      </c>
      <c r="H49" s="1055">
        <v>219.67</v>
      </c>
      <c r="I49" s="1056"/>
      <c r="J49" s="1111"/>
      <c r="K49" s="1115" t="s">
        <v>2015</v>
      </c>
    </row>
    <row r="50" spans="1:11" s="1357" customFormat="1" ht="15.75">
      <c r="A50" s="1037">
        <v>45532</v>
      </c>
      <c r="B50" s="1038">
        <v>45807</v>
      </c>
      <c r="C50" s="1026" t="s">
        <v>2587</v>
      </c>
      <c r="D50" s="1026" t="s">
        <v>25</v>
      </c>
      <c r="E50" s="1026" t="s">
        <v>948</v>
      </c>
      <c r="F50" s="1059">
        <v>1919.4</v>
      </c>
      <c r="G50" s="1054">
        <v>0.15</v>
      </c>
      <c r="H50" s="1055">
        <v>264.87</v>
      </c>
      <c r="I50" s="1056"/>
      <c r="J50" s="1111"/>
      <c r="K50" s="1115" t="s">
        <v>2015</v>
      </c>
    </row>
    <row r="51" spans="1:11" s="1357" customFormat="1" ht="15.75">
      <c r="A51" s="1037">
        <v>45414</v>
      </c>
      <c r="B51" s="1038" t="s">
        <v>1805</v>
      </c>
      <c r="C51" s="1026" t="s">
        <v>1261</v>
      </c>
      <c r="D51" s="1026" t="s">
        <v>61</v>
      </c>
      <c r="E51" s="1026" t="s">
        <v>438</v>
      </c>
      <c r="F51" s="1059">
        <v>502.55</v>
      </c>
      <c r="G51" s="1054">
        <v>0.1</v>
      </c>
      <c r="H51" s="1055">
        <v>46.23</v>
      </c>
      <c r="I51" s="1056"/>
      <c r="J51" s="1111"/>
      <c r="K51" s="1116" t="s">
        <v>1805</v>
      </c>
    </row>
    <row r="52" spans="1:11" s="1070" customFormat="1" ht="15.75">
      <c r="A52" s="1037">
        <v>45429</v>
      </c>
      <c r="B52" s="1038" t="s">
        <v>1805</v>
      </c>
      <c r="C52" s="1140" t="s">
        <v>2588</v>
      </c>
      <c r="D52" s="1026" t="s">
        <v>1862</v>
      </c>
      <c r="E52" s="1026" t="s">
        <v>948</v>
      </c>
      <c r="F52" s="1059">
        <v>816.94</v>
      </c>
      <c r="G52" s="1054">
        <v>0.1</v>
      </c>
      <c r="H52" s="1055">
        <v>84.35</v>
      </c>
      <c r="I52" s="1056"/>
      <c r="J52" s="1111"/>
      <c r="K52" s="1115" t="s">
        <v>1805</v>
      </c>
    </row>
    <row r="53" spans="1:11" ht="16.5" thickBot="1">
      <c r="A53" s="1037"/>
      <c r="B53" s="1038"/>
      <c r="C53" s="1026" t="s">
        <v>442</v>
      </c>
      <c r="D53" s="1026"/>
      <c r="E53" s="1026"/>
      <c r="F53" s="1059"/>
      <c r="G53" s="1054"/>
      <c r="H53" s="1055"/>
      <c r="I53" s="1056"/>
      <c r="J53" s="1111"/>
      <c r="K53" s="1115"/>
    </row>
    <row r="54" spans="1:11" ht="20.25" thickBot="1">
      <c r="A54" s="1158"/>
      <c r="B54" s="1159"/>
      <c r="C54" s="1159"/>
      <c r="D54" s="1159"/>
      <c r="E54" s="1159"/>
      <c r="F54" s="1160">
        <f>SUM(F2:F9,F10:F53)</f>
        <v>119153.45999999999</v>
      </c>
      <c r="G54" s="1161"/>
      <c r="H54" s="1162">
        <f>SUM(H2:H53)</f>
        <v>12869.620000000003</v>
      </c>
      <c r="I54" s="1163">
        <f>SUM(I2:I53)</f>
        <v>838.95</v>
      </c>
      <c r="J54" s="1164"/>
      <c r="K54" s="1157"/>
    </row>
    <row r="55" spans="1:11" ht="15.75" customHeight="1">
      <c r="A55" s="1037"/>
      <c r="B55" s="1038"/>
      <c r="C55" s="1026"/>
      <c r="D55" s="1026"/>
      <c r="E55" s="1026"/>
      <c r="F55" s="1059"/>
      <c r="G55" s="1054"/>
      <c r="H55" s="1269"/>
      <c r="I55" s="1056"/>
      <c r="J55" s="1111"/>
      <c r="K55" s="1116"/>
    </row>
    <row r="56" spans="1:11" ht="15.75" customHeight="1">
      <c r="A56" s="1037"/>
      <c r="B56" s="1037"/>
      <c r="C56" s="1026"/>
      <c r="D56" s="1026"/>
      <c r="E56" s="1026"/>
      <c r="F56" s="1059"/>
      <c r="G56" s="1054"/>
      <c r="H56" s="1269"/>
      <c r="I56" s="1056"/>
      <c r="J56" s="1111"/>
      <c r="K56" s="1116"/>
    </row>
    <row r="57" spans="1:11" ht="15.75" customHeight="1">
      <c r="A57" s="1037"/>
      <c r="B57" s="1038"/>
      <c r="C57" s="1026"/>
      <c r="D57" s="1026"/>
      <c r="E57" s="1026"/>
      <c r="F57" s="1059"/>
      <c r="G57" s="1054"/>
      <c r="H57" s="1269"/>
      <c r="I57" s="1056"/>
      <c r="J57" s="1111"/>
      <c r="K57" s="1116"/>
    </row>
    <row r="58" spans="1:11" ht="15.75" customHeight="1">
      <c r="A58" s="1037"/>
      <c r="B58" s="1038"/>
      <c r="C58" s="1026"/>
      <c r="D58" s="1026"/>
      <c r="E58" s="1026"/>
      <c r="F58" s="1059"/>
      <c r="G58" s="1054"/>
      <c r="H58" s="1269"/>
      <c r="I58" s="1056"/>
      <c r="J58" s="1111"/>
      <c r="K58" s="1116"/>
    </row>
    <row r="59" spans="1:11" ht="15.75" customHeight="1">
      <c r="A59" s="1037"/>
      <c r="B59" s="1038"/>
      <c r="C59" s="1026"/>
      <c r="D59" s="1026"/>
      <c r="E59" s="1026"/>
      <c r="F59" s="1059"/>
      <c r="G59" s="1054"/>
      <c r="H59" s="1269"/>
      <c r="I59" s="1056"/>
      <c r="J59" s="1111"/>
      <c r="K59" s="1116"/>
    </row>
    <row r="60" spans="1:11" ht="15.75" customHeight="1">
      <c r="A60" s="1037"/>
      <c r="B60" s="1038"/>
      <c r="C60" s="1026"/>
      <c r="D60" s="1026"/>
      <c r="E60" s="1026"/>
      <c r="F60" s="1059"/>
      <c r="G60" s="1054"/>
      <c r="H60" s="1269"/>
      <c r="I60" s="1056"/>
      <c r="J60" s="1111"/>
      <c r="K60" s="1116"/>
    </row>
    <row r="61" spans="1:11" ht="15.75" customHeight="1">
      <c r="A61" s="1037"/>
      <c r="B61" s="1038"/>
      <c r="C61" s="1026"/>
      <c r="D61" s="1026"/>
      <c r="E61" s="1026"/>
      <c r="F61" s="1059"/>
      <c r="G61" s="1054"/>
      <c r="H61" s="1269"/>
      <c r="I61" s="1056"/>
      <c r="J61" s="1111"/>
      <c r="K61" s="1116"/>
    </row>
    <row r="62" spans="1:11" ht="15.75" customHeight="1">
      <c r="A62" s="1037"/>
      <c r="B62" s="1038"/>
      <c r="C62" s="1026"/>
      <c r="D62" s="1026"/>
      <c r="E62" s="1026"/>
      <c r="F62" s="1059"/>
      <c r="G62" s="1054"/>
      <c r="H62" s="1269"/>
      <c r="I62" s="1056"/>
      <c r="J62" s="1111"/>
      <c r="K62" s="1116"/>
    </row>
    <row r="63" spans="1:11" ht="15.75" customHeight="1">
      <c r="A63" s="1037"/>
      <c r="B63" s="1038"/>
      <c r="C63" s="1026"/>
      <c r="D63" s="1026"/>
      <c r="E63" s="1026"/>
      <c r="F63" s="1059"/>
      <c r="G63" s="1054"/>
      <c r="H63" s="1269"/>
      <c r="I63" s="1056"/>
      <c r="J63" s="1111"/>
      <c r="K63" s="1116"/>
    </row>
    <row r="64" spans="1:11" ht="15.75" customHeight="1">
      <c r="A64" s="1037"/>
      <c r="B64" s="1038"/>
      <c r="C64" s="1026"/>
      <c r="D64" s="1026"/>
      <c r="E64" s="1026"/>
      <c r="F64" s="1059"/>
      <c r="G64" s="1054"/>
      <c r="H64" s="1269"/>
      <c r="I64" s="1056"/>
      <c r="J64" s="1111"/>
      <c r="K64" s="1262"/>
    </row>
    <row r="65" spans="1:11" ht="15.75" customHeight="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116"/>
    </row>
    <row r="66" spans="1:11" ht="15.75" customHeight="1">
      <c r="A66" s="1037"/>
      <c r="B66" s="1038"/>
      <c r="C66" s="1026"/>
      <c r="D66" s="1026"/>
      <c r="E66" s="1026"/>
      <c r="F66" s="1059"/>
      <c r="G66" s="1059"/>
      <c r="H66" s="1269"/>
      <c r="I66" s="1056"/>
      <c r="J66" s="1111"/>
      <c r="K66" s="1116"/>
    </row>
    <row r="67" spans="1:11" ht="15.75" customHeight="1">
      <c r="A67" s="1037"/>
      <c r="B67" s="1038"/>
      <c r="C67" s="1026"/>
      <c r="D67" s="1026"/>
      <c r="E67" s="1026"/>
      <c r="F67" s="1059"/>
      <c r="G67" s="1059"/>
      <c r="H67" s="1269"/>
      <c r="I67" s="1056"/>
      <c r="J67" s="1111"/>
      <c r="K67" s="1262"/>
    </row>
    <row r="68" spans="1:11" ht="15.75" customHeight="1">
      <c r="A68" s="1037"/>
      <c r="B68" s="1038"/>
      <c r="C68" s="1026"/>
      <c r="D68" s="1026"/>
      <c r="E68" s="1026"/>
      <c r="F68" s="1059"/>
      <c r="G68" s="1059"/>
      <c r="H68" s="1269"/>
      <c r="I68" s="1056"/>
      <c r="J68" s="1111"/>
      <c r="K68" s="505"/>
    </row>
    <row r="69" spans="1:11" ht="15.75" customHeight="1">
      <c r="A69" s="1037"/>
      <c r="B69" s="1038"/>
      <c r="C69" s="1026"/>
      <c r="D69" s="1026"/>
      <c r="E69" s="1026"/>
      <c r="F69" s="1059"/>
      <c r="G69" s="1054"/>
      <c r="H69" s="1269"/>
      <c r="I69" s="1056"/>
      <c r="J69" s="1111"/>
      <c r="K69" s="1116"/>
    </row>
    <row r="70" spans="1:11" ht="15.75" customHeight="1">
      <c r="A70" s="1037"/>
      <c r="B70" s="1038"/>
      <c r="C70" s="1026"/>
      <c r="D70" s="1026"/>
      <c r="E70" s="1026"/>
      <c r="F70" s="1059"/>
      <c r="G70" s="1054"/>
      <c r="H70" s="1269"/>
      <c r="I70" s="1056"/>
      <c r="J70" s="1111"/>
      <c r="K70" s="1116"/>
    </row>
    <row r="71" spans="1:11" ht="15.75" customHeight="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116"/>
    </row>
    <row r="72" spans="1:11" ht="15.75">
      <c r="A72" s="1037"/>
      <c r="B72" s="1038"/>
      <c r="C72" s="1026"/>
      <c r="D72" s="1026"/>
      <c r="E72" s="1026"/>
      <c r="F72" s="1059"/>
      <c r="G72" s="1054"/>
      <c r="H72" s="1269"/>
      <c r="I72" s="1056"/>
      <c r="J72" s="1111"/>
      <c r="K72" s="1116"/>
    </row>
    <row r="73" spans="1:11" ht="15.75">
      <c r="A73" s="1037"/>
      <c r="B73" s="1038"/>
      <c r="C73" s="1026"/>
      <c r="D73" s="1026"/>
      <c r="E73" s="1026"/>
      <c r="F73" s="1059"/>
      <c r="G73" s="1054"/>
      <c r="H73" s="1269"/>
      <c r="I73" s="1056"/>
      <c r="J73" s="1111"/>
      <c r="K73" s="1116"/>
    </row>
    <row r="74" spans="1:11" ht="15.75">
      <c r="A74" s="1037"/>
      <c r="B74" s="1038"/>
      <c r="C74" s="1025"/>
      <c r="D74" s="1025"/>
      <c r="E74" s="1025"/>
      <c r="F74" s="1059"/>
      <c r="G74" s="1062"/>
      <c r="H74" s="1055"/>
      <c r="I74" s="1056"/>
      <c r="J74" s="1111"/>
      <c r="K74" s="1116"/>
    </row>
    <row r="75" spans="1:11" ht="15.75">
      <c r="A75" s="1037"/>
      <c r="B75" s="1039"/>
      <c r="C75" s="1025"/>
      <c r="D75" s="1025"/>
      <c r="E75" s="1025"/>
      <c r="F75" s="1059"/>
      <c r="G75" s="1054"/>
      <c r="H75" s="1269"/>
      <c r="I75" s="1056"/>
      <c r="J75" s="1111"/>
      <c r="K75" s="1116"/>
    </row>
    <row r="76" spans="1:11" ht="15.75">
      <c r="A76" s="1037"/>
      <c r="B76" s="1038"/>
      <c r="C76" s="1026"/>
      <c r="D76" s="1026"/>
      <c r="E76" s="1026"/>
      <c r="F76" s="1059"/>
      <c r="G76" s="1054"/>
      <c r="H76" s="1269"/>
      <c r="I76" s="1056"/>
      <c r="J76" s="1111"/>
      <c r="K76" s="1116"/>
    </row>
    <row r="77" spans="1:11" ht="15.75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1116"/>
    </row>
    <row r="78" spans="1:11" ht="15.75">
      <c r="A78" s="1037"/>
      <c r="B78" s="1038"/>
      <c r="C78" s="1026"/>
      <c r="D78" s="1026"/>
      <c r="E78" s="1026"/>
      <c r="F78" s="1059"/>
      <c r="G78" s="1054"/>
      <c r="H78" s="1269"/>
      <c r="I78" s="1056"/>
      <c r="J78" s="1111"/>
      <c r="K78" s="1116"/>
    </row>
    <row r="79" spans="1:11" ht="15.75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1116"/>
    </row>
    <row r="80" spans="1:11" ht="15.75">
      <c r="A80" s="1037"/>
      <c r="B80" s="1038"/>
      <c r="C80" s="1026"/>
      <c r="D80" s="1026"/>
      <c r="E80" s="1026"/>
      <c r="F80" s="1059"/>
      <c r="G80" s="1054"/>
      <c r="H80" s="1269"/>
      <c r="I80" s="1056"/>
      <c r="J80" s="1111"/>
      <c r="K80" s="1116"/>
    </row>
    <row r="81" spans="1:11" ht="15.75">
      <c r="A81" s="1037"/>
      <c r="B81" s="1038"/>
      <c r="C81" s="1026"/>
      <c r="D81" s="1026"/>
      <c r="E81" s="1026"/>
      <c r="F81" s="1059"/>
      <c r="G81" s="1054"/>
      <c r="H81" s="1269"/>
      <c r="I81" s="1056"/>
      <c r="J81" s="1111"/>
      <c r="K81" s="1116"/>
    </row>
    <row r="82" spans="1:11" ht="15.75">
      <c r="A82" s="1037"/>
      <c r="B82" s="1038"/>
      <c r="C82" s="1026"/>
      <c r="D82" s="1026"/>
      <c r="E82" s="1026"/>
      <c r="F82" s="1059"/>
      <c r="G82" s="1054"/>
      <c r="H82" s="1269"/>
      <c r="I82" s="1056"/>
      <c r="J82" s="1111"/>
      <c r="K82" s="1116"/>
    </row>
    <row r="83" spans="1:11" ht="15.75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1116"/>
    </row>
    <row r="84" spans="1:11" ht="15.75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116"/>
    </row>
    <row r="85" spans="1:11" ht="15.75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116"/>
    </row>
    <row r="86" spans="1:11" ht="15.75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116"/>
    </row>
    <row r="87" spans="1:11" ht="15.75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6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116"/>
    </row>
    <row r="89" spans="1:11">
      <c r="A89" s="1037"/>
      <c r="B89" s="1038"/>
      <c r="C89" s="1026"/>
      <c r="D89" s="1026"/>
      <c r="E89" s="1026"/>
      <c r="F89" s="1059"/>
      <c r="G89" s="1059"/>
      <c r="H89" s="1269"/>
      <c r="I89" s="1056"/>
      <c r="J89" s="1111"/>
      <c r="K89" s="1262"/>
    </row>
    <row r="90" spans="1:11">
      <c r="A90" s="1037"/>
      <c r="B90" s="1038"/>
      <c r="C90" s="1026"/>
      <c r="D90" s="1026"/>
      <c r="E90" s="1026"/>
      <c r="F90" s="1059"/>
      <c r="G90" s="1059"/>
      <c r="H90" s="1269"/>
      <c r="I90" s="1056"/>
      <c r="J90" s="1111"/>
      <c r="K90" s="1262"/>
    </row>
    <row r="91" spans="1:11">
      <c r="A91" s="1037"/>
      <c r="B91" s="1038"/>
      <c r="C91" s="1026"/>
      <c r="D91" s="1026"/>
      <c r="E91" s="1026"/>
      <c r="F91" s="1059"/>
      <c r="G91" s="1059"/>
      <c r="H91" s="1269"/>
      <c r="I91" s="1056"/>
      <c r="J91" s="1111"/>
      <c r="K91" s="505"/>
    </row>
    <row r="92" spans="1:11" ht="15.75">
      <c r="A92" s="1037"/>
      <c r="B92" s="1038"/>
      <c r="C92" s="1026"/>
      <c r="D92" s="1026"/>
      <c r="E92" s="1026"/>
      <c r="F92" s="1059"/>
      <c r="G92" s="1054"/>
      <c r="H92" s="1269"/>
      <c r="I92" s="1056"/>
      <c r="J92" s="1111"/>
      <c r="K92" s="1116"/>
    </row>
    <row r="93" spans="1:11">
      <c r="A93" s="1037"/>
      <c r="B93" s="1038"/>
      <c r="C93" s="1026"/>
      <c r="D93" s="1026"/>
      <c r="E93" s="1026"/>
      <c r="F93" s="1059"/>
      <c r="G93" s="1059"/>
      <c r="H93" s="1269"/>
      <c r="I93" s="1056"/>
      <c r="J93" s="1111"/>
      <c r="K93" s="1262"/>
    </row>
    <row r="94" spans="1:11">
      <c r="A94" s="1037"/>
      <c r="B94" s="1038"/>
      <c r="C94" s="1026"/>
      <c r="D94" s="1026"/>
      <c r="E94" s="1026"/>
      <c r="F94" s="1059"/>
      <c r="G94" s="1059"/>
      <c r="H94" s="1269"/>
      <c r="I94" s="1056"/>
      <c r="J94" s="1111"/>
      <c r="K94" s="1262"/>
    </row>
    <row r="95" spans="1:11">
      <c r="A95" s="1037"/>
      <c r="B95" s="1038"/>
      <c r="C95" s="1026"/>
      <c r="D95" s="1026"/>
      <c r="E95" s="1026"/>
      <c r="F95" s="1059"/>
      <c r="G95" s="1059"/>
      <c r="H95" s="1269"/>
      <c r="I95" s="1056"/>
      <c r="J95" s="1111"/>
      <c r="K95" s="505"/>
    </row>
    <row r="96" spans="1:11" ht="15.75">
      <c r="A96" s="1037"/>
      <c r="B96" s="1038"/>
      <c r="C96" s="1026"/>
      <c r="D96" s="1026"/>
      <c r="E96" s="1026"/>
      <c r="F96" s="1059"/>
      <c r="G96" s="1054"/>
      <c r="H96" s="1269"/>
      <c r="I96" s="1056"/>
      <c r="J96" s="1111"/>
      <c r="K96" s="1116"/>
    </row>
    <row r="97" spans="1:11" ht="15.75">
      <c r="A97" s="1037"/>
      <c r="B97" s="1038"/>
      <c r="C97" s="1026"/>
      <c r="D97" s="1026"/>
      <c r="E97" s="1026"/>
      <c r="F97" s="1059"/>
      <c r="G97" s="1054"/>
      <c r="H97" s="1269"/>
      <c r="I97" s="1056"/>
      <c r="J97" s="1111"/>
      <c r="K97" s="1116"/>
    </row>
    <row r="98" spans="1:11">
      <c r="A98" s="1037"/>
      <c r="B98" s="1038"/>
      <c r="C98" s="1026"/>
      <c r="D98" s="1026"/>
      <c r="E98" s="1026"/>
      <c r="F98" s="1059"/>
      <c r="G98" s="1059"/>
      <c r="H98" s="1269"/>
      <c r="I98" s="1056"/>
      <c r="J98" s="1111"/>
      <c r="K98" s="1262"/>
    </row>
    <row r="99" spans="1:11">
      <c r="A99" s="1037"/>
      <c r="B99" s="1038"/>
      <c r="C99" s="1026"/>
      <c r="D99" s="1026"/>
      <c r="E99" s="1026"/>
      <c r="F99" s="1059"/>
      <c r="G99" s="1059"/>
      <c r="H99" s="1269"/>
      <c r="I99" s="1056"/>
      <c r="J99" s="1111"/>
      <c r="K99" s="1262"/>
    </row>
    <row r="100" spans="1:11">
      <c r="A100" s="1037"/>
      <c r="B100" s="1038"/>
      <c r="C100" s="1026"/>
      <c r="D100" s="1026"/>
      <c r="E100" s="1026"/>
      <c r="F100" s="1059"/>
      <c r="G100" s="1059"/>
      <c r="H100" s="1269"/>
      <c r="I100" s="1056"/>
      <c r="J100" s="1111"/>
      <c r="K100" s="505"/>
    </row>
    <row r="101" spans="1:11">
      <c r="A101" s="1037"/>
      <c r="B101" s="1038"/>
      <c r="C101" s="1026"/>
      <c r="D101" s="1026"/>
      <c r="E101" s="1026"/>
      <c r="F101" s="1059"/>
      <c r="G101" s="1059"/>
      <c r="H101" s="1269"/>
      <c r="I101" s="1056"/>
      <c r="J101" s="1111"/>
      <c r="K101" s="1262"/>
    </row>
    <row r="102" spans="1:11">
      <c r="A102" s="1037"/>
      <c r="B102" s="1038"/>
      <c r="C102" s="1026"/>
      <c r="D102" s="1026"/>
      <c r="E102" s="1026"/>
      <c r="F102" s="1059"/>
      <c r="G102" s="1059"/>
      <c r="H102" s="1269"/>
      <c r="I102" s="1056"/>
      <c r="J102" s="1111"/>
      <c r="K102" s="505"/>
    </row>
    <row r="103" spans="1:11">
      <c r="A103" s="1037"/>
      <c r="B103" s="1038"/>
      <c r="C103" s="1026"/>
      <c r="D103" s="1026"/>
      <c r="E103" s="1026"/>
      <c r="F103" s="1059"/>
      <c r="G103" s="1059"/>
      <c r="H103" s="1269"/>
      <c r="I103" s="1056"/>
      <c r="J103" s="1111"/>
      <c r="K103" s="505"/>
    </row>
    <row r="104" spans="1:11" ht="15.75">
      <c r="A104" s="1037"/>
      <c r="B104" s="1038"/>
      <c r="C104" s="1026"/>
      <c r="D104" s="1026"/>
      <c r="E104" s="1026"/>
      <c r="F104" s="1059"/>
      <c r="G104" s="1054"/>
      <c r="H104" s="1269"/>
      <c r="I104" s="1056"/>
      <c r="J104" s="1111"/>
      <c r="K104" s="1116"/>
    </row>
    <row r="105" spans="1:11">
      <c r="A105" s="1037"/>
      <c r="B105" s="1038"/>
      <c r="C105" s="1026"/>
      <c r="D105" s="1026"/>
      <c r="E105" s="1026"/>
      <c r="F105" s="1059"/>
      <c r="G105" s="1059"/>
      <c r="H105" s="1269"/>
      <c r="I105" s="1056"/>
      <c r="J105" s="1111"/>
      <c r="K105" s="1262"/>
    </row>
    <row r="106" spans="1:11">
      <c r="A106" s="1037"/>
      <c r="B106" s="1038"/>
      <c r="C106" s="1026"/>
      <c r="D106" s="1026"/>
      <c r="E106" s="1026"/>
      <c r="F106" s="1059"/>
      <c r="G106" s="1059"/>
      <c r="H106" s="1269"/>
      <c r="I106" s="1056"/>
      <c r="J106" s="1111"/>
      <c r="K106" s="505"/>
    </row>
    <row r="107" spans="1:11">
      <c r="A107" s="1037"/>
      <c r="B107" s="1038"/>
      <c r="C107" s="1026"/>
      <c r="D107" s="1026"/>
      <c r="E107" s="1026"/>
      <c r="F107" s="1059"/>
      <c r="G107" s="1059"/>
      <c r="H107" s="1269"/>
      <c r="I107" s="1056"/>
      <c r="J107" s="1111"/>
      <c r="K107" s="505"/>
    </row>
    <row r="108" spans="1:11" ht="15.75">
      <c r="A108" s="1037"/>
      <c r="B108" s="1038"/>
      <c r="C108" s="1026"/>
      <c r="D108" s="1026"/>
      <c r="E108" s="1026"/>
      <c r="F108" s="1059"/>
      <c r="G108" s="1059"/>
      <c r="H108" s="1269"/>
      <c r="I108" s="1056"/>
      <c r="J108" s="1111"/>
      <c r="K108" s="1116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505"/>
    </row>
    <row r="110" spans="1:11">
      <c r="A110" s="1037"/>
      <c r="B110" s="1038"/>
      <c r="C110" s="1026"/>
      <c r="D110" s="1026"/>
      <c r="E110" s="1026"/>
      <c r="F110" s="1059"/>
      <c r="G110" s="1059"/>
      <c r="H110" s="1269"/>
      <c r="I110" s="1056"/>
      <c r="J110" s="1111"/>
      <c r="K110" s="505"/>
    </row>
    <row r="111" spans="1:11">
      <c r="A111" s="1037"/>
      <c r="B111" s="1038"/>
      <c r="C111" s="1026"/>
      <c r="D111" s="1026"/>
      <c r="E111" s="1026"/>
      <c r="F111" s="1059"/>
      <c r="G111" s="1059"/>
      <c r="H111" s="1269"/>
      <c r="I111" s="1056"/>
      <c r="J111" s="1111"/>
      <c r="K111" s="1262"/>
    </row>
    <row r="112" spans="1:11">
      <c r="A112" s="1037"/>
      <c r="B112" s="1038"/>
      <c r="C112" s="1026"/>
      <c r="D112" s="1026"/>
      <c r="E112" s="1026"/>
      <c r="F112" s="1059"/>
      <c r="G112" s="1059"/>
      <c r="H112" s="1269"/>
      <c r="I112" s="1056"/>
      <c r="J112" s="1111"/>
      <c r="K112" s="505"/>
    </row>
    <row r="113" spans="1:11">
      <c r="A113" s="1037"/>
      <c r="B113" s="1038"/>
      <c r="C113" s="1026"/>
      <c r="D113" s="1026"/>
      <c r="E113" s="1026"/>
      <c r="F113" s="1059"/>
      <c r="G113" s="1054"/>
      <c r="H113" s="1269"/>
      <c r="I113" s="1056"/>
      <c r="J113" s="1111"/>
      <c r="K113" s="505"/>
    </row>
    <row r="114" spans="1:11" ht="15.75">
      <c r="A114" s="1037"/>
      <c r="B114" s="1038"/>
      <c r="C114" s="1025"/>
      <c r="D114" s="1026"/>
      <c r="E114" s="1026"/>
      <c r="F114" s="1059"/>
      <c r="G114" s="1054"/>
      <c r="H114" s="1269"/>
      <c r="I114" s="1056"/>
      <c r="J114" s="1111"/>
      <c r="K114" s="1116"/>
    </row>
    <row r="115" spans="1:11" ht="15.75">
      <c r="A115" s="1037"/>
      <c r="B115" s="1038"/>
      <c r="C115" s="1026"/>
      <c r="D115" s="1026"/>
      <c r="E115" s="1026"/>
      <c r="F115" s="1059"/>
      <c r="G115" s="1054"/>
      <c r="H115" s="1269"/>
      <c r="I115" s="1056"/>
      <c r="J115" s="1111"/>
      <c r="K115" s="1116"/>
    </row>
    <row r="116" spans="1:11" ht="15.75">
      <c r="A116" s="1037"/>
      <c r="B116" s="1038"/>
      <c r="C116" s="1026"/>
      <c r="D116" s="1026"/>
      <c r="E116" s="1026"/>
      <c r="F116" s="1059"/>
      <c r="G116" s="1054"/>
      <c r="H116" s="1269"/>
      <c r="I116" s="1056"/>
      <c r="J116" s="1111"/>
      <c r="K116" s="1116"/>
    </row>
    <row r="117" spans="1:11" ht="15.75">
      <c r="A117" s="1037"/>
      <c r="B117" s="1038"/>
      <c r="C117" s="1026"/>
      <c r="D117" s="1026"/>
      <c r="E117" s="1026"/>
      <c r="F117" s="1059"/>
      <c r="G117" s="1054"/>
      <c r="H117" s="1269"/>
      <c r="I117" s="1056"/>
      <c r="J117" s="1111"/>
      <c r="K117" s="1116"/>
    </row>
    <row r="118" spans="1:11" ht="15.75">
      <c r="A118" s="1037"/>
      <c r="B118" s="1038"/>
      <c r="C118" s="1026"/>
      <c r="D118" s="1026"/>
      <c r="E118" s="1026"/>
      <c r="F118" s="1059"/>
      <c r="G118" s="1054"/>
      <c r="H118" s="1269"/>
      <c r="I118" s="1056"/>
      <c r="J118" s="1111"/>
      <c r="K118" s="1116"/>
    </row>
    <row r="119" spans="1:11">
      <c r="A119" s="1037"/>
      <c r="B119" s="1038"/>
      <c r="C119" s="1026"/>
      <c r="D119" s="1026"/>
      <c r="E119" s="1026"/>
      <c r="F119" s="1059"/>
      <c r="G119" s="1059"/>
      <c r="H119" s="1269"/>
      <c r="I119" s="1056"/>
      <c r="J119" s="1111"/>
      <c r="K119" s="1262"/>
    </row>
    <row r="120" spans="1:11">
      <c r="A120" s="1037"/>
      <c r="B120" s="1038"/>
      <c r="C120" s="1026"/>
      <c r="D120" s="1026"/>
      <c r="E120" s="1026"/>
      <c r="F120" s="1059"/>
      <c r="G120" s="1059"/>
      <c r="H120" s="1269"/>
      <c r="I120" s="1056"/>
      <c r="J120" s="1111"/>
      <c r="K120" s="505"/>
    </row>
    <row r="121" spans="1:11" ht="15.75">
      <c r="A121" s="1037"/>
      <c r="B121" s="1038"/>
      <c r="C121" s="1026"/>
      <c r="D121" s="1026"/>
      <c r="E121" s="1026"/>
      <c r="F121" s="1059"/>
      <c r="G121" s="1054"/>
      <c r="H121" s="1269"/>
      <c r="I121" s="1056"/>
      <c r="J121" s="1111"/>
      <c r="K121" s="1116"/>
    </row>
    <row r="122" spans="1:11" ht="15.75">
      <c r="A122" s="1037"/>
      <c r="B122" s="1038"/>
      <c r="C122" s="1026"/>
      <c r="D122" s="1026"/>
      <c r="E122" s="1026"/>
      <c r="F122" s="1059"/>
      <c r="G122" s="1054"/>
      <c r="H122" s="1269"/>
      <c r="I122" s="1056"/>
      <c r="J122" s="1111"/>
      <c r="K122" s="1116"/>
    </row>
    <row r="123" spans="1:11" ht="15.75">
      <c r="A123" s="1037"/>
      <c r="B123" s="1038"/>
      <c r="C123" s="1026"/>
      <c r="D123" s="1026"/>
      <c r="E123" s="1026"/>
      <c r="F123" s="1059"/>
      <c r="G123" s="1054"/>
      <c r="H123" s="1269"/>
      <c r="I123" s="1056"/>
      <c r="J123" s="1111"/>
      <c r="K123" s="1116"/>
    </row>
    <row r="124" spans="1:11">
      <c r="A124" s="1037"/>
      <c r="B124" s="1038"/>
      <c r="C124" s="1026"/>
      <c r="D124" s="1026"/>
      <c r="E124" s="1026"/>
      <c r="F124" s="1059"/>
      <c r="G124" s="1054"/>
      <c r="H124" s="1269"/>
      <c r="I124" s="1056"/>
      <c r="J124" s="1111"/>
      <c r="K124" s="1262"/>
    </row>
    <row r="125" spans="1:11">
      <c r="A125" s="1037"/>
      <c r="B125" s="1038"/>
      <c r="C125" s="1026"/>
      <c r="D125" s="1026"/>
      <c r="E125" s="1026"/>
      <c r="F125" s="1059"/>
      <c r="G125" s="1054"/>
      <c r="H125" s="1269"/>
      <c r="I125" s="1056"/>
      <c r="J125" s="1111"/>
      <c r="K125" s="1262"/>
    </row>
    <row r="126" spans="1:11">
      <c r="A126" s="1037"/>
      <c r="B126" s="1038"/>
      <c r="C126" s="1026"/>
      <c r="D126" s="1026"/>
      <c r="E126" s="1026"/>
      <c r="F126" s="1059"/>
      <c r="G126" s="1059"/>
      <c r="H126" s="1269"/>
      <c r="I126" s="1056"/>
      <c r="J126" s="1111"/>
      <c r="K126" s="1262"/>
    </row>
    <row r="127" spans="1:11">
      <c r="A127" s="1037"/>
      <c r="B127" s="1038"/>
      <c r="C127" s="1026"/>
      <c r="D127" s="1026"/>
      <c r="E127" s="1026"/>
      <c r="F127" s="1059"/>
      <c r="G127" s="1059"/>
      <c r="H127" s="1269"/>
      <c r="I127" s="1056"/>
      <c r="J127" s="1111"/>
      <c r="K127" s="505"/>
    </row>
    <row r="128" spans="1:11">
      <c r="A128" s="1037"/>
      <c r="B128" s="1038"/>
      <c r="C128" s="1026"/>
      <c r="D128" s="1026"/>
      <c r="E128" s="1026"/>
      <c r="F128" s="1059"/>
      <c r="G128" s="1059"/>
      <c r="H128" s="1269"/>
      <c r="I128" s="1056"/>
      <c r="J128" s="1111"/>
      <c r="K128" s="1262"/>
    </row>
    <row r="129" spans="1:11">
      <c r="A129" s="1037"/>
      <c r="B129" s="1038"/>
      <c r="C129" s="1026"/>
      <c r="D129" s="1026"/>
      <c r="E129" s="1026"/>
      <c r="F129" s="1059"/>
      <c r="G129" s="1059"/>
      <c r="H129" s="1269"/>
      <c r="I129" s="1056"/>
      <c r="J129" s="1111"/>
      <c r="K129" s="505"/>
    </row>
    <row r="130" spans="1:11" ht="15.75">
      <c r="A130" s="1037"/>
      <c r="B130" s="1038"/>
      <c r="C130" s="1026"/>
      <c r="D130" s="1026"/>
      <c r="E130" s="1026"/>
      <c r="F130" s="1059"/>
      <c r="G130" s="1054"/>
      <c r="H130" s="1269"/>
      <c r="I130" s="1056"/>
      <c r="J130" s="1111"/>
      <c r="K130" s="1116"/>
    </row>
    <row r="131" spans="1:11" ht="15.75">
      <c r="A131" s="1037"/>
      <c r="B131" s="1038"/>
      <c r="C131" s="1026"/>
      <c r="D131" s="1026"/>
      <c r="E131" s="1026"/>
      <c r="F131" s="1059"/>
      <c r="G131" s="1059"/>
      <c r="H131" s="1269"/>
      <c r="I131" s="1056"/>
      <c r="J131" s="1111"/>
      <c r="K131" s="1116"/>
    </row>
    <row r="132" spans="1:11">
      <c r="A132" s="1037"/>
      <c r="B132" s="1038"/>
      <c r="C132" s="1026"/>
      <c r="D132" s="1026"/>
      <c r="E132" s="1026"/>
      <c r="F132" s="1059"/>
      <c r="G132" s="1059"/>
      <c r="H132" s="1269"/>
      <c r="I132" s="1056"/>
      <c r="J132" s="1111"/>
      <c r="K132" s="505"/>
    </row>
    <row r="133" spans="1:11">
      <c r="A133" s="1037"/>
      <c r="B133" s="1038"/>
      <c r="C133" s="1026"/>
      <c r="D133" s="1026"/>
      <c r="E133" s="1328"/>
      <c r="F133" s="1059"/>
      <c r="G133" s="1054"/>
      <c r="H133" s="1269"/>
      <c r="I133" s="1056"/>
      <c r="J133" s="1111"/>
      <c r="K133" s="505"/>
    </row>
    <row r="134" spans="1:11" ht="15.75">
      <c r="A134" s="1037"/>
      <c r="B134" s="1038"/>
      <c r="C134" s="1026"/>
      <c r="D134" s="1026"/>
      <c r="E134" s="1026"/>
      <c r="F134" s="1059"/>
      <c r="G134" s="1054"/>
      <c r="H134" s="1269"/>
      <c r="I134" s="1056"/>
      <c r="J134" s="1111"/>
      <c r="K134" s="1116"/>
    </row>
    <row r="135" spans="1:11">
      <c r="A135" s="1037"/>
      <c r="B135" s="1038"/>
      <c r="C135" s="1026"/>
      <c r="D135" s="1026"/>
      <c r="E135" s="1026"/>
      <c r="F135" s="1059"/>
      <c r="G135" s="1054"/>
      <c r="H135" s="1269"/>
      <c r="I135" s="1056"/>
      <c r="J135" s="1111"/>
      <c r="K135" s="1262"/>
    </row>
    <row r="136" spans="1:11">
      <c r="A136" s="1037"/>
      <c r="B136" s="1038"/>
      <c r="C136" s="1026"/>
      <c r="D136" s="1026"/>
      <c r="E136" s="1026"/>
      <c r="F136" s="1059"/>
      <c r="G136" s="1059"/>
      <c r="H136" s="1269"/>
      <c r="I136" s="1056"/>
      <c r="J136" s="1111"/>
      <c r="K136" s="1262"/>
    </row>
    <row r="137" spans="1:11">
      <c r="A137" s="1037"/>
      <c r="B137" s="1038"/>
      <c r="C137" s="1026"/>
      <c r="D137" s="1026"/>
      <c r="E137" s="1026"/>
      <c r="F137" s="1059"/>
      <c r="G137" s="1059"/>
      <c r="H137" s="1269"/>
      <c r="I137" s="1056"/>
      <c r="J137" s="1111"/>
      <c r="K137" s="505"/>
    </row>
    <row r="138" spans="1:11" ht="15.75">
      <c r="A138" s="1037"/>
      <c r="B138" s="1038"/>
      <c r="C138" s="1026"/>
      <c r="D138" s="1026"/>
      <c r="E138" s="1026"/>
      <c r="F138" s="1059"/>
      <c r="G138" s="1054"/>
      <c r="H138" s="1269"/>
      <c r="I138" s="1056"/>
      <c r="J138" s="1111"/>
      <c r="K138" s="1116"/>
    </row>
    <row r="139" spans="1:11" ht="15.75">
      <c r="A139" s="1037"/>
      <c r="B139" s="1038"/>
      <c r="C139" s="1026"/>
      <c r="D139" s="1026"/>
      <c r="E139" s="1026"/>
      <c r="F139" s="1059"/>
      <c r="G139" s="1054"/>
      <c r="H139" s="1269"/>
      <c r="I139" s="1056"/>
      <c r="J139" s="1111"/>
      <c r="K139" s="1116"/>
    </row>
    <row r="140" spans="1:11" ht="15.75">
      <c r="A140" s="1037"/>
      <c r="B140" s="1038"/>
      <c r="C140" s="1026"/>
      <c r="D140" s="1026"/>
      <c r="E140" s="1026"/>
      <c r="F140" s="1059"/>
      <c r="G140" s="1054"/>
      <c r="H140" s="1269"/>
      <c r="I140" s="1056"/>
      <c r="J140" s="1111"/>
      <c r="K140" s="1116"/>
    </row>
    <row r="141" spans="1:11" ht="15.75">
      <c r="A141" s="1037"/>
      <c r="B141" s="1038"/>
      <c r="C141" s="1026"/>
      <c r="D141" s="1026"/>
      <c r="E141" s="1026"/>
      <c r="F141" s="1059"/>
      <c r="G141" s="1054"/>
      <c r="H141" s="1269"/>
      <c r="I141" s="1056"/>
      <c r="J141" s="1111"/>
      <c r="K141" s="1116"/>
    </row>
    <row r="142" spans="1:11" ht="15.75">
      <c r="A142" s="1037"/>
      <c r="B142" s="1038"/>
      <c r="C142" s="1026"/>
      <c r="D142" s="1026"/>
      <c r="E142" s="1026"/>
      <c r="F142" s="1059"/>
      <c r="G142" s="1054"/>
      <c r="H142" s="1269"/>
      <c r="I142" s="1056"/>
      <c r="J142" s="1111"/>
      <c r="K142" s="1116"/>
    </row>
    <row r="143" spans="1:11">
      <c r="A143" s="1037"/>
      <c r="B143" s="1038"/>
      <c r="C143" s="1026"/>
      <c r="D143" s="1026"/>
      <c r="E143" s="1026"/>
      <c r="F143" s="1059"/>
      <c r="G143" s="1054"/>
      <c r="H143" s="1269"/>
      <c r="I143" s="1056"/>
      <c r="J143" s="1111"/>
      <c r="K143" s="1262"/>
    </row>
    <row r="144" spans="1:11">
      <c r="A144" s="1037"/>
      <c r="B144" s="1038"/>
      <c r="C144" s="1025"/>
      <c r="D144" s="1026"/>
      <c r="E144" s="1026"/>
      <c r="F144" s="1061"/>
      <c r="G144" s="1054"/>
      <c r="H144" s="1055"/>
      <c r="I144" s="1056"/>
      <c r="J144" s="1111"/>
      <c r="K144" s="1262"/>
    </row>
    <row r="145" spans="1:11">
      <c r="A145" s="1037"/>
      <c r="B145" s="1038"/>
      <c r="C145" s="1026"/>
      <c r="D145" s="1026"/>
      <c r="E145" s="1026"/>
      <c r="F145" s="1059"/>
      <c r="G145" s="1054"/>
      <c r="H145" s="1269"/>
      <c r="I145" s="1056"/>
      <c r="J145" s="1111"/>
      <c r="K145" s="1262"/>
    </row>
    <row r="146" spans="1:11">
      <c r="A146" s="1037"/>
      <c r="B146" s="1038"/>
      <c r="C146" s="1026"/>
      <c r="D146" s="1026"/>
      <c r="E146" s="1026"/>
      <c r="F146" s="1059"/>
      <c r="G146" s="1054"/>
      <c r="H146" s="1269"/>
      <c r="I146" s="1056"/>
      <c r="J146" s="1111"/>
      <c r="K146" s="1262"/>
    </row>
    <row r="147" spans="1:11">
      <c r="A147" s="1037"/>
      <c r="B147" s="1038"/>
      <c r="C147" s="1026"/>
      <c r="D147" s="1026"/>
      <c r="E147" s="1026"/>
      <c r="F147" s="1059"/>
      <c r="G147" s="1059"/>
      <c r="H147" s="1269"/>
      <c r="I147" s="1056"/>
      <c r="J147" s="1111"/>
      <c r="K147" s="1262"/>
    </row>
    <row r="148" spans="1:11">
      <c r="A148" s="1037"/>
      <c r="B148" s="1038"/>
      <c r="C148" s="1026"/>
      <c r="D148" s="1026"/>
      <c r="E148" s="1026"/>
      <c r="F148" s="1059"/>
      <c r="G148" s="1059"/>
      <c r="H148" s="1269"/>
      <c r="I148" s="1056"/>
      <c r="J148" s="1111"/>
      <c r="K148" s="505"/>
    </row>
    <row r="149" spans="1:11" ht="15.75">
      <c r="A149" s="1037"/>
      <c r="B149" s="1038"/>
      <c r="C149" s="1026"/>
      <c r="D149" s="1026"/>
      <c r="E149" s="1026"/>
      <c r="F149" s="1059"/>
      <c r="G149" s="1054"/>
      <c r="H149" s="1269"/>
      <c r="I149" s="1056"/>
      <c r="J149" s="1111"/>
      <c r="K149" s="1116"/>
    </row>
    <row r="150" spans="1:11">
      <c r="A150" s="1037"/>
      <c r="B150" s="1038"/>
      <c r="C150" s="1026"/>
      <c r="D150" s="1026"/>
      <c r="E150" s="1026"/>
      <c r="F150" s="1059"/>
      <c r="G150" s="1054"/>
      <c r="H150" s="1269"/>
      <c r="I150" s="1056"/>
      <c r="J150" s="1111"/>
      <c r="K150" s="1262"/>
    </row>
    <row r="151" spans="1:11">
      <c r="A151" s="1037"/>
      <c r="B151" s="1038"/>
      <c r="C151" s="1026"/>
      <c r="D151" s="1026"/>
      <c r="E151" s="1026"/>
      <c r="F151" s="1059"/>
      <c r="G151" s="1059"/>
      <c r="H151" s="1269"/>
      <c r="I151" s="1056"/>
      <c r="J151" s="1111"/>
      <c r="K151" s="1262"/>
    </row>
    <row r="152" spans="1:11">
      <c r="A152" s="1037"/>
      <c r="B152" s="1038"/>
      <c r="C152" s="1026"/>
      <c r="D152" s="1026"/>
      <c r="E152" s="1026"/>
      <c r="F152" s="1059"/>
      <c r="G152" s="1059"/>
      <c r="H152" s="1269"/>
      <c r="I152" s="1056"/>
      <c r="J152" s="1111"/>
      <c r="K152" s="505"/>
    </row>
    <row r="153" spans="1:11">
      <c r="A153" s="1037"/>
      <c r="B153" s="1038"/>
      <c r="C153" s="1026"/>
      <c r="D153" s="1026"/>
      <c r="E153" s="1026"/>
      <c r="F153" s="1059"/>
      <c r="G153" s="1054"/>
      <c r="H153" s="1269"/>
      <c r="I153" s="1056"/>
      <c r="J153" s="1111"/>
      <c r="K153" s="505"/>
    </row>
    <row r="154" spans="1:11">
      <c r="A154" s="1037"/>
      <c r="B154" s="1038"/>
      <c r="C154" s="1026"/>
      <c r="D154" s="1026"/>
      <c r="E154" s="1026"/>
      <c r="F154" s="1059"/>
      <c r="G154" s="1054"/>
      <c r="H154" s="1269"/>
      <c r="I154" s="1056"/>
      <c r="J154" s="1111"/>
      <c r="K154" s="505"/>
    </row>
    <row r="155" spans="1:11">
      <c r="A155" s="1037"/>
      <c r="B155" s="1038"/>
      <c r="C155" s="1026"/>
      <c r="D155" s="1026"/>
      <c r="E155" s="1026"/>
      <c r="F155" s="1059"/>
      <c r="G155" s="1054"/>
      <c r="H155" s="1269"/>
      <c r="I155" s="1056"/>
      <c r="J155" s="1111"/>
      <c r="K155" s="505"/>
    </row>
    <row r="156" spans="1:11" ht="15.75">
      <c r="A156" s="1037"/>
      <c r="B156" s="1038"/>
      <c r="C156" s="1026"/>
      <c r="D156" s="1026"/>
      <c r="E156" s="1026"/>
      <c r="F156" s="1059"/>
      <c r="G156" s="1054"/>
      <c r="H156" s="1269"/>
      <c r="I156" s="1056"/>
      <c r="J156" s="1111"/>
      <c r="K156" s="1116"/>
    </row>
    <row r="157" spans="1:11">
      <c r="A157" s="1037"/>
      <c r="B157" s="1038"/>
      <c r="C157" s="1026"/>
      <c r="D157" s="1026"/>
      <c r="E157" s="1026"/>
      <c r="F157" s="1059"/>
      <c r="G157" s="1054"/>
      <c r="H157" s="1269"/>
      <c r="I157" s="1056"/>
      <c r="J157" s="1111"/>
      <c r="K157" s="1262"/>
    </row>
    <row r="158" spans="1:11">
      <c r="A158" s="1037"/>
      <c r="B158" s="1038"/>
      <c r="C158" s="346"/>
      <c r="D158" s="1026"/>
      <c r="E158" s="1026"/>
      <c r="F158" s="1059"/>
      <c r="G158" s="1054"/>
      <c r="H158" s="1269"/>
      <c r="I158" s="1056"/>
      <c r="J158" s="1111"/>
      <c r="K158" s="1262"/>
    </row>
    <row r="159" spans="1:11">
      <c r="A159" s="1037"/>
      <c r="B159" s="1038"/>
      <c r="C159" s="1026"/>
      <c r="D159" s="1026"/>
      <c r="E159" s="1026"/>
      <c r="F159" s="1059"/>
      <c r="G159" s="1054"/>
      <c r="H159" s="1269"/>
      <c r="I159" s="1056"/>
      <c r="J159" s="1111"/>
      <c r="K159" s="1262"/>
    </row>
    <row r="160" spans="1:11">
      <c r="A160" s="1037"/>
      <c r="B160" s="1038"/>
      <c r="C160" s="1026"/>
      <c r="D160" s="1026"/>
      <c r="E160" s="1026"/>
      <c r="F160" s="1059"/>
      <c r="G160" s="1054"/>
      <c r="H160" s="1269"/>
      <c r="I160" s="1056"/>
      <c r="J160" s="1111"/>
      <c r="K160" s="1262"/>
    </row>
    <row r="161" spans="1:11">
      <c r="A161" s="1037"/>
      <c r="B161" s="1038"/>
      <c r="C161" s="1026"/>
      <c r="D161" s="1026"/>
      <c r="E161" s="1026"/>
      <c r="F161" s="1059"/>
      <c r="G161" s="1054"/>
      <c r="H161" s="1269"/>
      <c r="I161" s="1056"/>
      <c r="J161" s="1111"/>
      <c r="K161" s="1262"/>
    </row>
    <row r="162" spans="1:11">
      <c r="A162" s="1037"/>
      <c r="B162" s="1038"/>
      <c r="C162" s="1026"/>
      <c r="D162" s="1026"/>
      <c r="E162" s="1026"/>
      <c r="F162" s="1059"/>
      <c r="G162" s="1054"/>
      <c r="H162" s="1269"/>
      <c r="I162" s="1056"/>
      <c r="J162" s="1111"/>
      <c r="K162" s="1262"/>
    </row>
    <row r="163" spans="1:11">
      <c r="A163" s="1037"/>
      <c r="B163" s="1038"/>
      <c r="C163" s="1026"/>
      <c r="D163" s="1026"/>
      <c r="E163" s="1026"/>
      <c r="F163" s="1059"/>
      <c r="G163" s="1054"/>
      <c r="H163" s="1269"/>
      <c r="I163" s="1056"/>
      <c r="J163" s="1111"/>
      <c r="K163" s="1262"/>
    </row>
    <row r="164" spans="1:11">
      <c r="A164" s="1037"/>
      <c r="B164" s="1038"/>
      <c r="C164" s="1026"/>
      <c r="D164" s="1026"/>
      <c r="E164" s="1026"/>
      <c r="F164" s="1059"/>
      <c r="G164" s="1054"/>
      <c r="H164" s="1269"/>
      <c r="I164" s="1056"/>
      <c r="J164" s="1111"/>
      <c r="K164" s="1262"/>
    </row>
    <row r="165" spans="1:11">
      <c r="A165" s="1037"/>
      <c r="B165" s="1038"/>
      <c r="C165" s="1026"/>
      <c r="D165" s="1026"/>
      <c r="E165" s="1026"/>
      <c r="F165" s="1059"/>
      <c r="G165" s="1054"/>
      <c r="H165" s="1269"/>
      <c r="I165" s="1056"/>
      <c r="J165" s="1111"/>
      <c r="K165" s="505"/>
    </row>
    <row r="166" spans="1:11">
      <c r="A166" s="1037"/>
      <c r="B166" s="1038"/>
      <c r="C166" s="1026"/>
      <c r="D166" s="1026"/>
      <c r="E166" s="1026"/>
      <c r="F166" s="1059"/>
      <c r="G166" s="1054"/>
      <c r="H166" s="1269"/>
      <c r="I166" s="1056"/>
      <c r="J166" s="1111"/>
      <c r="K166" s="505"/>
    </row>
    <row r="167" spans="1:11">
      <c r="A167" s="1037"/>
      <c r="B167" s="1038"/>
      <c r="C167" s="1026"/>
      <c r="D167" s="1026"/>
      <c r="E167" s="1026"/>
      <c r="F167" s="1059"/>
      <c r="G167" s="1059"/>
      <c r="H167" s="1269"/>
      <c r="I167" s="1056"/>
      <c r="J167" s="1111"/>
      <c r="K167" s="1262"/>
    </row>
    <row r="168" spans="1:11">
      <c r="A168" s="1037"/>
      <c r="B168" s="1038"/>
      <c r="C168" s="1026"/>
      <c r="D168" s="1026"/>
      <c r="E168" s="1026"/>
      <c r="F168" s="1059"/>
      <c r="G168" s="1059"/>
      <c r="H168" s="1269"/>
      <c r="I168" s="1056"/>
      <c r="J168" s="1111"/>
      <c r="K168" s="505"/>
    </row>
    <row r="169" spans="1:11">
      <c r="A169" s="1037"/>
      <c r="B169" s="1038"/>
      <c r="C169" s="1026"/>
      <c r="D169" s="1026"/>
      <c r="E169" s="1026"/>
      <c r="F169" s="1059"/>
      <c r="G169" s="1054"/>
      <c r="H169" s="1269"/>
      <c r="I169" s="1056"/>
      <c r="J169" s="1111"/>
      <c r="K169" s="505"/>
    </row>
    <row r="170" spans="1:11">
      <c r="A170" s="1037"/>
      <c r="B170" s="1038"/>
      <c r="C170" s="1026"/>
      <c r="D170" s="1026"/>
      <c r="E170" s="1026"/>
      <c r="F170" s="1059"/>
      <c r="G170" s="1054"/>
      <c r="H170" s="1269"/>
      <c r="I170" s="1056"/>
      <c r="J170" s="1111"/>
      <c r="K170" s="505"/>
    </row>
    <row r="171" spans="1:11">
      <c r="A171" s="1037"/>
      <c r="B171" s="1038"/>
      <c r="C171" s="1026"/>
      <c r="D171" s="1026"/>
      <c r="E171" s="1026"/>
      <c r="F171" s="1059"/>
      <c r="G171" s="1054"/>
      <c r="H171" s="1269"/>
      <c r="I171" s="1056"/>
      <c r="J171" s="1111"/>
      <c r="K171" s="1262"/>
    </row>
    <row r="172" spans="1:11" ht="15.75">
      <c r="A172" s="1037"/>
      <c r="B172" s="1038"/>
      <c r="C172" s="1026"/>
      <c r="D172" s="1026"/>
      <c r="E172" s="1026"/>
      <c r="F172" s="1059"/>
      <c r="G172" s="1059"/>
      <c r="H172" s="1269"/>
      <c r="I172" s="1056"/>
      <c r="J172" s="1111"/>
      <c r="K172" s="1116"/>
    </row>
    <row r="173" spans="1:11">
      <c r="A173" s="1037"/>
      <c r="B173" s="1038"/>
      <c r="C173" s="1026"/>
      <c r="D173" s="1026"/>
      <c r="E173" s="1026"/>
      <c r="F173" s="1059"/>
      <c r="G173" s="1059"/>
      <c r="H173" s="1269"/>
      <c r="I173" s="1056"/>
      <c r="J173" s="1111"/>
      <c r="K173" s="505"/>
    </row>
    <row r="174" spans="1:11" ht="15.75">
      <c r="A174" s="1037"/>
      <c r="B174" s="1038"/>
      <c r="C174" s="1026"/>
      <c r="D174" s="1026"/>
      <c r="E174" s="1026"/>
      <c r="F174" s="1059"/>
      <c r="G174" s="1054"/>
      <c r="H174" s="1269"/>
      <c r="I174" s="1056"/>
      <c r="J174" s="1111"/>
      <c r="K174" s="1116"/>
    </row>
    <row r="175" spans="1:11" ht="15.75">
      <c r="A175" s="1037"/>
      <c r="B175" s="1038"/>
      <c r="C175" s="1026"/>
      <c r="D175" s="1026"/>
      <c r="E175" s="1026"/>
      <c r="F175" s="1059"/>
      <c r="G175" s="1054"/>
      <c r="H175" s="1269"/>
      <c r="I175" s="1056"/>
      <c r="J175" s="1111"/>
      <c r="K175" s="1116"/>
    </row>
    <row r="176" spans="1:11" ht="15.75">
      <c r="A176" s="1037"/>
      <c r="B176" s="1038"/>
      <c r="C176" s="1026"/>
      <c r="D176" s="1026"/>
      <c r="E176" s="1026"/>
      <c r="F176" s="1059"/>
      <c r="G176" s="1054"/>
      <c r="H176" s="1269"/>
      <c r="I176" s="1056"/>
      <c r="J176" s="1111"/>
      <c r="K176" s="1116"/>
    </row>
    <row r="177" spans="1:11" ht="15.75">
      <c r="A177" s="1037"/>
      <c r="B177" s="1038"/>
      <c r="C177" s="1026"/>
      <c r="D177" s="1026"/>
      <c r="E177" s="1026"/>
      <c r="F177" s="1059"/>
      <c r="G177" s="1054"/>
      <c r="H177" s="1269"/>
      <c r="I177" s="1056"/>
      <c r="J177" s="1111"/>
      <c r="K177" s="1116"/>
    </row>
    <row r="178" spans="1:11" ht="15.75">
      <c r="A178" s="1037"/>
      <c r="B178" s="1038"/>
      <c r="C178" s="1026"/>
      <c r="D178" s="1026"/>
      <c r="E178" s="1026"/>
      <c r="F178" s="1059"/>
      <c r="G178" s="1059"/>
      <c r="H178" s="1269"/>
      <c r="I178" s="1056"/>
      <c r="J178" s="1111"/>
      <c r="K178" s="1116"/>
    </row>
    <row r="179" spans="1:11">
      <c r="A179" s="1037"/>
      <c r="B179" s="1038"/>
      <c r="C179" s="1026"/>
      <c r="D179" s="1026"/>
      <c r="E179" s="1026"/>
      <c r="F179" s="1059"/>
      <c r="G179" s="1059"/>
      <c r="H179" s="1269"/>
      <c r="I179" s="1056"/>
      <c r="J179" s="1111"/>
      <c r="K179" s="505"/>
    </row>
    <row r="180" spans="1:11" ht="15.75">
      <c r="A180" s="1037"/>
      <c r="B180" s="1038"/>
      <c r="C180" s="1026"/>
      <c r="D180" s="1026"/>
      <c r="E180" s="1026"/>
      <c r="F180" s="1059"/>
      <c r="G180" s="1054"/>
      <c r="H180" s="1269"/>
      <c r="I180" s="1056"/>
      <c r="J180" s="1111"/>
      <c r="K180" s="1116"/>
    </row>
    <row r="181" spans="1:11">
      <c r="A181" s="1037"/>
      <c r="B181" s="1038"/>
      <c r="C181" s="1026"/>
      <c r="D181" s="1026"/>
      <c r="E181" s="1026"/>
      <c r="F181" s="1059"/>
      <c r="G181" s="1059"/>
      <c r="H181" s="1269"/>
      <c r="I181" s="1056"/>
      <c r="J181" s="1111"/>
      <c r="K181" s="1262"/>
    </row>
    <row r="182" spans="1:11">
      <c r="A182" s="1037"/>
      <c r="B182" s="1038"/>
      <c r="C182" s="1026"/>
      <c r="D182" s="1026"/>
      <c r="E182" s="1026"/>
      <c r="F182" s="1059"/>
      <c r="G182" s="1059"/>
      <c r="H182" s="1269"/>
      <c r="I182" s="1056"/>
      <c r="J182" s="1111"/>
      <c r="K182" s="505"/>
    </row>
    <row r="183" spans="1:11">
      <c r="A183" s="1037"/>
      <c r="B183" s="1038"/>
      <c r="C183" s="1026"/>
      <c r="D183" s="1026"/>
      <c r="E183" s="1026"/>
      <c r="F183" s="1059"/>
      <c r="G183" s="1059"/>
      <c r="H183" s="1269"/>
      <c r="I183" s="1056"/>
      <c r="J183" s="1111"/>
      <c r="K183" s="1262"/>
    </row>
    <row r="184" spans="1:11">
      <c r="A184" s="1037"/>
      <c r="B184" s="1038"/>
      <c r="C184" s="1026"/>
      <c r="D184" s="1026"/>
      <c r="E184" s="1026"/>
      <c r="F184" s="1059"/>
      <c r="G184" s="1059"/>
      <c r="H184" s="1269"/>
      <c r="I184" s="1056"/>
      <c r="J184" s="1111"/>
      <c r="K184" s="505"/>
    </row>
    <row r="185" spans="1:11">
      <c r="A185" s="1037"/>
      <c r="B185" s="1038"/>
      <c r="C185" s="1026"/>
      <c r="D185" s="1026"/>
      <c r="E185" s="1026"/>
      <c r="F185" s="1059"/>
      <c r="G185" s="1054"/>
      <c r="H185" s="1269"/>
      <c r="I185" s="1056"/>
      <c r="J185" s="1111"/>
      <c r="K185" s="505"/>
    </row>
    <row r="186" spans="1:11">
      <c r="A186" s="1037"/>
      <c r="B186" s="1038"/>
      <c r="C186" s="1026"/>
      <c r="D186" s="1026"/>
      <c r="E186" s="1026"/>
      <c r="F186" s="1059"/>
      <c r="G186" s="1054"/>
      <c r="H186" s="1269"/>
      <c r="I186" s="1056"/>
      <c r="J186" s="1111"/>
      <c r="K186" s="505"/>
    </row>
    <row r="187" spans="1:11">
      <c r="A187" s="1037"/>
      <c r="B187" s="1038"/>
      <c r="C187" s="1026"/>
      <c r="D187" s="1026"/>
      <c r="E187" s="1026"/>
      <c r="F187" s="1059"/>
      <c r="G187" s="1054"/>
      <c r="H187" s="1269"/>
      <c r="I187" s="1056"/>
      <c r="J187" s="1111"/>
      <c r="K187" s="505"/>
    </row>
    <row r="188" spans="1:11">
      <c r="A188" s="1037"/>
      <c r="B188" s="1038"/>
      <c r="C188" s="1026"/>
      <c r="D188" s="1026"/>
      <c r="E188" s="1026"/>
      <c r="F188" s="1059"/>
      <c r="G188" s="1054"/>
      <c r="H188" s="1269"/>
      <c r="I188" s="1056"/>
      <c r="J188" s="1111"/>
      <c r="K188" s="505"/>
    </row>
    <row r="189" spans="1:11">
      <c r="A189" s="1037"/>
      <c r="B189" s="1038"/>
      <c r="C189" s="1026"/>
      <c r="D189" s="1026"/>
      <c r="E189" s="1026"/>
      <c r="F189" s="1059"/>
      <c r="G189" s="1054"/>
      <c r="H189" s="1269"/>
      <c r="I189" s="1056"/>
      <c r="J189" s="1111"/>
      <c r="K189" s="505"/>
    </row>
    <row r="190" spans="1:11">
      <c r="A190" s="1037"/>
      <c r="B190" s="1038"/>
      <c r="C190" s="1026"/>
      <c r="D190" s="1026"/>
      <c r="E190" s="1026"/>
      <c r="F190" s="1059"/>
      <c r="G190" s="1054"/>
      <c r="H190" s="1269"/>
      <c r="I190" s="1056"/>
      <c r="J190" s="1111"/>
      <c r="K190" s="505"/>
    </row>
    <row r="191" spans="1:11">
      <c r="A191" s="1037"/>
      <c r="B191" s="1038"/>
      <c r="C191" s="1026"/>
      <c r="D191" s="1026"/>
      <c r="E191" s="1026"/>
      <c r="F191" s="1059"/>
      <c r="G191" s="1054"/>
      <c r="H191" s="1269"/>
      <c r="I191" s="1056"/>
      <c r="J191" s="1111"/>
      <c r="K191" s="505"/>
    </row>
    <row r="192" spans="1:11">
      <c r="A192" s="1037"/>
      <c r="B192" s="1038"/>
      <c r="C192" s="1026"/>
      <c r="D192" s="1026"/>
      <c r="E192" s="1026"/>
      <c r="F192" s="1059"/>
      <c r="G192" s="1059"/>
      <c r="H192" s="1269"/>
      <c r="I192" s="1056"/>
      <c r="J192" s="1111"/>
      <c r="K192" s="1262"/>
    </row>
    <row r="193" spans="1:11">
      <c r="A193" s="1037"/>
      <c r="B193" s="1038"/>
      <c r="C193" s="1026"/>
      <c r="D193" s="1026"/>
      <c r="E193" s="1026"/>
      <c r="F193" s="1059"/>
      <c r="G193" s="1059"/>
      <c r="H193" s="1269"/>
      <c r="I193" s="1056"/>
      <c r="J193" s="1111"/>
      <c r="K193" s="505"/>
    </row>
    <row r="194" spans="1:11" ht="15.75">
      <c r="A194" s="1037"/>
      <c r="B194" s="1038"/>
      <c r="C194" s="1026"/>
      <c r="D194" s="1026"/>
      <c r="E194" s="1026"/>
      <c r="F194" s="1059"/>
      <c r="G194" s="1054"/>
      <c r="H194" s="1269"/>
      <c r="I194" s="1056"/>
      <c r="J194" s="1111"/>
      <c r="K194" s="1116"/>
    </row>
    <row r="195" spans="1:11">
      <c r="A195" s="1037"/>
      <c r="B195" s="1038"/>
      <c r="C195" s="1026"/>
      <c r="D195" s="1026"/>
      <c r="E195" s="1026"/>
      <c r="F195" s="1059"/>
      <c r="G195" s="1054"/>
      <c r="H195" s="1269"/>
      <c r="I195" s="1056"/>
      <c r="J195" s="1111"/>
      <c r="K195" s="1262"/>
    </row>
    <row r="196" spans="1:11">
      <c r="A196" s="1037"/>
      <c r="B196" s="1038"/>
      <c r="C196" s="1025"/>
      <c r="D196" s="1025"/>
      <c r="E196" s="1025"/>
      <c r="F196" s="1061"/>
      <c r="G196" s="1054"/>
      <c r="H196" s="1269"/>
      <c r="I196" s="1056"/>
      <c r="J196" s="1111"/>
      <c r="K196" s="1262"/>
    </row>
    <row r="197" spans="1:11">
      <c r="A197" s="1037"/>
      <c r="B197" s="1038"/>
      <c r="C197" s="1026"/>
      <c r="D197" s="1026"/>
      <c r="E197" s="1026"/>
      <c r="F197" s="1061"/>
      <c r="G197" s="1054"/>
      <c r="H197" s="1269"/>
      <c r="I197" s="1056"/>
      <c r="J197" s="1111"/>
      <c r="K197" s="505"/>
    </row>
    <row r="198" spans="1:11" ht="15.75">
      <c r="A198" s="1037"/>
      <c r="B198" s="1038"/>
      <c r="C198" s="1026"/>
      <c r="D198" s="1026"/>
      <c r="E198" s="1026"/>
      <c r="F198" s="1059"/>
      <c r="G198" s="1059"/>
      <c r="H198" s="1269"/>
      <c r="I198" s="1056"/>
      <c r="J198" s="1111"/>
      <c r="K198" s="1116"/>
    </row>
    <row r="199" spans="1:11">
      <c r="A199" s="1037"/>
      <c r="B199" s="1038"/>
      <c r="C199" s="1026"/>
      <c r="D199" s="1026"/>
      <c r="E199" s="1026"/>
      <c r="F199" s="1059"/>
      <c r="G199" s="1059"/>
      <c r="H199" s="1269"/>
      <c r="I199" s="1056"/>
      <c r="J199" s="1111"/>
      <c r="K199" s="505"/>
    </row>
    <row r="200" spans="1:11" ht="15.75">
      <c r="A200" s="1037"/>
      <c r="B200" s="1038"/>
      <c r="C200" s="1026"/>
      <c r="D200" s="1026"/>
      <c r="E200" s="1026"/>
      <c r="F200" s="1059"/>
      <c r="G200" s="1054"/>
      <c r="H200" s="1269"/>
      <c r="I200" s="1056"/>
      <c r="J200" s="1111"/>
      <c r="K200" s="1116"/>
    </row>
    <row r="201" spans="1:11" ht="15.75">
      <c r="A201" s="1037"/>
      <c r="B201" s="1038"/>
      <c r="C201" s="1026"/>
      <c r="D201" s="1026"/>
      <c r="E201" s="1026"/>
      <c r="F201" s="1059"/>
      <c r="G201" s="1054"/>
      <c r="H201" s="1269"/>
      <c r="I201" s="1056"/>
      <c r="J201" s="1111"/>
      <c r="K201" s="1116"/>
    </row>
    <row r="202" spans="1:11" ht="15.75">
      <c r="A202" s="1037"/>
      <c r="B202" s="1038"/>
      <c r="C202" s="1026"/>
      <c r="D202" s="1026"/>
      <c r="E202" s="1026"/>
      <c r="F202" s="1059"/>
      <c r="G202" s="1054"/>
      <c r="H202" s="1269"/>
      <c r="I202" s="1056"/>
      <c r="J202" s="1111"/>
      <c r="K202" s="1116"/>
    </row>
    <row r="203" spans="1:11" ht="15.75">
      <c r="A203" s="1037"/>
      <c r="B203" s="1038"/>
      <c r="C203" s="1026"/>
      <c r="D203" s="1026"/>
      <c r="E203" s="1026"/>
      <c r="F203" s="1059"/>
      <c r="G203" s="1054"/>
      <c r="H203" s="1269"/>
      <c r="I203" s="1056"/>
      <c r="J203" s="1111"/>
      <c r="K203" s="1116"/>
    </row>
    <row r="204" spans="1:11" ht="15.75">
      <c r="A204" s="1037"/>
      <c r="B204" s="1038"/>
      <c r="C204" s="1026"/>
      <c r="D204" s="1026"/>
      <c r="E204" s="1026"/>
      <c r="F204" s="1059"/>
      <c r="G204" s="1054"/>
      <c r="H204" s="1269"/>
      <c r="I204" s="1056"/>
      <c r="J204" s="1111"/>
      <c r="K204" s="1116"/>
    </row>
    <row r="205" spans="1:11" ht="15.75">
      <c r="A205" s="1037"/>
      <c r="B205" s="1038"/>
      <c r="C205" s="1026"/>
      <c r="D205" s="1026"/>
      <c r="E205" s="1026"/>
      <c r="F205" s="1059"/>
      <c r="G205" s="1054"/>
      <c r="H205" s="1269"/>
      <c r="I205" s="1056"/>
      <c r="J205" s="1111"/>
      <c r="K205" s="1116"/>
    </row>
    <row r="206" spans="1:11" ht="15.75">
      <c r="A206" s="1037"/>
      <c r="B206" s="1038"/>
      <c r="C206" s="1026"/>
      <c r="D206" s="1026"/>
      <c r="E206" s="1026"/>
      <c r="F206" s="1059"/>
      <c r="G206" s="1054"/>
      <c r="H206" s="1269"/>
      <c r="I206" s="1056"/>
      <c r="J206" s="1111"/>
      <c r="K206" s="1116"/>
    </row>
    <row r="207" spans="1:11" ht="15.75">
      <c r="A207" s="1037"/>
      <c r="B207" s="1038"/>
      <c r="C207" s="1026"/>
      <c r="D207" s="1026"/>
      <c r="E207" s="1026"/>
      <c r="F207" s="1059"/>
      <c r="G207" s="1054"/>
      <c r="H207" s="1269"/>
      <c r="I207" s="1056"/>
      <c r="J207" s="1111"/>
      <c r="K207" s="1116"/>
    </row>
    <row r="208" spans="1:11" ht="15.75">
      <c r="A208" s="1037"/>
      <c r="B208" s="1038"/>
      <c r="C208" s="1026"/>
      <c r="D208" s="1026"/>
      <c r="E208" s="1032"/>
      <c r="F208" s="1059"/>
      <c r="G208" s="1054"/>
      <c r="H208" s="1269"/>
      <c r="I208" s="1056"/>
      <c r="J208" s="1111"/>
      <c r="K208" s="1116"/>
    </row>
    <row r="209" spans="1:11" ht="15.75">
      <c r="A209" s="1037"/>
      <c r="B209" s="1038"/>
      <c r="C209" s="1026"/>
      <c r="D209" s="1026"/>
      <c r="E209" s="1026"/>
      <c r="F209" s="1059"/>
      <c r="G209" s="1054"/>
      <c r="H209" s="1269"/>
      <c r="I209" s="1056"/>
      <c r="J209" s="1111"/>
      <c r="K209" s="1116"/>
    </row>
    <row r="210" spans="1:11" ht="15.75">
      <c r="A210" s="1037"/>
      <c r="B210" s="1038"/>
      <c r="C210" s="1026"/>
      <c r="D210" s="1026"/>
      <c r="E210" s="1026"/>
      <c r="F210" s="1059"/>
      <c r="G210" s="1054"/>
      <c r="H210" s="1269"/>
      <c r="I210" s="1056"/>
      <c r="J210" s="1111"/>
      <c r="K210" s="1116"/>
    </row>
    <row r="211" spans="1:11" ht="15.75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116"/>
    </row>
    <row r="212" spans="1:11" ht="15.75">
      <c r="A212" s="1037"/>
      <c r="B212" s="1038"/>
      <c r="C212" s="1026"/>
      <c r="D212" s="1026"/>
      <c r="E212" s="1026"/>
      <c r="F212" s="1059"/>
      <c r="G212" s="1054"/>
      <c r="H212" s="1269"/>
      <c r="I212" s="1056"/>
      <c r="J212" s="1111"/>
      <c r="K212" s="1116"/>
    </row>
    <row r="213" spans="1:11">
      <c r="A213" s="1037"/>
      <c r="B213" s="1038"/>
      <c r="C213" s="1026"/>
      <c r="D213" s="1026"/>
      <c r="E213" s="1026"/>
      <c r="F213" s="1059"/>
      <c r="G213" s="1054"/>
      <c r="H213" s="1269"/>
      <c r="I213" s="1056"/>
      <c r="J213" s="1111"/>
      <c r="K213" s="1262"/>
    </row>
    <row r="214" spans="1:11">
      <c r="A214" s="1039"/>
      <c r="B214" s="1039"/>
      <c r="C214" s="1025"/>
      <c r="D214" s="1025"/>
      <c r="E214" s="1025"/>
      <c r="F214" s="1061"/>
      <c r="G214" s="1062"/>
      <c r="H214" s="1269"/>
      <c r="I214" s="1056"/>
      <c r="J214" s="1111"/>
      <c r="K214" s="505"/>
    </row>
    <row r="215" spans="1:11">
      <c r="A215" s="1039"/>
      <c r="B215" s="1039"/>
      <c r="C215" s="1025"/>
      <c r="D215" s="1025"/>
      <c r="E215" s="1025"/>
      <c r="F215" s="1061"/>
      <c r="G215" s="1062"/>
      <c r="H215" s="1269"/>
      <c r="I215" s="1056"/>
      <c r="J215" s="1111"/>
      <c r="K215" s="505"/>
    </row>
    <row r="216" spans="1:11">
      <c r="A216" s="1039"/>
      <c r="B216" s="1039"/>
      <c r="C216" s="1025"/>
      <c r="D216" s="1025"/>
      <c r="E216" s="1025"/>
      <c r="F216" s="1061"/>
      <c r="G216" s="1062"/>
      <c r="H216" s="1269"/>
      <c r="I216" s="1056"/>
      <c r="J216" s="1111"/>
      <c r="K216" s="505"/>
    </row>
    <row r="217" spans="1:11">
      <c r="A217" s="1039"/>
      <c r="B217" s="1039"/>
      <c r="C217" s="1025"/>
      <c r="D217" s="1025"/>
      <c r="E217" s="1025"/>
      <c r="F217" s="1061"/>
      <c r="G217" s="1062"/>
      <c r="H217" s="1269"/>
      <c r="I217" s="1056"/>
      <c r="J217" s="1111"/>
      <c r="K217" s="505"/>
    </row>
    <row r="218" spans="1:11">
      <c r="A218" s="1039"/>
      <c r="B218" s="1039"/>
      <c r="C218" s="1025"/>
      <c r="D218" s="1025"/>
      <c r="E218" s="1025"/>
      <c r="F218" s="1061"/>
      <c r="G218" s="1062"/>
      <c r="H218" s="1269"/>
      <c r="I218" s="1056"/>
      <c r="J218" s="1111"/>
      <c r="K218" s="505"/>
    </row>
    <row r="219" spans="1:11">
      <c r="A219" s="1039"/>
      <c r="B219" s="1039"/>
      <c r="C219" s="1025"/>
      <c r="D219" s="1025"/>
      <c r="E219" s="1025"/>
      <c r="F219" s="1061"/>
      <c r="G219" s="1062"/>
      <c r="H219" s="1269"/>
      <c r="I219" s="1056"/>
      <c r="J219" s="1111"/>
      <c r="K219" s="505"/>
    </row>
    <row r="220" spans="1:11">
      <c r="A220" s="1039"/>
      <c r="B220" s="1039"/>
      <c r="C220" s="1025"/>
      <c r="D220" s="1025"/>
      <c r="E220" s="1025"/>
      <c r="F220" s="1061"/>
      <c r="G220" s="1062"/>
      <c r="H220" s="1269"/>
      <c r="I220" s="1056"/>
      <c r="J220" s="1111"/>
      <c r="K220" s="505"/>
    </row>
    <row r="221" spans="1:11">
      <c r="A221" s="1039"/>
      <c r="B221" s="1039"/>
      <c r="C221" s="1025"/>
      <c r="D221" s="1025"/>
      <c r="E221" s="1025"/>
      <c r="F221" s="1061"/>
      <c r="G221" s="1062"/>
      <c r="H221" s="1269"/>
      <c r="I221" s="1056"/>
      <c r="J221" s="1111"/>
      <c r="K221" s="505"/>
    </row>
    <row r="222" spans="1:11">
      <c r="A222" s="1039"/>
      <c r="B222" s="1039"/>
      <c r="C222" s="1025"/>
      <c r="D222" s="1025"/>
      <c r="E222" s="1025"/>
      <c r="F222" s="1061"/>
      <c r="G222" s="1062"/>
      <c r="H222" s="1269"/>
      <c r="I222" s="1056"/>
      <c r="J222" s="1111"/>
      <c r="K222" s="505"/>
    </row>
    <row r="223" spans="1:11">
      <c r="A223" s="1039"/>
      <c r="B223" s="1039"/>
      <c r="C223" s="1025"/>
      <c r="D223" s="1025"/>
      <c r="E223" s="1025"/>
      <c r="F223" s="1061"/>
      <c r="G223" s="1062"/>
      <c r="H223" s="1269"/>
      <c r="I223" s="1056"/>
      <c r="J223" s="1111"/>
      <c r="K223" s="505"/>
    </row>
    <row r="224" spans="1:11">
      <c r="A224" s="1039"/>
      <c r="B224" s="1039"/>
      <c r="C224" s="1025"/>
      <c r="D224" s="1025"/>
      <c r="E224" s="1025"/>
      <c r="F224" s="1061"/>
      <c r="G224" s="1062"/>
      <c r="H224" s="1269"/>
      <c r="I224" s="1056"/>
      <c r="J224" s="1111"/>
      <c r="K224" s="505"/>
    </row>
    <row r="225" spans="1:11">
      <c r="A225" s="1039"/>
      <c r="B225" s="1039"/>
      <c r="C225" s="1025"/>
      <c r="D225" s="1025"/>
      <c r="E225" s="1025"/>
      <c r="F225" s="1061"/>
      <c r="G225" s="1062"/>
      <c r="H225" s="1269"/>
      <c r="I225" s="1056"/>
      <c r="J225" s="1111"/>
      <c r="K225" s="505"/>
    </row>
    <row r="226" spans="1:11">
      <c r="A226" s="1039"/>
      <c r="B226" s="1039"/>
      <c r="C226" s="1025"/>
      <c r="D226" s="1025"/>
      <c r="E226" s="1025"/>
      <c r="F226" s="1061"/>
      <c r="G226" s="1062"/>
      <c r="H226" s="1269"/>
      <c r="I226" s="1056"/>
      <c r="J226" s="1111"/>
      <c r="K226" s="505"/>
    </row>
    <row r="227" spans="1:11">
      <c r="A227" s="1039"/>
      <c r="B227" s="1039"/>
      <c r="C227" s="1025"/>
      <c r="D227" s="1025"/>
      <c r="E227" s="1025"/>
      <c r="F227" s="1061"/>
      <c r="G227" s="1062"/>
      <c r="H227" s="1269"/>
      <c r="I227" s="1056"/>
      <c r="J227" s="1111"/>
      <c r="K227" s="505"/>
    </row>
    <row r="228" spans="1:11">
      <c r="A228" s="1039"/>
      <c r="B228" s="1039"/>
      <c r="C228" s="1025"/>
      <c r="D228" s="1025"/>
      <c r="E228" s="1025"/>
      <c r="F228" s="1061"/>
      <c r="G228" s="1062"/>
      <c r="H228" s="1269"/>
      <c r="I228" s="1056"/>
      <c r="J228" s="1111"/>
      <c r="K228" s="505"/>
    </row>
    <row r="229" spans="1:11">
      <c r="A229" s="1039"/>
      <c r="B229" s="1039"/>
      <c r="C229" s="1025"/>
      <c r="D229" s="1025"/>
      <c r="E229" s="1025"/>
      <c r="F229" s="1061"/>
      <c r="G229" s="1062"/>
      <c r="H229" s="1269"/>
      <c r="I229" s="1056"/>
      <c r="J229" s="1111"/>
      <c r="K229" s="505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505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505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505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505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505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505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505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505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505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505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505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505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505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505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505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505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505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505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505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505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505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505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505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505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505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505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505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505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505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505"/>
    </row>
    <row r="260" spans="1:11">
      <c r="A260" s="1039"/>
      <c r="B260" s="1039"/>
      <c r="C260" s="1025"/>
      <c r="D260" s="1025"/>
      <c r="E260" s="1025"/>
      <c r="F260" s="1061"/>
      <c r="G260" s="1062"/>
      <c r="H260" s="1269"/>
      <c r="I260" s="1056"/>
      <c r="J260" s="1111"/>
      <c r="K260" s="505"/>
    </row>
    <row r="261" spans="1:11">
      <c r="A261" s="1262"/>
      <c r="B261" s="1262"/>
      <c r="C261" s="1327"/>
      <c r="D261" s="1262"/>
      <c r="E261" s="1262"/>
      <c r="F261" s="1262"/>
      <c r="G261" s="1262"/>
      <c r="H261" s="1269"/>
      <c r="I261" s="1056"/>
      <c r="J261" s="1111"/>
      <c r="K261" s="505"/>
    </row>
    <row r="262" spans="1:11">
      <c r="A262" s="1262"/>
      <c r="B262" s="1262"/>
      <c r="C262" s="1327"/>
      <c r="D262" s="1262"/>
      <c r="E262" s="1262"/>
      <c r="F262" s="1262"/>
      <c r="G262" s="1262"/>
      <c r="H262" s="1269"/>
      <c r="I262" s="1056"/>
      <c r="J262" s="1111"/>
      <c r="K262" s="505"/>
    </row>
    <row r="263" spans="1:11">
      <c r="A263" s="1262"/>
      <c r="B263" s="1262"/>
      <c r="C263" s="1327"/>
      <c r="D263" s="1262"/>
      <c r="E263" s="1262"/>
      <c r="F263" s="1262"/>
      <c r="G263" s="1262"/>
      <c r="H263" s="1269"/>
      <c r="I263" s="1056"/>
      <c r="J263" s="1111"/>
      <c r="K263" s="505"/>
    </row>
    <row r="264" spans="1:11">
      <c r="A264" s="1262"/>
      <c r="B264" s="1262"/>
      <c r="C264" s="1327"/>
      <c r="D264" s="1262"/>
      <c r="E264" s="1262"/>
      <c r="F264" s="1262"/>
      <c r="G264" s="1262"/>
      <c r="H264" s="1269"/>
      <c r="I264" s="1056"/>
      <c r="J264" s="1111"/>
      <c r="K264" s="505"/>
    </row>
    <row r="265" spans="1:11">
      <c r="A265" s="1262"/>
      <c r="B265" s="1262"/>
      <c r="C265" s="1327"/>
      <c r="D265" s="1262"/>
      <c r="E265" s="1262"/>
      <c r="F265" s="1262"/>
      <c r="G265" s="1262"/>
      <c r="H265" s="1269"/>
      <c r="I265" s="1056"/>
      <c r="J265" s="1111"/>
      <c r="K265" s="505"/>
    </row>
    <row r="266" spans="1:11">
      <c r="A266" s="1262"/>
      <c r="B266" s="1262"/>
      <c r="C266" s="1327"/>
      <c r="D266" s="1262"/>
      <c r="E266" s="1262"/>
      <c r="F266" s="1262"/>
      <c r="G266" s="1262"/>
      <c r="H266" s="1269"/>
      <c r="I266" s="1056"/>
      <c r="J266" s="1111"/>
      <c r="K266" s="505"/>
    </row>
    <row r="267" spans="1:11">
      <c r="A267" s="1262"/>
      <c r="B267" s="1262"/>
      <c r="C267" s="1327"/>
      <c r="D267" s="1262"/>
      <c r="E267" s="1262"/>
      <c r="F267" s="1262"/>
      <c r="G267" s="1262"/>
      <c r="H267" s="1269"/>
      <c r="I267" s="1056"/>
      <c r="J267" s="1111"/>
      <c r="K267" s="505"/>
    </row>
    <row r="268" spans="1:11">
      <c r="A268" s="1262"/>
      <c r="B268" s="1262"/>
      <c r="C268" s="1327"/>
      <c r="D268" s="1262"/>
      <c r="E268" s="1262"/>
      <c r="F268" s="1262"/>
      <c r="G268" s="1262"/>
      <c r="H268" s="1269"/>
      <c r="I268" s="1056"/>
      <c r="J268" s="1111"/>
      <c r="K268" s="505"/>
    </row>
    <row r="269" spans="1:11">
      <c r="A269" s="1262"/>
      <c r="B269" s="1262"/>
      <c r="C269" s="1327"/>
      <c r="D269" s="1262"/>
      <c r="E269" s="1262"/>
      <c r="F269" s="1262"/>
      <c r="G269" s="1262"/>
      <c r="H269" s="1269"/>
      <c r="I269" s="1056"/>
      <c r="J269" s="1111"/>
      <c r="K269" s="505"/>
    </row>
    <row r="270" spans="1:11">
      <c r="A270" s="1262"/>
      <c r="B270" s="1262"/>
      <c r="C270" s="1327"/>
      <c r="D270" s="1262"/>
      <c r="E270" s="1262"/>
      <c r="F270" s="1262"/>
      <c r="G270" s="1262"/>
      <c r="H270" s="1269"/>
      <c r="I270" s="1056"/>
      <c r="J270" s="1111"/>
      <c r="K270" s="505"/>
    </row>
    <row r="271" spans="1:11">
      <c r="A271" s="1262"/>
      <c r="B271" s="1262"/>
      <c r="C271" s="1327"/>
      <c r="D271" s="1262"/>
      <c r="E271" s="1262"/>
      <c r="F271" s="1262"/>
      <c r="G271" s="1262"/>
      <c r="H271" s="1269"/>
      <c r="I271" s="1056"/>
      <c r="J271" s="1111"/>
      <c r="K271" s="505"/>
    </row>
    <row r="272" spans="1:11">
      <c r="A272" s="1262"/>
      <c r="B272" s="1262"/>
      <c r="C272" s="1327"/>
      <c r="D272" s="1262"/>
      <c r="E272" s="1262"/>
      <c r="F272" s="1262"/>
      <c r="G272" s="1262"/>
      <c r="H272" s="1269"/>
      <c r="I272" s="1056"/>
      <c r="J272" s="1111"/>
      <c r="K272" s="505"/>
    </row>
    <row r="273" spans="1:11">
      <c r="A273" s="1262"/>
      <c r="B273" s="1262"/>
      <c r="C273" s="1327"/>
      <c r="D273" s="1262"/>
      <c r="E273" s="1262"/>
      <c r="F273" s="1262"/>
      <c r="G273" s="1262"/>
      <c r="H273" s="1269"/>
      <c r="I273" s="1056"/>
      <c r="J273" s="1111"/>
      <c r="K273" s="505"/>
    </row>
    <row r="274" spans="1:11">
      <c r="A274" s="1262"/>
      <c r="B274" s="1262"/>
      <c r="C274" s="1327"/>
      <c r="D274" s="1262"/>
      <c r="E274" s="1262"/>
      <c r="F274" s="1262"/>
      <c r="G274" s="1262"/>
      <c r="H274" s="1269"/>
      <c r="I274" s="1056"/>
      <c r="J274" s="1111"/>
      <c r="K274" s="505"/>
    </row>
    <row r="275" spans="1:11" ht="15.75" thickBot="1">
      <c r="A275" s="1037"/>
      <c r="B275" s="1038"/>
      <c r="C275" s="1026"/>
      <c r="D275" s="1026"/>
      <c r="E275" s="1026"/>
      <c r="F275" s="1059"/>
      <c r="G275" s="1054"/>
      <c r="H275" s="1269"/>
      <c r="I275" s="1056"/>
      <c r="J275" s="1111"/>
      <c r="K275" s="505"/>
    </row>
    <row r="276" spans="1:11" ht="20.25" thickBot="1">
      <c r="A276" s="1158"/>
      <c r="B276" s="1159"/>
      <c r="C276" s="1159"/>
      <c r="D276" s="1159"/>
      <c r="E276" s="1159"/>
      <c r="F276" s="1160">
        <f>SUM(F155:F163,F165:F275)</f>
        <v>0</v>
      </c>
      <c r="G276" s="1159"/>
      <c r="H276" s="1293">
        <f>SUM(H55:H275)</f>
        <v>0</v>
      </c>
      <c r="I276" s="1160">
        <f>SUM(I155:I275)</f>
        <v>0</v>
      </c>
      <c r="J276" s="1164"/>
      <c r="K276" s="1157"/>
    </row>
  </sheetData>
  <autoFilter ref="A1:K1" xr:uid="{F61B56B1-56C3-4315-9198-199A5BDE07A4}">
    <sortState xmlns:xlrd2="http://schemas.microsoft.com/office/spreadsheetml/2017/richdata2" ref="A2:K54">
      <sortCondition ref="J1"/>
    </sortState>
  </autoFilter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DBEF-254B-4F03-82AC-B4327735DCA1}">
  <dimension ref="A1:K278"/>
  <sheetViews>
    <sheetView zoomScale="85" zoomScaleNormal="85" workbookViewId="0">
      <selection activeCell="E35" sqref="E35"/>
    </sheetView>
  </sheetViews>
  <sheetFormatPr defaultColWidth="9.140625" defaultRowHeight="15"/>
  <cols>
    <col min="1" max="1" width="15.140625" style="1058" bestFit="1" customWidth="1"/>
    <col min="2" max="2" width="13.5703125" style="1058" customWidth="1"/>
    <col min="3" max="3" width="44.5703125" style="1165" bestFit="1" customWidth="1"/>
    <col min="4" max="4" width="22.28515625" style="1058" bestFit="1" customWidth="1"/>
    <col min="5" max="5" width="16.7109375" style="1058" customWidth="1"/>
    <col min="6" max="6" width="22" style="1058" bestFit="1" customWidth="1"/>
    <col min="7" max="7" width="15" style="1058" customWidth="1"/>
    <col min="8" max="8" width="24.85546875" style="1058" bestFit="1" customWidth="1"/>
    <col min="9" max="9" width="21.140625" style="1058" customWidth="1"/>
    <col min="10" max="10" width="13.28515625" style="1058" customWidth="1"/>
    <col min="11" max="11" width="16.5703125" style="1058" customWidth="1"/>
    <col min="12" max="16384" width="9.140625" style="1058"/>
  </cols>
  <sheetData>
    <row r="1" spans="1:11" ht="15" customHeight="1">
      <c r="A1" s="1235" t="s">
        <v>2519</v>
      </c>
      <c r="B1" s="1236" t="s">
        <v>2</v>
      </c>
      <c r="C1" s="1236" t="s">
        <v>3</v>
      </c>
      <c r="D1" s="1236" t="s">
        <v>4</v>
      </c>
      <c r="E1" s="1236" t="s">
        <v>5</v>
      </c>
      <c r="F1" s="1237" t="s">
        <v>644</v>
      </c>
      <c r="G1" s="1238" t="s">
        <v>555</v>
      </c>
      <c r="H1" s="1239" t="s">
        <v>7</v>
      </c>
      <c r="I1" s="1240" t="s">
        <v>307</v>
      </c>
      <c r="J1" s="1238" t="s">
        <v>370</v>
      </c>
      <c r="K1" s="1241" t="s">
        <v>442</v>
      </c>
    </row>
    <row r="2" spans="1:11" s="1070" customFormat="1" ht="15.75">
      <c r="A2" s="1039">
        <v>45443</v>
      </c>
      <c r="B2" s="1039">
        <v>45809</v>
      </c>
      <c r="C2" s="1025" t="s">
        <v>2237</v>
      </c>
      <c r="D2" s="1025" t="s">
        <v>70</v>
      </c>
      <c r="E2" s="1025" t="s">
        <v>1080</v>
      </c>
      <c r="F2" s="1023">
        <v>797.25</v>
      </c>
      <c r="G2" s="1062">
        <v>0.1</v>
      </c>
      <c r="H2" s="1023">
        <v>73.34</v>
      </c>
      <c r="I2" s="1242"/>
      <c r="J2" s="1025"/>
      <c r="K2" s="1115" t="s">
        <v>2015</v>
      </c>
    </row>
    <row r="3" spans="1:11" ht="15.75">
      <c r="A3" s="1263">
        <v>45435</v>
      </c>
      <c r="B3" s="1263">
        <v>45810</v>
      </c>
      <c r="C3" s="1264" t="s">
        <v>1465</v>
      </c>
      <c r="D3" s="1264" t="s">
        <v>9</v>
      </c>
      <c r="E3" s="1264" t="s">
        <v>948</v>
      </c>
      <c r="F3" s="1593">
        <v>1011.45</v>
      </c>
      <c r="G3" s="1265">
        <v>0.15</v>
      </c>
      <c r="H3" s="1593">
        <v>139.58000000000001</v>
      </c>
      <c r="I3" s="1387">
        <v>69.790000000000006</v>
      </c>
      <c r="J3" s="1264" t="s">
        <v>2094</v>
      </c>
      <c r="K3" s="1267" t="s">
        <v>2015</v>
      </c>
    </row>
    <row r="4" spans="1:11" s="1342" customFormat="1" ht="15.75">
      <c r="A4" s="1263">
        <v>45443</v>
      </c>
      <c r="B4" s="1263">
        <v>45811</v>
      </c>
      <c r="C4" s="1264" t="s">
        <v>1399</v>
      </c>
      <c r="D4" s="1264" t="s">
        <v>25</v>
      </c>
      <c r="E4" s="1264" t="s">
        <v>948</v>
      </c>
      <c r="F4" s="1343">
        <v>2005.8</v>
      </c>
      <c r="G4" s="1265">
        <v>0.1</v>
      </c>
      <c r="H4" s="1266">
        <v>184.53</v>
      </c>
      <c r="I4" s="1387">
        <v>92.26</v>
      </c>
      <c r="J4" s="1264" t="s">
        <v>2094</v>
      </c>
      <c r="K4" s="1267" t="s">
        <v>2015</v>
      </c>
    </row>
    <row r="5" spans="1:11" s="1440" customFormat="1" ht="15.75">
      <c r="A5" s="1039">
        <v>45446</v>
      </c>
      <c r="B5" s="1039">
        <v>45811</v>
      </c>
      <c r="C5" s="1025" t="s">
        <v>2606</v>
      </c>
      <c r="D5" s="1025" t="s">
        <v>448</v>
      </c>
      <c r="E5" s="1025" t="s">
        <v>1080</v>
      </c>
      <c r="F5" s="1061">
        <v>2257.71</v>
      </c>
      <c r="G5" s="1062">
        <v>0.1</v>
      </c>
      <c r="H5" s="1055">
        <v>207.7</v>
      </c>
      <c r="I5" s="1242"/>
      <c r="J5" s="1025"/>
      <c r="K5" s="1115" t="s">
        <v>2015</v>
      </c>
    </row>
    <row r="6" spans="1:11" s="1440" customFormat="1" ht="15.75">
      <c r="A6" s="1938">
        <v>45447</v>
      </c>
      <c r="B6" s="1938">
        <v>45812</v>
      </c>
      <c r="C6" s="1442" t="s">
        <v>2600</v>
      </c>
      <c r="D6" s="1442" t="s">
        <v>448</v>
      </c>
      <c r="E6" s="1442" t="s">
        <v>948</v>
      </c>
      <c r="F6" s="1443">
        <v>8492.98</v>
      </c>
      <c r="G6" s="1444">
        <v>0.12</v>
      </c>
      <c r="H6" s="1445">
        <v>937.62</v>
      </c>
      <c r="I6" s="1939">
        <v>468.81</v>
      </c>
      <c r="J6" s="1442" t="s">
        <v>1482</v>
      </c>
      <c r="K6" s="1446" t="s">
        <v>1472</v>
      </c>
    </row>
    <row r="7" spans="1:11" s="1440" customFormat="1" ht="15.75">
      <c r="A7" s="1037">
        <v>45447</v>
      </c>
      <c r="B7" s="1038">
        <v>45812</v>
      </c>
      <c r="C7" s="1025" t="s">
        <v>727</v>
      </c>
      <c r="D7" s="1026" t="s">
        <v>448</v>
      </c>
      <c r="E7" s="1026" t="s">
        <v>948</v>
      </c>
      <c r="F7" s="1059">
        <v>1644.03</v>
      </c>
      <c r="G7" s="1054">
        <v>0.15</v>
      </c>
      <c r="H7" s="1055">
        <v>226.87</v>
      </c>
      <c r="I7" s="1056" t="s">
        <v>442</v>
      </c>
      <c r="J7" s="1111"/>
      <c r="K7" s="1115" t="s">
        <v>2015</v>
      </c>
    </row>
    <row r="8" spans="1:11" s="1441" customFormat="1" ht="15.75">
      <c r="A8" s="1039">
        <v>45448</v>
      </c>
      <c r="B8" s="1039">
        <v>45813</v>
      </c>
      <c r="C8" s="1025" t="s">
        <v>1278</v>
      </c>
      <c r="D8" s="1025" t="s">
        <v>33</v>
      </c>
      <c r="E8" s="1025" t="s">
        <v>1080</v>
      </c>
      <c r="F8" s="1061">
        <v>969.45</v>
      </c>
      <c r="G8" s="1062">
        <v>0.1</v>
      </c>
      <c r="H8" s="1055">
        <v>89.18</v>
      </c>
      <c r="I8" s="1242"/>
      <c r="J8" s="1025"/>
      <c r="K8" s="1115" t="s">
        <v>1472</v>
      </c>
    </row>
    <row r="9" spans="1:11" s="1268" customFormat="1" ht="15.75">
      <c r="A9" s="1040">
        <v>45449</v>
      </c>
      <c r="B9" s="1041">
        <v>45814</v>
      </c>
      <c r="C9" s="1027" t="s">
        <v>1779</v>
      </c>
      <c r="D9" s="1030" t="s">
        <v>9</v>
      </c>
      <c r="E9" s="1027" t="s">
        <v>948</v>
      </c>
      <c r="F9" s="1090">
        <v>1731.14</v>
      </c>
      <c r="G9" s="1066">
        <v>0.1</v>
      </c>
      <c r="H9" s="1090">
        <v>159.26</v>
      </c>
      <c r="I9" s="1068">
        <v>15.92</v>
      </c>
      <c r="J9" s="1112" t="s">
        <v>2070</v>
      </c>
      <c r="K9" s="1117" t="s">
        <v>2015</v>
      </c>
    </row>
    <row r="10" spans="1:11" s="1441" customFormat="1" ht="15.75">
      <c r="A10" s="1406">
        <v>45449</v>
      </c>
      <c r="B10" s="1406">
        <v>45814</v>
      </c>
      <c r="C10" s="1224" t="s">
        <v>2596</v>
      </c>
      <c r="D10" s="1224" t="s">
        <v>25</v>
      </c>
      <c r="E10" s="1224" t="s">
        <v>945</v>
      </c>
      <c r="F10" s="1407">
        <v>132.88</v>
      </c>
      <c r="G10" s="1409">
        <v>0.15</v>
      </c>
      <c r="H10" s="1226">
        <v>11.93</v>
      </c>
      <c r="I10" s="1439">
        <v>5.96</v>
      </c>
      <c r="J10" s="1224" t="s">
        <v>1577</v>
      </c>
      <c r="K10" s="1231" t="s">
        <v>2597</v>
      </c>
    </row>
    <row r="11" spans="1:11" s="1447" customFormat="1" ht="15.75">
      <c r="A11" s="1938">
        <v>45447</v>
      </c>
      <c r="B11" s="1938">
        <v>45814</v>
      </c>
      <c r="C11" s="1442" t="s">
        <v>2601</v>
      </c>
      <c r="D11" s="1442" t="s">
        <v>70</v>
      </c>
      <c r="E11" s="1442" t="s">
        <v>1080</v>
      </c>
      <c r="F11" s="1443">
        <v>675.78</v>
      </c>
      <c r="G11" s="1444">
        <v>0.1</v>
      </c>
      <c r="H11" s="1445">
        <v>62.17</v>
      </c>
      <c r="I11" s="1939">
        <v>31.08</v>
      </c>
      <c r="J11" s="1442" t="s">
        <v>1482</v>
      </c>
      <c r="K11" s="1446" t="s">
        <v>2015</v>
      </c>
    </row>
    <row r="12" spans="1:11" s="1448" customFormat="1" ht="15.75">
      <c r="A12" s="1124">
        <v>45450</v>
      </c>
      <c r="B12" s="1125">
        <v>45815</v>
      </c>
      <c r="C12" s="1028" t="s">
        <v>2591</v>
      </c>
      <c r="D12" s="1028" t="s">
        <v>70</v>
      </c>
      <c r="E12" s="1028" t="s">
        <v>1080</v>
      </c>
      <c r="F12" s="1126">
        <v>7229.87</v>
      </c>
      <c r="G12" s="1127">
        <v>0.1</v>
      </c>
      <c r="H12" s="1128">
        <v>665.14</v>
      </c>
      <c r="I12" s="1129">
        <v>66.510000000000005</v>
      </c>
      <c r="J12" s="1130" t="s">
        <v>2070</v>
      </c>
      <c r="K12" s="1468" t="s">
        <v>2015</v>
      </c>
    </row>
    <row r="13" spans="1:11" s="1448" customFormat="1" ht="15.75">
      <c r="A13" s="1938">
        <v>45450</v>
      </c>
      <c r="B13" s="1938">
        <v>45815</v>
      </c>
      <c r="C13" s="1442" t="s">
        <v>2602</v>
      </c>
      <c r="D13" s="1442" t="s">
        <v>448</v>
      </c>
      <c r="E13" s="1442" t="s">
        <v>1080</v>
      </c>
      <c r="F13" s="1449">
        <v>2783.88</v>
      </c>
      <c r="G13" s="1444">
        <v>0.1</v>
      </c>
      <c r="H13" s="1445">
        <v>256.11</v>
      </c>
      <c r="I13" s="1940">
        <v>128.05000000000001</v>
      </c>
      <c r="J13" s="1450" t="s">
        <v>1482</v>
      </c>
      <c r="K13" s="1446" t="s">
        <v>1472</v>
      </c>
    </row>
    <row r="14" spans="1:11" s="1447" customFormat="1" ht="15.75">
      <c r="A14" s="1938">
        <v>45449</v>
      </c>
      <c r="B14" s="1938">
        <v>45816</v>
      </c>
      <c r="C14" s="1442" t="s">
        <v>2603</v>
      </c>
      <c r="D14" s="1442" t="s">
        <v>448</v>
      </c>
      <c r="E14" s="1442" t="s">
        <v>1080</v>
      </c>
      <c r="F14" s="1443">
        <v>3325.85</v>
      </c>
      <c r="G14" s="1444">
        <v>0.1</v>
      </c>
      <c r="H14" s="1445">
        <v>305.97000000000003</v>
      </c>
      <c r="I14" s="1939">
        <v>152.97999999999999</v>
      </c>
      <c r="J14" s="1442" t="s">
        <v>1482</v>
      </c>
      <c r="K14" s="1446" t="s">
        <v>1472</v>
      </c>
    </row>
    <row r="15" spans="1:11" s="1448" customFormat="1" ht="15.75">
      <c r="A15" s="1037">
        <v>45450</v>
      </c>
      <c r="B15" s="1038">
        <v>45817</v>
      </c>
      <c r="C15" s="1026" t="s">
        <v>1405</v>
      </c>
      <c r="D15" s="1026" t="s">
        <v>61</v>
      </c>
      <c r="E15" s="1026" t="s">
        <v>945</v>
      </c>
      <c r="F15" s="1059">
        <v>1394.57</v>
      </c>
      <c r="G15" s="1054">
        <v>0.1</v>
      </c>
      <c r="H15" s="1055">
        <v>128.30000000000001</v>
      </c>
      <c r="I15" s="1056"/>
      <c r="J15" s="1111"/>
      <c r="K15" s="1115" t="s">
        <v>2015</v>
      </c>
    </row>
    <row r="16" spans="1:11" s="1448" customFormat="1" ht="15.75">
      <c r="A16" s="1037">
        <v>45450</v>
      </c>
      <c r="B16" s="1038">
        <v>45817</v>
      </c>
      <c r="C16" s="1025" t="s">
        <v>2250</v>
      </c>
      <c r="D16" s="1025" t="s">
        <v>70</v>
      </c>
      <c r="E16" s="1025" t="s">
        <v>1080</v>
      </c>
      <c r="F16" s="1092">
        <v>7445.48</v>
      </c>
      <c r="G16" s="1062">
        <v>0.15</v>
      </c>
      <c r="H16" s="1055">
        <v>1027.47</v>
      </c>
      <c r="I16" s="1056"/>
      <c r="J16" s="1111"/>
      <c r="K16" s="1115" t="s">
        <v>2015</v>
      </c>
    </row>
    <row r="17" spans="1:11" s="1448" customFormat="1" ht="15.75">
      <c r="A17" s="1223">
        <v>45453</v>
      </c>
      <c r="B17" s="1472">
        <v>45818</v>
      </c>
      <c r="C17" s="1224" t="s">
        <v>2598</v>
      </c>
      <c r="D17" s="1224" t="s">
        <v>25</v>
      </c>
      <c r="E17" s="1224" t="s">
        <v>945</v>
      </c>
      <c r="F17" s="1407">
        <v>143.91</v>
      </c>
      <c r="G17" s="1409">
        <v>0.2</v>
      </c>
      <c r="H17" s="1226">
        <v>26.47</v>
      </c>
      <c r="I17" s="1227">
        <v>13.23</v>
      </c>
      <c r="J17" s="1228" t="s">
        <v>1577</v>
      </c>
      <c r="K17" s="1231" t="s">
        <v>2597</v>
      </c>
    </row>
    <row r="18" spans="1:11" s="1448" customFormat="1" ht="15.75">
      <c r="A18" s="1037">
        <v>45454</v>
      </c>
      <c r="B18" s="1038">
        <v>45819</v>
      </c>
      <c r="C18" s="1026" t="s">
        <v>2589</v>
      </c>
      <c r="D18" s="1026" t="s">
        <v>448</v>
      </c>
      <c r="E18" s="1025" t="s">
        <v>948</v>
      </c>
      <c r="F18" s="1061">
        <v>2136.94</v>
      </c>
      <c r="G18" s="1062">
        <v>0.1</v>
      </c>
      <c r="H18" s="1088">
        <v>196.59</v>
      </c>
      <c r="I18" s="1089">
        <v>60</v>
      </c>
      <c r="J18" s="1111" t="s">
        <v>2590</v>
      </c>
      <c r="K18" s="1115" t="s">
        <v>1472</v>
      </c>
    </row>
    <row r="19" spans="1:11" s="1070" customFormat="1" ht="15.75">
      <c r="A19" s="1037">
        <v>45454</v>
      </c>
      <c r="B19" s="1038">
        <v>45819</v>
      </c>
      <c r="C19" s="1025" t="s">
        <v>1403</v>
      </c>
      <c r="D19" s="1026" t="s">
        <v>70</v>
      </c>
      <c r="E19" s="1025" t="s">
        <v>458</v>
      </c>
      <c r="F19" s="1061">
        <v>1592.73</v>
      </c>
      <c r="G19" s="1062">
        <v>0.15</v>
      </c>
      <c r="H19" s="1055">
        <v>219.79</v>
      </c>
      <c r="I19" s="1056">
        <v>60</v>
      </c>
      <c r="J19" s="1111" t="s">
        <v>2590</v>
      </c>
      <c r="K19" s="1115" t="s">
        <v>2015</v>
      </c>
    </row>
    <row r="20" spans="1:11" ht="15.75">
      <c r="A20" s="1451">
        <v>45821</v>
      </c>
      <c r="B20" s="1452">
        <v>45821</v>
      </c>
      <c r="C20" s="1442" t="s">
        <v>2602</v>
      </c>
      <c r="D20" s="1453" t="s">
        <v>448</v>
      </c>
      <c r="E20" s="1442" t="s">
        <v>948</v>
      </c>
      <c r="F20" s="1443">
        <v>2336.3000000000002</v>
      </c>
      <c r="G20" s="1444">
        <v>0.1</v>
      </c>
      <c r="H20" s="1445">
        <v>214.93</v>
      </c>
      <c r="I20" s="1455">
        <v>107.46</v>
      </c>
      <c r="J20" s="1450" t="s">
        <v>2554</v>
      </c>
      <c r="K20" s="1446" t="s">
        <v>1472</v>
      </c>
    </row>
    <row r="21" spans="1:11" s="1357" customFormat="1" ht="15.75">
      <c r="A21" s="1037">
        <v>45454</v>
      </c>
      <c r="B21" s="1038">
        <v>45821</v>
      </c>
      <c r="C21" s="1025" t="s">
        <v>2607</v>
      </c>
      <c r="D21" s="1026" t="s">
        <v>21</v>
      </c>
      <c r="E21" s="1025" t="s">
        <v>90</v>
      </c>
      <c r="F21" s="1061">
        <v>1419.31</v>
      </c>
      <c r="G21" s="1062">
        <v>0.1</v>
      </c>
      <c r="H21" s="1055">
        <v>130.57</v>
      </c>
      <c r="I21" s="1056"/>
      <c r="J21" s="1111"/>
      <c r="K21" s="1115" t="s">
        <v>1472</v>
      </c>
    </row>
    <row r="22" spans="1:11" s="1426" customFormat="1" ht="15.75">
      <c r="A22" s="1037">
        <v>45468</v>
      </c>
      <c r="B22" s="1038">
        <v>45821</v>
      </c>
      <c r="C22" s="1025" t="s">
        <v>2608</v>
      </c>
      <c r="D22" s="1026" t="s">
        <v>25</v>
      </c>
      <c r="E22" s="1025" t="s">
        <v>948</v>
      </c>
      <c r="F22" s="1061">
        <v>1319.32</v>
      </c>
      <c r="G22" s="1062">
        <v>0.1</v>
      </c>
      <c r="H22" s="1055">
        <v>121.37</v>
      </c>
      <c r="I22" s="1056"/>
      <c r="J22" s="1111"/>
      <c r="K22" s="1115" t="s">
        <v>1472</v>
      </c>
    </row>
    <row r="23" spans="1:11" s="1070" customFormat="1" ht="15.75">
      <c r="A23" s="1379">
        <v>45457</v>
      </c>
      <c r="B23" s="1379">
        <v>45822</v>
      </c>
      <c r="C23" s="1380" t="s">
        <v>2594</v>
      </c>
      <c r="D23" s="1380" t="s">
        <v>61</v>
      </c>
      <c r="E23" s="1380" t="s">
        <v>1080</v>
      </c>
      <c r="F23" s="1381">
        <v>669.79</v>
      </c>
      <c r="G23" s="1384">
        <v>0.1</v>
      </c>
      <c r="H23" s="1340">
        <v>61.62</v>
      </c>
      <c r="I23" s="1369">
        <v>30.81</v>
      </c>
      <c r="J23" s="1370" t="s">
        <v>2595</v>
      </c>
      <c r="K23" s="1341" t="s">
        <v>1472</v>
      </c>
    </row>
    <row r="24" spans="1:11" ht="15.75">
      <c r="A24" s="1039">
        <v>45450</v>
      </c>
      <c r="B24" s="1039">
        <v>45822</v>
      </c>
      <c r="C24" s="1025" t="s">
        <v>1401</v>
      </c>
      <c r="D24" s="1025" t="s">
        <v>25</v>
      </c>
      <c r="E24" s="1025" t="s">
        <v>945</v>
      </c>
      <c r="F24" s="1061">
        <v>1917.15</v>
      </c>
      <c r="G24" s="1062">
        <v>0.15</v>
      </c>
      <c r="H24" s="1055">
        <v>264.56</v>
      </c>
      <c r="I24" s="1056"/>
      <c r="J24" s="1111"/>
      <c r="K24" s="1115" t="s">
        <v>2015</v>
      </c>
    </row>
    <row r="25" spans="1:11" ht="15.75">
      <c r="A25" s="1284">
        <v>45457</v>
      </c>
      <c r="B25" s="1263">
        <v>45823</v>
      </c>
      <c r="C25" s="1264" t="s">
        <v>1786</v>
      </c>
      <c r="D25" s="1285" t="s">
        <v>9</v>
      </c>
      <c r="E25" s="1264" t="s">
        <v>948</v>
      </c>
      <c r="F25" s="1343">
        <v>1691.37</v>
      </c>
      <c r="G25" s="1265">
        <v>0.15</v>
      </c>
      <c r="H25" s="1266">
        <v>233.4</v>
      </c>
      <c r="I25" s="1286">
        <v>116.7</v>
      </c>
      <c r="J25" s="1287" t="s">
        <v>2094</v>
      </c>
      <c r="K25" s="1267" t="s">
        <v>2015</v>
      </c>
    </row>
    <row r="26" spans="1:11" ht="15.75">
      <c r="A26" s="1451">
        <v>45460</v>
      </c>
      <c r="B26" s="1938">
        <v>45825</v>
      </c>
      <c r="C26" s="1442" t="s">
        <v>2604</v>
      </c>
      <c r="D26" s="1453" t="s">
        <v>448</v>
      </c>
      <c r="E26" s="1442" t="s">
        <v>1080</v>
      </c>
      <c r="F26" s="1449">
        <v>871.08</v>
      </c>
      <c r="G26" s="1444">
        <v>0.25</v>
      </c>
      <c r="H26" s="1445">
        <v>200.34</v>
      </c>
      <c r="I26" s="1455">
        <v>100.17</v>
      </c>
      <c r="J26" s="1450" t="s">
        <v>1482</v>
      </c>
      <c r="K26" s="1446" t="s">
        <v>1472</v>
      </c>
    </row>
    <row r="27" spans="1:11" ht="15.75">
      <c r="A27" s="1037">
        <v>45463</v>
      </c>
      <c r="B27" s="1039">
        <v>45828</v>
      </c>
      <c r="C27" s="1025" t="s">
        <v>941</v>
      </c>
      <c r="D27" s="1026" t="s">
        <v>9</v>
      </c>
      <c r="E27" s="1025" t="s">
        <v>948</v>
      </c>
      <c r="F27" s="1061">
        <v>1112.32</v>
      </c>
      <c r="G27" s="1062">
        <v>0.15</v>
      </c>
      <c r="H27" s="1055">
        <v>153.5</v>
      </c>
      <c r="I27" s="1056"/>
      <c r="J27" s="1111"/>
      <c r="K27" s="1115" t="s">
        <v>2015</v>
      </c>
    </row>
    <row r="28" spans="1:11" ht="15.75">
      <c r="A28" s="1037">
        <v>45463</v>
      </c>
      <c r="B28" s="1039">
        <v>45828</v>
      </c>
      <c r="C28" s="1026" t="s">
        <v>949</v>
      </c>
      <c r="D28" s="1026" t="s">
        <v>9</v>
      </c>
      <c r="E28" s="1025" t="s">
        <v>1641</v>
      </c>
      <c r="F28" s="1061">
        <v>2019.99</v>
      </c>
      <c r="G28" s="1062">
        <v>0.2</v>
      </c>
      <c r="H28" s="1055">
        <v>371.67</v>
      </c>
      <c r="I28" s="1056"/>
      <c r="J28" s="1111"/>
      <c r="K28" s="1115" t="s">
        <v>2015</v>
      </c>
    </row>
    <row r="29" spans="1:11" ht="15.75">
      <c r="A29" s="1406">
        <v>45464</v>
      </c>
      <c r="B29" s="1406">
        <v>45829</v>
      </c>
      <c r="C29" s="1224" t="s">
        <v>2599</v>
      </c>
      <c r="D29" s="1224" t="s">
        <v>448</v>
      </c>
      <c r="E29" s="1224" t="s">
        <v>469</v>
      </c>
      <c r="F29" s="1457" t="s">
        <v>889</v>
      </c>
      <c r="G29" s="1409">
        <v>0.1</v>
      </c>
      <c r="H29" s="1226">
        <v>150</v>
      </c>
      <c r="I29" s="1439">
        <v>75</v>
      </c>
      <c r="J29" s="1224" t="s">
        <v>1577</v>
      </c>
      <c r="K29" s="1231" t="s">
        <v>2015</v>
      </c>
    </row>
    <row r="30" spans="1:11">
      <c r="A30" s="1037">
        <v>45464</v>
      </c>
      <c r="B30" s="1039">
        <v>45829</v>
      </c>
      <c r="C30" s="1927" t="s">
        <v>2606</v>
      </c>
      <c r="D30" s="1038" t="s">
        <v>448</v>
      </c>
      <c r="E30" s="1038" t="s">
        <v>1080</v>
      </c>
      <c r="F30" s="1104">
        <v>1228.17</v>
      </c>
      <c r="G30" s="1062">
        <v>0.1</v>
      </c>
      <c r="H30" s="1023">
        <v>112.99</v>
      </c>
      <c r="I30" s="1089"/>
      <c r="J30" s="1325"/>
      <c r="K30" s="1039" t="s">
        <v>1472</v>
      </c>
    </row>
    <row r="31" spans="1:11" ht="15.75">
      <c r="A31" s="1037">
        <v>45464</v>
      </c>
      <c r="B31" s="1038">
        <v>45829</v>
      </c>
      <c r="C31" s="1025" t="s">
        <v>2609</v>
      </c>
      <c r="D31" s="1026" t="s">
        <v>149</v>
      </c>
      <c r="E31" s="1026" t="s">
        <v>143</v>
      </c>
      <c r="F31" s="1059">
        <v>3040.06</v>
      </c>
      <c r="G31" s="1054">
        <v>0.1</v>
      </c>
      <c r="H31" s="1055">
        <v>279.68</v>
      </c>
      <c r="I31" s="1056"/>
      <c r="J31" s="1111"/>
      <c r="K31" s="1115" t="s">
        <v>1472</v>
      </c>
    </row>
    <row r="32" spans="1:11" ht="15.75">
      <c r="A32" s="1037">
        <v>45464</v>
      </c>
      <c r="B32" s="1038">
        <v>45830</v>
      </c>
      <c r="C32" s="1025" t="s">
        <v>2610</v>
      </c>
      <c r="D32" s="1026" t="s">
        <v>25</v>
      </c>
      <c r="E32" s="1026" t="s">
        <v>90</v>
      </c>
      <c r="F32" s="1059">
        <v>1451.22</v>
      </c>
      <c r="G32" s="1054">
        <v>0.1</v>
      </c>
      <c r="H32" s="1055">
        <v>133.51</v>
      </c>
      <c r="I32" s="1056"/>
      <c r="J32" s="1111"/>
      <c r="K32" s="1115" t="s">
        <v>2015</v>
      </c>
    </row>
    <row r="33" spans="1:11" ht="15.75">
      <c r="A33" s="1037">
        <v>45460</v>
      </c>
      <c r="B33" s="1038">
        <v>45831</v>
      </c>
      <c r="C33" s="1025" t="s">
        <v>2611</v>
      </c>
      <c r="D33" s="1026" t="s">
        <v>448</v>
      </c>
      <c r="E33" s="1026" t="s">
        <v>458</v>
      </c>
      <c r="F33" s="1059">
        <v>2444.9299999999998</v>
      </c>
      <c r="G33" s="1054">
        <v>0.15</v>
      </c>
      <c r="H33" s="1055">
        <v>337.4</v>
      </c>
      <c r="I33" s="1056"/>
      <c r="J33" s="1111"/>
      <c r="K33" s="1115" t="s">
        <v>2015</v>
      </c>
    </row>
    <row r="34" spans="1:11" ht="15.75">
      <c r="A34" s="1039">
        <v>45467</v>
      </c>
      <c r="B34" s="1039">
        <v>45832</v>
      </c>
      <c r="C34" s="1025" t="s">
        <v>2612</v>
      </c>
      <c r="D34" s="1025" t="s">
        <v>9</v>
      </c>
      <c r="E34" s="1025" t="s">
        <v>1310</v>
      </c>
      <c r="F34" s="1061">
        <v>4819.25</v>
      </c>
      <c r="G34" s="1062">
        <v>0.1</v>
      </c>
      <c r="H34" s="1055">
        <v>443.37</v>
      </c>
      <c r="I34" s="1242"/>
      <c r="J34" s="1025"/>
      <c r="K34" s="1115" t="s">
        <v>1472</v>
      </c>
    </row>
    <row r="35" spans="1:11" ht="15.75">
      <c r="A35" s="1451">
        <v>45468</v>
      </c>
      <c r="B35" s="1452">
        <v>45833</v>
      </c>
      <c r="C35" s="1442" t="s">
        <v>2605</v>
      </c>
      <c r="D35" s="1453" t="s">
        <v>448</v>
      </c>
      <c r="E35" s="1453" t="s">
        <v>1080</v>
      </c>
      <c r="F35" s="1456">
        <v>2512.09</v>
      </c>
      <c r="G35" s="1454">
        <v>0.1</v>
      </c>
      <c r="H35" s="1445">
        <v>231.11</v>
      </c>
      <c r="I35" s="1455">
        <v>115.55</v>
      </c>
      <c r="J35" s="1450" t="s">
        <v>1482</v>
      </c>
      <c r="K35" s="1446" t="s">
        <v>1472</v>
      </c>
    </row>
    <row r="36" spans="1:11" ht="15.75">
      <c r="A36" s="1037">
        <v>45470</v>
      </c>
      <c r="B36" s="1038">
        <v>45834</v>
      </c>
      <c r="C36" s="1026" t="s">
        <v>2613</v>
      </c>
      <c r="D36" s="1026" t="s">
        <v>14</v>
      </c>
      <c r="E36" s="1026" t="s">
        <v>945</v>
      </c>
      <c r="F36" s="1103">
        <v>1370.0550000000001</v>
      </c>
      <c r="G36" s="1054">
        <v>0.1</v>
      </c>
      <c r="H36" s="1055">
        <v>126.04</v>
      </c>
      <c r="I36" s="1056"/>
      <c r="J36" s="1111"/>
      <c r="K36" s="1115" t="s">
        <v>1472</v>
      </c>
    </row>
    <row r="37" spans="1:11" ht="15.75">
      <c r="A37" s="1451">
        <v>45470</v>
      </c>
      <c r="B37" s="1452">
        <v>45835</v>
      </c>
      <c r="C37" s="1453" t="s">
        <v>2249</v>
      </c>
      <c r="D37" s="1453" t="s">
        <v>848</v>
      </c>
      <c r="E37" s="1453" t="s">
        <v>469</v>
      </c>
      <c r="F37" s="1456" t="s">
        <v>889</v>
      </c>
      <c r="G37" s="1454">
        <v>0.1</v>
      </c>
      <c r="H37" s="1445">
        <v>200</v>
      </c>
      <c r="I37" s="1455">
        <v>100</v>
      </c>
      <c r="J37" s="1450" t="s">
        <v>1482</v>
      </c>
      <c r="K37" s="1446" t="s">
        <v>2015</v>
      </c>
    </row>
    <row r="38" spans="1:11" ht="15.75">
      <c r="A38" s="1037">
        <v>45471</v>
      </c>
      <c r="B38" s="1038">
        <v>45836</v>
      </c>
      <c r="C38" s="1025" t="s">
        <v>2614</v>
      </c>
      <c r="D38" s="1026" t="s">
        <v>448</v>
      </c>
      <c r="E38" s="1026" t="s">
        <v>945</v>
      </c>
      <c r="F38" s="1059">
        <v>958.31</v>
      </c>
      <c r="G38" s="1054">
        <v>0.15</v>
      </c>
      <c r="H38" s="1055">
        <v>135.74</v>
      </c>
      <c r="I38" s="1056"/>
      <c r="J38" s="1111"/>
      <c r="K38" s="1115" t="s">
        <v>2015</v>
      </c>
    </row>
    <row r="39" spans="1:11" ht="15.75">
      <c r="A39" s="1037">
        <v>45471</v>
      </c>
      <c r="B39" s="1038">
        <v>45837</v>
      </c>
      <c r="C39" s="1026" t="s">
        <v>2251</v>
      </c>
      <c r="D39" s="1026" t="s">
        <v>25</v>
      </c>
      <c r="E39" s="1025" t="s">
        <v>458</v>
      </c>
      <c r="F39" s="1061">
        <v>1586.62</v>
      </c>
      <c r="G39" s="1062">
        <v>0.15</v>
      </c>
      <c r="H39" s="1055">
        <v>218.95</v>
      </c>
      <c r="I39" s="1056">
        <v>60</v>
      </c>
      <c r="J39" s="1111" t="s">
        <v>2590</v>
      </c>
      <c r="K39" s="1115" t="s">
        <v>2015</v>
      </c>
    </row>
    <row r="40" spans="1:11" ht="15.75">
      <c r="A40" s="1037">
        <v>45469</v>
      </c>
      <c r="B40" s="1038" t="s">
        <v>1805</v>
      </c>
      <c r="C40" s="1026" t="s">
        <v>2401</v>
      </c>
      <c r="D40" s="1026" t="s">
        <v>149</v>
      </c>
      <c r="E40" s="1026" t="s">
        <v>1641</v>
      </c>
      <c r="F40" s="1059">
        <v>291.74</v>
      </c>
      <c r="G40" s="1054">
        <v>0.1</v>
      </c>
      <c r="H40" s="1055">
        <v>26.84</v>
      </c>
      <c r="I40" s="1056"/>
      <c r="J40" s="1111"/>
      <c r="K40" s="1115" t="s">
        <v>1805</v>
      </c>
    </row>
    <row r="41" spans="1:11" ht="15.75">
      <c r="A41" s="1040">
        <v>45453</v>
      </c>
      <c r="B41" s="1041" t="s">
        <v>2592</v>
      </c>
      <c r="C41" s="1027" t="s">
        <v>1326</v>
      </c>
      <c r="D41" s="1030" t="s">
        <v>25</v>
      </c>
      <c r="E41" s="1027" t="s">
        <v>22</v>
      </c>
      <c r="F41" s="1065">
        <v>523.26</v>
      </c>
      <c r="G41" s="1066">
        <v>0.2</v>
      </c>
      <c r="H41" s="1067">
        <v>96.28</v>
      </c>
      <c r="I41" s="1068">
        <v>9.6199999999999992</v>
      </c>
      <c r="J41" s="1112" t="s">
        <v>2070</v>
      </c>
      <c r="K41" s="1117" t="s">
        <v>2593</v>
      </c>
    </row>
    <row r="42" spans="1:11" ht="15.75">
      <c r="A42" s="1037"/>
      <c r="B42" s="1038"/>
      <c r="C42" s="1026"/>
      <c r="D42" s="1026"/>
      <c r="E42" s="1026"/>
      <c r="F42" s="1059"/>
      <c r="G42" s="1054"/>
      <c r="H42" s="1055"/>
      <c r="I42" s="1056"/>
      <c r="J42" s="1111"/>
      <c r="K42" s="1115"/>
    </row>
    <row r="43" spans="1:11" ht="15.75">
      <c r="A43" s="1037"/>
      <c r="B43" s="1038"/>
      <c r="C43" s="1026"/>
      <c r="D43" s="1026"/>
      <c r="E43" s="1026"/>
      <c r="F43" s="1059"/>
      <c r="G43" s="1054"/>
      <c r="H43" s="1055"/>
      <c r="I43" s="1056"/>
      <c r="J43" s="1111"/>
      <c r="K43" s="1115"/>
    </row>
    <row r="44" spans="1:11" ht="15.75">
      <c r="A44" s="1037"/>
      <c r="B44" s="1038"/>
      <c r="C44" s="1026"/>
      <c r="D44" s="1026"/>
      <c r="E44" s="1026"/>
      <c r="F44" s="1059"/>
      <c r="G44" s="1054"/>
      <c r="H44" s="1055"/>
      <c r="I44" s="1056"/>
      <c r="J44" s="1111"/>
      <c r="K44" s="1115"/>
    </row>
    <row r="45" spans="1:11" ht="15.75">
      <c r="A45" s="1037"/>
      <c r="B45" s="1038"/>
      <c r="C45" s="1026"/>
      <c r="D45" s="1026"/>
      <c r="E45" s="1026"/>
      <c r="F45" s="1059"/>
      <c r="G45" s="1054"/>
      <c r="H45" s="1055"/>
      <c r="I45" s="1056"/>
      <c r="J45" s="1111"/>
      <c r="K45" s="1115"/>
    </row>
    <row r="46" spans="1:11" ht="15.75">
      <c r="A46" s="1037"/>
      <c r="B46" s="1038"/>
      <c r="C46" s="1428"/>
      <c r="D46" s="1026"/>
      <c r="E46" s="1026"/>
      <c r="F46" s="1059"/>
      <c r="G46" s="1054"/>
      <c r="H46" s="1055"/>
      <c r="I46" s="1056"/>
      <c r="J46" s="1111"/>
      <c r="K46" s="1115"/>
    </row>
    <row r="47" spans="1:11" ht="15.75">
      <c r="A47" s="1037"/>
      <c r="B47" s="1038"/>
      <c r="C47" s="1032"/>
      <c r="D47" s="1026"/>
      <c r="E47" s="1026"/>
      <c r="F47" s="1118"/>
      <c r="G47" s="1054"/>
      <c r="H47" s="1023"/>
      <c r="I47" s="1056"/>
      <c r="J47" s="1111"/>
      <c r="K47" s="1115"/>
    </row>
    <row r="48" spans="1:11" ht="15.75">
      <c r="A48" s="1037"/>
      <c r="B48" s="1038"/>
      <c r="C48" s="1026"/>
      <c r="D48" s="1026"/>
      <c r="E48" s="1026"/>
      <c r="F48" s="1059"/>
      <c r="G48" s="1054"/>
      <c r="H48" s="1055"/>
      <c r="I48" s="1056"/>
      <c r="J48" s="1111"/>
      <c r="K48" s="1115"/>
    </row>
    <row r="49" spans="1:11" ht="15.75">
      <c r="A49" s="1037"/>
      <c r="B49" s="1038"/>
      <c r="C49" s="1026"/>
      <c r="D49" s="1026"/>
      <c r="E49" s="1026"/>
      <c r="F49" s="1059"/>
      <c r="G49" s="1054"/>
      <c r="H49" s="1055"/>
      <c r="I49" s="1056"/>
      <c r="J49" s="1111"/>
      <c r="K49" s="1115"/>
    </row>
    <row r="50" spans="1:11" ht="15.75">
      <c r="A50" s="1037"/>
      <c r="B50" s="1038"/>
      <c r="C50" s="1026"/>
      <c r="D50" s="1026"/>
      <c r="E50" s="1026"/>
      <c r="F50" s="1059"/>
      <c r="G50" s="1054"/>
      <c r="H50" s="1055"/>
      <c r="I50" s="1056"/>
      <c r="J50" s="1111"/>
      <c r="K50" s="1115"/>
    </row>
    <row r="51" spans="1:11" ht="15.75">
      <c r="A51" s="1037"/>
      <c r="B51" s="1038"/>
      <c r="C51" s="1026"/>
      <c r="D51" s="1026"/>
      <c r="E51" s="1026"/>
      <c r="F51" s="1059"/>
      <c r="G51" s="1054"/>
      <c r="H51" s="1055"/>
      <c r="I51" s="1056"/>
      <c r="J51" s="1111"/>
      <c r="K51" s="1115"/>
    </row>
    <row r="52" spans="1:11" ht="15.75">
      <c r="A52" s="1037"/>
      <c r="B52" s="1038"/>
      <c r="C52" s="1026"/>
      <c r="D52" s="1026"/>
      <c r="E52" s="1026"/>
      <c r="F52" s="1059"/>
      <c r="G52" s="1054"/>
      <c r="H52" s="1055"/>
      <c r="I52" s="1056"/>
      <c r="J52" s="1111"/>
      <c r="K52" s="1115"/>
    </row>
    <row r="53" spans="1:11" ht="15.75">
      <c r="A53" s="1037"/>
      <c r="B53" s="1038"/>
      <c r="C53" s="1026"/>
      <c r="D53" s="1026"/>
      <c r="E53" s="1026"/>
      <c r="F53" s="1059"/>
      <c r="G53" s="1054"/>
      <c r="H53" s="1055"/>
      <c r="I53" s="1056"/>
      <c r="J53" s="1111"/>
      <c r="K53" s="1115"/>
    </row>
    <row r="54" spans="1:11" ht="15.75">
      <c r="A54" s="1037"/>
      <c r="B54" s="1038"/>
      <c r="C54" s="1026"/>
      <c r="D54" s="1026"/>
      <c r="E54" s="1026"/>
      <c r="F54" s="1059"/>
      <c r="G54" s="1054"/>
      <c r="H54" s="1055"/>
      <c r="I54" s="1056"/>
      <c r="J54" s="1111"/>
      <c r="K54" s="1115"/>
    </row>
    <row r="55" spans="1:11" ht="16.5" thickBot="1">
      <c r="A55" s="1037"/>
      <c r="B55" s="1038"/>
      <c r="C55" s="1026"/>
      <c r="D55" s="1026"/>
      <c r="E55" s="1026"/>
      <c r="F55" s="1059"/>
      <c r="G55" s="1054"/>
      <c r="H55" s="1055"/>
      <c r="I55" s="1056"/>
      <c r="J55" s="1111"/>
      <c r="K55" s="1115"/>
    </row>
    <row r="56" spans="1:11" ht="20.25" thickBot="1">
      <c r="A56" s="1158"/>
      <c r="B56" s="1159"/>
      <c r="C56" s="1159"/>
      <c r="D56" s="1159"/>
      <c r="E56" s="1159"/>
      <c r="F56" s="1160">
        <f>SUM(F2:F9,F10:F55)</f>
        <v>79354.034999999989</v>
      </c>
      <c r="G56" s="1161"/>
      <c r="H56" s="1162">
        <f>SUM(H2:H55)</f>
        <v>9161.8900000000031</v>
      </c>
      <c r="I56" s="1163">
        <f>SUM(I2:I55)</f>
        <v>1879.9</v>
      </c>
      <c r="J56" s="1164"/>
      <c r="K56" s="1157"/>
    </row>
    <row r="57" spans="1:11" ht="15.75" customHeight="1">
      <c r="A57" s="1037"/>
      <c r="B57" s="1038"/>
      <c r="C57" s="1026"/>
      <c r="D57" s="1026"/>
      <c r="E57" s="1026"/>
      <c r="F57" s="1059"/>
      <c r="G57" s="1054"/>
      <c r="H57" s="1269"/>
      <c r="I57" s="1056"/>
      <c r="J57" s="1111"/>
      <c r="K57" s="1116"/>
    </row>
    <row r="58" spans="1:11" ht="15.75" customHeight="1">
      <c r="A58" s="1037"/>
      <c r="B58" s="1037"/>
      <c r="C58" s="1026"/>
      <c r="D58" s="1026"/>
      <c r="E58" s="1026"/>
      <c r="F58" s="1059"/>
      <c r="G58" s="1054"/>
      <c r="H58" s="1269"/>
      <c r="I58" s="1056"/>
      <c r="J58" s="1111"/>
      <c r="K58" s="1116"/>
    </row>
    <row r="59" spans="1:11" ht="15.75" customHeight="1">
      <c r="A59" s="1037"/>
      <c r="B59" s="1038"/>
      <c r="C59" s="1026"/>
      <c r="D59" s="1026"/>
      <c r="E59" s="1026"/>
      <c r="F59" s="1059"/>
      <c r="G59" s="1054"/>
      <c r="H59" s="1269"/>
      <c r="I59" s="1056"/>
      <c r="J59" s="1111"/>
      <c r="K59" s="1116"/>
    </row>
    <row r="60" spans="1:11" ht="15.75" customHeight="1">
      <c r="A60" s="1037"/>
      <c r="B60" s="1038"/>
      <c r="C60" s="1026"/>
      <c r="D60" s="1026"/>
      <c r="E60" s="1026"/>
      <c r="F60" s="1059"/>
      <c r="G60" s="1054"/>
      <c r="H60" s="1269"/>
      <c r="I60" s="1056"/>
      <c r="J60" s="1111"/>
      <c r="K60" s="1116"/>
    </row>
    <row r="61" spans="1:11" ht="15.75" customHeight="1">
      <c r="A61" s="1037"/>
      <c r="B61" s="1038"/>
      <c r="C61" s="1026"/>
      <c r="D61" s="1026"/>
      <c r="E61" s="1026"/>
      <c r="F61" s="1059"/>
      <c r="G61" s="1054"/>
      <c r="H61" s="1269"/>
      <c r="I61" s="1056"/>
      <c r="J61" s="1111"/>
      <c r="K61" s="1116"/>
    </row>
    <row r="62" spans="1:11" ht="15.75" customHeight="1">
      <c r="A62" s="1037"/>
      <c r="B62" s="1038"/>
      <c r="C62" s="1026"/>
      <c r="D62" s="1026"/>
      <c r="E62" s="1026"/>
      <c r="F62" s="1059"/>
      <c r="G62" s="1054"/>
      <c r="H62" s="1269"/>
      <c r="I62" s="1056"/>
      <c r="J62" s="1111"/>
      <c r="K62" s="1116"/>
    </row>
    <row r="63" spans="1:11" ht="15.75" customHeight="1">
      <c r="A63" s="1037"/>
      <c r="B63" s="1038"/>
      <c r="C63" s="1026"/>
      <c r="D63" s="1026"/>
      <c r="E63" s="1026"/>
      <c r="F63" s="1059"/>
      <c r="G63" s="1054"/>
      <c r="H63" s="1269"/>
      <c r="I63" s="1056"/>
      <c r="J63" s="1111"/>
      <c r="K63" s="1116"/>
    </row>
    <row r="64" spans="1:11" ht="15.75" customHeight="1">
      <c r="A64" s="1037"/>
      <c r="B64" s="1038"/>
      <c r="C64" s="1026"/>
      <c r="D64" s="1026"/>
      <c r="E64" s="1026"/>
      <c r="F64" s="1059"/>
      <c r="G64" s="1054"/>
      <c r="H64" s="1269"/>
      <c r="I64" s="1056"/>
      <c r="J64" s="1111"/>
      <c r="K64" s="1116"/>
    </row>
    <row r="65" spans="1:11" ht="15.75" customHeight="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116"/>
    </row>
    <row r="66" spans="1:11" ht="15.75" customHeight="1">
      <c r="A66" s="1037"/>
      <c r="B66" s="1038"/>
      <c r="C66" s="1026"/>
      <c r="D66" s="1026"/>
      <c r="E66" s="1026"/>
      <c r="F66" s="1059"/>
      <c r="G66" s="1054"/>
      <c r="H66" s="1269"/>
      <c r="I66" s="1056"/>
      <c r="J66" s="1111"/>
      <c r="K66" s="1262"/>
    </row>
    <row r="67" spans="1:11" ht="15.75" customHeight="1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1116"/>
    </row>
    <row r="68" spans="1:11" ht="15.75" customHeight="1">
      <c r="A68" s="1037"/>
      <c r="B68" s="1038"/>
      <c r="C68" s="1026"/>
      <c r="D68" s="1026"/>
      <c r="E68" s="1026"/>
      <c r="F68" s="1059"/>
      <c r="G68" s="1059"/>
      <c r="H68" s="1269"/>
      <c r="I68" s="1056"/>
      <c r="J68" s="1111"/>
      <c r="K68" s="1116"/>
    </row>
    <row r="69" spans="1:11" ht="15.75" customHeight="1">
      <c r="A69" s="1037"/>
      <c r="B69" s="1038"/>
      <c r="C69" s="1026"/>
      <c r="D69" s="1026"/>
      <c r="E69" s="1026"/>
      <c r="F69" s="1059"/>
      <c r="G69" s="1059"/>
      <c r="H69" s="1269"/>
      <c r="I69" s="1056"/>
      <c r="J69" s="1111"/>
      <c r="K69" s="1262"/>
    </row>
    <row r="70" spans="1:11" ht="15.75" customHeight="1">
      <c r="A70" s="1037"/>
      <c r="B70" s="1038"/>
      <c r="C70" s="1026"/>
      <c r="D70" s="1026"/>
      <c r="E70" s="1026"/>
      <c r="F70" s="1059"/>
      <c r="G70" s="1059"/>
      <c r="H70" s="1269"/>
      <c r="I70" s="1056"/>
      <c r="J70" s="1111"/>
      <c r="K70" s="505"/>
    </row>
    <row r="71" spans="1:11" ht="15.75" customHeight="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116"/>
    </row>
    <row r="72" spans="1:11" ht="15.75" customHeight="1">
      <c r="A72" s="1037"/>
      <c r="B72" s="1038"/>
      <c r="C72" s="1026"/>
      <c r="D72" s="1026"/>
      <c r="E72" s="1026"/>
      <c r="F72" s="1059"/>
      <c r="G72" s="1054"/>
      <c r="H72" s="1269"/>
      <c r="I72" s="1056"/>
      <c r="J72" s="1111"/>
      <c r="K72" s="1116"/>
    </row>
    <row r="73" spans="1:11" ht="15.75" customHeight="1">
      <c r="A73" s="1037"/>
      <c r="B73" s="1038"/>
      <c r="C73" s="1026"/>
      <c r="D73" s="1026"/>
      <c r="E73" s="1026"/>
      <c r="F73" s="1059"/>
      <c r="G73" s="1054"/>
      <c r="H73" s="1269"/>
      <c r="I73" s="1056"/>
      <c r="J73" s="1111"/>
      <c r="K73" s="1116"/>
    </row>
    <row r="74" spans="1:11" ht="15.75">
      <c r="A74" s="1037"/>
      <c r="B74" s="1038"/>
      <c r="C74" s="1026"/>
      <c r="D74" s="1026"/>
      <c r="E74" s="1026"/>
      <c r="F74" s="1059"/>
      <c r="G74" s="1054"/>
      <c r="H74" s="1269"/>
      <c r="I74" s="1056"/>
      <c r="J74" s="1111"/>
      <c r="K74" s="1116"/>
    </row>
    <row r="75" spans="1:11" ht="15.75">
      <c r="A75" s="1037"/>
      <c r="B75" s="1038"/>
      <c r="C75" s="1026"/>
      <c r="D75" s="1026"/>
      <c r="E75" s="1026"/>
      <c r="F75" s="1059"/>
      <c r="G75" s="1054"/>
      <c r="H75" s="1269"/>
      <c r="I75" s="1056"/>
      <c r="J75" s="1111"/>
      <c r="K75" s="1116"/>
    </row>
    <row r="76" spans="1:11" ht="15.75">
      <c r="A76" s="1037"/>
      <c r="B76" s="1038"/>
      <c r="C76" s="1025"/>
      <c r="D76" s="1025"/>
      <c r="E76" s="1025"/>
      <c r="F76" s="1059"/>
      <c r="G76" s="1062"/>
      <c r="H76" s="1055"/>
      <c r="I76" s="1056"/>
      <c r="J76" s="1111"/>
      <c r="K76" s="1116"/>
    </row>
    <row r="77" spans="1:11" ht="15.75">
      <c r="A77" s="1037"/>
      <c r="B77" s="1039"/>
      <c r="C77" s="1025"/>
      <c r="D77" s="1025"/>
      <c r="E77" s="1025"/>
      <c r="F77" s="1059"/>
      <c r="G77" s="1054"/>
      <c r="H77" s="1269"/>
      <c r="I77" s="1056"/>
      <c r="J77" s="1111"/>
      <c r="K77" s="1116"/>
    </row>
    <row r="78" spans="1:11" ht="15.75">
      <c r="A78" s="1037"/>
      <c r="B78" s="1038"/>
      <c r="C78" s="1026"/>
      <c r="D78" s="1026"/>
      <c r="E78" s="1026"/>
      <c r="F78" s="1059"/>
      <c r="G78" s="1054"/>
      <c r="H78" s="1269"/>
      <c r="I78" s="1056"/>
      <c r="J78" s="1111"/>
      <c r="K78" s="1116"/>
    </row>
    <row r="79" spans="1:11" ht="15.75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1116"/>
    </row>
    <row r="80" spans="1:11" ht="15.75">
      <c r="A80" s="1037"/>
      <c r="B80" s="1038"/>
      <c r="C80" s="1026"/>
      <c r="D80" s="1026"/>
      <c r="E80" s="1026"/>
      <c r="F80" s="1059"/>
      <c r="G80" s="1054"/>
      <c r="H80" s="1269"/>
      <c r="I80" s="1056"/>
      <c r="J80" s="1111"/>
      <c r="K80" s="1116"/>
    </row>
    <row r="81" spans="1:11" ht="15.75">
      <c r="A81" s="1037"/>
      <c r="B81" s="1038"/>
      <c r="C81" s="1026"/>
      <c r="D81" s="1026"/>
      <c r="E81" s="1026"/>
      <c r="F81" s="1059"/>
      <c r="G81" s="1054"/>
      <c r="H81" s="1269"/>
      <c r="I81" s="1056"/>
      <c r="J81" s="1111"/>
      <c r="K81" s="1116"/>
    </row>
    <row r="82" spans="1:11" ht="15.75">
      <c r="A82" s="1037"/>
      <c r="B82" s="1038"/>
      <c r="C82" s="1026"/>
      <c r="D82" s="1026"/>
      <c r="E82" s="1026"/>
      <c r="F82" s="1059"/>
      <c r="G82" s="1054"/>
      <c r="H82" s="1269"/>
      <c r="I82" s="1056"/>
      <c r="J82" s="1111"/>
      <c r="K82" s="1116"/>
    </row>
    <row r="83" spans="1:11" ht="15.75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1116"/>
    </row>
    <row r="84" spans="1:11" ht="15.75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116"/>
    </row>
    <row r="85" spans="1:11" ht="15.75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116"/>
    </row>
    <row r="86" spans="1:11" ht="15.75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116"/>
    </row>
    <row r="87" spans="1:11" ht="15.75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6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116"/>
    </row>
    <row r="89" spans="1:11" ht="15.75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116"/>
    </row>
    <row r="90" spans="1:11" ht="15.75">
      <c r="A90" s="1037"/>
      <c r="B90" s="1038"/>
      <c r="C90" s="1026"/>
      <c r="D90" s="1026"/>
      <c r="E90" s="1026"/>
      <c r="F90" s="1059"/>
      <c r="G90" s="1054"/>
      <c r="H90" s="1269"/>
      <c r="I90" s="1056"/>
      <c r="J90" s="1111"/>
      <c r="K90" s="1116"/>
    </row>
    <row r="91" spans="1:11">
      <c r="A91" s="1037"/>
      <c r="B91" s="1038"/>
      <c r="C91" s="1026"/>
      <c r="D91" s="1026"/>
      <c r="E91" s="1026"/>
      <c r="F91" s="1059"/>
      <c r="G91" s="1059"/>
      <c r="H91" s="1269"/>
      <c r="I91" s="1056"/>
      <c r="J91" s="1111"/>
      <c r="K91" s="1262"/>
    </row>
    <row r="92" spans="1:11">
      <c r="A92" s="1037"/>
      <c r="B92" s="1038"/>
      <c r="C92" s="1026"/>
      <c r="D92" s="1026"/>
      <c r="E92" s="1026"/>
      <c r="F92" s="1059"/>
      <c r="G92" s="1059"/>
      <c r="H92" s="1269"/>
      <c r="I92" s="1056"/>
      <c r="J92" s="1111"/>
      <c r="K92" s="1262"/>
    </row>
    <row r="93" spans="1:11">
      <c r="A93" s="1037"/>
      <c r="B93" s="1038"/>
      <c r="C93" s="1026"/>
      <c r="D93" s="1026"/>
      <c r="E93" s="1026"/>
      <c r="F93" s="1059"/>
      <c r="G93" s="1059"/>
      <c r="H93" s="1269"/>
      <c r="I93" s="1056"/>
      <c r="J93" s="1111"/>
      <c r="K93" s="505"/>
    </row>
    <row r="94" spans="1:11" ht="15.75">
      <c r="A94" s="1037"/>
      <c r="B94" s="1038"/>
      <c r="C94" s="1026"/>
      <c r="D94" s="1026"/>
      <c r="E94" s="1026"/>
      <c r="F94" s="1059"/>
      <c r="G94" s="1054"/>
      <c r="H94" s="1269"/>
      <c r="I94" s="1056"/>
      <c r="J94" s="1111"/>
      <c r="K94" s="1116"/>
    </row>
    <row r="95" spans="1:11">
      <c r="A95" s="1037"/>
      <c r="B95" s="1038"/>
      <c r="C95" s="1026"/>
      <c r="D95" s="1026"/>
      <c r="E95" s="1026"/>
      <c r="F95" s="1059"/>
      <c r="G95" s="1059"/>
      <c r="H95" s="1269"/>
      <c r="I95" s="1056"/>
      <c r="J95" s="1111"/>
      <c r="K95" s="1262"/>
    </row>
    <row r="96" spans="1:11">
      <c r="A96" s="1037"/>
      <c r="B96" s="1038"/>
      <c r="C96" s="1026"/>
      <c r="D96" s="1026"/>
      <c r="E96" s="1026"/>
      <c r="F96" s="1059"/>
      <c r="G96" s="1059"/>
      <c r="H96" s="1269"/>
      <c r="I96" s="1056"/>
      <c r="J96" s="1111"/>
      <c r="K96" s="1262"/>
    </row>
    <row r="97" spans="1:11">
      <c r="A97" s="1037"/>
      <c r="B97" s="1038"/>
      <c r="C97" s="1026"/>
      <c r="D97" s="1026"/>
      <c r="E97" s="1026"/>
      <c r="F97" s="1059"/>
      <c r="G97" s="1059"/>
      <c r="H97" s="1269"/>
      <c r="I97" s="1056"/>
      <c r="J97" s="1111"/>
      <c r="K97" s="505"/>
    </row>
    <row r="98" spans="1:11" ht="15.75">
      <c r="A98" s="1037"/>
      <c r="B98" s="1038"/>
      <c r="C98" s="1026"/>
      <c r="D98" s="1026"/>
      <c r="E98" s="1026"/>
      <c r="F98" s="1059"/>
      <c r="G98" s="1054"/>
      <c r="H98" s="1269"/>
      <c r="I98" s="1056"/>
      <c r="J98" s="1111"/>
      <c r="K98" s="1116"/>
    </row>
    <row r="99" spans="1:11" ht="15.75">
      <c r="A99" s="1037"/>
      <c r="B99" s="1038"/>
      <c r="C99" s="1026"/>
      <c r="D99" s="1026"/>
      <c r="E99" s="1026"/>
      <c r="F99" s="1059"/>
      <c r="G99" s="1054"/>
      <c r="H99" s="1269"/>
      <c r="I99" s="1056"/>
      <c r="J99" s="1111"/>
      <c r="K99" s="1116"/>
    </row>
    <row r="100" spans="1:11">
      <c r="A100" s="1037"/>
      <c r="B100" s="1038"/>
      <c r="C100" s="1026"/>
      <c r="D100" s="1026"/>
      <c r="E100" s="1026"/>
      <c r="F100" s="1059"/>
      <c r="G100" s="1059"/>
      <c r="H100" s="1269"/>
      <c r="I100" s="1056"/>
      <c r="J100" s="1111"/>
      <c r="K100" s="1262"/>
    </row>
    <row r="101" spans="1:11">
      <c r="A101" s="1037"/>
      <c r="B101" s="1038"/>
      <c r="C101" s="1026"/>
      <c r="D101" s="1026"/>
      <c r="E101" s="1026"/>
      <c r="F101" s="1059"/>
      <c r="G101" s="1059"/>
      <c r="H101" s="1269"/>
      <c r="I101" s="1056"/>
      <c r="J101" s="1111"/>
      <c r="K101" s="1262"/>
    </row>
    <row r="102" spans="1:11">
      <c r="A102" s="1037"/>
      <c r="B102" s="1038"/>
      <c r="C102" s="1026"/>
      <c r="D102" s="1026"/>
      <c r="E102" s="1026"/>
      <c r="F102" s="1059"/>
      <c r="G102" s="1059"/>
      <c r="H102" s="1269"/>
      <c r="I102" s="1056"/>
      <c r="J102" s="1111"/>
      <c r="K102" s="505"/>
    </row>
    <row r="103" spans="1:11">
      <c r="A103" s="1037"/>
      <c r="B103" s="1038"/>
      <c r="C103" s="1026"/>
      <c r="D103" s="1026"/>
      <c r="E103" s="1026"/>
      <c r="F103" s="1059"/>
      <c r="G103" s="1059"/>
      <c r="H103" s="1269"/>
      <c r="I103" s="1056"/>
      <c r="J103" s="1111"/>
      <c r="K103" s="1262"/>
    </row>
    <row r="104" spans="1:11">
      <c r="A104" s="1037"/>
      <c r="B104" s="1038"/>
      <c r="C104" s="1026"/>
      <c r="D104" s="1026"/>
      <c r="E104" s="1026"/>
      <c r="F104" s="1059"/>
      <c r="G104" s="1059"/>
      <c r="H104" s="1269"/>
      <c r="I104" s="1056"/>
      <c r="J104" s="1111"/>
      <c r="K104" s="505"/>
    </row>
    <row r="105" spans="1:11">
      <c r="A105" s="1037"/>
      <c r="B105" s="1038"/>
      <c r="C105" s="1026"/>
      <c r="D105" s="1026"/>
      <c r="E105" s="1026"/>
      <c r="F105" s="1059"/>
      <c r="G105" s="1059"/>
      <c r="H105" s="1269"/>
      <c r="I105" s="1056"/>
      <c r="J105" s="1111"/>
      <c r="K105" s="505"/>
    </row>
    <row r="106" spans="1:11" ht="15.75">
      <c r="A106" s="1037"/>
      <c r="B106" s="1038"/>
      <c r="C106" s="1026"/>
      <c r="D106" s="1026"/>
      <c r="E106" s="1026"/>
      <c r="F106" s="1059"/>
      <c r="G106" s="1054"/>
      <c r="H106" s="1269"/>
      <c r="I106" s="1056"/>
      <c r="J106" s="1111"/>
      <c r="K106" s="1116"/>
    </row>
    <row r="107" spans="1:11">
      <c r="A107" s="1037"/>
      <c r="B107" s="1038"/>
      <c r="C107" s="1026"/>
      <c r="D107" s="1026"/>
      <c r="E107" s="1026"/>
      <c r="F107" s="1059"/>
      <c r="G107" s="1059"/>
      <c r="H107" s="1269"/>
      <c r="I107" s="1056"/>
      <c r="J107" s="1111"/>
      <c r="K107" s="1262"/>
    </row>
    <row r="108" spans="1:11">
      <c r="A108" s="1037"/>
      <c r="B108" s="1038"/>
      <c r="C108" s="1026"/>
      <c r="D108" s="1026"/>
      <c r="E108" s="1026"/>
      <c r="F108" s="1059"/>
      <c r="G108" s="1059"/>
      <c r="H108" s="1269"/>
      <c r="I108" s="1056"/>
      <c r="J108" s="1111"/>
      <c r="K108" s="505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505"/>
    </row>
    <row r="110" spans="1:11" ht="15.75">
      <c r="A110" s="1037"/>
      <c r="B110" s="1038"/>
      <c r="C110" s="1026"/>
      <c r="D110" s="1026"/>
      <c r="E110" s="1026"/>
      <c r="F110" s="1059"/>
      <c r="G110" s="1059"/>
      <c r="H110" s="1269"/>
      <c r="I110" s="1056"/>
      <c r="J110" s="1111"/>
      <c r="K110" s="1116"/>
    </row>
    <row r="111" spans="1:11">
      <c r="A111" s="1037"/>
      <c r="B111" s="1038"/>
      <c r="C111" s="1026"/>
      <c r="D111" s="1026"/>
      <c r="E111" s="1026"/>
      <c r="F111" s="1059"/>
      <c r="G111" s="1059"/>
      <c r="H111" s="1269"/>
      <c r="I111" s="1056"/>
      <c r="J111" s="1111"/>
      <c r="K111" s="505"/>
    </row>
    <row r="112" spans="1:11">
      <c r="A112" s="1037"/>
      <c r="B112" s="1038"/>
      <c r="C112" s="1026"/>
      <c r="D112" s="1026"/>
      <c r="E112" s="1026"/>
      <c r="F112" s="1059"/>
      <c r="G112" s="1059"/>
      <c r="H112" s="1269"/>
      <c r="I112" s="1056"/>
      <c r="J112" s="1111"/>
      <c r="K112" s="505"/>
    </row>
    <row r="113" spans="1:11">
      <c r="A113" s="1037"/>
      <c r="B113" s="1038"/>
      <c r="C113" s="1026"/>
      <c r="D113" s="1026"/>
      <c r="E113" s="1026"/>
      <c r="F113" s="1059"/>
      <c r="G113" s="1059"/>
      <c r="H113" s="1269"/>
      <c r="I113" s="1056"/>
      <c r="J113" s="1111"/>
      <c r="K113" s="1262"/>
    </row>
    <row r="114" spans="1:11">
      <c r="A114" s="1037"/>
      <c r="B114" s="1038"/>
      <c r="C114" s="1026"/>
      <c r="D114" s="1026"/>
      <c r="E114" s="1026"/>
      <c r="F114" s="1059"/>
      <c r="G114" s="1059"/>
      <c r="H114" s="1269"/>
      <c r="I114" s="1056"/>
      <c r="J114" s="1111"/>
      <c r="K114" s="505"/>
    </row>
    <row r="115" spans="1:11">
      <c r="A115" s="1037"/>
      <c r="B115" s="1038"/>
      <c r="C115" s="1026"/>
      <c r="D115" s="1026"/>
      <c r="E115" s="1026"/>
      <c r="F115" s="1059"/>
      <c r="G115" s="1054"/>
      <c r="H115" s="1269"/>
      <c r="I115" s="1056"/>
      <c r="J115" s="1111"/>
      <c r="K115" s="505"/>
    </row>
    <row r="116" spans="1:11" ht="15.75">
      <c r="A116" s="1037"/>
      <c r="B116" s="1038"/>
      <c r="C116" s="1025"/>
      <c r="D116" s="1026"/>
      <c r="E116" s="1026"/>
      <c r="F116" s="1059"/>
      <c r="G116" s="1054"/>
      <c r="H116" s="1269"/>
      <c r="I116" s="1056"/>
      <c r="J116" s="1111"/>
      <c r="K116" s="1116"/>
    </row>
    <row r="117" spans="1:11" ht="15.75">
      <c r="A117" s="1037"/>
      <c r="B117" s="1038"/>
      <c r="C117" s="1026"/>
      <c r="D117" s="1026"/>
      <c r="E117" s="1026"/>
      <c r="F117" s="1059"/>
      <c r="G117" s="1054"/>
      <c r="H117" s="1269"/>
      <c r="I117" s="1056"/>
      <c r="J117" s="1111"/>
      <c r="K117" s="1116"/>
    </row>
    <row r="118" spans="1:11" ht="15.75">
      <c r="A118" s="1037"/>
      <c r="B118" s="1038"/>
      <c r="C118" s="1026"/>
      <c r="D118" s="1026"/>
      <c r="E118" s="1026"/>
      <c r="F118" s="1059"/>
      <c r="G118" s="1054"/>
      <c r="H118" s="1269"/>
      <c r="I118" s="1056"/>
      <c r="J118" s="1111"/>
      <c r="K118" s="1116"/>
    </row>
    <row r="119" spans="1:11" ht="15.75">
      <c r="A119" s="1037"/>
      <c r="B119" s="1038"/>
      <c r="C119" s="1026"/>
      <c r="D119" s="1026"/>
      <c r="E119" s="1026"/>
      <c r="F119" s="1059"/>
      <c r="G119" s="1054"/>
      <c r="H119" s="1269"/>
      <c r="I119" s="1056"/>
      <c r="J119" s="1111"/>
      <c r="K119" s="1116"/>
    </row>
    <row r="120" spans="1:11" ht="15.75">
      <c r="A120" s="1037"/>
      <c r="B120" s="1038"/>
      <c r="C120" s="1026"/>
      <c r="D120" s="1026"/>
      <c r="E120" s="1026"/>
      <c r="F120" s="1059"/>
      <c r="G120" s="1054"/>
      <c r="H120" s="1269"/>
      <c r="I120" s="1056"/>
      <c r="J120" s="1111"/>
      <c r="K120" s="1116"/>
    </row>
    <row r="121" spans="1:11">
      <c r="A121" s="1037"/>
      <c r="B121" s="1038"/>
      <c r="C121" s="1026"/>
      <c r="D121" s="1026"/>
      <c r="E121" s="1026"/>
      <c r="F121" s="1059"/>
      <c r="G121" s="1059"/>
      <c r="H121" s="1269"/>
      <c r="I121" s="1056"/>
      <c r="J121" s="1111"/>
      <c r="K121" s="1262"/>
    </row>
    <row r="122" spans="1:11">
      <c r="A122" s="1037"/>
      <c r="B122" s="1038"/>
      <c r="C122" s="1026"/>
      <c r="D122" s="1026"/>
      <c r="E122" s="1026"/>
      <c r="F122" s="1059"/>
      <c r="G122" s="1059"/>
      <c r="H122" s="1269"/>
      <c r="I122" s="1056"/>
      <c r="J122" s="1111"/>
      <c r="K122" s="505"/>
    </row>
    <row r="123" spans="1:11" ht="15.75">
      <c r="A123" s="1037"/>
      <c r="B123" s="1038"/>
      <c r="C123" s="1026"/>
      <c r="D123" s="1026"/>
      <c r="E123" s="1026"/>
      <c r="F123" s="1059"/>
      <c r="G123" s="1054"/>
      <c r="H123" s="1269"/>
      <c r="I123" s="1056"/>
      <c r="J123" s="1111"/>
      <c r="K123" s="1116"/>
    </row>
    <row r="124" spans="1:11" ht="15.75">
      <c r="A124" s="1037"/>
      <c r="B124" s="1038"/>
      <c r="C124" s="1026"/>
      <c r="D124" s="1026"/>
      <c r="E124" s="1026"/>
      <c r="F124" s="1059"/>
      <c r="G124" s="1054"/>
      <c r="H124" s="1269"/>
      <c r="I124" s="1056"/>
      <c r="J124" s="1111"/>
      <c r="K124" s="1116"/>
    </row>
    <row r="125" spans="1:11" ht="15.75">
      <c r="A125" s="1037"/>
      <c r="B125" s="1038"/>
      <c r="C125" s="1026"/>
      <c r="D125" s="1026"/>
      <c r="E125" s="1026"/>
      <c r="F125" s="1059"/>
      <c r="G125" s="1054"/>
      <c r="H125" s="1269"/>
      <c r="I125" s="1056"/>
      <c r="J125" s="1111"/>
      <c r="K125" s="1116"/>
    </row>
    <row r="126" spans="1:11">
      <c r="A126" s="1037"/>
      <c r="B126" s="1038"/>
      <c r="C126" s="1026"/>
      <c r="D126" s="1026"/>
      <c r="E126" s="1026"/>
      <c r="F126" s="1059"/>
      <c r="G126" s="1054"/>
      <c r="H126" s="1269"/>
      <c r="I126" s="1056"/>
      <c r="J126" s="1111"/>
      <c r="K126" s="1262"/>
    </row>
    <row r="127" spans="1:11">
      <c r="A127" s="1037"/>
      <c r="B127" s="1038"/>
      <c r="C127" s="1026"/>
      <c r="D127" s="1026"/>
      <c r="E127" s="1026"/>
      <c r="F127" s="1059"/>
      <c r="G127" s="1054"/>
      <c r="H127" s="1269"/>
      <c r="I127" s="1056"/>
      <c r="J127" s="1111"/>
      <c r="K127" s="1262"/>
    </row>
    <row r="128" spans="1:11">
      <c r="A128" s="1037"/>
      <c r="B128" s="1038"/>
      <c r="C128" s="1026"/>
      <c r="D128" s="1026"/>
      <c r="E128" s="1026"/>
      <c r="F128" s="1059"/>
      <c r="G128" s="1059"/>
      <c r="H128" s="1269"/>
      <c r="I128" s="1056"/>
      <c r="J128" s="1111"/>
      <c r="K128" s="1262"/>
    </row>
    <row r="129" spans="1:11">
      <c r="A129" s="1037"/>
      <c r="B129" s="1038"/>
      <c r="C129" s="1026"/>
      <c r="D129" s="1026"/>
      <c r="E129" s="1026"/>
      <c r="F129" s="1059"/>
      <c r="G129" s="1059"/>
      <c r="H129" s="1269"/>
      <c r="I129" s="1056"/>
      <c r="J129" s="1111"/>
      <c r="K129" s="505"/>
    </row>
    <row r="130" spans="1:11">
      <c r="A130" s="1037"/>
      <c r="B130" s="1038"/>
      <c r="C130" s="1026"/>
      <c r="D130" s="1026"/>
      <c r="E130" s="1026"/>
      <c r="F130" s="1059"/>
      <c r="G130" s="1059"/>
      <c r="H130" s="1269"/>
      <c r="I130" s="1056"/>
      <c r="J130" s="1111"/>
      <c r="K130" s="1262"/>
    </row>
    <row r="131" spans="1:11">
      <c r="A131" s="1037"/>
      <c r="B131" s="1038"/>
      <c r="C131" s="1026"/>
      <c r="D131" s="1026"/>
      <c r="E131" s="1026"/>
      <c r="F131" s="1059"/>
      <c r="G131" s="1059"/>
      <c r="H131" s="1269"/>
      <c r="I131" s="1056"/>
      <c r="J131" s="1111"/>
      <c r="K131" s="505"/>
    </row>
    <row r="132" spans="1:11" ht="15.75">
      <c r="A132" s="1037"/>
      <c r="B132" s="1038"/>
      <c r="C132" s="1026"/>
      <c r="D132" s="1026"/>
      <c r="E132" s="1026"/>
      <c r="F132" s="1059"/>
      <c r="G132" s="1054"/>
      <c r="H132" s="1269"/>
      <c r="I132" s="1056"/>
      <c r="J132" s="1111"/>
      <c r="K132" s="1116"/>
    </row>
    <row r="133" spans="1:11" ht="15.75">
      <c r="A133" s="1037"/>
      <c r="B133" s="1038"/>
      <c r="C133" s="1026"/>
      <c r="D133" s="1026"/>
      <c r="E133" s="1026"/>
      <c r="F133" s="1059"/>
      <c r="G133" s="1059"/>
      <c r="H133" s="1269"/>
      <c r="I133" s="1056"/>
      <c r="J133" s="1111"/>
      <c r="K133" s="1116"/>
    </row>
    <row r="134" spans="1:11">
      <c r="A134" s="1037"/>
      <c r="B134" s="1038"/>
      <c r="C134" s="1026"/>
      <c r="D134" s="1026"/>
      <c r="E134" s="1026"/>
      <c r="F134" s="1059"/>
      <c r="G134" s="1059"/>
      <c r="H134" s="1269"/>
      <c r="I134" s="1056"/>
      <c r="J134" s="1111"/>
      <c r="K134" s="505"/>
    </row>
    <row r="135" spans="1:11">
      <c r="A135" s="1037"/>
      <c r="B135" s="1038"/>
      <c r="C135" s="1026"/>
      <c r="D135" s="1026"/>
      <c r="E135" s="1328"/>
      <c r="F135" s="1059"/>
      <c r="G135" s="1054"/>
      <c r="H135" s="1269"/>
      <c r="I135" s="1056"/>
      <c r="J135" s="1111"/>
      <c r="K135" s="505"/>
    </row>
    <row r="136" spans="1:11" ht="15.75">
      <c r="A136" s="1037"/>
      <c r="B136" s="1038"/>
      <c r="C136" s="1026"/>
      <c r="D136" s="1026"/>
      <c r="E136" s="1026"/>
      <c r="F136" s="1059"/>
      <c r="G136" s="1054"/>
      <c r="H136" s="1269"/>
      <c r="I136" s="1056"/>
      <c r="J136" s="1111"/>
      <c r="K136" s="1116"/>
    </row>
    <row r="137" spans="1:11">
      <c r="A137" s="1037"/>
      <c r="B137" s="1038"/>
      <c r="C137" s="1026"/>
      <c r="D137" s="1026"/>
      <c r="E137" s="1026"/>
      <c r="F137" s="1059"/>
      <c r="G137" s="1054"/>
      <c r="H137" s="1269"/>
      <c r="I137" s="1056"/>
      <c r="J137" s="1111"/>
      <c r="K137" s="1262"/>
    </row>
    <row r="138" spans="1:11">
      <c r="A138" s="1037"/>
      <c r="B138" s="1038"/>
      <c r="C138" s="1026"/>
      <c r="D138" s="1026"/>
      <c r="E138" s="1026"/>
      <c r="F138" s="1059"/>
      <c r="G138" s="1059"/>
      <c r="H138" s="1269"/>
      <c r="I138" s="1056"/>
      <c r="J138" s="1111"/>
      <c r="K138" s="1262"/>
    </row>
    <row r="139" spans="1:11">
      <c r="A139" s="1037"/>
      <c r="B139" s="1038"/>
      <c r="C139" s="1026"/>
      <c r="D139" s="1026"/>
      <c r="E139" s="1026"/>
      <c r="F139" s="1059"/>
      <c r="G139" s="1059"/>
      <c r="H139" s="1269"/>
      <c r="I139" s="1056"/>
      <c r="J139" s="1111"/>
      <c r="K139" s="505"/>
    </row>
    <row r="140" spans="1:11" ht="15.75">
      <c r="A140" s="1037"/>
      <c r="B140" s="1038"/>
      <c r="C140" s="1026"/>
      <c r="D140" s="1026"/>
      <c r="E140" s="1026"/>
      <c r="F140" s="1059"/>
      <c r="G140" s="1054"/>
      <c r="H140" s="1269"/>
      <c r="I140" s="1056"/>
      <c r="J140" s="1111"/>
      <c r="K140" s="1116"/>
    </row>
    <row r="141" spans="1:11" ht="15.75">
      <c r="A141" s="1037"/>
      <c r="B141" s="1038"/>
      <c r="C141" s="1026"/>
      <c r="D141" s="1026"/>
      <c r="E141" s="1026"/>
      <c r="F141" s="1059"/>
      <c r="G141" s="1054"/>
      <c r="H141" s="1269"/>
      <c r="I141" s="1056"/>
      <c r="J141" s="1111"/>
      <c r="K141" s="1116"/>
    </row>
    <row r="142" spans="1:11" ht="15.75">
      <c r="A142" s="1037"/>
      <c r="B142" s="1038"/>
      <c r="C142" s="1026"/>
      <c r="D142" s="1026"/>
      <c r="E142" s="1026"/>
      <c r="F142" s="1059"/>
      <c r="G142" s="1054"/>
      <c r="H142" s="1269"/>
      <c r="I142" s="1056"/>
      <c r="J142" s="1111"/>
      <c r="K142" s="1116"/>
    </row>
    <row r="143" spans="1:11" ht="15.75">
      <c r="A143" s="1037"/>
      <c r="B143" s="1038"/>
      <c r="C143" s="1026"/>
      <c r="D143" s="1026"/>
      <c r="E143" s="1026"/>
      <c r="F143" s="1059"/>
      <c r="G143" s="1054"/>
      <c r="H143" s="1269"/>
      <c r="I143" s="1056"/>
      <c r="J143" s="1111"/>
      <c r="K143" s="1116"/>
    </row>
    <row r="144" spans="1:11" ht="15.75">
      <c r="A144" s="1037"/>
      <c r="B144" s="1038"/>
      <c r="C144" s="1026"/>
      <c r="D144" s="1026"/>
      <c r="E144" s="1026"/>
      <c r="F144" s="1059"/>
      <c r="G144" s="1054"/>
      <c r="H144" s="1269"/>
      <c r="I144" s="1056"/>
      <c r="J144" s="1111"/>
      <c r="K144" s="1116"/>
    </row>
    <row r="145" spans="1:11">
      <c r="A145" s="1037"/>
      <c r="B145" s="1038"/>
      <c r="C145" s="1026"/>
      <c r="D145" s="1026"/>
      <c r="E145" s="1026"/>
      <c r="F145" s="1059"/>
      <c r="G145" s="1054"/>
      <c r="H145" s="1269"/>
      <c r="I145" s="1056"/>
      <c r="J145" s="1111"/>
      <c r="K145" s="1262"/>
    </row>
    <row r="146" spans="1:11">
      <c r="A146" s="1037"/>
      <c r="B146" s="1038"/>
      <c r="C146" s="1025"/>
      <c r="D146" s="1026"/>
      <c r="E146" s="1026"/>
      <c r="F146" s="1061"/>
      <c r="G146" s="1054"/>
      <c r="H146" s="1055"/>
      <c r="I146" s="1056"/>
      <c r="J146" s="1111"/>
      <c r="K146" s="1262"/>
    </row>
    <row r="147" spans="1:11">
      <c r="A147" s="1037"/>
      <c r="B147" s="1038"/>
      <c r="C147" s="1026"/>
      <c r="D147" s="1026"/>
      <c r="E147" s="1026"/>
      <c r="F147" s="1059"/>
      <c r="G147" s="1054"/>
      <c r="H147" s="1269"/>
      <c r="I147" s="1056"/>
      <c r="J147" s="1111"/>
      <c r="K147" s="1262"/>
    </row>
    <row r="148" spans="1:11">
      <c r="A148" s="1037"/>
      <c r="B148" s="1038"/>
      <c r="C148" s="1026"/>
      <c r="D148" s="1026"/>
      <c r="E148" s="1026"/>
      <c r="F148" s="1059"/>
      <c r="G148" s="1054"/>
      <c r="H148" s="1269"/>
      <c r="I148" s="1056"/>
      <c r="J148" s="1111"/>
      <c r="K148" s="1262"/>
    </row>
    <row r="149" spans="1:11">
      <c r="A149" s="1037"/>
      <c r="B149" s="1038"/>
      <c r="C149" s="1026"/>
      <c r="D149" s="1026"/>
      <c r="E149" s="1026"/>
      <c r="F149" s="1059"/>
      <c r="G149" s="1059"/>
      <c r="H149" s="1269"/>
      <c r="I149" s="1056"/>
      <c r="J149" s="1111"/>
      <c r="K149" s="1262"/>
    </row>
    <row r="150" spans="1:11">
      <c r="A150" s="1037"/>
      <c r="B150" s="1038"/>
      <c r="C150" s="1026"/>
      <c r="D150" s="1026"/>
      <c r="E150" s="1026"/>
      <c r="F150" s="1059"/>
      <c r="G150" s="1059"/>
      <c r="H150" s="1269"/>
      <c r="I150" s="1056"/>
      <c r="J150" s="1111"/>
      <c r="K150" s="505"/>
    </row>
    <row r="151" spans="1:11" ht="15.75">
      <c r="A151" s="1037"/>
      <c r="B151" s="1038"/>
      <c r="C151" s="1026"/>
      <c r="D151" s="1026"/>
      <c r="E151" s="1026"/>
      <c r="F151" s="1059"/>
      <c r="G151" s="1054"/>
      <c r="H151" s="1269"/>
      <c r="I151" s="1056"/>
      <c r="J151" s="1111"/>
      <c r="K151" s="1116"/>
    </row>
    <row r="152" spans="1:11">
      <c r="A152" s="1037"/>
      <c r="B152" s="1038"/>
      <c r="C152" s="1026"/>
      <c r="D152" s="1026"/>
      <c r="E152" s="1026"/>
      <c r="F152" s="1059"/>
      <c r="G152" s="1054"/>
      <c r="H152" s="1269"/>
      <c r="I152" s="1056"/>
      <c r="J152" s="1111"/>
      <c r="K152" s="1262"/>
    </row>
    <row r="153" spans="1:11">
      <c r="A153" s="1037"/>
      <c r="B153" s="1038"/>
      <c r="C153" s="1026"/>
      <c r="D153" s="1026"/>
      <c r="E153" s="1026"/>
      <c r="F153" s="1059"/>
      <c r="G153" s="1059"/>
      <c r="H153" s="1269"/>
      <c r="I153" s="1056"/>
      <c r="J153" s="1111"/>
      <c r="K153" s="1262"/>
    </row>
    <row r="154" spans="1:11">
      <c r="A154" s="1037"/>
      <c r="B154" s="1038"/>
      <c r="C154" s="1026"/>
      <c r="D154" s="1026"/>
      <c r="E154" s="1026"/>
      <c r="F154" s="1059"/>
      <c r="G154" s="1059"/>
      <c r="H154" s="1269"/>
      <c r="I154" s="1056"/>
      <c r="J154" s="1111"/>
      <c r="K154" s="505"/>
    </row>
    <row r="155" spans="1:11">
      <c r="A155" s="1037"/>
      <c r="B155" s="1038"/>
      <c r="C155" s="1026"/>
      <c r="D155" s="1026"/>
      <c r="E155" s="1026"/>
      <c r="F155" s="1059"/>
      <c r="G155" s="1054"/>
      <c r="H155" s="1269"/>
      <c r="I155" s="1056"/>
      <c r="J155" s="1111"/>
      <c r="K155" s="505"/>
    </row>
    <row r="156" spans="1:11">
      <c r="A156" s="1037"/>
      <c r="B156" s="1038"/>
      <c r="C156" s="1026"/>
      <c r="D156" s="1026"/>
      <c r="E156" s="1026"/>
      <c r="F156" s="1059"/>
      <c r="G156" s="1054"/>
      <c r="H156" s="1269"/>
      <c r="I156" s="1056"/>
      <c r="J156" s="1111"/>
      <c r="K156" s="505"/>
    </row>
    <row r="157" spans="1:11">
      <c r="A157" s="1037"/>
      <c r="B157" s="1038"/>
      <c r="C157" s="1026"/>
      <c r="D157" s="1026"/>
      <c r="E157" s="1026"/>
      <c r="F157" s="1059"/>
      <c r="G157" s="1054"/>
      <c r="H157" s="1269"/>
      <c r="I157" s="1056"/>
      <c r="J157" s="1111"/>
      <c r="K157" s="505"/>
    </row>
    <row r="158" spans="1:11" ht="15.75">
      <c r="A158" s="1037"/>
      <c r="B158" s="1038"/>
      <c r="C158" s="1026"/>
      <c r="D158" s="1026"/>
      <c r="E158" s="1026"/>
      <c r="F158" s="1059"/>
      <c r="G158" s="1054"/>
      <c r="H158" s="1269"/>
      <c r="I158" s="1056"/>
      <c r="J158" s="1111"/>
      <c r="K158" s="1116"/>
    </row>
    <row r="159" spans="1:11">
      <c r="A159" s="1037"/>
      <c r="B159" s="1038"/>
      <c r="C159" s="1026"/>
      <c r="D159" s="1026"/>
      <c r="E159" s="1026"/>
      <c r="F159" s="1059"/>
      <c r="G159" s="1054"/>
      <c r="H159" s="1269"/>
      <c r="I159" s="1056"/>
      <c r="J159" s="1111"/>
      <c r="K159" s="1262"/>
    </row>
    <row r="160" spans="1:11">
      <c r="A160" s="1037"/>
      <c r="B160" s="1038"/>
      <c r="C160" s="346"/>
      <c r="D160" s="1026"/>
      <c r="E160" s="1026"/>
      <c r="F160" s="1059"/>
      <c r="G160" s="1054"/>
      <c r="H160" s="1269"/>
      <c r="I160" s="1056"/>
      <c r="J160" s="1111"/>
      <c r="K160" s="1262"/>
    </row>
    <row r="161" spans="1:11">
      <c r="A161" s="1037"/>
      <c r="B161" s="1038"/>
      <c r="C161" s="1026"/>
      <c r="D161" s="1026"/>
      <c r="E161" s="1026"/>
      <c r="F161" s="1059"/>
      <c r="G161" s="1054"/>
      <c r="H161" s="1269"/>
      <c r="I161" s="1056"/>
      <c r="J161" s="1111"/>
      <c r="K161" s="1262"/>
    </row>
    <row r="162" spans="1:11">
      <c r="A162" s="1037"/>
      <c r="B162" s="1038"/>
      <c r="C162" s="1026"/>
      <c r="D162" s="1026"/>
      <c r="E162" s="1026"/>
      <c r="F162" s="1059"/>
      <c r="G162" s="1054"/>
      <c r="H162" s="1269"/>
      <c r="I162" s="1056"/>
      <c r="J162" s="1111"/>
      <c r="K162" s="1262"/>
    </row>
    <row r="163" spans="1:11">
      <c r="A163" s="1037"/>
      <c r="B163" s="1038"/>
      <c r="C163" s="1026"/>
      <c r="D163" s="1026"/>
      <c r="E163" s="1026"/>
      <c r="F163" s="1059"/>
      <c r="G163" s="1054"/>
      <c r="H163" s="1269"/>
      <c r="I163" s="1056"/>
      <c r="J163" s="1111"/>
      <c r="K163" s="1262"/>
    </row>
    <row r="164" spans="1:11">
      <c r="A164" s="1037"/>
      <c r="B164" s="1038"/>
      <c r="C164" s="1026"/>
      <c r="D164" s="1026"/>
      <c r="E164" s="1026"/>
      <c r="F164" s="1059"/>
      <c r="G164" s="1054"/>
      <c r="H164" s="1269"/>
      <c r="I164" s="1056"/>
      <c r="J164" s="1111"/>
      <c r="K164" s="1262"/>
    </row>
    <row r="165" spans="1:11">
      <c r="A165" s="1037"/>
      <c r="B165" s="1038"/>
      <c r="C165" s="1026"/>
      <c r="D165" s="1026"/>
      <c r="E165" s="1026"/>
      <c r="F165" s="1059"/>
      <c r="G165" s="1054"/>
      <c r="H165" s="1269"/>
      <c r="I165" s="1056"/>
      <c r="J165" s="1111"/>
      <c r="K165" s="1262"/>
    </row>
    <row r="166" spans="1:11">
      <c r="A166" s="1037"/>
      <c r="B166" s="1038"/>
      <c r="C166" s="1026"/>
      <c r="D166" s="1026"/>
      <c r="E166" s="1026"/>
      <c r="F166" s="1059"/>
      <c r="G166" s="1054"/>
      <c r="H166" s="1269"/>
      <c r="I166" s="1056"/>
      <c r="J166" s="1111"/>
      <c r="K166" s="1262"/>
    </row>
    <row r="167" spans="1:11">
      <c r="A167" s="1037"/>
      <c r="B167" s="1038"/>
      <c r="C167" s="1026"/>
      <c r="D167" s="1026"/>
      <c r="E167" s="1026"/>
      <c r="F167" s="1059"/>
      <c r="G167" s="1054"/>
      <c r="H167" s="1269"/>
      <c r="I167" s="1056"/>
      <c r="J167" s="1111"/>
      <c r="K167" s="505"/>
    </row>
    <row r="168" spans="1:11">
      <c r="A168" s="1037"/>
      <c r="B168" s="1038"/>
      <c r="C168" s="1026"/>
      <c r="D168" s="1026"/>
      <c r="E168" s="1026"/>
      <c r="F168" s="1059"/>
      <c r="G168" s="1054"/>
      <c r="H168" s="1269"/>
      <c r="I168" s="1056"/>
      <c r="J168" s="1111"/>
      <c r="K168" s="505"/>
    </row>
    <row r="169" spans="1:11">
      <c r="A169" s="1037"/>
      <c r="B169" s="1038"/>
      <c r="C169" s="1026"/>
      <c r="D169" s="1026"/>
      <c r="E169" s="1026"/>
      <c r="F169" s="1059"/>
      <c r="G169" s="1059"/>
      <c r="H169" s="1269"/>
      <c r="I169" s="1056"/>
      <c r="J169" s="1111"/>
      <c r="K169" s="1262"/>
    </row>
    <row r="170" spans="1:11">
      <c r="A170" s="1037"/>
      <c r="B170" s="1038"/>
      <c r="C170" s="1026"/>
      <c r="D170" s="1026"/>
      <c r="E170" s="1026"/>
      <c r="F170" s="1059"/>
      <c r="G170" s="1059"/>
      <c r="H170" s="1269"/>
      <c r="I170" s="1056"/>
      <c r="J170" s="1111"/>
      <c r="K170" s="505"/>
    </row>
    <row r="171" spans="1:11">
      <c r="A171" s="1037"/>
      <c r="B171" s="1038"/>
      <c r="C171" s="1026"/>
      <c r="D171" s="1026"/>
      <c r="E171" s="1026"/>
      <c r="F171" s="1059"/>
      <c r="G171" s="1054"/>
      <c r="H171" s="1269"/>
      <c r="I171" s="1056"/>
      <c r="J171" s="1111"/>
      <c r="K171" s="505"/>
    </row>
    <row r="172" spans="1:11">
      <c r="A172" s="1037"/>
      <c r="B172" s="1038"/>
      <c r="C172" s="1026"/>
      <c r="D172" s="1026"/>
      <c r="E172" s="1026"/>
      <c r="F172" s="1059"/>
      <c r="G172" s="1054"/>
      <c r="H172" s="1269"/>
      <c r="I172" s="1056"/>
      <c r="J172" s="1111"/>
      <c r="K172" s="505"/>
    </row>
    <row r="173" spans="1:11">
      <c r="A173" s="1037"/>
      <c r="B173" s="1038"/>
      <c r="C173" s="1026"/>
      <c r="D173" s="1026"/>
      <c r="E173" s="1026"/>
      <c r="F173" s="1059"/>
      <c r="G173" s="1054"/>
      <c r="H173" s="1269"/>
      <c r="I173" s="1056"/>
      <c r="J173" s="1111"/>
      <c r="K173" s="1262"/>
    </row>
    <row r="174" spans="1:11" ht="15.75">
      <c r="A174" s="1037"/>
      <c r="B174" s="1038"/>
      <c r="C174" s="1026"/>
      <c r="D174" s="1026"/>
      <c r="E174" s="1026"/>
      <c r="F174" s="1059"/>
      <c r="G174" s="1059"/>
      <c r="H174" s="1269"/>
      <c r="I174" s="1056"/>
      <c r="J174" s="1111"/>
      <c r="K174" s="1116"/>
    </row>
    <row r="175" spans="1:11">
      <c r="A175" s="1037"/>
      <c r="B175" s="1038"/>
      <c r="C175" s="1026"/>
      <c r="D175" s="1026"/>
      <c r="E175" s="1026"/>
      <c r="F175" s="1059"/>
      <c r="G175" s="1059"/>
      <c r="H175" s="1269"/>
      <c r="I175" s="1056"/>
      <c r="J175" s="1111"/>
      <c r="K175" s="505"/>
    </row>
    <row r="176" spans="1:11" ht="15.75">
      <c r="A176" s="1037"/>
      <c r="B176" s="1038"/>
      <c r="C176" s="1026"/>
      <c r="D176" s="1026"/>
      <c r="E176" s="1026"/>
      <c r="F176" s="1059"/>
      <c r="G176" s="1054"/>
      <c r="H176" s="1269"/>
      <c r="I176" s="1056"/>
      <c r="J176" s="1111"/>
      <c r="K176" s="1116"/>
    </row>
    <row r="177" spans="1:11" ht="15.75">
      <c r="A177" s="1037"/>
      <c r="B177" s="1038"/>
      <c r="C177" s="1026"/>
      <c r="D177" s="1026"/>
      <c r="E177" s="1026"/>
      <c r="F177" s="1059"/>
      <c r="G177" s="1054"/>
      <c r="H177" s="1269"/>
      <c r="I177" s="1056"/>
      <c r="J177" s="1111"/>
      <c r="K177" s="1116"/>
    </row>
    <row r="178" spans="1:11" ht="15.75">
      <c r="A178" s="1037"/>
      <c r="B178" s="1038"/>
      <c r="C178" s="1026"/>
      <c r="D178" s="1026"/>
      <c r="E178" s="1026"/>
      <c r="F178" s="1059"/>
      <c r="G178" s="1054"/>
      <c r="H178" s="1269"/>
      <c r="I178" s="1056"/>
      <c r="J178" s="1111"/>
      <c r="K178" s="1116"/>
    </row>
    <row r="179" spans="1:11" ht="15.75">
      <c r="A179" s="1037"/>
      <c r="B179" s="1038"/>
      <c r="C179" s="1026"/>
      <c r="D179" s="1026"/>
      <c r="E179" s="1026"/>
      <c r="F179" s="1059"/>
      <c r="G179" s="1054"/>
      <c r="H179" s="1269"/>
      <c r="I179" s="1056"/>
      <c r="J179" s="1111"/>
      <c r="K179" s="1116"/>
    </row>
    <row r="180" spans="1:11" ht="15.75">
      <c r="A180" s="1037"/>
      <c r="B180" s="1038"/>
      <c r="C180" s="1026"/>
      <c r="D180" s="1026"/>
      <c r="E180" s="1026"/>
      <c r="F180" s="1059"/>
      <c r="G180" s="1059"/>
      <c r="H180" s="1269"/>
      <c r="I180" s="1056"/>
      <c r="J180" s="1111"/>
      <c r="K180" s="1116"/>
    </row>
    <row r="181" spans="1:11">
      <c r="A181" s="1037"/>
      <c r="B181" s="1038"/>
      <c r="C181" s="1026"/>
      <c r="D181" s="1026"/>
      <c r="E181" s="1026"/>
      <c r="F181" s="1059"/>
      <c r="G181" s="1059"/>
      <c r="H181" s="1269"/>
      <c r="I181" s="1056"/>
      <c r="J181" s="1111"/>
      <c r="K181" s="505"/>
    </row>
    <row r="182" spans="1:11" ht="15.75">
      <c r="A182" s="1037"/>
      <c r="B182" s="1038"/>
      <c r="C182" s="1026"/>
      <c r="D182" s="1026"/>
      <c r="E182" s="1026"/>
      <c r="F182" s="1059"/>
      <c r="G182" s="1054"/>
      <c r="H182" s="1269"/>
      <c r="I182" s="1056"/>
      <c r="J182" s="1111"/>
      <c r="K182" s="1116"/>
    </row>
    <row r="183" spans="1:11">
      <c r="A183" s="1037"/>
      <c r="B183" s="1038"/>
      <c r="C183" s="1026"/>
      <c r="D183" s="1026"/>
      <c r="E183" s="1026"/>
      <c r="F183" s="1059"/>
      <c r="G183" s="1059"/>
      <c r="H183" s="1269"/>
      <c r="I183" s="1056"/>
      <c r="J183" s="1111"/>
      <c r="K183" s="1262"/>
    </row>
    <row r="184" spans="1:11">
      <c r="A184" s="1037"/>
      <c r="B184" s="1038"/>
      <c r="C184" s="1026"/>
      <c r="D184" s="1026"/>
      <c r="E184" s="1026"/>
      <c r="F184" s="1059"/>
      <c r="G184" s="1059"/>
      <c r="H184" s="1269"/>
      <c r="I184" s="1056"/>
      <c r="J184" s="1111"/>
      <c r="K184" s="505"/>
    </row>
    <row r="185" spans="1:11">
      <c r="A185" s="1037"/>
      <c r="B185" s="1038"/>
      <c r="C185" s="1026"/>
      <c r="D185" s="1026"/>
      <c r="E185" s="1026"/>
      <c r="F185" s="1059"/>
      <c r="G185" s="1059"/>
      <c r="H185" s="1269"/>
      <c r="I185" s="1056"/>
      <c r="J185" s="1111"/>
      <c r="K185" s="1262"/>
    </row>
    <row r="186" spans="1:11">
      <c r="A186" s="1037"/>
      <c r="B186" s="1038"/>
      <c r="C186" s="1026"/>
      <c r="D186" s="1026"/>
      <c r="E186" s="1026"/>
      <c r="F186" s="1059"/>
      <c r="G186" s="1059"/>
      <c r="H186" s="1269"/>
      <c r="I186" s="1056"/>
      <c r="J186" s="1111"/>
      <c r="K186" s="505"/>
    </row>
    <row r="187" spans="1:11">
      <c r="A187" s="1037"/>
      <c r="B187" s="1038"/>
      <c r="C187" s="1026"/>
      <c r="D187" s="1026"/>
      <c r="E187" s="1026"/>
      <c r="F187" s="1059"/>
      <c r="G187" s="1054"/>
      <c r="H187" s="1269"/>
      <c r="I187" s="1056"/>
      <c r="J187" s="1111"/>
      <c r="K187" s="505"/>
    </row>
    <row r="188" spans="1:11">
      <c r="A188" s="1037"/>
      <c r="B188" s="1038"/>
      <c r="C188" s="1026"/>
      <c r="D188" s="1026"/>
      <c r="E188" s="1026"/>
      <c r="F188" s="1059"/>
      <c r="G188" s="1054"/>
      <c r="H188" s="1269"/>
      <c r="I188" s="1056"/>
      <c r="J188" s="1111"/>
      <c r="K188" s="505"/>
    </row>
    <row r="189" spans="1:11">
      <c r="A189" s="1037"/>
      <c r="B189" s="1038"/>
      <c r="C189" s="1026"/>
      <c r="D189" s="1026"/>
      <c r="E189" s="1026"/>
      <c r="F189" s="1059"/>
      <c r="G189" s="1054"/>
      <c r="H189" s="1269"/>
      <c r="I189" s="1056"/>
      <c r="J189" s="1111"/>
      <c r="K189" s="505"/>
    </row>
    <row r="190" spans="1:11">
      <c r="A190" s="1037"/>
      <c r="B190" s="1038"/>
      <c r="C190" s="1026"/>
      <c r="D190" s="1026"/>
      <c r="E190" s="1026"/>
      <c r="F190" s="1059"/>
      <c r="G190" s="1054"/>
      <c r="H190" s="1269"/>
      <c r="I190" s="1056"/>
      <c r="J190" s="1111"/>
      <c r="K190" s="505"/>
    </row>
    <row r="191" spans="1:11">
      <c r="A191" s="1037"/>
      <c r="B191" s="1038"/>
      <c r="C191" s="1026"/>
      <c r="D191" s="1026"/>
      <c r="E191" s="1026"/>
      <c r="F191" s="1059"/>
      <c r="G191" s="1054"/>
      <c r="H191" s="1269"/>
      <c r="I191" s="1056"/>
      <c r="J191" s="1111"/>
      <c r="K191" s="505"/>
    </row>
    <row r="192" spans="1:11">
      <c r="A192" s="1037"/>
      <c r="B192" s="1038"/>
      <c r="C192" s="1026"/>
      <c r="D192" s="1026"/>
      <c r="E192" s="1026"/>
      <c r="F192" s="1059"/>
      <c r="G192" s="1054"/>
      <c r="H192" s="1269"/>
      <c r="I192" s="1056"/>
      <c r="J192" s="1111"/>
      <c r="K192" s="505"/>
    </row>
    <row r="193" spans="1:11">
      <c r="A193" s="1037"/>
      <c r="B193" s="1038"/>
      <c r="C193" s="1026"/>
      <c r="D193" s="1026"/>
      <c r="E193" s="1026"/>
      <c r="F193" s="1059"/>
      <c r="G193" s="1054"/>
      <c r="H193" s="1269"/>
      <c r="I193" s="1056"/>
      <c r="J193" s="1111"/>
      <c r="K193" s="505"/>
    </row>
    <row r="194" spans="1:11">
      <c r="A194" s="1037"/>
      <c r="B194" s="1038"/>
      <c r="C194" s="1026"/>
      <c r="D194" s="1026"/>
      <c r="E194" s="1026"/>
      <c r="F194" s="1059"/>
      <c r="G194" s="1059"/>
      <c r="H194" s="1269"/>
      <c r="I194" s="1056"/>
      <c r="J194" s="1111"/>
      <c r="K194" s="1262"/>
    </row>
    <row r="195" spans="1:11">
      <c r="A195" s="1037"/>
      <c r="B195" s="1038"/>
      <c r="C195" s="1026"/>
      <c r="D195" s="1026"/>
      <c r="E195" s="1026"/>
      <c r="F195" s="1059"/>
      <c r="G195" s="1059"/>
      <c r="H195" s="1269"/>
      <c r="I195" s="1056"/>
      <c r="J195" s="1111"/>
      <c r="K195" s="505"/>
    </row>
    <row r="196" spans="1:11" ht="15.75">
      <c r="A196" s="1037"/>
      <c r="B196" s="1038"/>
      <c r="C196" s="1026"/>
      <c r="D196" s="1026"/>
      <c r="E196" s="1026"/>
      <c r="F196" s="1059"/>
      <c r="G196" s="1054"/>
      <c r="H196" s="1269"/>
      <c r="I196" s="1056"/>
      <c r="J196" s="1111"/>
      <c r="K196" s="1116"/>
    </row>
    <row r="197" spans="1:11">
      <c r="A197" s="1037"/>
      <c r="B197" s="1038"/>
      <c r="C197" s="1026"/>
      <c r="D197" s="1026"/>
      <c r="E197" s="1026"/>
      <c r="F197" s="1059"/>
      <c r="G197" s="1054"/>
      <c r="H197" s="1269"/>
      <c r="I197" s="1056"/>
      <c r="J197" s="1111"/>
      <c r="K197" s="1262"/>
    </row>
    <row r="198" spans="1:11">
      <c r="A198" s="1037"/>
      <c r="B198" s="1038"/>
      <c r="C198" s="1025"/>
      <c r="D198" s="1025"/>
      <c r="E198" s="1025"/>
      <c r="F198" s="1061"/>
      <c r="G198" s="1054"/>
      <c r="H198" s="1269"/>
      <c r="I198" s="1056"/>
      <c r="J198" s="1111"/>
      <c r="K198" s="1262"/>
    </row>
    <row r="199" spans="1:11">
      <c r="A199" s="1037"/>
      <c r="B199" s="1038"/>
      <c r="C199" s="1026"/>
      <c r="D199" s="1026"/>
      <c r="E199" s="1026"/>
      <c r="F199" s="1061"/>
      <c r="G199" s="1054"/>
      <c r="H199" s="1269"/>
      <c r="I199" s="1056"/>
      <c r="J199" s="1111"/>
      <c r="K199" s="505"/>
    </row>
    <row r="200" spans="1:11" ht="15.75">
      <c r="A200" s="1037"/>
      <c r="B200" s="1038"/>
      <c r="C200" s="1026"/>
      <c r="D200" s="1026"/>
      <c r="E200" s="1026"/>
      <c r="F200" s="1059"/>
      <c r="G200" s="1059"/>
      <c r="H200" s="1269"/>
      <c r="I200" s="1056"/>
      <c r="J200" s="1111"/>
      <c r="K200" s="1116"/>
    </row>
    <row r="201" spans="1:11">
      <c r="A201" s="1037"/>
      <c r="B201" s="1038"/>
      <c r="C201" s="1026"/>
      <c r="D201" s="1026"/>
      <c r="E201" s="1026"/>
      <c r="F201" s="1059"/>
      <c r="G201" s="1059"/>
      <c r="H201" s="1269"/>
      <c r="I201" s="1056"/>
      <c r="J201" s="1111"/>
      <c r="K201" s="505"/>
    </row>
    <row r="202" spans="1:11" ht="15.75">
      <c r="A202" s="1037"/>
      <c r="B202" s="1038"/>
      <c r="C202" s="1026"/>
      <c r="D202" s="1026"/>
      <c r="E202" s="1026"/>
      <c r="F202" s="1059"/>
      <c r="G202" s="1054"/>
      <c r="H202" s="1269"/>
      <c r="I202" s="1056"/>
      <c r="J202" s="1111"/>
      <c r="K202" s="1116"/>
    </row>
    <row r="203" spans="1:11" ht="15.75">
      <c r="A203" s="1037"/>
      <c r="B203" s="1038"/>
      <c r="C203" s="1026"/>
      <c r="D203" s="1026"/>
      <c r="E203" s="1026"/>
      <c r="F203" s="1059"/>
      <c r="G203" s="1054"/>
      <c r="H203" s="1269"/>
      <c r="I203" s="1056"/>
      <c r="J203" s="1111"/>
      <c r="K203" s="1116"/>
    </row>
    <row r="204" spans="1:11" ht="15.75">
      <c r="A204" s="1037"/>
      <c r="B204" s="1038"/>
      <c r="C204" s="1026"/>
      <c r="D204" s="1026"/>
      <c r="E204" s="1026"/>
      <c r="F204" s="1059"/>
      <c r="G204" s="1054"/>
      <c r="H204" s="1269"/>
      <c r="I204" s="1056"/>
      <c r="J204" s="1111"/>
      <c r="K204" s="1116"/>
    </row>
    <row r="205" spans="1:11" ht="15.75">
      <c r="A205" s="1037"/>
      <c r="B205" s="1038"/>
      <c r="C205" s="1026"/>
      <c r="D205" s="1026"/>
      <c r="E205" s="1026"/>
      <c r="F205" s="1059"/>
      <c r="G205" s="1054"/>
      <c r="H205" s="1269"/>
      <c r="I205" s="1056"/>
      <c r="J205" s="1111"/>
      <c r="K205" s="1116"/>
    </row>
    <row r="206" spans="1:11" ht="15.75">
      <c r="A206" s="1037"/>
      <c r="B206" s="1038"/>
      <c r="C206" s="1026"/>
      <c r="D206" s="1026"/>
      <c r="E206" s="1026"/>
      <c r="F206" s="1059"/>
      <c r="G206" s="1054"/>
      <c r="H206" s="1269"/>
      <c r="I206" s="1056"/>
      <c r="J206" s="1111"/>
      <c r="K206" s="1116"/>
    </row>
    <row r="207" spans="1:11" ht="15.75">
      <c r="A207" s="1037"/>
      <c r="B207" s="1038"/>
      <c r="C207" s="1026"/>
      <c r="D207" s="1026"/>
      <c r="E207" s="1026"/>
      <c r="F207" s="1059"/>
      <c r="G207" s="1054"/>
      <c r="H207" s="1269"/>
      <c r="I207" s="1056"/>
      <c r="J207" s="1111"/>
      <c r="K207" s="1116"/>
    </row>
    <row r="208" spans="1:11" ht="15.75">
      <c r="A208" s="1037"/>
      <c r="B208" s="1038"/>
      <c r="C208" s="1026"/>
      <c r="D208" s="1026"/>
      <c r="E208" s="1026"/>
      <c r="F208" s="1059"/>
      <c r="G208" s="1054"/>
      <c r="H208" s="1269"/>
      <c r="I208" s="1056"/>
      <c r="J208" s="1111"/>
      <c r="K208" s="1116"/>
    </row>
    <row r="209" spans="1:11" ht="15.75">
      <c r="A209" s="1037"/>
      <c r="B209" s="1038"/>
      <c r="C209" s="1026"/>
      <c r="D209" s="1026"/>
      <c r="E209" s="1026"/>
      <c r="F209" s="1059"/>
      <c r="G209" s="1054"/>
      <c r="H209" s="1269"/>
      <c r="I209" s="1056"/>
      <c r="J209" s="1111"/>
      <c r="K209" s="1116"/>
    </row>
    <row r="210" spans="1:11" ht="15.75">
      <c r="A210" s="1037"/>
      <c r="B210" s="1038"/>
      <c r="C210" s="1026"/>
      <c r="D210" s="1026"/>
      <c r="E210" s="1032"/>
      <c r="F210" s="1059"/>
      <c r="G210" s="1054"/>
      <c r="H210" s="1269"/>
      <c r="I210" s="1056"/>
      <c r="J210" s="1111"/>
      <c r="K210" s="1116"/>
    </row>
    <row r="211" spans="1:11" ht="15.75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116"/>
    </row>
    <row r="212" spans="1:11" ht="15.75">
      <c r="A212" s="1037"/>
      <c r="B212" s="1038"/>
      <c r="C212" s="1026"/>
      <c r="D212" s="1026"/>
      <c r="E212" s="1026"/>
      <c r="F212" s="1059"/>
      <c r="G212" s="1054"/>
      <c r="H212" s="1269"/>
      <c r="I212" s="1056"/>
      <c r="J212" s="1111"/>
      <c r="K212" s="1116"/>
    </row>
    <row r="213" spans="1:11" ht="15.75">
      <c r="A213" s="1037"/>
      <c r="B213" s="1038"/>
      <c r="C213" s="1026"/>
      <c r="D213" s="1026"/>
      <c r="E213" s="1026"/>
      <c r="F213" s="1059"/>
      <c r="G213" s="1054"/>
      <c r="H213" s="1269"/>
      <c r="I213" s="1056"/>
      <c r="J213" s="1111"/>
      <c r="K213" s="1116"/>
    </row>
    <row r="214" spans="1:11" ht="15.75">
      <c r="A214" s="1037"/>
      <c r="B214" s="1038"/>
      <c r="C214" s="1026"/>
      <c r="D214" s="1026"/>
      <c r="E214" s="1026"/>
      <c r="F214" s="1059"/>
      <c r="G214" s="1054"/>
      <c r="H214" s="1269"/>
      <c r="I214" s="1056"/>
      <c r="J214" s="1111"/>
      <c r="K214" s="1116"/>
    </row>
    <row r="215" spans="1:11">
      <c r="A215" s="1037"/>
      <c r="B215" s="1038"/>
      <c r="C215" s="1026"/>
      <c r="D215" s="1026"/>
      <c r="E215" s="1026"/>
      <c r="F215" s="1059"/>
      <c r="G215" s="1054"/>
      <c r="H215" s="1269"/>
      <c r="I215" s="1056"/>
      <c r="J215" s="1111"/>
      <c r="K215" s="1262"/>
    </row>
    <row r="216" spans="1:11">
      <c r="A216" s="1039"/>
      <c r="B216" s="1039"/>
      <c r="C216" s="1025"/>
      <c r="D216" s="1025"/>
      <c r="E216" s="1025"/>
      <c r="F216" s="1061"/>
      <c r="G216" s="1062"/>
      <c r="H216" s="1269"/>
      <c r="I216" s="1056"/>
      <c r="J216" s="1111"/>
      <c r="K216" s="505"/>
    </row>
    <row r="217" spans="1:11">
      <c r="A217" s="1039"/>
      <c r="B217" s="1039"/>
      <c r="C217" s="1025"/>
      <c r="D217" s="1025"/>
      <c r="E217" s="1025"/>
      <c r="F217" s="1061"/>
      <c r="G217" s="1062"/>
      <c r="H217" s="1269"/>
      <c r="I217" s="1056"/>
      <c r="J217" s="1111"/>
      <c r="K217" s="505"/>
    </row>
    <row r="218" spans="1:11">
      <c r="A218" s="1039"/>
      <c r="B218" s="1039"/>
      <c r="C218" s="1025"/>
      <c r="D218" s="1025"/>
      <c r="E218" s="1025"/>
      <c r="F218" s="1061"/>
      <c r="G218" s="1062"/>
      <c r="H218" s="1269"/>
      <c r="I218" s="1056"/>
      <c r="J218" s="1111"/>
      <c r="K218" s="505"/>
    </row>
    <row r="219" spans="1:11">
      <c r="A219" s="1039"/>
      <c r="B219" s="1039"/>
      <c r="C219" s="1025"/>
      <c r="D219" s="1025"/>
      <c r="E219" s="1025"/>
      <c r="F219" s="1061"/>
      <c r="G219" s="1062"/>
      <c r="H219" s="1269"/>
      <c r="I219" s="1056"/>
      <c r="J219" s="1111"/>
      <c r="K219" s="505"/>
    </row>
    <row r="220" spans="1:11">
      <c r="A220" s="1039"/>
      <c r="B220" s="1039"/>
      <c r="C220" s="1025"/>
      <c r="D220" s="1025"/>
      <c r="E220" s="1025"/>
      <c r="F220" s="1061"/>
      <c r="G220" s="1062"/>
      <c r="H220" s="1269"/>
      <c r="I220" s="1056"/>
      <c r="J220" s="1111"/>
      <c r="K220" s="505"/>
    </row>
    <row r="221" spans="1:11">
      <c r="A221" s="1039"/>
      <c r="B221" s="1039"/>
      <c r="C221" s="1025"/>
      <c r="D221" s="1025"/>
      <c r="E221" s="1025"/>
      <c r="F221" s="1061"/>
      <c r="G221" s="1062"/>
      <c r="H221" s="1269"/>
      <c r="I221" s="1056"/>
      <c r="J221" s="1111"/>
      <c r="K221" s="505"/>
    </row>
    <row r="222" spans="1:11">
      <c r="A222" s="1039"/>
      <c r="B222" s="1039"/>
      <c r="C222" s="1025"/>
      <c r="D222" s="1025"/>
      <c r="E222" s="1025"/>
      <c r="F222" s="1061"/>
      <c r="G222" s="1062"/>
      <c r="H222" s="1269"/>
      <c r="I222" s="1056"/>
      <c r="J222" s="1111"/>
      <c r="K222" s="505"/>
    </row>
    <row r="223" spans="1:11">
      <c r="A223" s="1039"/>
      <c r="B223" s="1039"/>
      <c r="C223" s="1025"/>
      <c r="D223" s="1025"/>
      <c r="E223" s="1025"/>
      <c r="F223" s="1061"/>
      <c r="G223" s="1062"/>
      <c r="H223" s="1269"/>
      <c r="I223" s="1056"/>
      <c r="J223" s="1111"/>
      <c r="K223" s="505"/>
    </row>
    <row r="224" spans="1:11">
      <c r="A224" s="1039"/>
      <c r="B224" s="1039"/>
      <c r="C224" s="1025"/>
      <c r="D224" s="1025"/>
      <c r="E224" s="1025"/>
      <c r="F224" s="1061"/>
      <c r="G224" s="1062"/>
      <c r="H224" s="1269"/>
      <c r="I224" s="1056"/>
      <c r="J224" s="1111"/>
      <c r="K224" s="505"/>
    </row>
    <row r="225" spans="1:11">
      <c r="A225" s="1039"/>
      <c r="B225" s="1039"/>
      <c r="C225" s="1025"/>
      <c r="D225" s="1025"/>
      <c r="E225" s="1025"/>
      <c r="F225" s="1061"/>
      <c r="G225" s="1062"/>
      <c r="H225" s="1269"/>
      <c r="I225" s="1056"/>
      <c r="J225" s="1111"/>
      <c r="K225" s="505"/>
    </row>
    <row r="226" spans="1:11">
      <c r="A226" s="1039"/>
      <c r="B226" s="1039"/>
      <c r="C226" s="1025"/>
      <c r="D226" s="1025"/>
      <c r="E226" s="1025"/>
      <c r="F226" s="1061"/>
      <c r="G226" s="1062"/>
      <c r="H226" s="1269"/>
      <c r="I226" s="1056"/>
      <c r="J226" s="1111"/>
      <c r="K226" s="505"/>
    </row>
    <row r="227" spans="1:11">
      <c r="A227" s="1039"/>
      <c r="B227" s="1039"/>
      <c r="C227" s="1025"/>
      <c r="D227" s="1025"/>
      <c r="E227" s="1025"/>
      <c r="F227" s="1061"/>
      <c r="G227" s="1062"/>
      <c r="H227" s="1269"/>
      <c r="I227" s="1056"/>
      <c r="J227" s="1111"/>
      <c r="K227" s="505"/>
    </row>
    <row r="228" spans="1:11">
      <c r="A228" s="1039"/>
      <c r="B228" s="1039"/>
      <c r="C228" s="1025"/>
      <c r="D228" s="1025"/>
      <c r="E228" s="1025"/>
      <c r="F228" s="1061"/>
      <c r="G228" s="1062"/>
      <c r="H228" s="1269"/>
      <c r="I228" s="1056"/>
      <c r="J228" s="1111"/>
      <c r="K228" s="505"/>
    </row>
    <row r="229" spans="1:11">
      <c r="A229" s="1039"/>
      <c r="B229" s="1039"/>
      <c r="C229" s="1025"/>
      <c r="D229" s="1025"/>
      <c r="E229" s="1025"/>
      <c r="F229" s="1061"/>
      <c r="G229" s="1062"/>
      <c r="H229" s="1269"/>
      <c r="I229" s="1056"/>
      <c r="J229" s="1111"/>
      <c r="K229" s="505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505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505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505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505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505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505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505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505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505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505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505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505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505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505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505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505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505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505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505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505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505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505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505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505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505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505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505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505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505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505"/>
    </row>
    <row r="260" spans="1:11">
      <c r="A260" s="1039"/>
      <c r="B260" s="1039"/>
      <c r="C260" s="1025"/>
      <c r="D260" s="1025"/>
      <c r="E260" s="1025"/>
      <c r="F260" s="1061"/>
      <c r="G260" s="1062"/>
      <c r="H260" s="1269"/>
      <c r="I260" s="1056"/>
      <c r="J260" s="1111"/>
      <c r="K260" s="505"/>
    </row>
    <row r="261" spans="1:11">
      <c r="A261" s="1039"/>
      <c r="B261" s="1039"/>
      <c r="C261" s="1025"/>
      <c r="D261" s="1025"/>
      <c r="E261" s="1025"/>
      <c r="F261" s="1061"/>
      <c r="G261" s="1062"/>
      <c r="H261" s="1269"/>
      <c r="I261" s="1056"/>
      <c r="J261" s="1111"/>
      <c r="K261" s="505"/>
    </row>
    <row r="262" spans="1:11">
      <c r="A262" s="1039"/>
      <c r="B262" s="1039"/>
      <c r="C262" s="1025"/>
      <c r="D262" s="1025"/>
      <c r="E262" s="1025"/>
      <c r="F262" s="1061"/>
      <c r="G262" s="1062"/>
      <c r="H262" s="1269"/>
      <c r="I262" s="1056"/>
      <c r="J262" s="1111"/>
      <c r="K262" s="505"/>
    </row>
    <row r="263" spans="1:11">
      <c r="A263" s="1262"/>
      <c r="B263" s="1262"/>
      <c r="C263" s="1327"/>
      <c r="D263" s="1262"/>
      <c r="E263" s="1262"/>
      <c r="F263" s="1262"/>
      <c r="G263" s="1262"/>
      <c r="H263" s="1269"/>
      <c r="I263" s="1056"/>
      <c r="J263" s="1111"/>
      <c r="K263" s="505"/>
    </row>
    <row r="264" spans="1:11">
      <c r="A264" s="1262"/>
      <c r="B264" s="1262"/>
      <c r="C264" s="1327"/>
      <c r="D264" s="1262"/>
      <c r="E264" s="1262"/>
      <c r="F264" s="1262"/>
      <c r="G264" s="1262"/>
      <c r="H264" s="1269"/>
      <c r="I264" s="1056"/>
      <c r="J264" s="1111"/>
      <c r="K264" s="505"/>
    </row>
    <row r="265" spans="1:11">
      <c r="A265" s="1262"/>
      <c r="B265" s="1262"/>
      <c r="C265" s="1327"/>
      <c r="D265" s="1262"/>
      <c r="E265" s="1262"/>
      <c r="F265" s="1262"/>
      <c r="G265" s="1262"/>
      <c r="H265" s="1269"/>
      <c r="I265" s="1056"/>
      <c r="J265" s="1111"/>
      <c r="K265" s="505"/>
    </row>
    <row r="266" spans="1:11">
      <c r="A266" s="1262"/>
      <c r="B266" s="1262"/>
      <c r="C266" s="1327"/>
      <c r="D266" s="1262"/>
      <c r="E266" s="1262"/>
      <c r="F266" s="1262"/>
      <c r="G266" s="1262"/>
      <c r="H266" s="1269"/>
      <c r="I266" s="1056"/>
      <c r="J266" s="1111"/>
      <c r="K266" s="505"/>
    </row>
    <row r="267" spans="1:11">
      <c r="A267" s="1262"/>
      <c r="B267" s="1262"/>
      <c r="C267" s="1327"/>
      <c r="D267" s="1262"/>
      <c r="E267" s="1262"/>
      <c r="F267" s="1262"/>
      <c r="G267" s="1262"/>
      <c r="H267" s="1269"/>
      <c r="I267" s="1056"/>
      <c r="J267" s="1111"/>
      <c r="K267" s="505"/>
    </row>
    <row r="268" spans="1:11">
      <c r="A268" s="1262"/>
      <c r="B268" s="1262"/>
      <c r="C268" s="1327"/>
      <c r="D268" s="1262"/>
      <c r="E268" s="1262"/>
      <c r="F268" s="1262"/>
      <c r="G268" s="1262"/>
      <c r="H268" s="1269"/>
      <c r="I268" s="1056"/>
      <c r="J268" s="1111"/>
      <c r="K268" s="505"/>
    </row>
    <row r="269" spans="1:11">
      <c r="A269" s="1262"/>
      <c r="B269" s="1262"/>
      <c r="C269" s="1327"/>
      <c r="D269" s="1262"/>
      <c r="E269" s="1262"/>
      <c r="F269" s="1262"/>
      <c r="G269" s="1262"/>
      <c r="H269" s="1269"/>
      <c r="I269" s="1056"/>
      <c r="J269" s="1111"/>
      <c r="K269" s="505"/>
    </row>
    <row r="270" spans="1:11">
      <c r="A270" s="1262"/>
      <c r="B270" s="1262"/>
      <c r="C270" s="1327"/>
      <c r="D270" s="1262"/>
      <c r="E270" s="1262"/>
      <c r="F270" s="1262"/>
      <c r="G270" s="1262"/>
      <c r="H270" s="1269"/>
      <c r="I270" s="1056"/>
      <c r="J270" s="1111"/>
      <c r="K270" s="505"/>
    </row>
    <row r="271" spans="1:11">
      <c r="A271" s="1262"/>
      <c r="B271" s="1262"/>
      <c r="C271" s="1327"/>
      <c r="D271" s="1262"/>
      <c r="E271" s="1262"/>
      <c r="F271" s="1262"/>
      <c r="G271" s="1262"/>
      <c r="H271" s="1269"/>
      <c r="I271" s="1056"/>
      <c r="J271" s="1111"/>
      <c r="K271" s="505"/>
    </row>
    <row r="272" spans="1:11">
      <c r="A272" s="1262"/>
      <c r="B272" s="1262"/>
      <c r="C272" s="1327"/>
      <c r="D272" s="1262"/>
      <c r="E272" s="1262"/>
      <c r="F272" s="1262"/>
      <c r="G272" s="1262"/>
      <c r="H272" s="1269"/>
      <c r="I272" s="1056"/>
      <c r="J272" s="1111"/>
      <c r="K272" s="505"/>
    </row>
    <row r="273" spans="1:11">
      <c r="A273" s="1262"/>
      <c r="B273" s="1262"/>
      <c r="C273" s="1327"/>
      <c r="D273" s="1262"/>
      <c r="E273" s="1262"/>
      <c r="F273" s="1262"/>
      <c r="G273" s="1262"/>
      <c r="H273" s="1269"/>
      <c r="I273" s="1056"/>
      <c r="J273" s="1111"/>
      <c r="K273" s="505"/>
    </row>
    <row r="274" spans="1:11">
      <c r="A274" s="1262"/>
      <c r="B274" s="1262"/>
      <c r="C274" s="1327"/>
      <c r="D274" s="1262"/>
      <c r="E274" s="1262"/>
      <c r="F274" s="1262"/>
      <c r="G274" s="1262"/>
      <c r="H274" s="1269"/>
      <c r="I274" s="1056"/>
      <c r="J274" s="1111"/>
      <c r="K274" s="505"/>
    </row>
    <row r="275" spans="1:11">
      <c r="A275" s="1262"/>
      <c r="B275" s="1262"/>
      <c r="C275" s="1327"/>
      <c r="D275" s="1262"/>
      <c r="E275" s="1262"/>
      <c r="F275" s="1262"/>
      <c r="G275" s="1262"/>
      <c r="H275" s="1269"/>
      <c r="I275" s="1056"/>
      <c r="J275" s="1111"/>
      <c r="K275" s="505"/>
    </row>
    <row r="276" spans="1:11">
      <c r="A276" s="1262"/>
      <c r="B276" s="1262"/>
      <c r="C276" s="1327"/>
      <c r="D276" s="1262"/>
      <c r="E276" s="1262"/>
      <c r="F276" s="1262"/>
      <c r="G276" s="1262"/>
      <c r="H276" s="1269"/>
      <c r="I276" s="1056"/>
      <c r="J276" s="1111"/>
      <c r="K276" s="505"/>
    </row>
    <row r="277" spans="1:11" ht="15.75" thickBot="1">
      <c r="A277" s="1037"/>
      <c r="B277" s="1038"/>
      <c r="C277" s="1026"/>
      <c r="D277" s="1026"/>
      <c r="E277" s="1026"/>
      <c r="F277" s="1059"/>
      <c r="G277" s="1054"/>
      <c r="H277" s="1269"/>
      <c r="I277" s="1056"/>
      <c r="J277" s="1111"/>
      <c r="K277" s="505"/>
    </row>
    <row r="278" spans="1:11" ht="20.25" thickBot="1">
      <c r="A278" s="1158"/>
      <c r="B278" s="1159"/>
      <c r="C278" s="1159"/>
      <c r="D278" s="1159"/>
      <c r="E278" s="1159"/>
      <c r="F278" s="1160">
        <f>SUM(F157:F165,F167:F277)</f>
        <v>0</v>
      </c>
      <c r="G278" s="1159"/>
      <c r="H278" s="1293">
        <f>SUM(H57:H277)</f>
        <v>0</v>
      </c>
      <c r="I278" s="1160">
        <f>SUM(I157:I277)</f>
        <v>0</v>
      </c>
      <c r="J278" s="1164"/>
      <c r="K278" s="1157"/>
    </row>
  </sheetData>
  <autoFilter ref="A1:K41" xr:uid="{42D9DBEF-254B-4F03-82AC-B4327735DCA1}">
    <sortState xmlns:xlrd2="http://schemas.microsoft.com/office/spreadsheetml/2017/richdata2" ref="A2:K41">
      <sortCondition ref="B1:B41"/>
    </sortState>
  </autoFilter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09CB0-C23D-4FEA-82C9-A7BC8412D455}">
  <dimension ref="A1:K275"/>
  <sheetViews>
    <sheetView topLeftCell="A32" zoomScale="85" zoomScaleNormal="85" workbookViewId="0">
      <selection activeCell="C10" sqref="C10"/>
    </sheetView>
  </sheetViews>
  <sheetFormatPr defaultColWidth="9.140625" defaultRowHeight="15"/>
  <cols>
    <col min="1" max="1" width="15.140625" style="1058" bestFit="1" customWidth="1"/>
    <col min="2" max="2" width="13.5703125" style="1058" customWidth="1"/>
    <col min="3" max="3" width="44.5703125" style="1165" bestFit="1" customWidth="1"/>
    <col min="4" max="4" width="22.28515625" style="1058" bestFit="1" customWidth="1"/>
    <col min="5" max="5" width="16.7109375" style="1058" customWidth="1"/>
    <col min="6" max="6" width="22" style="1058" bestFit="1" customWidth="1"/>
    <col min="7" max="7" width="15" style="1058" customWidth="1"/>
    <col min="8" max="8" width="24.85546875" style="1058" bestFit="1" customWidth="1"/>
    <col min="9" max="9" width="21.140625" style="1058" customWidth="1"/>
    <col min="10" max="10" width="13.28515625" style="1058" customWidth="1"/>
    <col min="11" max="11" width="16.5703125" style="1058" customWidth="1"/>
    <col min="12" max="16384" width="9.140625" style="1058"/>
  </cols>
  <sheetData>
    <row r="1" spans="1:11" ht="15" customHeight="1">
      <c r="A1" s="1235" t="s">
        <v>2519</v>
      </c>
      <c r="B1" s="1236" t="s">
        <v>2</v>
      </c>
      <c r="C1" s="1236" t="s">
        <v>3</v>
      </c>
      <c r="D1" s="1236" t="s">
        <v>4</v>
      </c>
      <c r="E1" s="1236" t="s">
        <v>5</v>
      </c>
      <c r="F1" s="1237" t="s">
        <v>644</v>
      </c>
      <c r="G1" s="1238" t="s">
        <v>555</v>
      </c>
      <c r="H1" s="1239" t="s">
        <v>7</v>
      </c>
      <c r="I1" s="1240" t="s">
        <v>307</v>
      </c>
      <c r="J1" s="1238" t="s">
        <v>370</v>
      </c>
      <c r="K1" s="1241" t="s">
        <v>442</v>
      </c>
    </row>
    <row r="2" spans="1:11" ht="15.75">
      <c r="A2" s="1041">
        <v>45475</v>
      </c>
      <c r="B2" s="1041">
        <v>45840</v>
      </c>
      <c r="C2" s="1027" t="s">
        <v>2616</v>
      </c>
      <c r="D2" s="1027" t="s">
        <v>448</v>
      </c>
      <c r="E2" s="1027" t="s">
        <v>279</v>
      </c>
      <c r="F2" s="1065">
        <v>1566.03</v>
      </c>
      <c r="G2" s="1066">
        <v>0.19</v>
      </c>
      <c r="H2" s="1067">
        <v>273.74</v>
      </c>
      <c r="I2" s="1243">
        <v>27.37</v>
      </c>
      <c r="J2" s="1027" t="s">
        <v>2070</v>
      </c>
      <c r="K2" s="1117" t="s">
        <v>1472</v>
      </c>
    </row>
    <row r="3" spans="1:11" ht="15.75">
      <c r="A3" s="1041">
        <v>45476</v>
      </c>
      <c r="B3" s="1041">
        <v>45843</v>
      </c>
      <c r="C3" s="1027" t="s">
        <v>1425</v>
      </c>
      <c r="D3" s="1027" t="s">
        <v>448</v>
      </c>
      <c r="E3" s="1027" t="s">
        <v>19</v>
      </c>
      <c r="F3" s="1065">
        <v>1494.27</v>
      </c>
      <c r="G3" s="1066">
        <v>0.15</v>
      </c>
      <c r="H3" s="1067">
        <v>206.2</v>
      </c>
      <c r="I3" s="1243">
        <v>20.62</v>
      </c>
      <c r="J3" s="1027" t="s">
        <v>2070</v>
      </c>
      <c r="K3" s="1117" t="s">
        <v>2015</v>
      </c>
    </row>
    <row r="4" spans="1:11" s="1070" customFormat="1" ht="15.75">
      <c r="A4" s="1041">
        <v>45476</v>
      </c>
      <c r="B4" s="1041">
        <v>45845</v>
      </c>
      <c r="C4" s="1027" t="s">
        <v>1524</v>
      </c>
      <c r="D4" s="1027" t="s">
        <v>14</v>
      </c>
      <c r="E4" s="1027" t="s">
        <v>948</v>
      </c>
      <c r="F4" s="1065">
        <v>1253.31</v>
      </c>
      <c r="G4" s="1066">
        <v>0.1</v>
      </c>
      <c r="H4" s="1067">
        <v>115.3</v>
      </c>
      <c r="I4" s="1243">
        <v>11.53</v>
      </c>
      <c r="J4" s="1027" t="s">
        <v>2070</v>
      </c>
      <c r="K4" s="1117" t="s">
        <v>2015</v>
      </c>
    </row>
    <row r="5" spans="1:11" s="1070" customFormat="1" ht="15.75">
      <c r="A5" s="1041">
        <v>45476</v>
      </c>
      <c r="B5" s="1041">
        <v>45846</v>
      </c>
      <c r="C5" s="1027" t="s">
        <v>1434</v>
      </c>
      <c r="D5" s="1027" t="s">
        <v>14</v>
      </c>
      <c r="E5" s="1027" t="s">
        <v>948</v>
      </c>
      <c r="F5" s="1065">
        <v>1261.26</v>
      </c>
      <c r="G5" s="1066">
        <v>0.15</v>
      </c>
      <c r="H5" s="1067">
        <v>174.05</v>
      </c>
      <c r="I5" s="1243">
        <v>17.399999999999999</v>
      </c>
      <c r="J5" s="1027" t="s">
        <v>2070</v>
      </c>
      <c r="K5" s="1117" t="s">
        <v>2015</v>
      </c>
    </row>
    <row r="6" spans="1:11" ht="15.75">
      <c r="A6" s="1041">
        <v>45477</v>
      </c>
      <c r="B6" s="1041">
        <v>45848</v>
      </c>
      <c r="C6" s="1027" t="s">
        <v>2258</v>
      </c>
      <c r="D6" s="1027" t="s">
        <v>61</v>
      </c>
      <c r="E6" s="1027" t="s">
        <v>1310</v>
      </c>
      <c r="F6" s="1065">
        <v>3337.91</v>
      </c>
      <c r="G6" s="1066">
        <v>0.1</v>
      </c>
      <c r="H6" s="1067">
        <v>307.08</v>
      </c>
      <c r="I6" s="1243">
        <v>30.7</v>
      </c>
      <c r="J6" s="1027" t="s">
        <v>2070</v>
      </c>
      <c r="K6" s="1117" t="s">
        <v>2015</v>
      </c>
    </row>
    <row r="7" spans="1:11" s="1070" customFormat="1" ht="15.75">
      <c r="A7" s="1040">
        <v>45488</v>
      </c>
      <c r="B7" s="1042">
        <v>45852</v>
      </c>
      <c r="C7" s="1027" t="s">
        <v>1443</v>
      </c>
      <c r="D7" s="1030" t="s">
        <v>9</v>
      </c>
      <c r="E7" s="1030" t="s">
        <v>1641</v>
      </c>
      <c r="F7" s="1072">
        <v>2049.5500000000002</v>
      </c>
      <c r="G7" s="1073">
        <v>0.1</v>
      </c>
      <c r="H7" s="1067">
        <v>188.55</v>
      </c>
      <c r="I7" s="1068">
        <v>18.850000000000001</v>
      </c>
      <c r="J7" s="1112" t="s">
        <v>2070</v>
      </c>
      <c r="K7" s="1117" t="s">
        <v>2015</v>
      </c>
    </row>
    <row r="8" spans="1:11" s="1462" customFormat="1" ht="15.75">
      <c r="A8" s="1041">
        <v>45490</v>
      </c>
      <c r="B8" s="1041">
        <v>45855</v>
      </c>
      <c r="C8" s="1027" t="s">
        <v>2624</v>
      </c>
      <c r="D8" s="1027" t="s">
        <v>9</v>
      </c>
      <c r="E8" s="1027" t="s">
        <v>1641</v>
      </c>
      <c r="F8" s="1065">
        <v>2782.18</v>
      </c>
      <c r="G8" s="1066">
        <v>0.1</v>
      </c>
      <c r="H8" s="1067">
        <v>255.86</v>
      </c>
      <c r="I8" s="1243">
        <v>25.58</v>
      </c>
      <c r="J8" s="1027" t="s">
        <v>2070</v>
      </c>
      <c r="K8" s="1117" t="s">
        <v>1472</v>
      </c>
    </row>
    <row r="9" spans="1:11" s="1440" customFormat="1" ht="15.75">
      <c r="A9" s="1040">
        <v>45502</v>
      </c>
      <c r="B9" s="1041">
        <v>45867</v>
      </c>
      <c r="C9" s="1027" t="s">
        <v>2629</v>
      </c>
      <c r="D9" s="1030" t="s">
        <v>9</v>
      </c>
      <c r="E9" s="1027" t="s">
        <v>1641</v>
      </c>
      <c r="F9" s="1065">
        <v>2613.5100000000002</v>
      </c>
      <c r="G9" s="1066">
        <v>0.1</v>
      </c>
      <c r="H9" s="1067">
        <v>240.44</v>
      </c>
      <c r="I9" s="1068">
        <v>24.04</v>
      </c>
      <c r="J9" s="1112" t="s">
        <v>2070</v>
      </c>
      <c r="K9" s="1117" t="s">
        <v>2015</v>
      </c>
    </row>
    <row r="10" spans="1:11" s="1461" customFormat="1" ht="15.75">
      <c r="A10" s="1379">
        <v>45476</v>
      </c>
      <c r="B10" s="1379">
        <v>45844</v>
      </c>
      <c r="C10" s="1380" t="s">
        <v>2594</v>
      </c>
      <c r="D10" s="1380" t="s">
        <v>9</v>
      </c>
      <c r="E10" s="1380" t="s">
        <v>22</v>
      </c>
      <c r="F10" s="1381">
        <v>2296.4899999999998</v>
      </c>
      <c r="G10" s="1384">
        <v>0.1</v>
      </c>
      <c r="H10" s="1340">
        <v>211.27</v>
      </c>
      <c r="I10" s="1463">
        <v>105.63</v>
      </c>
      <c r="J10" s="1380" t="s">
        <v>2618</v>
      </c>
      <c r="K10" s="1341" t="s">
        <v>2015</v>
      </c>
    </row>
    <row r="11" spans="1:11" s="1351" customFormat="1" ht="15.75">
      <c r="A11" s="1406">
        <v>45486</v>
      </c>
      <c r="B11" s="1406">
        <v>45857</v>
      </c>
      <c r="C11" s="1224" t="s">
        <v>2626</v>
      </c>
      <c r="D11" s="1224" t="s">
        <v>848</v>
      </c>
      <c r="E11" s="1224" t="s">
        <v>19</v>
      </c>
      <c r="F11" s="1407">
        <v>1307.4100000000001</v>
      </c>
      <c r="G11" s="1409">
        <v>0.1</v>
      </c>
      <c r="H11" s="1226">
        <v>120.28</v>
      </c>
      <c r="I11" s="1439">
        <v>60.14</v>
      </c>
      <c r="J11" s="1224" t="s">
        <v>1577</v>
      </c>
      <c r="K11" s="1231" t="s">
        <v>2015</v>
      </c>
    </row>
    <row r="12" spans="1:11" s="1357" customFormat="1" ht="15.75">
      <c r="A12" s="1624">
        <v>45489</v>
      </c>
      <c r="B12" s="1625">
        <v>45854</v>
      </c>
      <c r="C12" s="1626" t="s">
        <v>2622</v>
      </c>
      <c r="D12" s="1626" t="s">
        <v>448</v>
      </c>
      <c r="E12" s="1626" t="s">
        <v>948</v>
      </c>
      <c r="F12" s="1627">
        <v>1187.6400000000001</v>
      </c>
      <c r="G12" s="1628">
        <v>0.1</v>
      </c>
      <c r="H12" s="1629">
        <v>109.26</v>
      </c>
      <c r="I12" s="1630">
        <v>54.63</v>
      </c>
      <c r="J12" s="1631" t="s">
        <v>2623</v>
      </c>
      <c r="K12" s="1632" t="s">
        <v>2015</v>
      </c>
    </row>
    <row r="13" spans="1:11" s="1070" customFormat="1" ht="15.75">
      <c r="A13" s="1344">
        <v>45481</v>
      </c>
      <c r="B13" s="1344">
        <v>45846</v>
      </c>
      <c r="C13" s="1345" t="s">
        <v>2619</v>
      </c>
      <c r="D13" s="1345" t="s">
        <v>9</v>
      </c>
      <c r="E13" s="1345" t="s">
        <v>22</v>
      </c>
      <c r="F13" s="1346">
        <v>1316.59</v>
      </c>
      <c r="G13" s="1347">
        <v>0.15</v>
      </c>
      <c r="H13" s="1348">
        <v>181.68</v>
      </c>
      <c r="I13" s="1386">
        <v>90.84</v>
      </c>
      <c r="J13" s="1363" t="s">
        <v>1482</v>
      </c>
      <c r="K13" s="1350" t="s">
        <v>2015</v>
      </c>
    </row>
    <row r="14" spans="1:11" s="1460" customFormat="1" ht="15.75">
      <c r="A14" s="1358">
        <v>45492</v>
      </c>
      <c r="B14" s="1359">
        <v>45857</v>
      </c>
      <c r="C14" s="1360" t="s">
        <v>2627</v>
      </c>
      <c r="D14" s="1360" t="s">
        <v>448</v>
      </c>
      <c r="E14" s="1360" t="s">
        <v>945</v>
      </c>
      <c r="F14" s="1419">
        <v>2419.11</v>
      </c>
      <c r="G14" s="1361">
        <v>0.1</v>
      </c>
      <c r="H14" s="1348">
        <v>222.55</v>
      </c>
      <c r="I14" s="1362">
        <v>111.27</v>
      </c>
      <c r="J14" s="1363" t="s">
        <v>1482</v>
      </c>
      <c r="K14" s="1350" t="s">
        <v>1472</v>
      </c>
    </row>
    <row r="15" spans="1:11" s="1357" customFormat="1" ht="15.75">
      <c r="A15" s="1358">
        <v>45497</v>
      </c>
      <c r="B15" s="1359">
        <v>45863</v>
      </c>
      <c r="C15" s="1345" t="s">
        <v>2628</v>
      </c>
      <c r="D15" s="1345" t="s">
        <v>25</v>
      </c>
      <c r="E15" s="1345" t="s">
        <v>458</v>
      </c>
      <c r="F15" s="1346">
        <v>5636.08</v>
      </c>
      <c r="G15" s="1347">
        <v>0.1</v>
      </c>
      <c r="H15" s="1348">
        <v>518.51</v>
      </c>
      <c r="I15" s="1362">
        <v>259.25</v>
      </c>
      <c r="J15" s="1363" t="s">
        <v>1482</v>
      </c>
      <c r="K15" s="1350" t="s">
        <v>1472</v>
      </c>
    </row>
    <row r="16" spans="1:11" ht="15.75">
      <c r="A16" s="1358">
        <v>45496</v>
      </c>
      <c r="B16" s="1359">
        <v>45864</v>
      </c>
      <c r="C16" s="1345" t="s">
        <v>1902</v>
      </c>
      <c r="D16" s="1345" t="s">
        <v>448</v>
      </c>
      <c r="E16" s="1345" t="s">
        <v>19</v>
      </c>
      <c r="F16" s="1376">
        <v>2298.7600000000002</v>
      </c>
      <c r="G16" s="1347">
        <v>0.1</v>
      </c>
      <c r="H16" s="1348">
        <v>211.48</v>
      </c>
      <c r="I16" s="1362">
        <v>105.74</v>
      </c>
      <c r="J16" s="1363" t="s">
        <v>1482</v>
      </c>
      <c r="K16" s="1350" t="s">
        <v>2015</v>
      </c>
    </row>
    <row r="17" spans="1:11" s="1357" customFormat="1" ht="15.75">
      <c r="A17" s="1358">
        <v>45379</v>
      </c>
      <c r="B17" s="1359" t="s">
        <v>2630</v>
      </c>
      <c r="C17" s="1360" t="s">
        <v>2631</v>
      </c>
      <c r="D17" s="1360" t="s">
        <v>9</v>
      </c>
      <c r="E17" s="1345" t="s">
        <v>1552</v>
      </c>
      <c r="F17" s="1346">
        <v>7433.11</v>
      </c>
      <c r="G17" s="1347">
        <v>0.1</v>
      </c>
      <c r="H17" s="1348">
        <v>683.84</v>
      </c>
      <c r="I17" s="1362">
        <v>341.92</v>
      </c>
      <c r="J17" s="1363" t="s">
        <v>1482</v>
      </c>
      <c r="K17" s="1350" t="s">
        <v>2450</v>
      </c>
    </row>
    <row r="18" spans="1:11" s="1070" customFormat="1" ht="15.75">
      <c r="A18" s="1358">
        <v>45497</v>
      </c>
      <c r="B18" s="1359" t="s">
        <v>1805</v>
      </c>
      <c r="C18" s="1465" t="s">
        <v>1981</v>
      </c>
      <c r="D18" s="1360" t="s">
        <v>25</v>
      </c>
      <c r="E18" s="1345" t="s">
        <v>1080</v>
      </c>
      <c r="F18" s="1346">
        <v>660.1</v>
      </c>
      <c r="G18" s="1347">
        <v>0.1</v>
      </c>
      <c r="H18" s="1348">
        <v>60.72</v>
      </c>
      <c r="I18" s="1362">
        <v>30.36</v>
      </c>
      <c r="J18" s="1363" t="s">
        <v>1396</v>
      </c>
      <c r="K18" s="1350" t="s">
        <v>1805</v>
      </c>
    </row>
    <row r="19" spans="1:11" ht="15.75">
      <c r="A19" s="1358">
        <v>45477</v>
      </c>
      <c r="B19" s="1359">
        <v>45840</v>
      </c>
      <c r="C19" s="1345" t="s">
        <v>2617</v>
      </c>
      <c r="D19" s="1360" t="s">
        <v>448</v>
      </c>
      <c r="E19" s="1345" t="s">
        <v>458</v>
      </c>
      <c r="F19" s="1364">
        <v>3270.82</v>
      </c>
      <c r="G19" s="1347">
        <v>0.1</v>
      </c>
      <c r="H19" s="1364">
        <v>300.91000000000003</v>
      </c>
      <c r="I19" s="1362">
        <v>150.44999999999999</v>
      </c>
      <c r="J19" s="1363" t="s">
        <v>2554</v>
      </c>
      <c r="K19" s="1350" t="s">
        <v>1472</v>
      </c>
    </row>
    <row r="20" spans="1:11" s="1426" customFormat="1" ht="15.75">
      <c r="A20" s="1037">
        <v>45474</v>
      </c>
      <c r="B20" s="1038">
        <v>45839</v>
      </c>
      <c r="C20" s="1025" t="s">
        <v>2615</v>
      </c>
      <c r="D20" s="1026" t="s">
        <v>448</v>
      </c>
      <c r="E20" s="1025" t="s">
        <v>279</v>
      </c>
      <c r="F20" s="1023">
        <v>1195.49</v>
      </c>
      <c r="G20" s="1062">
        <v>0.1</v>
      </c>
      <c r="H20" s="1023">
        <v>109.98</v>
      </c>
      <c r="I20" s="1056"/>
      <c r="J20" s="1111"/>
      <c r="K20" s="1115" t="s">
        <v>1472</v>
      </c>
    </row>
    <row r="21" spans="1:11" ht="15.75">
      <c r="A21" s="1039">
        <v>45469</v>
      </c>
      <c r="B21" s="1039">
        <v>45841</v>
      </c>
      <c r="C21" s="1025" t="s">
        <v>1431</v>
      </c>
      <c r="D21" s="1025" t="s">
        <v>25</v>
      </c>
      <c r="E21" s="1025" t="s">
        <v>1552</v>
      </c>
      <c r="F21" s="1023">
        <v>2122.64</v>
      </c>
      <c r="G21" s="1062">
        <v>0.1</v>
      </c>
      <c r="H21" s="1023">
        <v>195.28</v>
      </c>
      <c r="I21" s="1056"/>
      <c r="J21" s="1111"/>
      <c r="K21" s="1115" t="s">
        <v>2015</v>
      </c>
    </row>
    <row r="22" spans="1:11" ht="15.75">
      <c r="A22" s="1039">
        <v>45476</v>
      </c>
      <c r="B22" s="1039">
        <v>45841</v>
      </c>
      <c r="C22" s="1025" t="s">
        <v>2517</v>
      </c>
      <c r="D22" s="1025" t="s">
        <v>33</v>
      </c>
      <c r="E22" s="1025" t="s">
        <v>279</v>
      </c>
      <c r="F22" s="1061">
        <v>1419.69</v>
      </c>
      <c r="G22" s="1062">
        <v>0.1</v>
      </c>
      <c r="H22" s="1055">
        <v>130.61000000000001</v>
      </c>
      <c r="I22" s="1056"/>
      <c r="J22" s="1111"/>
      <c r="K22" s="1115" t="s">
        <v>2015</v>
      </c>
    </row>
    <row r="23" spans="1:11" ht="15.75">
      <c r="A23" s="1037">
        <v>45476</v>
      </c>
      <c r="B23" s="1039">
        <v>45841</v>
      </c>
      <c r="C23" s="1025" t="s">
        <v>957</v>
      </c>
      <c r="D23" s="1026" t="s">
        <v>448</v>
      </c>
      <c r="E23" s="1025" t="s">
        <v>19</v>
      </c>
      <c r="F23" s="1061">
        <v>1462.7</v>
      </c>
      <c r="G23" s="1062">
        <v>0.1</v>
      </c>
      <c r="H23" s="1055">
        <v>134.56</v>
      </c>
      <c r="I23" s="1056"/>
      <c r="J23" s="1111"/>
      <c r="K23" s="1115" t="s">
        <v>2015</v>
      </c>
    </row>
    <row r="24" spans="1:11" s="1078" customFormat="1" ht="15.75">
      <c r="A24" s="1037">
        <v>45478</v>
      </c>
      <c r="B24" s="1039">
        <v>45848</v>
      </c>
      <c r="C24" s="1025" t="s">
        <v>1439</v>
      </c>
      <c r="D24" s="1026" t="s">
        <v>448</v>
      </c>
      <c r="E24" s="1025" t="s">
        <v>19</v>
      </c>
      <c r="F24" s="1061">
        <v>713.92</v>
      </c>
      <c r="G24" s="1062">
        <v>0.13</v>
      </c>
      <c r="H24" s="1055">
        <v>85.38</v>
      </c>
      <c r="I24" s="1056"/>
      <c r="J24" s="1111"/>
      <c r="K24" s="1115" t="s">
        <v>2015</v>
      </c>
    </row>
    <row r="25" spans="1:11" ht="15.75">
      <c r="A25" s="1037">
        <v>45485</v>
      </c>
      <c r="B25" s="1039">
        <v>45851</v>
      </c>
      <c r="C25" s="1025" t="s">
        <v>1811</v>
      </c>
      <c r="D25" s="1026" t="s">
        <v>25</v>
      </c>
      <c r="E25" s="1025" t="s">
        <v>948</v>
      </c>
      <c r="F25" s="1061">
        <v>1152.82</v>
      </c>
      <c r="G25" s="1062">
        <v>0.1</v>
      </c>
      <c r="H25" s="1088">
        <v>106.05</v>
      </c>
      <c r="I25" s="1089"/>
      <c r="J25" s="1111"/>
      <c r="K25" s="1115" t="s">
        <v>2015</v>
      </c>
    </row>
    <row r="26" spans="1:11" ht="15.75">
      <c r="A26" s="1037">
        <v>45486</v>
      </c>
      <c r="B26" s="1039">
        <v>45851</v>
      </c>
      <c r="C26" s="1026" t="s">
        <v>1816</v>
      </c>
      <c r="D26" s="1026" t="s">
        <v>2620</v>
      </c>
      <c r="E26" s="1025" t="s">
        <v>19</v>
      </c>
      <c r="F26" s="1061">
        <v>1895.58</v>
      </c>
      <c r="G26" s="1062">
        <v>0.15</v>
      </c>
      <c r="H26" s="1055">
        <v>261.58999999999997</v>
      </c>
      <c r="I26" s="1056"/>
      <c r="J26" s="1111"/>
      <c r="K26" s="1115" t="s">
        <v>2015</v>
      </c>
    </row>
    <row r="27" spans="1:11" s="1078" customFormat="1" ht="15.75">
      <c r="A27" s="1039">
        <v>45483</v>
      </c>
      <c r="B27" s="1039">
        <v>45852</v>
      </c>
      <c r="C27" s="1025" t="s">
        <v>1905</v>
      </c>
      <c r="D27" s="1025" t="s">
        <v>9</v>
      </c>
      <c r="E27" s="1025" t="s">
        <v>1593</v>
      </c>
      <c r="F27" s="1092">
        <v>1918.26</v>
      </c>
      <c r="G27" s="1062">
        <v>0.1</v>
      </c>
      <c r="H27" s="1055">
        <v>176.47</v>
      </c>
      <c r="I27" s="1242"/>
      <c r="J27" s="1025"/>
      <c r="K27" s="1115" t="s">
        <v>2015</v>
      </c>
    </row>
    <row r="28" spans="1:11" ht="15.75">
      <c r="A28" s="1037">
        <v>45485</v>
      </c>
      <c r="B28" s="1039">
        <v>45853</v>
      </c>
      <c r="C28" s="1032" t="s">
        <v>1437</v>
      </c>
      <c r="D28" s="1026" t="s">
        <v>61</v>
      </c>
      <c r="E28" s="1026" t="s">
        <v>1593</v>
      </c>
      <c r="F28" s="1071">
        <v>2147.79</v>
      </c>
      <c r="G28" s="1062">
        <v>0.1</v>
      </c>
      <c r="H28" s="1055">
        <v>197.59</v>
      </c>
      <c r="I28" s="1056"/>
      <c r="J28" s="1111"/>
      <c r="K28" s="1115" t="s">
        <v>2015</v>
      </c>
    </row>
    <row r="29" spans="1:11" s="1459" customFormat="1" ht="15.75">
      <c r="A29" s="1037">
        <v>45489</v>
      </c>
      <c r="B29" s="1038">
        <v>45853</v>
      </c>
      <c r="C29" s="1025" t="s">
        <v>1446</v>
      </c>
      <c r="D29" s="1026" t="s">
        <v>14</v>
      </c>
      <c r="E29" s="1026" t="s">
        <v>22</v>
      </c>
      <c r="F29" s="1059">
        <v>1717.72</v>
      </c>
      <c r="G29" s="1054">
        <v>0.15</v>
      </c>
      <c r="H29" s="1055">
        <v>237.04</v>
      </c>
      <c r="I29" s="1056"/>
      <c r="J29" s="1111"/>
      <c r="K29" s="1115" t="s">
        <v>2015</v>
      </c>
    </row>
    <row r="30" spans="1:11">
      <c r="A30" s="1037">
        <v>45491</v>
      </c>
      <c r="B30" s="1038">
        <v>45853</v>
      </c>
      <c r="C30" s="1039" t="s">
        <v>1866</v>
      </c>
      <c r="D30" s="1038" t="s">
        <v>1862</v>
      </c>
      <c r="E30" s="1038" t="s">
        <v>458</v>
      </c>
      <c r="F30" s="1053">
        <v>909.52</v>
      </c>
      <c r="G30" s="1054">
        <v>0.1</v>
      </c>
      <c r="H30" s="1023">
        <v>83.67</v>
      </c>
      <c r="I30" s="1089"/>
      <c r="J30" s="1325"/>
      <c r="K30" s="1039" t="s">
        <v>2621</v>
      </c>
    </row>
    <row r="31" spans="1:11" ht="15.75">
      <c r="A31" s="1037">
        <v>45488</v>
      </c>
      <c r="B31" s="1038">
        <v>45853</v>
      </c>
      <c r="C31" s="1025" t="s">
        <v>2056</v>
      </c>
      <c r="D31" s="1026" t="s">
        <v>448</v>
      </c>
      <c r="E31" s="1026" t="s">
        <v>279</v>
      </c>
      <c r="F31" s="1059">
        <v>648.69000000000005</v>
      </c>
      <c r="G31" s="1054">
        <v>0.25</v>
      </c>
      <c r="H31" s="1055">
        <v>149.19</v>
      </c>
      <c r="I31" s="1056"/>
      <c r="J31" s="1111"/>
      <c r="K31" s="1115" t="s">
        <v>2015</v>
      </c>
    </row>
    <row r="32" spans="1:11" ht="15.75">
      <c r="A32" s="1039">
        <v>45491</v>
      </c>
      <c r="B32" s="1039">
        <v>45854</v>
      </c>
      <c r="C32" s="1025" t="s">
        <v>876</v>
      </c>
      <c r="D32" s="1025" t="s">
        <v>448</v>
      </c>
      <c r="E32" s="1025" t="s">
        <v>948</v>
      </c>
      <c r="F32" s="1061">
        <v>1408.53</v>
      </c>
      <c r="G32" s="1062">
        <v>0.1</v>
      </c>
      <c r="H32" s="1055">
        <v>129.58000000000001</v>
      </c>
      <c r="I32" s="1242"/>
      <c r="J32" s="1025"/>
      <c r="K32" s="1115" t="s">
        <v>2621</v>
      </c>
    </row>
    <row r="33" spans="1:11" s="1070" customFormat="1" ht="15.75">
      <c r="A33" s="1037">
        <v>45490</v>
      </c>
      <c r="B33" s="1038">
        <v>45855</v>
      </c>
      <c r="C33" s="1026" t="s">
        <v>2080</v>
      </c>
      <c r="D33" s="1026" t="s">
        <v>448</v>
      </c>
      <c r="E33" s="1026" t="s">
        <v>948</v>
      </c>
      <c r="F33" s="1103">
        <v>812.31</v>
      </c>
      <c r="G33" s="1054">
        <v>0.1</v>
      </c>
      <c r="H33" s="1055">
        <v>74.73</v>
      </c>
      <c r="I33" s="1056"/>
      <c r="J33" s="1111"/>
      <c r="K33" s="1115" t="s">
        <v>2015</v>
      </c>
    </row>
    <row r="34" spans="1:11" s="1087" customFormat="1" ht="15.75">
      <c r="A34" s="1037">
        <v>45491</v>
      </c>
      <c r="B34" s="1038">
        <v>45856</v>
      </c>
      <c r="C34" s="1026" t="s">
        <v>2625</v>
      </c>
      <c r="D34" s="1026" t="s">
        <v>448</v>
      </c>
      <c r="E34" s="1026" t="s">
        <v>1080</v>
      </c>
      <c r="F34" s="1059">
        <v>6883.33</v>
      </c>
      <c r="G34" s="1054">
        <v>0.1</v>
      </c>
      <c r="H34" s="1055">
        <v>633.26</v>
      </c>
      <c r="I34" s="1056"/>
      <c r="J34" s="1111"/>
      <c r="K34" s="1115" t="s">
        <v>1472</v>
      </c>
    </row>
    <row r="35" spans="1:11" ht="15.75">
      <c r="A35" s="1037">
        <v>45492</v>
      </c>
      <c r="B35" s="1038">
        <v>45858</v>
      </c>
      <c r="C35" s="1025" t="s">
        <v>1826</v>
      </c>
      <c r="D35" s="1026" t="s">
        <v>61</v>
      </c>
      <c r="E35" s="1026" t="s">
        <v>1552</v>
      </c>
      <c r="F35" s="1059">
        <v>1782.44</v>
      </c>
      <c r="G35" s="1054">
        <v>0.1</v>
      </c>
      <c r="H35" s="1055">
        <v>163.98</v>
      </c>
      <c r="I35" s="1056"/>
      <c r="J35" s="1111"/>
      <c r="K35" s="1115" t="s">
        <v>2015</v>
      </c>
    </row>
    <row r="36" spans="1:11" ht="15.75">
      <c r="A36" s="1037">
        <v>45492</v>
      </c>
      <c r="B36" s="1038">
        <v>45859</v>
      </c>
      <c r="C36" s="1026" t="s">
        <v>2081</v>
      </c>
      <c r="D36" s="1026" t="s">
        <v>448</v>
      </c>
      <c r="E36" s="1025" t="s">
        <v>458</v>
      </c>
      <c r="F36" s="1061">
        <v>1779.66</v>
      </c>
      <c r="G36" s="1062">
        <v>0.1</v>
      </c>
      <c r="H36" s="1055">
        <v>163.72</v>
      </c>
      <c r="I36" s="1056"/>
      <c r="J36" s="1111"/>
      <c r="K36" s="1115" t="s">
        <v>2015</v>
      </c>
    </row>
    <row r="37" spans="1:11" ht="15.75">
      <c r="A37" s="1037">
        <v>45495</v>
      </c>
      <c r="B37" s="1038">
        <v>45860</v>
      </c>
      <c r="C37" s="1026" t="s">
        <v>1454</v>
      </c>
      <c r="D37" s="1026" t="s">
        <v>448</v>
      </c>
      <c r="E37" s="1026" t="s">
        <v>948</v>
      </c>
      <c r="F37" s="1059">
        <v>2321.1</v>
      </c>
      <c r="G37" s="1054">
        <v>0.1</v>
      </c>
      <c r="H37" s="1055">
        <v>213.54</v>
      </c>
      <c r="I37" s="1056"/>
      <c r="J37" s="1111"/>
      <c r="K37" s="1115" t="s">
        <v>2015</v>
      </c>
    </row>
    <row r="38" spans="1:11" ht="15.75">
      <c r="A38" s="1037">
        <v>45495</v>
      </c>
      <c r="B38" s="1039">
        <v>45860</v>
      </c>
      <c r="C38" s="1025" t="s">
        <v>972</v>
      </c>
      <c r="D38" s="1026" t="s">
        <v>9</v>
      </c>
      <c r="E38" s="1025" t="s">
        <v>458</v>
      </c>
      <c r="F38" s="1061">
        <v>1857.87</v>
      </c>
      <c r="G38" s="1062">
        <v>0.1</v>
      </c>
      <c r="H38" s="1055">
        <v>170.92</v>
      </c>
      <c r="I38" s="1056"/>
      <c r="J38" s="1111"/>
      <c r="K38" s="1115" t="s">
        <v>2015</v>
      </c>
    </row>
    <row r="39" spans="1:11" ht="15.75">
      <c r="A39" s="1037">
        <v>45497</v>
      </c>
      <c r="B39" s="1038">
        <v>45862</v>
      </c>
      <c r="C39" s="1026" t="s">
        <v>2084</v>
      </c>
      <c r="D39" s="1026" t="s">
        <v>1924</v>
      </c>
      <c r="E39" s="1026" t="s">
        <v>948</v>
      </c>
      <c r="F39" s="1059">
        <v>2523.36</v>
      </c>
      <c r="G39" s="1054">
        <v>0.1</v>
      </c>
      <c r="H39" s="1055">
        <v>232.14</v>
      </c>
      <c r="I39" s="1056"/>
      <c r="J39" s="1111"/>
      <c r="K39" s="1115" t="s">
        <v>2015</v>
      </c>
    </row>
    <row r="40" spans="1:11" ht="15.75">
      <c r="A40" s="1037">
        <v>45495</v>
      </c>
      <c r="B40" s="1038">
        <v>45863</v>
      </c>
      <c r="C40" s="1026" t="s">
        <v>1469</v>
      </c>
      <c r="D40" s="1026" t="s">
        <v>9</v>
      </c>
      <c r="E40" s="1026" t="s">
        <v>1641</v>
      </c>
      <c r="F40" s="1059">
        <v>1864.57</v>
      </c>
      <c r="G40" s="1054">
        <v>0.15</v>
      </c>
      <c r="H40" s="1055">
        <v>257.31</v>
      </c>
      <c r="I40" s="1056"/>
      <c r="J40" s="1111"/>
      <c r="K40" s="1115" t="s">
        <v>2015</v>
      </c>
    </row>
    <row r="41" spans="1:11" ht="15.75">
      <c r="A41" s="1037">
        <v>45498</v>
      </c>
      <c r="B41" s="1038">
        <v>45863</v>
      </c>
      <c r="C41" s="1026" t="s">
        <v>2264</v>
      </c>
      <c r="D41" s="1026" t="s">
        <v>448</v>
      </c>
      <c r="E41" s="1026" t="s">
        <v>279</v>
      </c>
      <c r="F41" s="1103">
        <v>1431.95</v>
      </c>
      <c r="G41" s="1054">
        <v>0.1</v>
      </c>
      <c r="H41" s="1055">
        <v>131.72999999999999</v>
      </c>
      <c r="I41" s="1056"/>
      <c r="J41" s="1111"/>
      <c r="K41" s="1115" t="s">
        <v>2015</v>
      </c>
    </row>
    <row r="42" spans="1:11" s="1357" customFormat="1" ht="15.75">
      <c r="A42" s="1037">
        <v>45499</v>
      </c>
      <c r="B42" s="1039">
        <v>45864</v>
      </c>
      <c r="C42" s="1025" t="s">
        <v>2217</v>
      </c>
      <c r="D42" s="1026" t="s">
        <v>70</v>
      </c>
      <c r="E42" s="1025" t="s">
        <v>1310</v>
      </c>
      <c r="F42" s="1061">
        <v>4107.91</v>
      </c>
      <c r="G42" s="1062">
        <v>0.1</v>
      </c>
      <c r="H42" s="1055">
        <v>377.92</v>
      </c>
      <c r="I42" s="1056"/>
      <c r="J42" s="1111"/>
      <c r="K42" s="1115" t="s">
        <v>2015</v>
      </c>
    </row>
    <row r="43" spans="1:11" ht="15.75">
      <c r="A43" s="1037">
        <v>45499</v>
      </c>
      <c r="B43" s="1038">
        <v>45865</v>
      </c>
      <c r="C43" s="1025" t="s">
        <v>982</v>
      </c>
      <c r="D43" s="1026" t="s">
        <v>14</v>
      </c>
      <c r="E43" s="1026" t="s">
        <v>22</v>
      </c>
      <c r="F43" s="1059">
        <v>1523.52</v>
      </c>
      <c r="G43" s="1054">
        <v>0.15</v>
      </c>
      <c r="H43" s="1055">
        <v>210.24</v>
      </c>
      <c r="I43" s="1056"/>
      <c r="J43" s="1111"/>
      <c r="K43" s="1115" t="s">
        <v>2015</v>
      </c>
    </row>
    <row r="44" spans="1:11" ht="15.75">
      <c r="A44" s="1037"/>
      <c r="B44" s="1038"/>
      <c r="C44" s="1025"/>
      <c r="D44" s="1026"/>
      <c r="E44" s="1026"/>
      <c r="F44" s="1118"/>
      <c r="G44" s="1054"/>
      <c r="H44" s="1023"/>
      <c r="I44" s="1056"/>
      <c r="J44" s="1111"/>
      <c r="K44" s="1115"/>
    </row>
    <row r="45" spans="1:11" ht="15.75">
      <c r="A45" s="1037"/>
      <c r="B45" s="1038"/>
      <c r="C45" s="1026"/>
      <c r="D45" s="1026"/>
      <c r="E45" s="1026"/>
      <c r="F45" s="1059"/>
      <c r="G45" s="1054"/>
      <c r="H45" s="1055"/>
      <c r="I45" s="1056"/>
      <c r="J45" s="1111"/>
      <c r="K45" s="1115"/>
    </row>
    <row r="46" spans="1:11" ht="15.75">
      <c r="A46" s="1037"/>
      <c r="B46" s="1038"/>
      <c r="C46" s="1026"/>
      <c r="D46" s="1026"/>
      <c r="E46" s="1026"/>
      <c r="F46" s="1059"/>
      <c r="G46" s="1054"/>
      <c r="H46" s="1055"/>
      <c r="I46" s="1056"/>
      <c r="J46" s="1111"/>
      <c r="K46" s="1115"/>
    </row>
    <row r="47" spans="1:11" ht="15.75">
      <c r="A47" s="1037"/>
      <c r="B47" s="1038"/>
      <c r="C47" s="1026"/>
      <c r="D47" s="1026"/>
      <c r="E47" s="1026"/>
      <c r="F47" s="1059"/>
      <c r="G47" s="1054"/>
      <c r="H47" s="1055"/>
      <c r="I47" s="1056"/>
      <c r="J47" s="1111"/>
      <c r="K47" s="1115"/>
    </row>
    <row r="48" spans="1:11" ht="15.75">
      <c r="A48" s="1037"/>
      <c r="B48" s="1038"/>
      <c r="C48" s="1026"/>
      <c r="D48" s="1026"/>
      <c r="E48" s="1026"/>
      <c r="F48" s="1059"/>
      <c r="G48" s="1054"/>
      <c r="H48" s="1055"/>
      <c r="I48" s="1056"/>
      <c r="J48" s="1111"/>
      <c r="K48" s="1115"/>
    </row>
    <row r="49" spans="1:11" ht="15.75">
      <c r="A49" s="1037"/>
      <c r="B49" s="1038"/>
      <c r="C49" s="1026"/>
      <c r="D49" s="1026"/>
      <c r="E49" s="1026"/>
      <c r="F49" s="1059"/>
      <c r="G49" s="1054"/>
      <c r="H49" s="1055"/>
      <c r="I49" s="1056"/>
      <c r="J49" s="1111"/>
      <c r="K49" s="1115"/>
    </row>
    <row r="50" spans="1:11" ht="15.75">
      <c r="A50" s="1037"/>
      <c r="B50" s="1038"/>
      <c r="C50" s="1026"/>
      <c r="D50" s="1026"/>
      <c r="E50" s="1026"/>
      <c r="F50" s="1059"/>
      <c r="G50" s="1054"/>
      <c r="H50" s="1055"/>
      <c r="I50" s="1056"/>
      <c r="J50" s="1111"/>
      <c r="K50" s="1115"/>
    </row>
    <row r="51" spans="1:11" ht="15.75">
      <c r="A51" s="1037"/>
      <c r="B51" s="1038"/>
      <c r="C51" s="1026"/>
      <c r="D51" s="1026"/>
      <c r="E51" s="1026"/>
      <c r="F51" s="1059"/>
      <c r="G51" s="1054"/>
      <c r="H51" s="1055"/>
      <c r="I51" s="1056"/>
      <c r="J51" s="1111"/>
      <c r="K51" s="1115"/>
    </row>
    <row r="52" spans="1:11" ht="16.5" thickBot="1">
      <c r="A52" s="1037"/>
      <c r="B52" s="1038"/>
      <c r="C52" s="1026"/>
      <c r="D52" s="1026"/>
      <c r="E52" s="1026"/>
      <c r="F52" s="1059"/>
      <c r="G52" s="1054"/>
      <c r="H52" s="1055"/>
      <c r="I52" s="1056"/>
      <c r="J52" s="1111"/>
      <c r="K52" s="1115"/>
    </row>
    <row r="53" spans="1:11" ht="20.25" thickBot="1">
      <c r="A53" s="1158"/>
      <c r="B53" s="1159"/>
      <c r="C53" s="1159"/>
      <c r="D53" s="1159"/>
      <c r="E53" s="1159"/>
      <c r="F53" s="1160">
        <f>SUM(F2:F9,F10:F52)</f>
        <v>89785.500000000015</v>
      </c>
      <c r="G53" s="1161"/>
      <c r="H53" s="1162">
        <f>SUM(H2:H52)</f>
        <v>9008.1999999999989</v>
      </c>
      <c r="I53" s="1163">
        <f>SUM(I2:I52)</f>
        <v>1486.32</v>
      </c>
      <c r="J53" s="1164"/>
      <c r="K53" s="1157"/>
    </row>
    <row r="54" spans="1:11" ht="15.75" customHeight="1">
      <c r="A54" s="1037"/>
      <c r="B54" s="1038"/>
      <c r="C54" s="1026"/>
      <c r="D54" s="1026"/>
      <c r="E54" s="1026"/>
      <c r="F54" s="1059"/>
      <c r="G54" s="1054"/>
      <c r="H54" s="1269"/>
      <c r="I54" s="1056"/>
      <c r="J54" s="1111"/>
      <c r="K54" s="1116"/>
    </row>
    <row r="55" spans="1:11" ht="15.75" customHeight="1">
      <c r="A55" s="1037"/>
      <c r="B55" s="1037"/>
      <c r="C55" s="1026"/>
      <c r="D55" s="1026"/>
      <c r="E55" s="1026"/>
      <c r="F55" s="1059"/>
      <c r="G55" s="1054"/>
      <c r="H55" s="1269"/>
      <c r="I55" s="1056"/>
      <c r="J55" s="1111"/>
      <c r="K55" s="1116"/>
    </row>
    <row r="56" spans="1:11" ht="15.75" customHeight="1">
      <c r="A56" s="1037"/>
      <c r="B56" s="1038"/>
      <c r="C56" s="1026"/>
      <c r="D56" s="1026"/>
      <c r="E56" s="1026"/>
      <c r="F56" s="1059"/>
      <c r="G56" s="1054"/>
      <c r="H56" s="1269"/>
      <c r="I56" s="1056"/>
      <c r="J56" s="1111"/>
      <c r="K56" s="1116"/>
    </row>
    <row r="57" spans="1:11" ht="15.75" customHeight="1">
      <c r="A57" s="1037"/>
      <c r="B57" s="1038"/>
      <c r="C57" s="1026"/>
      <c r="D57" s="1026"/>
      <c r="E57" s="1026"/>
      <c r="F57" s="1059"/>
      <c r="G57" s="1054"/>
      <c r="H57" s="1269"/>
      <c r="I57" s="1056"/>
      <c r="J57" s="1111"/>
      <c r="K57" s="1116"/>
    </row>
    <row r="58" spans="1:11" ht="15.75" customHeight="1">
      <c r="A58" s="1037"/>
      <c r="B58" s="1038"/>
      <c r="C58" s="1026"/>
      <c r="D58" s="1026"/>
      <c r="E58" s="1026"/>
      <c r="F58" s="1059"/>
      <c r="G58" s="1054"/>
      <c r="H58" s="1269"/>
      <c r="I58" s="1056"/>
      <c r="J58" s="1111"/>
      <c r="K58" s="1116"/>
    </row>
    <row r="59" spans="1:11" ht="15.75" customHeight="1">
      <c r="A59" s="1037"/>
      <c r="B59" s="1038"/>
      <c r="C59" s="1026"/>
      <c r="D59" s="1026"/>
      <c r="E59" s="1026"/>
      <c r="F59" s="1059"/>
      <c r="G59" s="1054"/>
      <c r="H59" s="1269"/>
      <c r="I59" s="1056"/>
      <c r="J59" s="1111"/>
      <c r="K59" s="1116"/>
    </row>
    <row r="60" spans="1:11" ht="15.75" customHeight="1">
      <c r="A60" s="1037"/>
      <c r="B60" s="1038"/>
      <c r="C60" s="1026"/>
      <c r="D60" s="1026"/>
      <c r="E60" s="1026"/>
      <c r="F60" s="1059"/>
      <c r="G60" s="1054"/>
      <c r="H60" s="1269"/>
      <c r="I60" s="1056"/>
      <c r="J60" s="1111"/>
      <c r="K60" s="1116"/>
    </row>
    <row r="61" spans="1:11" ht="15.75" customHeight="1">
      <c r="A61" s="1037"/>
      <c r="B61" s="1038"/>
      <c r="C61" s="1026"/>
      <c r="D61" s="1026"/>
      <c r="E61" s="1026"/>
      <c r="F61" s="1059"/>
      <c r="G61" s="1054"/>
      <c r="H61" s="1269"/>
      <c r="I61" s="1056"/>
      <c r="J61" s="1111"/>
      <c r="K61" s="1116"/>
    </row>
    <row r="62" spans="1:11" ht="15.75" customHeight="1">
      <c r="A62" s="1037"/>
      <c r="B62" s="1038"/>
      <c r="C62" s="1026"/>
      <c r="D62" s="1026"/>
      <c r="E62" s="1026"/>
      <c r="F62" s="1059"/>
      <c r="G62" s="1054"/>
      <c r="H62" s="1269"/>
      <c r="I62" s="1056"/>
      <c r="J62" s="1111"/>
      <c r="K62" s="1116"/>
    </row>
    <row r="63" spans="1:11" ht="15.75" customHeight="1">
      <c r="A63" s="1037"/>
      <c r="B63" s="1038"/>
      <c r="C63" s="1026"/>
      <c r="D63" s="1026"/>
      <c r="E63" s="1026"/>
      <c r="F63" s="1059"/>
      <c r="G63" s="1054"/>
      <c r="H63" s="1269"/>
      <c r="I63" s="1056"/>
      <c r="J63" s="1111"/>
      <c r="K63" s="1262"/>
    </row>
    <row r="64" spans="1:11" ht="15.75" customHeight="1">
      <c r="A64" s="1037"/>
      <c r="B64" s="1038"/>
      <c r="C64" s="1026"/>
      <c r="D64" s="1026"/>
      <c r="E64" s="1026"/>
      <c r="F64" s="1059"/>
      <c r="G64" s="1054"/>
      <c r="H64" s="1269"/>
      <c r="I64" s="1056"/>
      <c r="J64" s="1111"/>
      <c r="K64" s="1116"/>
    </row>
    <row r="65" spans="1:11" ht="15.75" customHeight="1">
      <c r="A65" s="1037"/>
      <c r="B65" s="1038"/>
      <c r="C65" s="1026"/>
      <c r="D65" s="1026"/>
      <c r="E65" s="1026"/>
      <c r="F65" s="1059"/>
      <c r="G65" s="1059"/>
      <c r="H65" s="1269"/>
      <c r="I65" s="1056"/>
      <c r="J65" s="1111"/>
      <c r="K65" s="1116"/>
    </row>
    <row r="66" spans="1:11" ht="15.75" customHeight="1">
      <c r="A66" s="1037"/>
      <c r="B66" s="1038"/>
      <c r="C66" s="1026"/>
      <c r="D66" s="1026"/>
      <c r="E66" s="1026"/>
      <c r="F66" s="1059"/>
      <c r="G66" s="1059"/>
      <c r="H66" s="1269"/>
      <c r="I66" s="1056"/>
      <c r="J66" s="1111"/>
      <c r="K66" s="1262"/>
    </row>
    <row r="67" spans="1:11" ht="15.75" customHeight="1">
      <c r="A67" s="1037"/>
      <c r="B67" s="1038"/>
      <c r="C67" s="1026"/>
      <c r="D67" s="1026"/>
      <c r="E67" s="1026"/>
      <c r="F67" s="1059"/>
      <c r="G67" s="1059"/>
      <c r="H67" s="1269"/>
      <c r="I67" s="1056"/>
      <c r="J67" s="1111"/>
      <c r="K67" s="505"/>
    </row>
    <row r="68" spans="1:11" ht="15.75" customHeight="1">
      <c r="A68" s="1037"/>
      <c r="B68" s="1038"/>
      <c r="C68" s="1026"/>
      <c r="D68" s="1026"/>
      <c r="E68" s="1026"/>
      <c r="F68" s="1059"/>
      <c r="G68" s="1054"/>
      <c r="H68" s="1269"/>
      <c r="I68" s="1056"/>
      <c r="J68" s="1111"/>
      <c r="K68" s="1116"/>
    </row>
    <row r="69" spans="1:11" ht="15.75" customHeight="1">
      <c r="A69" s="1037"/>
      <c r="B69" s="1038"/>
      <c r="C69" s="1026"/>
      <c r="D69" s="1026"/>
      <c r="E69" s="1026"/>
      <c r="F69" s="1059"/>
      <c r="G69" s="1054"/>
      <c r="H69" s="1269"/>
      <c r="I69" s="1056"/>
      <c r="J69" s="1111"/>
      <c r="K69" s="1116"/>
    </row>
    <row r="70" spans="1:11" ht="15.75" customHeight="1">
      <c r="A70" s="1037"/>
      <c r="B70" s="1038"/>
      <c r="C70" s="1026"/>
      <c r="D70" s="1026"/>
      <c r="E70" s="1026"/>
      <c r="F70" s="1059"/>
      <c r="G70" s="1054"/>
      <c r="H70" s="1269"/>
      <c r="I70" s="1056"/>
      <c r="J70" s="1111"/>
      <c r="K70" s="1116"/>
    </row>
    <row r="71" spans="1:11" ht="15.75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116"/>
    </row>
    <row r="72" spans="1:11" ht="15.75">
      <c r="A72" s="1037"/>
      <c r="B72" s="1038"/>
      <c r="C72" s="1026"/>
      <c r="D72" s="1026"/>
      <c r="E72" s="1026"/>
      <c r="F72" s="1059"/>
      <c r="G72" s="1054"/>
      <c r="H72" s="1269"/>
      <c r="I72" s="1056"/>
      <c r="J72" s="1111"/>
      <c r="K72" s="1116"/>
    </row>
    <row r="73" spans="1:11" ht="15.75">
      <c r="A73" s="1037"/>
      <c r="B73" s="1038"/>
      <c r="C73" s="1025"/>
      <c r="D73" s="1025"/>
      <c r="E73" s="1025"/>
      <c r="F73" s="1059"/>
      <c r="G73" s="1062"/>
      <c r="H73" s="1055"/>
      <c r="I73" s="1056"/>
      <c r="J73" s="1111"/>
      <c r="K73" s="1116"/>
    </row>
    <row r="74" spans="1:11" ht="15.75">
      <c r="A74" s="1037"/>
      <c r="B74" s="1039"/>
      <c r="C74" s="1025"/>
      <c r="D74" s="1025"/>
      <c r="E74" s="1025"/>
      <c r="F74" s="1059"/>
      <c r="G74" s="1054"/>
      <c r="H74" s="1269"/>
      <c r="I74" s="1056"/>
      <c r="J74" s="1111"/>
      <c r="K74" s="1116"/>
    </row>
    <row r="75" spans="1:11" ht="15.75">
      <c r="A75" s="1037"/>
      <c r="B75" s="1038"/>
      <c r="C75" s="1026"/>
      <c r="D75" s="1026"/>
      <c r="E75" s="1026"/>
      <c r="F75" s="1059"/>
      <c r="G75" s="1054"/>
      <c r="H75" s="1269"/>
      <c r="I75" s="1056"/>
      <c r="J75" s="1111"/>
      <c r="K75" s="1116"/>
    </row>
    <row r="76" spans="1:11" ht="15.75">
      <c r="A76" s="1037"/>
      <c r="B76" s="1038"/>
      <c r="C76" s="1026"/>
      <c r="D76" s="1026"/>
      <c r="E76" s="1026"/>
      <c r="F76" s="1059"/>
      <c r="G76" s="1054"/>
      <c r="H76" s="1269"/>
      <c r="I76" s="1056"/>
      <c r="J76" s="1111"/>
      <c r="K76" s="1116"/>
    </row>
    <row r="77" spans="1:11" ht="15.75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1116"/>
    </row>
    <row r="78" spans="1:11" ht="15.75">
      <c r="A78" s="1037"/>
      <c r="B78" s="1038"/>
      <c r="C78" s="1026"/>
      <c r="D78" s="1026"/>
      <c r="E78" s="1026"/>
      <c r="F78" s="1059"/>
      <c r="G78" s="1054"/>
      <c r="H78" s="1269"/>
      <c r="I78" s="1056"/>
      <c r="J78" s="1111"/>
      <c r="K78" s="1116"/>
    </row>
    <row r="79" spans="1:11" ht="15.75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1116"/>
    </row>
    <row r="80" spans="1:11" ht="15.75">
      <c r="A80" s="1037"/>
      <c r="B80" s="1038"/>
      <c r="C80" s="1026"/>
      <c r="D80" s="1026"/>
      <c r="E80" s="1026"/>
      <c r="F80" s="1059"/>
      <c r="G80" s="1054"/>
      <c r="H80" s="1269"/>
      <c r="I80" s="1056"/>
      <c r="J80" s="1111"/>
      <c r="K80" s="1116"/>
    </row>
    <row r="81" spans="1:11" ht="15.75">
      <c r="A81" s="1037"/>
      <c r="B81" s="1038"/>
      <c r="C81" s="1026"/>
      <c r="D81" s="1026"/>
      <c r="E81" s="1026"/>
      <c r="F81" s="1059"/>
      <c r="G81" s="1054"/>
      <c r="H81" s="1269"/>
      <c r="I81" s="1056"/>
      <c r="J81" s="1111"/>
      <c r="K81" s="1116"/>
    </row>
    <row r="82" spans="1:11" ht="15.75">
      <c r="A82" s="1037"/>
      <c r="B82" s="1038"/>
      <c r="C82" s="1026"/>
      <c r="D82" s="1026"/>
      <c r="E82" s="1026"/>
      <c r="F82" s="1059"/>
      <c r="G82" s="1054"/>
      <c r="H82" s="1269"/>
      <c r="I82" s="1056"/>
      <c r="J82" s="1111"/>
      <c r="K82" s="1116"/>
    </row>
    <row r="83" spans="1:11" ht="15.75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1116"/>
    </row>
    <row r="84" spans="1:11" ht="15.75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116"/>
    </row>
    <row r="85" spans="1:11" ht="15.75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116"/>
    </row>
    <row r="86" spans="1:11" ht="15.75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116"/>
    </row>
    <row r="87" spans="1:11" ht="15.75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6"/>
    </row>
    <row r="88" spans="1:11">
      <c r="A88" s="1037"/>
      <c r="B88" s="1038"/>
      <c r="C88" s="1026"/>
      <c r="D88" s="1026"/>
      <c r="E88" s="1026"/>
      <c r="F88" s="1059"/>
      <c r="G88" s="1059"/>
      <c r="H88" s="1269"/>
      <c r="I88" s="1056"/>
      <c r="J88" s="1111"/>
      <c r="K88" s="1262"/>
    </row>
    <row r="89" spans="1:11">
      <c r="A89" s="1037"/>
      <c r="B89" s="1038"/>
      <c r="C89" s="1026"/>
      <c r="D89" s="1026"/>
      <c r="E89" s="1026"/>
      <c r="F89" s="1059"/>
      <c r="G89" s="1059"/>
      <c r="H89" s="1269"/>
      <c r="I89" s="1056"/>
      <c r="J89" s="1111"/>
      <c r="K89" s="1262"/>
    </row>
    <row r="90" spans="1:11">
      <c r="A90" s="1037"/>
      <c r="B90" s="1038"/>
      <c r="C90" s="1026"/>
      <c r="D90" s="1026"/>
      <c r="E90" s="1026"/>
      <c r="F90" s="1059"/>
      <c r="G90" s="1059"/>
      <c r="H90" s="1269"/>
      <c r="I90" s="1056"/>
      <c r="J90" s="1111"/>
      <c r="K90" s="505"/>
    </row>
    <row r="91" spans="1:11" ht="15.75">
      <c r="A91" s="1037"/>
      <c r="B91" s="1038"/>
      <c r="C91" s="1026"/>
      <c r="D91" s="1026"/>
      <c r="E91" s="1026"/>
      <c r="F91" s="1059"/>
      <c r="G91" s="1054"/>
      <c r="H91" s="1269"/>
      <c r="I91" s="1056"/>
      <c r="J91" s="1111"/>
      <c r="K91" s="1116"/>
    </row>
    <row r="92" spans="1:11">
      <c r="A92" s="1037"/>
      <c r="B92" s="1038"/>
      <c r="C92" s="1026"/>
      <c r="D92" s="1026"/>
      <c r="E92" s="1026"/>
      <c r="F92" s="1059"/>
      <c r="G92" s="1059"/>
      <c r="H92" s="1269"/>
      <c r="I92" s="1056"/>
      <c r="J92" s="1111"/>
      <c r="K92" s="1262"/>
    </row>
    <row r="93" spans="1:11">
      <c r="A93" s="1037"/>
      <c r="B93" s="1038"/>
      <c r="C93" s="1026"/>
      <c r="D93" s="1026"/>
      <c r="E93" s="1026"/>
      <c r="F93" s="1059"/>
      <c r="G93" s="1059"/>
      <c r="H93" s="1269"/>
      <c r="I93" s="1056"/>
      <c r="J93" s="1111"/>
      <c r="K93" s="1262"/>
    </row>
    <row r="94" spans="1:11">
      <c r="A94" s="1037"/>
      <c r="B94" s="1038"/>
      <c r="C94" s="1026"/>
      <c r="D94" s="1026"/>
      <c r="E94" s="1026"/>
      <c r="F94" s="1059"/>
      <c r="G94" s="1059"/>
      <c r="H94" s="1269"/>
      <c r="I94" s="1056"/>
      <c r="J94" s="1111"/>
      <c r="K94" s="505"/>
    </row>
    <row r="95" spans="1:11" ht="15.75">
      <c r="A95" s="1037"/>
      <c r="B95" s="1038"/>
      <c r="C95" s="1026"/>
      <c r="D95" s="1026"/>
      <c r="E95" s="1026"/>
      <c r="F95" s="1059"/>
      <c r="G95" s="1054"/>
      <c r="H95" s="1269"/>
      <c r="I95" s="1056"/>
      <c r="J95" s="1111"/>
      <c r="K95" s="1116"/>
    </row>
    <row r="96" spans="1:11" ht="15.75">
      <c r="A96" s="1037"/>
      <c r="B96" s="1038"/>
      <c r="C96" s="1026"/>
      <c r="D96" s="1026"/>
      <c r="E96" s="1026"/>
      <c r="F96" s="1059"/>
      <c r="G96" s="1054"/>
      <c r="H96" s="1269"/>
      <c r="I96" s="1056"/>
      <c r="J96" s="1111"/>
      <c r="K96" s="1116"/>
    </row>
    <row r="97" spans="1:11">
      <c r="A97" s="1037"/>
      <c r="B97" s="1038"/>
      <c r="C97" s="1026"/>
      <c r="D97" s="1026"/>
      <c r="E97" s="1026"/>
      <c r="F97" s="1059"/>
      <c r="G97" s="1059"/>
      <c r="H97" s="1269"/>
      <c r="I97" s="1056"/>
      <c r="J97" s="1111"/>
      <c r="K97" s="1262"/>
    </row>
    <row r="98" spans="1:11">
      <c r="A98" s="1037"/>
      <c r="B98" s="1038"/>
      <c r="C98" s="1026"/>
      <c r="D98" s="1026"/>
      <c r="E98" s="1026"/>
      <c r="F98" s="1059"/>
      <c r="G98" s="1059"/>
      <c r="H98" s="1269"/>
      <c r="I98" s="1056"/>
      <c r="J98" s="1111"/>
      <c r="K98" s="1262"/>
    </row>
    <row r="99" spans="1:11">
      <c r="A99" s="1037"/>
      <c r="B99" s="1038"/>
      <c r="C99" s="1026"/>
      <c r="D99" s="1026"/>
      <c r="E99" s="1026"/>
      <c r="F99" s="1059"/>
      <c r="G99" s="1059"/>
      <c r="H99" s="1269"/>
      <c r="I99" s="1056"/>
      <c r="J99" s="1111"/>
      <c r="K99" s="505"/>
    </row>
    <row r="100" spans="1:11">
      <c r="A100" s="1037"/>
      <c r="B100" s="1038"/>
      <c r="C100" s="1026"/>
      <c r="D100" s="1026"/>
      <c r="E100" s="1026"/>
      <c r="F100" s="1059"/>
      <c r="G100" s="1059"/>
      <c r="H100" s="1269"/>
      <c r="I100" s="1056"/>
      <c r="J100" s="1111"/>
      <c r="K100" s="1262"/>
    </row>
    <row r="101" spans="1:11">
      <c r="A101" s="1037"/>
      <c r="B101" s="1038"/>
      <c r="C101" s="1026"/>
      <c r="D101" s="1026"/>
      <c r="E101" s="1026"/>
      <c r="F101" s="1059"/>
      <c r="G101" s="1059"/>
      <c r="H101" s="1269"/>
      <c r="I101" s="1056"/>
      <c r="J101" s="1111"/>
      <c r="K101" s="505"/>
    </row>
    <row r="102" spans="1:11">
      <c r="A102" s="1037"/>
      <c r="B102" s="1038"/>
      <c r="C102" s="1026"/>
      <c r="D102" s="1026"/>
      <c r="E102" s="1026"/>
      <c r="F102" s="1059"/>
      <c r="G102" s="1059"/>
      <c r="H102" s="1269"/>
      <c r="I102" s="1056"/>
      <c r="J102" s="1111"/>
      <c r="K102" s="505"/>
    </row>
    <row r="103" spans="1:11" ht="15.75">
      <c r="A103" s="1037"/>
      <c r="B103" s="1038"/>
      <c r="C103" s="1026"/>
      <c r="D103" s="1026"/>
      <c r="E103" s="1026"/>
      <c r="F103" s="1059"/>
      <c r="G103" s="1054"/>
      <c r="H103" s="1269"/>
      <c r="I103" s="1056"/>
      <c r="J103" s="1111"/>
      <c r="K103" s="1116"/>
    </row>
    <row r="104" spans="1:11">
      <c r="A104" s="1037"/>
      <c r="B104" s="1038"/>
      <c r="C104" s="1026"/>
      <c r="D104" s="1026"/>
      <c r="E104" s="1026"/>
      <c r="F104" s="1059"/>
      <c r="G104" s="1059"/>
      <c r="H104" s="1269"/>
      <c r="I104" s="1056"/>
      <c r="J104" s="1111"/>
      <c r="K104" s="1262"/>
    </row>
    <row r="105" spans="1:11">
      <c r="A105" s="1037"/>
      <c r="B105" s="1038"/>
      <c r="C105" s="1026"/>
      <c r="D105" s="1026"/>
      <c r="E105" s="1026"/>
      <c r="F105" s="1059"/>
      <c r="G105" s="1059"/>
      <c r="H105" s="1269"/>
      <c r="I105" s="1056"/>
      <c r="J105" s="1111"/>
      <c r="K105" s="505"/>
    </row>
    <row r="106" spans="1:11">
      <c r="A106" s="1037"/>
      <c r="B106" s="1038"/>
      <c r="C106" s="1026"/>
      <c r="D106" s="1026"/>
      <c r="E106" s="1026"/>
      <c r="F106" s="1059"/>
      <c r="G106" s="1059"/>
      <c r="H106" s="1269"/>
      <c r="I106" s="1056"/>
      <c r="J106" s="1111"/>
      <c r="K106" s="505"/>
    </row>
    <row r="107" spans="1:11" ht="15.75">
      <c r="A107" s="1037"/>
      <c r="B107" s="1038"/>
      <c r="C107" s="1026"/>
      <c r="D107" s="1026"/>
      <c r="E107" s="1026"/>
      <c r="F107" s="1059"/>
      <c r="G107" s="1059"/>
      <c r="H107" s="1269"/>
      <c r="I107" s="1056"/>
      <c r="J107" s="1111"/>
      <c r="K107" s="1116"/>
    </row>
    <row r="108" spans="1:11">
      <c r="A108" s="1037"/>
      <c r="B108" s="1038"/>
      <c r="C108" s="1026"/>
      <c r="D108" s="1026"/>
      <c r="E108" s="1026"/>
      <c r="F108" s="1059"/>
      <c r="G108" s="1059"/>
      <c r="H108" s="1269"/>
      <c r="I108" s="1056"/>
      <c r="J108" s="1111"/>
      <c r="K108" s="505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505"/>
    </row>
    <row r="110" spans="1:11">
      <c r="A110" s="1037"/>
      <c r="B110" s="1038"/>
      <c r="C110" s="1026"/>
      <c r="D110" s="1026"/>
      <c r="E110" s="1026"/>
      <c r="F110" s="1059"/>
      <c r="G110" s="1059"/>
      <c r="H110" s="1269"/>
      <c r="I110" s="1056"/>
      <c r="J110" s="1111"/>
      <c r="K110" s="1262"/>
    </row>
    <row r="111" spans="1:11">
      <c r="A111" s="1037"/>
      <c r="B111" s="1038"/>
      <c r="C111" s="1026"/>
      <c r="D111" s="1026"/>
      <c r="E111" s="1026"/>
      <c r="F111" s="1059"/>
      <c r="G111" s="1059"/>
      <c r="H111" s="1269"/>
      <c r="I111" s="1056"/>
      <c r="J111" s="1111"/>
      <c r="K111" s="505"/>
    </row>
    <row r="112" spans="1:11">
      <c r="A112" s="1037"/>
      <c r="B112" s="1038"/>
      <c r="C112" s="1026"/>
      <c r="D112" s="1026"/>
      <c r="E112" s="1026"/>
      <c r="F112" s="1059"/>
      <c r="G112" s="1054"/>
      <c r="H112" s="1269"/>
      <c r="I112" s="1056"/>
      <c r="J112" s="1111"/>
      <c r="K112" s="505"/>
    </row>
    <row r="113" spans="1:11" ht="15.75">
      <c r="A113" s="1037"/>
      <c r="B113" s="1038"/>
      <c r="C113" s="1025"/>
      <c r="D113" s="1026"/>
      <c r="E113" s="1026"/>
      <c r="F113" s="1059"/>
      <c r="G113" s="1054"/>
      <c r="H113" s="1269"/>
      <c r="I113" s="1056"/>
      <c r="J113" s="1111"/>
      <c r="K113" s="1116"/>
    </row>
    <row r="114" spans="1:11" ht="15.75">
      <c r="A114" s="1037"/>
      <c r="B114" s="1038"/>
      <c r="C114" s="1026"/>
      <c r="D114" s="1026"/>
      <c r="E114" s="1026"/>
      <c r="F114" s="1059"/>
      <c r="G114" s="1054"/>
      <c r="H114" s="1269"/>
      <c r="I114" s="1056"/>
      <c r="J114" s="1111"/>
      <c r="K114" s="1116"/>
    </row>
    <row r="115" spans="1:11" ht="15.75">
      <c r="A115" s="1037"/>
      <c r="B115" s="1038"/>
      <c r="C115" s="1026"/>
      <c r="D115" s="1026"/>
      <c r="E115" s="1026"/>
      <c r="F115" s="1059"/>
      <c r="G115" s="1054"/>
      <c r="H115" s="1269"/>
      <c r="I115" s="1056"/>
      <c r="J115" s="1111"/>
      <c r="K115" s="1116"/>
    </row>
    <row r="116" spans="1:11" ht="15.75">
      <c r="A116" s="1037"/>
      <c r="B116" s="1038"/>
      <c r="C116" s="1026"/>
      <c r="D116" s="1026"/>
      <c r="E116" s="1026"/>
      <c r="F116" s="1059"/>
      <c r="G116" s="1054"/>
      <c r="H116" s="1269"/>
      <c r="I116" s="1056"/>
      <c r="J116" s="1111"/>
      <c r="K116" s="1116"/>
    </row>
    <row r="117" spans="1:11" ht="15.75">
      <c r="A117" s="1037"/>
      <c r="B117" s="1038"/>
      <c r="C117" s="1026"/>
      <c r="D117" s="1026"/>
      <c r="E117" s="1026"/>
      <c r="F117" s="1059"/>
      <c r="G117" s="1054"/>
      <c r="H117" s="1269"/>
      <c r="I117" s="1056"/>
      <c r="J117" s="1111"/>
      <c r="K117" s="1116"/>
    </row>
    <row r="118" spans="1:11">
      <c r="A118" s="1037"/>
      <c r="B118" s="1038"/>
      <c r="C118" s="1026"/>
      <c r="D118" s="1026"/>
      <c r="E118" s="1026"/>
      <c r="F118" s="1059"/>
      <c r="G118" s="1059"/>
      <c r="H118" s="1269"/>
      <c r="I118" s="1056"/>
      <c r="J118" s="1111"/>
      <c r="K118" s="1262"/>
    </row>
    <row r="119" spans="1:11">
      <c r="A119" s="1037"/>
      <c r="B119" s="1038"/>
      <c r="C119" s="1026"/>
      <c r="D119" s="1026"/>
      <c r="E119" s="1026"/>
      <c r="F119" s="1059"/>
      <c r="G119" s="1059"/>
      <c r="H119" s="1269"/>
      <c r="I119" s="1056"/>
      <c r="J119" s="1111"/>
      <c r="K119" s="505"/>
    </row>
    <row r="120" spans="1:11" ht="15.75">
      <c r="A120" s="1037"/>
      <c r="B120" s="1038"/>
      <c r="C120" s="1026"/>
      <c r="D120" s="1026"/>
      <c r="E120" s="1026"/>
      <c r="F120" s="1059"/>
      <c r="G120" s="1054"/>
      <c r="H120" s="1269"/>
      <c r="I120" s="1056"/>
      <c r="J120" s="1111"/>
      <c r="K120" s="1116"/>
    </row>
    <row r="121" spans="1:11" ht="15.75">
      <c r="A121" s="1037"/>
      <c r="B121" s="1038"/>
      <c r="C121" s="1026"/>
      <c r="D121" s="1026"/>
      <c r="E121" s="1026"/>
      <c r="F121" s="1059"/>
      <c r="G121" s="1054"/>
      <c r="H121" s="1269"/>
      <c r="I121" s="1056"/>
      <c r="J121" s="1111"/>
      <c r="K121" s="1116"/>
    </row>
    <row r="122" spans="1:11" ht="15.75">
      <c r="A122" s="1037"/>
      <c r="B122" s="1038"/>
      <c r="C122" s="1026"/>
      <c r="D122" s="1026"/>
      <c r="E122" s="1026"/>
      <c r="F122" s="1059"/>
      <c r="G122" s="1054"/>
      <c r="H122" s="1269"/>
      <c r="I122" s="1056"/>
      <c r="J122" s="1111"/>
      <c r="K122" s="1116"/>
    </row>
    <row r="123" spans="1:11">
      <c r="A123" s="1037"/>
      <c r="B123" s="1038"/>
      <c r="C123" s="1026"/>
      <c r="D123" s="1026"/>
      <c r="E123" s="1026"/>
      <c r="F123" s="1059"/>
      <c r="G123" s="1054"/>
      <c r="H123" s="1269"/>
      <c r="I123" s="1056"/>
      <c r="J123" s="1111"/>
      <c r="K123" s="1262"/>
    </row>
    <row r="124" spans="1:11">
      <c r="A124" s="1037"/>
      <c r="B124" s="1038"/>
      <c r="C124" s="1026"/>
      <c r="D124" s="1026"/>
      <c r="E124" s="1026"/>
      <c r="F124" s="1059"/>
      <c r="G124" s="1054"/>
      <c r="H124" s="1269"/>
      <c r="I124" s="1056"/>
      <c r="J124" s="1111"/>
      <c r="K124" s="1262"/>
    </row>
    <row r="125" spans="1:11">
      <c r="A125" s="1037"/>
      <c r="B125" s="1038"/>
      <c r="C125" s="1026"/>
      <c r="D125" s="1026"/>
      <c r="E125" s="1026"/>
      <c r="F125" s="1059"/>
      <c r="G125" s="1059"/>
      <c r="H125" s="1269"/>
      <c r="I125" s="1056"/>
      <c r="J125" s="1111"/>
      <c r="K125" s="1262"/>
    </row>
    <row r="126" spans="1:11">
      <c r="A126" s="1037"/>
      <c r="B126" s="1038"/>
      <c r="C126" s="1026"/>
      <c r="D126" s="1026"/>
      <c r="E126" s="1026"/>
      <c r="F126" s="1059"/>
      <c r="G126" s="1059"/>
      <c r="H126" s="1269"/>
      <c r="I126" s="1056"/>
      <c r="J126" s="1111"/>
      <c r="K126" s="505"/>
    </row>
    <row r="127" spans="1:11">
      <c r="A127" s="1037"/>
      <c r="B127" s="1038"/>
      <c r="C127" s="1026"/>
      <c r="D127" s="1026"/>
      <c r="E127" s="1026"/>
      <c r="F127" s="1059"/>
      <c r="G127" s="1059"/>
      <c r="H127" s="1269"/>
      <c r="I127" s="1056"/>
      <c r="J127" s="1111"/>
      <c r="K127" s="1262"/>
    </row>
    <row r="128" spans="1:11">
      <c r="A128" s="1037"/>
      <c r="B128" s="1038"/>
      <c r="C128" s="1026"/>
      <c r="D128" s="1026"/>
      <c r="E128" s="1026"/>
      <c r="F128" s="1059"/>
      <c r="G128" s="1059"/>
      <c r="H128" s="1269"/>
      <c r="I128" s="1056"/>
      <c r="J128" s="1111"/>
      <c r="K128" s="505"/>
    </row>
    <row r="129" spans="1:11" ht="15.75">
      <c r="A129" s="1037"/>
      <c r="B129" s="1038"/>
      <c r="C129" s="1026"/>
      <c r="D129" s="1026"/>
      <c r="E129" s="1026"/>
      <c r="F129" s="1059"/>
      <c r="G129" s="1054"/>
      <c r="H129" s="1269"/>
      <c r="I129" s="1056"/>
      <c r="J129" s="1111"/>
      <c r="K129" s="1116"/>
    </row>
    <row r="130" spans="1:11" ht="15.75">
      <c r="A130" s="1037"/>
      <c r="B130" s="1038"/>
      <c r="C130" s="1026"/>
      <c r="D130" s="1026"/>
      <c r="E130" s="1026"/>
      <c r="F130" s="1059"/>
      <c r="G130" s="1059"/>
      <c r="H130" s="1269"/>
      <c r="I130" s="1056"/>
      <c r="J130" s="1111"/>
      <c r="K130" s="1116"/>
    </row>
    <row r="131" spans="1:11">
      <c r="A131" s="1037"/>
      <c r="B131" s="1038"/>
      <c r="C131" s="1026"/>
      <c r="D131" s="1026"/>
      <c r="E131" s="1026"/>
      <c r="F131" s="1059"/>
      <c r="G131" s="1059"/>
      <c r="H131" s="1269"/>
      <c r="I131" s="1056"/>
      <c r="J131" s="1111"/>
      <c r="K131" s="505"/>
    </row>
    <row r="132" spans="1:11">
      <c r="A132" s="1037"/>
      <c r="B132" s="1038"/>
      <c r="C132" s="1026"/>
      <c r="D132" s="1026"/>
      <c r="E132" s="1328"/>
      <c r="F132" s="1059"/>
      <c r="G132" s="1054"/>
      <c r="H132" s="1269"/>
      <c r="I132" s="1056"/>
      <c r="J132" s="1111"/>
      <c r="K132" s="505"/>
    </row>
    <row r="133" spans="1:11" ht="15.75">
      <c r="A133" s="1037"/>
      <c r="B133" s="1038"/>
      <c r="C133" s="1026"/>
      <c r="D133" s="1026"/>
      <c r="E133" s="1026"/>
      <c r="F133" s="1059"/>
      <c r="G133" s="1054"/>
      <c r="H133" s="1269"/>
      <c r="I133" s="1056"/>
      <c r="J133" s="1111"/>
      <c r="K133" s="1116"/>
    </row>
    <row r="134" spans="1:11">
      <c r="A134" s="1037"/>
      <c r="B134" s="1038"/>
      <c r="C134" s="1026"/>
      <c r="D134" s="1026"/>
      <c r="E134" s="1026"/>
      <c r="F134" s="1059"/>
      <c r="G134" s="1054"/>
      <c r="H134" s="1269"/>
      <c r="I134" s="1056"/>
      <c r="J134" s="1111"/>
      <c r="K134" s="1262"/>
    </row>
    <row r="135" spans="1:11">
      <c r="A135" s="1037"/>
      <c r="B135" s="1038"/>
      <c r="C135" s="1026"/>
      <c r="D135" s="1026"/>
      <c r="E135" s="1026"/>
      <c r="F135" s="1059"/>
      <c r="G135" s="1059"/>
      <c r="H135" s="1269"/>
      <c r="I135" s="1056"/>
      <c r="J135" s="1111"/>
      <c r="K135" s="1262"/>
    </row>
    <row r="136" spans="1:11">
      <c r="A136" s="1037"/>
      <c r="B136" s="1038"/>
      <c r="C136" s="1026"/>
      <c r="D136" s="1026"/>
      <c r="E136" s="1026"/>
      <c r="F136" s="1059"/>
      <c r="G136" s="1059"/>
      <c r="H136" s="1269"/>
      <c r="I136" s="1056"/>
      <c r="J136" s="1111"/>
      <c r="K136" s="505"/>
    </row>
    <row r="137" spans="1:11" ht="15.75">
      <c r="A137" s="1037"/>
      <c r="B137" s="1038"/>
      <c r="C137" s="1026"/>
      <c r="D137" s="1026"/>
      <c r="E137" s="1026"/>
      <c r="F137" s="1059"/>
      <c r="G137" s="1054"/>
      <c r="H137" s="1269"/>
      <c r="I137" s="1056"/>
      <c r="J137" s="1111"/>
      <c r="K137" s="1116"/>
    </row>
    <row r="138" spans="1:11" ht="15.75">
      <c r="A138" s="1037"/>
      <c r="B138" s="1038"/>
      <c r="C138" s="1026"/>
      <c r="D138" s="1026"/>
      <c r="E138" s="1026"/>
      <c r="F138" s="1059"/>
      <c r="G138" s="1054"/>
      <c r="H138" s="1269"/>
      <c r="I138" s="1056"/>
      <c r="J138" s="1111"/>
      <c r="K138" s="1116"/>
    </row>
    <row r="139" spans="1:11" ht="15.75">
      <c r="A139" s="1037"/>
      <c r="B139" s="1038"/>
      <c r="C139" s="1026"/>
      <c r="D139" s="1026"/>
      <c r="E139" s="1026"/>
      <c r="F139" s="1059"/>
      <c r="G139" s="1054"/>
      <c r="H139" s="1269"/>
      <c r="I139" s="1056"/>
      <c r="J139" s="1111"/>
      <c r="K139" s="1116"/>
    </row>
    <row r="140" spans="1:11" ht="15.75">
      <c r="A140" s="1037"/>
      <c r="B140" s="1038"/>
      <c r="C140" s="1026"/>
      <c r="D140" s="1026"/>
      <c r="E140" s="1026"/>
      <c r="F140" s="1059"/>
      <c r="G140" s="1054"/>
      <c r="H140" s="1269"/>
      <c r="I140" s="1056"/>
      <c r="J140" s="1111"/>
      <c r="K140" s="1116"/>
    </row>
    <row r="141" spans="1:11" ht="15.75">
      <c r="A141" s="1037"/>
      <c r="B141" s="1038"/>
      <c r="C141" s="1026"/>
      <c r="D141" s="1026"/>
      <c r="E141" s="1026"/>
      <c r="F141" s="1059"/>
      <c r="G141" s="1054"/>
      <c r="H141" s="1269"/>
      <c r="I141" s="1056"/>
      <c r="J141" s="1111"/>
      <c r="K141" s="1116"/>
    </row>
    <row r="142" spans="1:11">
      <c r="A142" s="1037"/>
      <c r="B142" s="1038"/>
      <c r="C142" s="1026"/>
      <c r="D142" s="1026"/>
      <c r="E142" s="1026"/>
      <c r="F142" s="1059"/>
      <c r="G142" s="1054"/>
      <c r="H142" s="1269"/>
      <c r="I142" s="1056"/>
      <c r="J142" s="1111"/>
      <c r="K142" s="1262"/>
    </row>
    <row r="143" spans="1:11">
      <c r="A143" s="1037"/>
      <c r="B143" s="1038"/>
      <c r="C143" s="1025"/>
      <c r="D143" s="1026"/>
      <c r="E143" s="1026"/>
      <c r="F143" s="1061"/>
      <c r="G143" s="1054"/>
      <c r="H143" s="1055"/>
      <c r="I143" s="1056"/>
      <c r="J143" s="1111"/>
      <c r="K143" s="1262"/>
    </row>
    <row r="144" spans="1:11">
      <c r="A144" s="1037"/>
      <c r="B144" s="1038"/>
      <c r="C144" s="1026"/>
      <c r="D144" s="1026"/>
      <c r="E144" s="1026"/>
      <c r="F144" s="1059"/>
      <c r="G144" s="1054"/>
      <c r="H144" s="1269"/>
      <c r="I144" s="1056"/>
      <c r="J144" s="1111"/>
      <c r="K144" s="1262"/>
    </row>
    <row r="145" spans="1:11">
      <c r="A145" s="1037"/>
      <c r="B145" s="1038"/>
      <c r="C145" s="1026"/>
      <c r="D145" s="1026"/>
      <c r="E145" s="1026"/>
      <c r="F145" s="1059"/>
      <c r="G145" s="1054"/>
      <c r="H145" s="1269"/>
      <c r="I145" s="1056"/>
      <c r="J145" s="1111"/>
      <c r="K145" s="1262"/>
    </row>
    <row r="146" spans="1:11">
      <c r="A146" s="1037"/>
      <c r="B146" s="1038"/>
      <c r="C146" s="1026"/>
      <c r="D146" s="1026"/>
      <c r="E146" s="1026"/>
      <c r="F146" s="1059"/>
      <c r="G146" s="1059"/>
      <c r="H146" s="1269"/>
      <c r="I146" s="1056"/>
      <c r="J146" s="1111"/>
      <c r="K146" s="1262"/>
    </row>
    <row r="147" spans="1:11">
      <c r="A147" s="1037"/>
      <c r="B147" s="1038"/>
      <c r="C147" s="1026"/>
      <c r="D147" s="1026"/>
      <c r="E147" s="1026"/>
      <c r="F147" s="1059"/>
      <c r="G147" s="1059"/>
      <c r="H147" s="1269"/>
      <c r="I147" s="1056"/>
      <c r="J147" s="1111"/>
      <c r="K147" s="505"/>
    </row>
    <row r="148" spans="1:11" ht="15.75">
      <c r="A148" s="1037"/>
      <c r="B148" s="1038"/>
      <c r="C148" s="1026"/>
      <c r="D148" s="1026"/>
      <c r="E148" s="1026"/>
      <c r="F148" s="1059"/>
      <c r="G148" s="1054"/>
      <c r="H148" s="1269"/>
      <c r="I148" s="1056"/>
      <c r="J148" s="1111"/>
      <c r="K148" s="1116"/>
    </row>
    <row r="149" spans="1:11">
      <c r="A149" s="1037"/>
      <c r="B149" s="1038"/>
      <c r="C149" s="1026"/>
      <c r="D149" s="1026"/>
      <c r="E149" s="1026"/>
      <c r="F149" s="1059"/>
      <c r="G149" s="1054"/>
      <c r="H149" s="1269"/>
      <c r="I149" s="1056"/>
      <c r="J149" s="1111"/>
      <c r="K149" s="1262"/>
    </row>
    <row r="150" spans="1:11">
      <c r="A150" s="1037"/>
      <c r="B150" s="1038"/>
      <c r="C150" s="1026"/>
      <c r="D150" s="1026"/>
      <c r="E150" s="1026"/>
      <c r="F150" s="1059"/>
      <c r="G150" s="1059"/>
      <c r="H150" s="1269"/>
      <c r="I150" s="1056"/>
      <c r="J150" s="1111"/>
      <c r="K150" s="1262"/>
    </row>
    <row r="151" spans="1:11">
      <c r="A151" s="1037"/>
      <c r="B151" s="1038"/>
      <c r="C151" s="1026"/>
      <c r="D151" s="1026"/>
      <c r="E151" s="1026"/>
      <c r="F151" s="1059"/>
      <c r="G151" s="1059"/>
      <c r="H151" s="1269"/>
      <c r="I151" s="1056"/>
      <c r="J151" s="1111"/>
      <c r="K151" s="505"/>
    </row>
    <row r="152" spans="1:11">
      <c r="A152" s="1037"/>
      <c r="B152" s="1038"/>
      <c r="C152" s="1026"/>
      <c r="D152" s="1026"/>
      <c r="E152" s="1026"/>
      <c r="F152" s="1059"/>
      <c r="G152" s="1054"/>
      <c r="H152" s="1269"/>
      <c r="I152" s="1056"/>
      <c r="J152" s="1111"/>
      <c r="K152" s="505"/>
    </row>
    <row r="153" spans="1:11">
      <c r="A153" s="1037"/>
      <c r="B153" s="1038"/>
      <c r="C153" s="1026"/>
      <c r="D153" s="1026"/>
      <c r="E153" s="1026"/>
      <c r="F153" s="1059"/>
      <c r="G153" s="1054"/>
      <c r="H153" s="1269"/>
      <c r="I153" s="1056"/>
      <c r="J153" s="1111"/>
      <c r="K153" s="505"/>
    </row>
    <row r="154" spans="1:11">
      <c r="A154" s="1037"/>
      <c r="B154" s="1038"/>
      <c r="C154" s="1026"/>
      <c r="D154" s="1026"/>
      <c r="E154" s="1026"/>
      <c r="F154" s="1059"/>
      <c r="G154" s="1054"/>
      <c r="H154" s="1269"/>
      <c r="I154" s="1056"/>
      <c r="J154" s="1111"/>
      <c r="K154" s="505"/>
    </row>
    <row r="155" spans="1:11" ht="15.75">
      <c r="A155" s="1037"/>
      <c r="B155" s="1038"/>
      <c r="C155" s="1026"/>
      <c r="D155" s="1026"/>
      <c r="E155" s="1026"/>
      <c r="F155" s="1059"/>
      <c r="G155" s="1054"/>
      <c r="H155" s="1269"/>
      <c r="I155" s="1056"/>
      <c r="J155" s="1111"/>
      <c r="K155" s="1116"/>
    </row>
    <row r="156" spans="1:11">
      <c r="A156" s="1037"/>
      <c r="B156" s="1038"/>
      <c r="C156" s="1026"/>
      <c r="D156" s="1026"/>
      <c r="E156" s="1026"/>
      <c r="F156" s="1059"/>
      <c r="G156" s="1054"/>
      <c r="H156" s="1269"/>
      <c r="I156" s="1056"/>
      <c r="J156" s="1111"/>
      <c r="K156" s="1262"/>
    </row>
    <row r="157" spans="1:11">
      <c r="A157" s="1037"/>
      <c r="B157" s="1038"/>
      <c r="C157" s="346"/>
      <c r="D157" s="1026"/>
      <c r="E157" s="1026"/>
      <c r="F157" s="1059"/>
      <c r="G157" s="1054"/>
      <c r="H157" s="1269"/>
      <c r="I157" s="1056"/>
      <c r="J157" s="1111"/>
      <c r="K157" s="1262"/>
    </row>
    <row r="158" spans="1:11">
      <c r="A158" s="1037"/>
      <c r="B158" s="1038"/>
      <c r="C158" s="1026"/>
      <c r="D158" s="1026"/>
      <c r="E158" s="1026"/>
      <c r="F158" s="1059"/>
      <c r="G158" s="1054"/>
      <c r="H158" s="1269"/>
      <c r="I158" s="1056"/>
      <c r="J158" s="1111"/>
      <c r="K158" s="1262"/>
    </row>
    <row r="159" spans="1:11">
      <c r="A159" s="1037"/>
      <c r="B159" s="1038"/>
      <c r="C159" s="1026"/>
      <c r="D159" s="1026"/>
      <c r="E159" s="1026"/>
      <c r="F159" s="1059"/>
      <c r="G159" s="1054"/>
      <c r="H159" s="1269"/>
      <c r="I159" s="1056"/>
      <c r="J159" s="1111"/>
      <c r="K159" s="1262"/>
    </row>
    <row r="160" spans="1:11">
      <c r="A160" s="1037"/>
      <c r="B160" s="1038"/>
      <c r="C160" s="1026"/>
      <c r="D160" s="1026"/>
      <c r="E160" s="1026"/>
      <c r="F160" s="1059"/>
      <c r="G160" s="1054"/>
      <c r="H160" s="1269"/>
      <c r="I160" s="1056"/>
      <c r="J160" s="1111"/>
      <c r="K160" s="1262"/>
    </row>
    <row r="161" spans="1:11">
      <c r="A161" s="1037"/>
      <c r="B161" s="1038"/>
      <c r="C161" s="1026"/>
      <c r="D161" s="1026"/>
      <c r="E161" s="1026"/>
      <c r="F161" s="1059"/>
      <c r="G161" s="1054"/>
      <c r="H161" s="1269"/>
      <c r="I161" s="1056"/>
      <c r="J161" s="1111"/>
      <c r="K161" s="1262"/>
    </row>
    <row r="162" spans="1:11">
      <c r="A162" s="1037"/>
      <c r="B162" s="1038"/>
      <c r="C162" s="1026"/>
      <c r="D162" s="1026"/>
      <c r="E162" s="1026"/>
      <c r="F162" s="1059"/>
      <c r="G162" s="1054"/>
      <c r="H162" s="1269"/>
      <c r="I162" s="1056"/>
      <c r="J162" s="1111"/>
      <c r="K162" s="1262"/>
    </row>
    <row r="163" spans="1:11">
      <c r="A163" s="1037"/>
      <c r="B163" s="1038"/>
      <c r="C163" s="1026"/>
      <c r="D163" s="1026"/>
      <c r="E163" s="1026"/>
      <c r="F163" s="1059"/>
      <c r="G163" s="1054"/>
      <c r="H163" s="1269"/>
      <c r="I163" s="1056"/>
      <c r="J163" s="1111"/>
      <c r="K163" s="1262"/>
    </row>
    <row r="164" spans="1:11">
      <c r="A164" s="1037"/>
      <c r="B164" s="1038"/>
      <c r="C164" s="1026"/>
      <c r="D164" s="1026"/>
      <c r="E164" s="1026"/>
      <c r="F164" s="1059"/>
      <c r="G164" s="1054"/>
      <c r="H164" s="1269"/>
      <c r="I164" s="1056"/>
      <c r="J164" s="1111"/>
      <c r="K164" s="505"/>
    </row>
    <row r="165" spans="1:11">
      <c r="A165" s="1037"/>
      <c r="B165" s="1038"/>
      <c r="C165" s="1026"/>
      <c r="D165" s="1026"/>
      <c r="E165" s="1026"/>
      <c r="F165" s="1059"/>
      <c r="G165" s="1054"/>
      <c r="H165" s="1269"/>
      <c r="I165" s="1056"/>
      <c r="J165" s="1111"/>
      <c r="K165" s="505"/>
    </row>
    <row r="166" spans="1:11">
      <c r="A166" s="1037"/>
      <c r="B166" s="1038"/>
      <c r="C166" s="1026"/>
      <c r="D166" s="1026"/>
      <c r="E166" s="1026"/>
      <c r="F166" s="1059"/>
      <c r="G166" s="1059"/>
      <c r="H166" s="1269"/>
      <c r="I166" s="1056"/>
      <c r="J166" s="1111"/>
      <c r="K166" s="1262"/>
    </row>
    <row r="167" spans="1:11">
      <c r="A167" s="1037"/>
      <c r="B167" s="1038"/>
      <c r="C167" s="1026"/>
      <c r="D167" s="1026"/>
      <c r="E167" s="1026"/>
      <c r="F167" s="1059"/>
      <c r="G167" s="1059"/>
      <c r="H167" s="1269"/>
      <c r="I167" s="1056"/>
      <c r="J167" s="1111"/>
      <c r="K167" s="505"/>
    </row>
    <row r="168" spans="1:11">
      <c r="A168" s="1037"/>
      <c r="B168" s="1038"/>
      <c r="C168" s="1026"/>
      <c r="D168" s="1026"/>
      <c r="E168" s="1026"/>
      <c r="F168" s="1059"/>
      <c r="G168" s="1054"/>
      <c r="H168" s="1269"/>
      <c r="I168" s="1056"/>
      <c r="J168" s="1111"/>
      <c r="K168" s="505"/>
    </row>
    <row r="169" spans="1:11">
      <c r="A169" s="1037"/>
      <c r="B169" s="1038"/>
      <c r="C169" s="1026"/>
      <c r="D169" s="1026"/>
      <c r="E169" s="1026"/>
      <c r="F169" s="1059"/>
      <c r="G169" s="1054"/>
      <c r="H169" s="1269"/>
      <c r="I169" s="1056"/>
      <c r="J169" s="1111"/>
      <c r="K169" s="505"/>
    </row>
    <row r="170" spans="1:11">
      <c r="A170" s="1037"/>
      <c r="B170" s="1038"/>
      <c r="C170" s="1026"/>
      <c r="D170" s="1026"/>
      <c r="E170" s="1026"/>
      <c r="F170" s="1059"/>
      <c r="G170" s="1054"/>
      <c r="H170" s="1269"/>
      <c r="I170" s="1056"/>
      <c r="J170" s="1111"/>
      <c r="K170" s="1262"/>
    </row>
    <row r="171" spans="1:11" ht="15.75">
      <c r="A171" s="1037"/>
      <c r="B171" s="1038"/>
      <c r="C171" s="1026"/>
      <c r="D171" s="1026"/>
      <c r="E171" s="1026"/>
      <c r="F171" s="1059"/>
      <c r="G171" s="1059"/>
      <c r="H171" s="1269"/>
      <c r="I171" s="1056"/>
      <c r="J171" s="1111"/>
      <c r="K171" s="1116"/>
    </row>
    <row r="172" spans="1:11">
      <c r="A172" s="1037"/>
      <c r="B172" s="1038"/>
      <c r="C172" s="1026"/>
      <c r="D172" s="1026"/>
      <c r="E172" s="1026"/>
      <c r="F172" s="1059"/>
      <c r="G172" s="1059"/>
      <c r="H172" s="1269"/>
      <c r="I172" s="1056"/>
      <c r="J172" s="1111"/>
      <c r="K172" s="505"/>
    </row>
    <row r="173" spans="1:11" ht="15.75">
      <c r="A173" s="1037"/>
      <c r="B173" s="1038"/>
      <c r="C173" s="1026"/>
      <c r="D173" s="1026"/>
      <c r="E173" s="1026"/>
      <c r="F173" s="1059"/>
      <c r="G173" s="1054"/>
      <c r="H173" s="1269"/>
      <c r="I173" s="1056"/>
      <c r="J173" s="1111"/>
      <c r="K173" s="1116"/>
    </row>
    <row r="174" spans="1:11" ht="15.75">
      <c r="A174" s="1037"/>
      <c r="B174" s="1038"/>
      <c r="C174" s="1026"/>
      <c r="D174" s="1026"/>
      <c r="E174" s="1026"/>
      <c r="F174" s="1059"/>
      <c r="G174" s="1054"/>
      <c r="H174" s="1269"/>
      <c r="I174" s="1056"/>
      <c r="J174" s="1111"/>
      <c r="K174" s="1116"/>
    </row>
    <row r="175" spans="1:11" ht="15.75">
      <c r="A175" s="1037"/>
      <c r="B175" s="1038"/>
      <c r="C175" s="1026"/>
      <c r="D175" s="1026"/>
      <c r="E175" s="1026"/>
      <c r="F175" s="1059"/>
      <c r="G175" s="1054"/>
      <c r="H175" s="1269"/>
      <c r="I175" s="1056"/>
      <c r="J175" s="1111"/>
      <c r="K175" s="1116"/>
    </row>
    <row r="176" spans="1:11" ht="15.75">
      <c r="A176" s="1037"/>
      <c r="B176" s="1038"/>
      <c r="C176" s="1026"/>
      <c r="D176" s="1026"/>
      <c r="E176" s="1026"/>
      <c r="F176" s="1059"/>
      <c r="G176" s="1054"/>
      <c r="H176" s="1269"/>
      <c r="I176" s="1056"/>
      <c r="J176" s="1111"/>
      <c r="K176" s="1116"/>
    </row>
    <row r="177" spans="1:11" ht="15.75">
      <c r="A177" s="1037"/>
      <c r="B177" s="1038"/>
      <c r="C177" s="1026"/>
      <c r="D177" s="1026"/>
      <c r="E177" s="1026"/>
      <c r="F177" s="1059"/>
      <c r="G177" s="1059"/>
      <c r="H177" s="1269"/>
      <c r="I177" s="1056"/>
      <c r="J177" s="1111"/>
      <c r="K177" s="1116"/>
    </row>
    <row r="178" spans="1:11">
      <c r="A178" s="1037"/>
      <c r="B178" s="1038"/>
      <c r="C178" s="1026"/>
      <c r="D178" s="1026"/>
      <c r="E178" s="1026"/>
      <c r="F178" s="1059"/>
      <c r="G178" s="1059"/>
      <c r="H178" s="1269"/>
      <c r="I178" s="1056"/>
      <c r="J178" s="1111"/>
      <c r="K178" s="505"/>
    </row>
    <row r="179" spans="1:11" ht="15.75">
      <c r="A179" s="1037"/>
      <c r="B179" s="1038"/>
      <c r="C179" s="1026"/>
      <c r="D179" s="1026"/>
      <c r="E179" s="1026"/>
      <c r="F179" s="1059"/>
      <c r="G179" s="1054"/>
      <c r="H179" s="1269"/>
      <c r="I179" s="1056"/>
      <c r="J179" s="1111"/>
      <c r="K179" s="1116"/>
    </row>
    <row r="180" spans="1:11">
      <c r="A180" s="1037"/>
      <c r="B180" s="1038"/>
      <c r="C180" s="1026"/>
      <c r="D180" s="1026"/>
      <c r="E180" s="1026"/>
      <c r="F180" s="1059"/>
      <c r="G180" s="1059"/>
      <c r="H180" s="1269"/>
      <c r="I180" s="1056"/>
      <c r="J180" s="1111"/>
      <c r="K180" s="1262"/>
    </row>
    <row r="181" spans="1:11">
      <c r="A181" s="1037"/>
      <c r="B181" s="1038"/>
      <c r="C181" s="1026"/>
      <c r="D181" s="1026"/>
      <c r="E181" s="1026"/>
      <c r="F181" s="1059"/>
      <c r="G181" s="1059"/>
      <c r="H181" s="1269"/>
      <c r="I181" s="1056"/>
      <c r="J181" s="1111"/>
      <c r="K181" s="505"/>
    </row>
    <row r="182" spans="1:11">
      <c r="A182" s="1037"/>
      <c r="B182" s="1038"/>
      <c r="C182" s="1026"/>
      <c r="D182" s="1026"/>
      <c r="E182" s="1026"/>
      <c r="F182" s="1059"/>
      <c r="G182" s="1059"/>
      <c r="H182" s="1269"/>
      <c r="I182" s="1056"/>
      <c r="J182" s="1111"/>
      <c r="K182" s="1262"/>
    </row>
    <row r="183" spans="1:11">
      <c r="A183" s="1037"/>
      <c r="B183" s="1038"/>
      <c r="C183" s="1026"/>
      <c r="D183" s="1026"/>
      <c r="E183" s="1026"/>
      <c r="F183" s="1059"/>
      <c r="G183" s="1059"/>
      <c r="H183" s="1269"/>
      <c r="I183" s="1056"/>
      <c r="J183" s="1111"/>
      <c r="K183" s="505"/>
    </row>
    <row r="184" spans="1:11">
      <c r="A184" s="1037"/>
      <c r="B184" s="1038"/>
      <c r="C184" s="1026"/>
      <c r="D184" s="1026"/>
      <c r="E184" s="1026"/>
      <c r="F184" s="1059"/>
      <c r="G184" s="1054"/>
      <c r="H184" s="1269"/>
      <c r="I184" s="1056"/>
      <c r="J184" s="1111"/>
      <c r="K184" s="505"/>
    </row>
    <row r="185" spans="1:11">
      <c r="A185" s="1037"/>
      <c r="B185" s="1038"/>
      <c r="C185" s="1026"/>
      <c r="D185" s="1026"/>
      <c r="E185" s="1026"/>
      <c r="F185" s="1059"/>
      <c r="G185" s="1054"/>
      <c r="H185" s="1269"/>
      <c r="I185" s="1056"/>
      <c r="J185" s="1111"/>
      <c r="K185" s="505"/>
    </row>
    <row r="186" spans="1:11">
      <c r="A186" s="1037"/>
      <c r="B186" s="1038"/>
      <c r="C186" s="1026"/>
      <c r="D186" s="1026"/>
      <c r="E186" s="1026"/>
      <c r="F186" s="1059"/>
      <c r="G186" s="1054"/>
      <c r="H186" s="1269"/>
      <c r="I186" s="1056"/>
      <c r="J186" s="1111"/>
      <c r="K186" s="505"/>
    </row>
    <row r="187" spans="1:11">
      <c r="A187" s="1037"/>
      <c r="B187" s="1038"/>
      <c r="C187" s="1026"/>
      <c r="D187" s="1026"/>
      <c r="E187" s="1026"/>
      <c r="F187" s="1059"/>
      <c r="G187" s="1054"/>
      <c r="H187" s="1269"/>
      <c r="I187" s="1056"/>
      <c r="J187" s="1111"/>
      <c r="K187" s="505"/>
    </row>
    <row r="188" spans="1:11">
      <c r="A188" s="1037"/>
      <c r="B188" s="1038"/>
      <c r="C188" s="1026"/>
      <c r="D188" s="1026"/>
      <c r="E188" s="1026"/>
      <c r="F188" s="1059"/>
      <c r="G188" s="1054"/>
      <c r="H188" s="1269"/>
      <c r="I188" s="1056"/>
      <c r="J188" s="1111"/>
      <c r="K188" s="505"/>
    </row>
    <row r="189" spans="1:11">
      <c r="A189" s="1037"/>
      <c r="B189" s="1038"/>
      <c r="C189" s="1026"/>
      <c r="D189" s="1026"/>
      <c r="E189" s="1026"/>
      <c r="F189" s="1059"/>
      <c r="G189" s="1054"/>
      <c r="H189" s="1269"/>
      <c r="I189" s="1056"/>
      <c r="J189" s="1111"/>
      <c r="K189" s="505"/>
    </row>
    <row r="190" spans="1:11">
      <c r="A190" s="1037"/>
      <c r="B190" s="1038"/>
      <c r="C190" s="1026"/>
      <c r="D190" s="1026"/>
      <c r="E190" s="1026"/>
      <c r="F190" s="1059"/>
      <c r="G190" s="1054"/>
      <c r="H190" s="1269"/>
      <c r="I190" s="1056"/>
      <c r="J190" s="1111"/>
      <c r="K190" s="505"/>
    </row>
    <row r="191" spans="1:11">
      <c r="A191" s="1037"/>
      <c r="B191" s="1038"/>
      <c r="C191" s="1026"/>
      <c r="D191" s="1026"/>
      <c r="E191" s="1026"/>
      <c r="F191" s="1059"/>
      <c r="G191" s="1059"/>
      <c r="H191" s="1269"/>
      <c r="I191" s="1056"/>
      <c r="J191" s="1111"/>
      <c r="K191" s="1262"/>
    </row>
    <row r="192" spans="1:11">
      <c r="A192" s="1037"/>
      <c r="B192" s="1038"/>
      <c r="C192" s="1026"/>
      <c r="D192" s="1026"/>
      <c r="E192" s="1026"/>
      <c r="F192" s="1059"/>
      <c r="G192" s="1059"/>
      <c r="H192" s="1269"/>
      <c r="I192" s="1056"/>
      <c r="J192" s="1111"/>
      <c r="K192" s="505"/>
    </row>
    <row r="193" spans="1:11" ht="15.75">
      <c r="A193" s="1037"/>
      <c r="B193" s="1038"/>
      <c r="C193" s="1026"/>
      <c r="D193" s="1026"/>
      <c r="E193" s="1026"/>
      <c r="F193" s="1059"/>
      <c r="G193" s="1054"/>
      <c r="H193" s="1269"/>
      <c r="I193" s="1056"/>
      <c r="J193" s="1111"/>
      <c r="K193" s="1116"/>
    </row>
    <row r="194" spans="1:11">
      <c r="A194" s="1037"/>
      <c r="B194" s="1038"/>
      <c r="C194" s="1026"/>
      <c r="D194" s="1026"/>
      <c r="E194" s="1026"/>
      <c r="F194" s="1059"/>
      <c r="G194" s="1054"/>
      <c r="H194" s="1269"/>
      <c r="I194" s="1056"/>
      <c r="J194" s="1111"/>
      <c r="K194" s="1262"/>
    </row>
    <row r="195" spans="1:11">
      <c r="A195" s="1037"/>
      <c r="B195" s="1038"/>
      <c r="C195" s="1025"/>
      <c r="D195" s="1025"/>
      <c r="E195" s="1025"/>
      <c r="F195" s="1061"/>
      <c r="G195" s="1054"/>
      <c r="H195" s="1269"/>
      <c r="I195" s="1056"/>
      <c r="J195" s="1111"/>
      <c r="K195" s="1262"/>
    </row>
    <row r="196" spans="1:11">
      <c r="A196" s="1037"/>
      <c r="B196" s="1038"/>
      <c r="C196" s="1026"/>
      <c r="D196" s="1026"/>
      <c r="E196" s="1026"/>
      <c r="F196" s="1061"/>
      <c r="G196" s="1054"/>
      <c r="H196" s="1269"/>
      <c r="I196" s="1056"/>
      <c r="J196" s="1111"/>
      <c r="K196" s="505"/>
    </row>
    <row r="197" spans="1:11" ht="15.75">
      <c r="A197" s="1037"/>
      <c r="B197" s="1038"/>
      <c r="C197" s="1026"/>
      <c r="D197" s="1026"/>
      <c r="E197" s="1026"/>
      <c r="F197" s="1059"/>
      <c r="G197" s="1059"/>
      <c r="H197" s="1269"/>
      <c r="I197" s="1056"/>
      <c r="J197" s="1111"/>
      <c r="K197" s="1116"/>
    </row>
    <row r="198" spans="1:11">
      <c r="A198" s="1037"/>
      <c r="B198" s="1038"/>
      <c r="C198" s="1026"/>
      <c r="D198" s="1026"/>
      <c r="E198" s="1026"/>
      <c r="F198" s="1059"/>
      <c r="G198" s="1059"/>
      <c r="H198" s="1269"/>
      <c r="I198" s="1056"/>
      <c r="J198" s="1111"/>
      <c r="K198" s="505"/>
    </row>
    <row r="199" spans="1:11" ht="15.75">
      <c r="A199" s="1037"/>
      <c r="B199" s="1038"/>
      <c r="C199" s="1026"/>
      <c r="D199" s="1026"/>
      <c r="E199" s="1026"/>
      <c r="F199" s="1059"/>
      <c r="G199" s="1054"/>
      <c r="H199" s="1269"/>
      <c r="I199" s="1056"/>
      <c r="J199" s="1111"/>
      <c r="K199" s="1116"/>
    </row>
    <row r="200" spans="1:11" ht="15.75">
      <c r="A200" s="1037"/>
      <c r="B200" s="1038"/>
      <c r="C200" s="1026"/>
      <c r="D200" s="1026"/>
      <c r="E200" s="1026"/>
      <c r="F200" s="1059"/>
      <c r="G200" s="1054"/>
      <c r="H200" s="1269"/>
      <c r="I200" s="1056"/>
      <c r="J200" s="1111"/>
      <c r="K200" s="1116"/>
    </row>
    <row r="201" spans="1:11" ht="15.75">
      <c r="A201" s="1037"/>
      <c r="B201" s="1038"/>
      <c r="C201" s="1026"/>
      <c r="D201" s="1026"/>
      <c r="E201" s="1026"/>
      <c r="F201" s="1059"/>
      <c r="G201" s="1054"/>
      <c r="H201" s="1269"/>
      <c r="I201" s="1056"/>
      <c r="J201" s="1111"/>
      <c r="K201" s="1116"/>
    </row>
    <row r="202" spans="1:11" ht="15.75">
      <c r="A202" s="1037"/>
      <c r="B202" s="1038"/>
      <c r="C202" s="1026"/>
      <c r="D202" s="1026"/>
      <c r="E202" s="1026"/>
      <c r="F202" s="1059"/>
      <c r="G202" s="1054"/>
      <c r="H202" s="1269"/>
      <c r="I202" s="1056"/>
      <c r="J202" s="1111"/>
      <c r="K202" s="1116"/>
    </row>
    <row r="203" spans="1:11" ht="15.75">
      <c r="A203" s="1037"/>
      <c r="B203" s="1038"/>
      <c r="C203" s="1026"/>
      <c r="D203" s="1026"/>
      <c r="E203" s="1026"/>
      <c r="F203" s="1059"/>
      <c r="G203" s="1054"/>
      <c r="H203" s="1269"/>
      <c r="I203" s="1056"/>
      <c r="J203" s="1111"/>
      <c r="K203" s="1116"/>
    </row>
    <row r="204" spans="1:11" ht="15.75">
      <c r="A204" s="1037"/>
      <c r="B204" s="1038"/>
      <c r="C204" s="1026"/>
      <c r="D204" s="1026"/>
      <c r="E204" s="1026"/>
      <c r="F204" s="1059"/>
      <c r="G204" s="1054"/>
      <c r="H204" s="1269"/>
      <c r="I204" s="1056"/>
      <c r="J204" s="1111"/>
      <c r="K204" s="1116"/>
    </row>
    <row r="205" spans="1:11" ht="15.75">
      <c r="A205" s="1037"/>
      <c r="B205" s="1038"/>
      <c r="C205" s="1026"/>
      <c r="D205" s="1026"/>
      <c r="E205" s="1026"/>
      <c r="F205" s="1059"/>
      <c r="G205" s="1054"/>
      <c r="H205" s="1269"/>
      <c r="I205" s="1056"/>
      <c r="J205" s="1111"/>
      <c r="K205" s="1116"/>
    </row>
    <row r="206" spans="1:11" ht="15.75">
      <c r="A206" s="1037"/>
      <c r="B206" s="1038"/>
      <c r="C206" s="1026"/>
      <c r="D206" s="1026"/>
      <c r="E206" s="1026"/>
      <c r="F206" s="1059"/>
      <c r="G206" s="1054"/>
      <c r="H206" s="1269"/>
      <c r="I206" s="1056"/>
      <c r="J206" s="1111"/>
      <c r="K206" s="1116"/>
    </row>
    <row r="207" spans="1:11" ht="15.75">
      <c r="A207" s="1037"/>
      <c r="B207" s="1038"/>
      <c r="C207" s="1026"/>
      <c r="D207" s="1026"/>
      <c r="E207" s="1032"/>
      <c r="F207" s="1059"/>
      <c r="G207" s="1054"/>
      <c r="H207" s="1269"/>
      <c r="I207" s="1056"/>
      <c r="J207" s="1111"/>
      <c r="K207" s="1116"/>
    </row>
    <row r="208" spans="1:11" ht="15.75">
      <c r="A208" s="1037"/>
      <c r="B208" s="1038"/>
      <c r="C208" s="1026"/>
      <c r="D208" s="1026"/>
      <c r="E208" s="1026"/>
      <c r="F208" s="1059"/>
      <c r="G208" s="1054"/>
      <c r="H208" s="1269"/>
      <c r="I208" s="1056"/>
      <c r="J208" s="1111"/>
      <c r="K208" s="1116"/>
    </row>
    <row r="209" spans="1:11" ht="15.75">
      <c r="A209" s="1037"/>
      <c r="B209" s="1038"/>
      <c r="C209" s="1026"/>
      <c r="D209" s="1026"/>
      <c r="E209" s="1026"/>
      <c r="F209" s="1059"/>
      <c r="G209" s="1054"/>
      <c r="H209" s="1269"/>
      <c r="I209" s="1056"/>
      <c r="J209" s="1111"/>
      <c r="K209" s="1116"/>
    </row>
    <row r="210" spans="1:11" ht="15.75">
      <c r="A210" s="1037"/>
      <c r="B210" s="1038"/>
      <c r="C210" s="1026"/>
      <c r="D210" s="1026"/>
      <c r="E210" s="1026"/>
      <c r="F210" s="1059"/>
      <c r="G210" s="1054"/>
      <c r="H210" s="1269"/>
      <c r="I210" s="1056"/>
      <c r="J210" s="1111"/>
      <c r="K210" s="1116"/>
    </row>
    <row r="211" spans="1:11" ht="15.75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116"/>
    </row>
    <row r="212" spans="1:11">
      <c r="A212" s="1037"/>
      <c r="B212" s="1038"/>
      <c r="C212" s="1026"/>
      <c r="D212" s="1026"/>
      <c r="E212" s="1026"/>
      <c r="F212" s="1059"/>
      <c r="G212" s="1054"/>
      <c r="H212" s="1269"/>
      <c r="I212" s="1056"/>
      <c r="J212" s="1111"/>
      <c r="K212" s="1262"/>
    </row>
    <row r="213" spans="1:11">
      <c r="A213" s="1039"/>
      <c r="B213" s="1039"/>
      <c r="C213" s="1025"/>
      <c r="D213" s="1025"/>
      <c r="E213" s="1025"/>
      <c r="F213" s="1061"/>
      <c r="G213" s="1062"/>
      <c r="H213" s="1269"/>
      <c r="I213" s="1056"/>
      <c r="J213" s="1111"/>
      <c r="K213" s="505"/>
    </row>
    <row r="214" spans="1:11">
      <c r="A214" s="1039"/>
      <c r="B214" s="1039"/>
      <c r="C214" s="1025"/>
      <c r="D214" s="1025"/>
      <c r="E214" s="1025"/>
      <c r="F214" s="1061"/>
      <c r="G214" s="1062"/>
      <c r="H214" s="1269"/>
      <c r="I214" s="1056"/>
      <c r="J214" s="1111"/>
      <c r="K214" s="505"/>
    </row>
    <row r="215" spans="1:11">
      <c r="A215" s="1039"/>
      <c r="B215" s="1039"/>
      <c r="C215" s="1025"/>
      <c r="D215" s="1025"/>
      <c r="E215" s="1025"/>
      <c r="F215" s="1061"/>
      <c r="G215" s="1062"/>
      <c r="H215" s="1269"/>
      <c r="I215" s="1056"/>
      <c r="J215" s="1111"/>
      <c r="K215" s="505"/>
    </row>
    <row r="216" spans="1:11">
      <c r="A216" s="1039"/>
      <c r="B216" s="1039"/>
      <c r="C216" s="1025"/>
      <c r="D216" s="1025"/>
      <c r="E216" s="1025"/>
      <c r="F216" s="1061"/>
      <c r="G216" s="1062"/>
      <c r="H216" s="1269"/>
      <c r="I216" s="1056"/>
      <c r="J216" s="1111"/>
      <c r="K216" s="505"/>
    </row>
    <row r="217" spans="1:11">
      <c r="A217" s="1039"/>
      <c r="B217" s="1039"/>
      <c r="C217" s="1025"/>
      <c r="D217" s="1025"/>
      <c r="E217" s="1025"/>
      <c r="F217" s="1061"/>
      <c r="G217" s="1062"/>
      <c r="H217" s="1269"/>
      <c r="I217" s="1056"/>
      <c r="J217" s="1111"/>
      <c r="K217" s="505"/>
    </row>
    <row r="218" spans="1:11">
      <c r="A218" s="1039"/>
      <c r="B218" s="1039"/>
      <c r="C218" s="1025"/>
      <c r="D218" s="1025"/>
      <c r="E218" s="1025"/>
      <c r="F218" s="1061"/>
      <c r="G218" s="1062"/>
      <c r="H218" s="1269"/>
      <c r="I218" s="1056"/>
      <c r="J218" s="1111"/>
      <c r="K218" s="505"/>
    </row>
    <row r="219" spans="1:11">
      <c r="A219" s="1039"/>
      <c r="B219" s="1039"/>
      <c r="C219" s="1025"/>
      <c r="D219" s="1025"/>
      <c r="E219" s="1025"/>
      <c r="F219" s="1061"/>
      <c r="G219" s="1062"/>
      <c r="H219" s="1269"/>
      <c r="I219" s="1056"/>
      <c r="J219" s="1111"/>
      <c r="K219" s="505"/>
    </row>
    <row r="220" spans="1:11">
      <c r="A220" s="1039"/>
      <c r="B220" s="1039"/>
      <c r="C220" s="1025"/>
      <c r="D220" s="1025"/>
      <c r="E220" s="1025"/>
      <c r="F220" s="1061"/>
      <c r="G220" s="1062"/>
      <c r="H220" s="1269"/>
      <c r="I220" s="1056"/>
      <c r="J220" s="1111"/>
      <c r="K220" s="505"/>
    </row>
    <row r="221" spans="1:11">
      <c r="A221" s="1039"/>
      <c r="B221" s="1039"/>
      <c r="C221" s="1025"/>
      <c r="D221" s="1025"/>
      <c r="E221" s="1025"/>
      <c r="F221" s="1061"/>
      <c r="G221" s="1062"/>
      <c r="H221" s="1269"/>
      <c r="I221" s="1056"/>
      <c r="J221" s="1111"/>
      <c r="K221" s="505"/>
    </row>
    <row r="222" spans="1:11">
      <c r="A222" s="1039"/>
      <c r="B222" s="1039"/>
      <c r="C222" s="1025"/>
      <c r="D222" s="1025"/>
      <c r="E222" s="1025"/>
      <c r="F222" s="1061"/>
      <c r="G222" s="1062"/>
      <c r="H222" s="1269"/>
      <c r="I222" s="1056"/>
      <c r="J222" s="1111"/>
      <c r="K222" s="505"/>
    </row>
    <row r="223" spans="1:11">
      <c r="A223" s="1039"/>
      <c r="B223" s="1039"/>
      <c r="C223" s="1025"/>
      <c r="D223" s="1025"/>
      <c r="E223" s="1025"/>
      <c r="F223" s="1061"/>
      <c r="G223" s="1062"/>
      <c r="H223" s="1269"/>
      <c r="I223" s="1056"/>
      <c r="J223" s="1111"/>
      <c r="K223" s="505"/>
    </row>
    <row r="224" spans="1:11">
      <c r="A224" s="1039"/>
      <c r="B224" s="1039"/>
      <c r="C224" s="1025"/>
      <c r="D224" s="1025"/>
      <c r="E224" s="1025"/>
      <c r="F224" s="1061"/>
      <c r="G224" s="1062"/>
      <c r="H224" s="1269"/>
      <c r="I224" s="1056"/>
      <c r="J224" s="1111"/>
      <c r="K224" s="505"/>
    </row>
    <row r="225" spans="1:11">
      <c r="A225" s="1039"/>
      <c r="B225" s="1039"/>
      <c r="C225" s="1025"/>
      <c r="D225" s="1025"/>
      <c r="E225" s="1025"/>
      <c r="F225" s="1061"/>
      <c r="G225" s="1062"/>
      <c r="H225" s="1269"/>
      <c r="I225" s="1056"/>
      <c r="J225" s="1111"/>
      <c r="K225" s="505"/>
    </row>
    <row r="226" spans="1:11">
      <c r="A226" s="1039"/>
      <c r="B226" s="1039"/>
      <c r="C226" s="1025"/>
      <c r="D226" s="1025"/>
      <c r="E226" s="1025"/>
      <c r="F226" s="1061"/>
      <c r="G226" s="1062"/>
      <c r="H226" s="1269"/>
      <c r="I226" s="1056"/>
      <c r="J226" s="1111"/>
      <c r="K226" s="505"/>
    </row>
    <row r="227" spans="1:11">
      <c r="A227" s="1039"/>
      <c r="B227" s="1039"/>
      <c r="C227" s="1025"/>
      <c r="D227" s="1025"/>
      <c r="E227" s="1025"/>
      <c r="F227" s="1061"/>
      <c r="G227" s="1062"/>
      <c r="H227" s="1269"/>
      <c r="I227" s="1056"/>
      <c r="J227" s="1111"/>
      <c r="K227" s="505"/>
    </row>
    <row r="228" spans="1:11">
      <c r="A228" s="1039"/>
      <c r="B228" s="1039"/>
      <c r="C228" s="1025"/>
      <c r="D228" s="1025"/>
      <c r="E228" s="1025"/>
      <c r="F228" s="1061"/>
      <c r="G228" s="1062"/>
      <c r="H228" s="1269"/>
      <c r="I228" s="1056"/>
      <c r="J228" s="1111"/>
      <c r="K228" s="505"/>
    </row>
    <row r="229" spans="1:11">
      <c r="A229" s="1039"/>
      <c r="B229" s="1039"/>
      <c r="C229" s="1025"/>
      <c r="D229" s="1025"/>
      <c r="E229" s="1025"/>
      <c r="F229" s="1061"/>
      <c r="G229" s="1062"/>
      <c r="H229" s="1269"/>
      <c r="I229" s="1056"/>
      <c r="J229" s="1111"/>
      <c r="K229" s="505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505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505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505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505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505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505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505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505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505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505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505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505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505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505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505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505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505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505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505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505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505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505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505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505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505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505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505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505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505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505"/>
    </row>
    <row r="260" spans="1:11">
      <c r="A260" s="1262"/>
      <c r="B260" s="1262"/>
      <c r="C260" s="1327"/>
      <c r="D260" s="1262"/>
      <c r="E260" s="1262"/>
      <c r="F260" s="1262"/>
      <c r="G260" s="1262"/>
      <c r="H260" s="1269"/>
      <c r="I260" s="1056"/>
      <c r="J260" s="1111"/>
      <c r="K260" s="505"/>
    </row>
    <row r="261" spans="1:11">
      <c r="A261" s="1262"/>
      <c r="B261" s="1262"/>
      <c r="C261" s="1327"/>
      <c r="D261" s="1262"/>
      <c r="E261" s="1262"/>
      <c r="F261" s="1262"/>
      <c r="G261" s="1262"/>
      <c r="H261" s="1269"/>
      <c r="I261" s="1056"/>
      <c r="J261" s="1111"/>
      <c r="K261" s="505"/>
    </row>
    <row r="262" spans="1:11">
      <c r="A262" s="1262"/>
      <c r="B262" s="1262"/>
      <c r="C262" s="1327"/>
      <c r="D262" s="1262"/>
      <c r="E262" s="1262"/>
      <c r="F262" s="1262"/>
      <c r="G262" s="1262"/>
      <c r="H262" s="1269"/>
      <c r="I262" s="1056"/>
      <c r="J262" s="1111"/>
      <c r="K262" s="505"/>
    </row>
    <row r="263" spans="1:11">
      <c r="A263" s="1262"/>
      <c r="B263" s="1262"/>
      <c r="C263" s="1327"/>
      <c r="D263" s="1262"/>
      <c r="E263" s="1262"/>
      <c r="F263" s="1262"/>
      <c r="G263" s="1262"/>
      <c r="H263" s="1269"/>
      <c r="I263" s="1056"/>
      <c r="J263" s="1111"/>
      <c r="K263" s="505"/>
    </row>
    <row r="264" spans="1:11">
      <c r="A264" s="1262"/>
      <c r="B264" s="1262"/>
      <c r="C264" s="1327"/>
      <c r="D264" s="1262"/>
      <c r="E264" s="1262"/>
      <c r="F264" s="1262"/>
      <c r="G264" s="1262"/>
      <c r="H264" s="1269"/>
      <c r="I264" s="1056"/>
      <c r="J264" s="1111"/>
      <c r="K264" s="505"/>
    </row>
    <row r="265" spans="1:11">
      <c r="A265" s="1262"/>
      <c r="B265" s="1262"/>
      <c r="C265" s="1327"/>
      <c r="D265" s="1262"/>
      <c r="E265" s="1262"/>
      <c r="F265" s="1262"/>
      <c r="G265" s="1262"/>
      <c r="H265" s="1269"/>
      <c r="I265" s="1056"/>
      <c r="J265" s="1111"/>
      <c r="K265" s="505"/>
    </row>
    <row r="266" spans="1:11">
      <c r="A266" s="1262"/>
      <c r="B266" s="1262"/>
      <c r="C266" s="1327"/>
      <c r="D266" s="1262"/>
      <c r="E266" s="1262"/>
      <c r="F266" s="1262"/>
      <c r="G266" s="1262"/>
      <c r="H266" s="1269"/>
      <c r="I266" s="1056"/>
      <c r="J266" s="1111"/>
      <c r="K266" s="505"/>
    </row>
    <row r="267" spans="1:11">
      <c r="A267" s="1262"/>
      <c r="B267" s="1262"/>
      <c r="C267" s="1327"/>
      <c r="D267" s="1262"/>
      <c r="E267" s="1262"/>
      <c r="F267" s="1262"/>
      <c r="G267" s="1262"/>
      <c r="H267" s="1269"/>
      <c r="I267" s="1056"/>
      <c r="J267" s="1111"/>
      <c r="K267" s="505"/>
    </row>
    <row r="268" spans="1:11">
      <c r="A268" s="1262"/>
      <c r="B268" s="1262"/>
      <c r="C268" s="1327"/>
      <c r="D268" s="1262"/>
      <c r="E268" s="1262"/>
      <c r="F268" s="1262"/>
      <c r="G268" s="1262"/>
      <c r="H268" s="1269"/>
      <c r="I268" s="1056"/>
      <c r="J268" s="1111"/>
      <c r="K268" s="505"/>
    </row>
    <row r="269" spans="1:11">
      <c r="A269" s="1262"/>
      <c r="B269" s="1262"/>
      <c r="C269" s="1327"/>
      <c r="D269" s="1262"/>
      <c r="E269" s="1262"/>
      <c r="F269" s="1262"/>
      <c r="G269" s="1262"/>
      <c r="H269" s="1269"/>
      <c r="I269" s="1056"/>
      <c r="J269" s="1111"/>
      <c r="K269" s="505"/>
    </row>
    <row r="270" spans="1:11">
      <c r="A270" s="1262"/>
      <c r="B270" s="1262"/>
      <c r="C270" s="1327"/>
      <c r="D270" s="1262"/>
      <c r="E270" s="1262"/>
      <c r="F270" s="1262"/>
      <c r="G270" s="1262"/>
      <c r="H270" s="1269"/>
      <c r="I270" s="1056"/>
      <c r="J270" s="1111"/>
      <c r="K270" s="505"/>
    </row>
    <row r="271" spans="1:11">
      <c r="A271" s="1262"/>
      <c r="B271" s="1262"/>
      <c r="C271" s="1327"/>
      <c r="D271" s="1262"/>
      <c r="E271" s="1262"/>
      <c r="F271" s="1262"/>
      <c r="G271" s="1262"/>
      <c r="H271" s="1269"/>
      <c r="I271" s="1056"/>
      <c r="J271" s="1111"/>
      <c r="K271" s="505"/>
    </row>
    <row r="272" spans="1:11">
      <c r="A272" s="1262"/>
      <c r="B272" s="1262"/>
      <c r="C272" s="1327"/>
      <c r="D272" s="1262"/>
      <c r="E272" s="1262"/>
      <c r="F272" s="1262"/>
      <c r="G272" s="1262"/>
      <c r="H272" s="1269"/>
      <c r="I272" s="1056"/>
      <c r="J272" s="1111"/>
      <c r="K272" s="505"/>
    </row>
    <row r="273" spans="1:11">
      <c r="A273" s="1262"/>
      <c r="B273" s="1262"/>
      <c r="C273" s="1327"/>
      <c r="D273" s="1262"/>
      <c r="E273" s="1262"/>
      <c r="F273" s="1262"/>
      <c r="G273" s="1262"/>
      <c r="H273" s="1269"/>
      <c r="I273" s="1056"/>
      <c r="J273" s="1111"/>
      <c r="K273" s="505"/>
    </row>
    <row r="274" spans="1:11" ht="15.75" thickBot="1">
      <c r="A274" s="1037"/>
      <c r="B274" s="1038"/>
      <c r="C274" s="1026"/>
      <c r="D274" s="1026"/>
      <c r="E274" s="1026"/>
      <c r="F274" s="1059"/>
      <c r="G274" s="1054"/>
      <c r="H274" s="1269"/>
      <c r="I274" s="1056"/>
      <c r="J274" s="1111"/>
      <c r="K274" s="505"/>
    </row>
    <row r="275" spans="1:11" ht="20.25" thickBot="1">
      <c r="A275" s="1158"/>
      <c r="B275" s="1159"/>
      <c r="C275" s="1159"/>
      <c r="D275" s="1159"/>
      <c r="E275" s="1159"/>
      <c r="F275" s="1160">
        <f>SUM(F154:F162,F164:F274)</f>
        <v>0</v>
      </c>
      <c r="G275" s="1159"/>
      <c r="H275" s="1293">
        <f>SUM(H54:H274)</f>
        <v>0</v>
      </c>
      <c r="I275" s="1160">
        <f>SUM(I154:I274)</f>
        <v>0</v>
      </c>
      <c r="J275" s="1164"/>
      <c r="K275" s="1157"/>
    </row>
  </sheetData>
  <autoFilter ref="A1:K43" xr:uid="{2FD09CB0-C23D-4FEA-82C9-A7BC8412D455}">
    <sortState xmlns:xlrd2="http://schemas.microsoft.com/office/spreadsheetml/2017/richdata2" ref="A2:K43">
      <sortCondition ref="J1:J43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CA4A-BA0E-4A07-A13B-9640E83A81DE}">
  <dimension ref="A1:K292"/>
  <sheetViews>
    <sheetView topLeftCell="A23" zoomScale="85" zoomScaleNormal="85" workbookViewId="0">
      <selection activeCell="C2" sqref="C2:C64"/>
    </sheetView>
  </sheetViews>
  <sheetFormatPr defaultColWidth="9.140625" defaultRowHeight="15"/>
  <cols>
    <col min="1" max="1" width="15.140625" style="1058" bestFit="1" customWidth="1"/>
    <col min="2" max="2" width="13.5703125" style="1058" customWidth="1"/>
    <col min="3" max="3" width="44.5703125" style="1165" bestFit="1" customWidth="1"/>
    <col min="4" max="4" width="22.28515625" style="1058" bestFit="1" customWidth="1"/>
    <col min="5" max="5" width="16.7109375" style="1058" customWidth="1"/>
    <col min="6" max="6" width="26.85546875" style="1058" customWidth="1"/>
    <col min="7" max="7" width="15" style="1058" customWidth="1"/>
    <col min="8" max="8" width="24.85546875" style="1058" bestFit="1" customWidth="1"/>
    <col min="9" max="9" width="21.140625" style="1058" customWidth="1"/>
    <col min="10" max="10" width="13.28515625" style="1058" customWidth="1"/>
    <col min="11" max="11" width="16.5703125" style="1058" customWidth="1"/>
    <col min="12" max="16384" width="9.140625" style="1058"/>
  </cols>
  <sheetData>
    <row r="1" spans="1:11" ht="15" customHeight="1">
      <c r="A1" s="1235" t="s">
        <v>2519</v>
      </c>
      <c r="B1" s="1236" t="s">
        <v>2</v>
      </c>
      <c r="C1" s="1236" t="s">
        <v>3</v>
      </c>
      <c r="D1" s="1236" t="s">
        <v>4</v>
      </c>
      <c r="E1" s="1236" t="s">
        <v>5</v>
      </c>
      <c r="F1" s="1237" t="s">
        <v>644</v>
      </c>
      <c r="G1" s="1238" t="s">
        <v>555</v>
      </c>
      <c r="H1" s="1239" t="s">
        <v>7</v>
      </c>
      <c r="I1" s="1240" t="s">
        <v>307</v>
      </c>
      <c r="J1" s="1238" t="s">
        <v>370</v>
      </c>
      <c r="K1" s="1241" t="s">
        <v>442</v>
      </c>
    </row>
    <row r="2" spans="1:11" ht="15.75">
      <c r="A2" s="1041">
        <v>45505</v>
      </c>
      <c r="B2" s="1041">
        <v>45870</v>
      </c>
      <c r="C2" s="1027" t="s">
        <v>2096</v>
      </c>
      <c r="D2" s="1027" t="s">
        <v>448</v>
      </c>
      <c r="E2" s="1027" t="s">
        <v>545</v>
      </c>
      <c r="F2" s="1065" t="s">
        <v>889</v>
      </c>
      <c r="G2" s="1066">
        <v>0.1</v>
      </c>
      <c r="H2" s="1067">
        <v>300</v>
      </c>
      <c r="I2" s="1243">
        <v>30</v>
      </c>
      <c r="J2" s="1027" t="s">
        <v>1470</v>
      </c>
      <c r="K2" s="1117" t="s">
        <v>1472</v>
      </c>
    </row>
    <row r="3" spans="1:11" ht="15.75">
      <c r="A3" s="1344">
        <v>45505</v>
      </c>
      <c r="B3" s="1344">
        <v>45870</v>
      </c>
      <c r="C3" s="1345" t="s">
        <v>2648</v>
      </c>
      <c r="D3" s="1345" t="s">
        <v>61</v>
      </c>
      <c r="E3" s="1345" t="s">
        <v>1310</v>
      </c>
      <c r="F3" s="1364">
        <v>2238.71</v>
      </c>
      <c r="G3" s="1347">
        <v>0.25</v>
      </c>
      <c r="H3" s="1364">
        <v>514.9</v>
      </c>
      <c r="I3" s="1349">
        <v>257.45</v>
      </c>
      <c r="J3" s="1345" t="s">
        <v>1396</v>
      </c>
      <c r="K3" s="1350" t="s">
        <v>1472</v>
      </c>
    </row>
    <row r="4" spans="1:11" ht="15.75">
      <c r="A4" s="1039">
        <v>45505</v>
      </c>
      <c r="B4" s="1039">
        <v>45870</v>
      </c>
      <c r="C4" s="1025" t="s">
        <v>2655</v>
      </c>
      <c r="D4" s="1025" t="s">
        <v>149</v>
      </c>
      <c r="E4" s="1025" t="s">
        <v>1593</v>
      </c>
      <c r="F4" s="1023">
        <v>1651.43</v>
      </c>
      <c r="G4" s="1062">
        <v>0.15</v>
      </c>
      <c r="H4" s="1023">
        <v>227.89</v>
      </c>
      <c r="I4" s="1242"/>
      <c r="J4" s="1025"/>
      <c r="K4" s="1115" t="s">
        <v>2015</v>
      </c>
    </row>
    <row r="5" spans="1:11" ht="15.75">
      <c r="A5" s="1344">
        <v>45506</v>
      </c>
      <c r="B5" s="1344">
        <v>45871</v>
      </c>
      <c r="C5" s="1345" t="s">
        <v>2649</v>
      </c>
      <c r="D5" s="1345" t="s">
        <v>448</v>
      </c>
      <c r="E5" s="1345" t="s">
        <v>545</v>
      </c>
      <c r="F5" s="1346" t="s">
        <v>889</v>
      </c>
      <c r="G5" s="1347">
        <v>0.1</v>
      </c>
      <c r="H5" s="1348">
        <v>100</v>
      </c>
      <c r="I5" s="1349">
        <v>50</v>
      </c>
      <c r="J5" s="1345" t="s">
        <v>1396</v>
      </c>
      <c r="K5" s="1350" t="s">
        <v>2015</v>
      </c>
    </row>
    <row r="6" spans="1:11" ht="15.75">
      <c r="A6" s="1037">
        <v>45506</v>
      </c>
      <c r="B6" s="1038">
        <v>45871</v>
      </c>
      <c r="C6" s="1025" t="s">
        <v>1162</v>
      </c>
      <c r="D6" s="1026" t="s">
        <v>9</v>
      </c>
      <c r="E6" s="1026" t="s">
        <v>1593</v>
      </c>
      <c r="F6" s="1053">
        <v>3775.15</v>
      </c>
      <c r="G6" s="1054">
        <v>0.1</v>
      </c>
      <c r="H6" s="1023">
        <v>347.31</v>
      </c>
      <c r="I6" s="1056"/>
      <c r="J6" s="1111"/>
      <c r="K6" s="1115" t="s">
        <v>1472</v>
      </c>
    </row>
    <row r="7" spans="1:11" s="1338" customFormat="1" ht="15.75">
      <c r="A7" s="1040">
        <v>45509</v>
      </c>
      <c r="B7" s="1041">
        <v>45874</v>
      </c>
      <c r="C7" s="1027" t="s">
        <v>1462</v>
      </c>
      <c r="D7" s="1030" t="s">
        <v>61</v>
      </c>
      <c r="E7" s="1027" t="s">
        <v>1641</v>
      </c>
      <c r="F7" s="1065">
        <v>1960.71</v>
      </c>
      <c r="G7" s="1066">
        <v>0.15</v>
      </c>
      <c r="H7" s="1067">
        <v>270.57</v>
      </c>
      <c r="I7" s="1068">
        <v>27.05</v>
      </c>
      <c r="J7" s="1112" t="s">
        <v>1470</v>
      </c>
      <c r="K7" s="1117" t="s">
        <v>2015</v>
      </c>
    </row>
    <row r="8" spans="1:11" s="1462" customFormat="1" ht="15.75">
      <c r="A8" s="1344">
        <v>45509</v>
      </c>
      <c r="B8" s="1344">
        <v>45874</v>
      </c>
      <c r="C8" s="1345" t="s">
        <v>2650</v>
      </c>
      <c r="D8" s="1345" t="s">
        <v>448</v>
      </c>
      <c r="E8" s="1345" t="s">
        <v>545</v>
      </c>
      <c r="F8" s="1376" t="s">
        <v>889</v>
      </c>
      <c r="G8" s="1347">
        <v>0.1</v>
      </c>
      <c r="H8" s="1348">
        <v>250</v>
      </c>
      <c r="I8" s="1349">
        <f>250/2</f>
        <v>125</v>
      </c>
      <c r="J8" s="1345" t="s">
        <v>1396</v>
      </c>
      <c r="K8" s="1350" t="s">
        <v>2015</v>
      </c>
    </row>
    <row r="9" spans="1:11" s="1441" customFormat="1" ht="15.75">
      <c r="A9" s="1344">
        <v>45509</v>
      </c>
      <c r="B9" s="1344">
        <v>45874</v>
      </c>
      <c r="C9" s="1345" t="s">
        <v>2651</v>
      </c>
      <c r="D9" s="1345" t="s">
        <v>448</v>
      </c>
      <c r="E9" s="1345" t="s">
        <v>279</v>
      </c>
      <c r="F9" s="1346">
        <v>3152.42</v>
      </c>
      <c r="G9" s="1347">
        <v>0.1</v>
      </c>
      <c r="H9" s="1348">
        <v>290.02</v>
      </c>
      <c r="I9" s="1349">
        <v>145.01</v>
      </c>
      <c r="J9" s="1345" t="s">
        <v>1396</v>
      </c>
      <c r="K9" s="1350" t="s">
        <v>1472</v>
      </c>
    </row>
    <row r="10" spans="1:11" s="1070" customFormat="1" ht="15.75">
      <c r="A10" s="1124">
        <v>45511</v>
      </c>
      <c r="B10" s="1125">
        <v>45876</v>
      </c>
      <c r="C10" s="1028" t="s">
        <v>1596</v>
      </c>
      <c r="D10" s="1028" t="s">
        <v>9</v>
      </c>
      <c r="E10" s="1028" t="s">
        <v>1310</v>
      </c>
      <c r="F10" s="1126">
        <v>3438.56</v>
      </c>
      <c r="G10" s="1127">
        <v>0.1</v>
      </c>
      <c r="H10" s="1128">
        <v>316.33999999999997</v>
      </c>
      <c r="I10" s="1129">
        <v>31.64</v>
      </c>
      <c r="J10" s="1130" t="s">
        <v>1470</v>
      </c>
      <c r="K10" s="1468" t="s">
        <v>1472</v>
      </c>
    </row>
    <row r="11" spans="1:11" s="1467" customFormat="1" ht="15.75">
      <c r="A11" s="1039">
        <v>45511</v>
      </c>
      <c r="B11" s="1039">
        <v>45876</v>
      </c>
      <c r="C11" s="1025" t="s">
        <v>1464</v>
      </c>
      <c r="D11" s="1025" t="s">
        <v>25</v>
      </c>
      <c r="E11" s="1025" t="s">
        <v>948</v>
      </c>
      <c r="F11" s="1061">
        <v>2238.29</v>
      </c>
      <c r="G11" s="1062">
        <v>0.1</v>
      </c>
      <c r="H11" s="1055">
        <v>205.92</v>
      </c>
      <c r="I11" s="1063"/>
      <c r="J11" s="1111"/>
      <c r="K11" s="1115" t="s">
        <v>2015</v>
      </c>
    </row>
    <row r="12" spans="1:11" s="1471" customFormat="1" ht="15.75">
      <c r="A12" s="1039">
        <v>45503</v>
      </c>
      <c r="B12" s="1039">
        <v>45876</v>
      </c>
      <c r="C12" s="1025" t="s">
        <v>2656</v>
      </c>
      <c r="D12" s="1025" t="s">
        <v>9</v>
      </c>
      <c r="E12" s="1025" t="s">
        <v>1310</v>
      </c>
      <c r="F12" s="1061">
        <v>5834.59</v>
      </c>
      <c r="G12" s="1062">
        <v>0.1</v>
      </c>
      <c r="H12" s="1055">
        <v>536.78</v>
      </c>
      <c r="I12" s="1242"/>
      <c r="J12" s="1025"/>
      <c r="K12" s="1115" t="s">
        <v>2015</v>
      </c>
    </row>
    <row r="13" spans="1:11" s="1460" customFormat="1" ht="15.75">
      <c r="A13" s="1037">
        <v>45511</v>
      </c>
      <c r="B13" s="1038">
        <v>45876</v>
      </c>
      <c r="C13" s="1026" t="s">
        <v>2657</v>
      </c>
      <c r="D13" s="1026" t="s">
        <v>9</v>
      </c>
      <c r="E13" s="1026" t="s">
        <v>1593</v>
      </c>
      <c r="F13" s="1059">
        <v>8073.25</v>
      </c>
      <c r="G13" s="1054">
        <v>0.1</v>
      </c>
      <c r="H13" s="1055">
        <v>742.73</v>
      </c>
      <c r="I13" s="1056"/>
      <c r="J13" s="1111"/>
      <c r="K13" s="1115" t="s">
        <v>1472</v>
      </c>
    </row>
    <row r="14" spans="1:11" s="1357" customFormat="1" ht="15.75">
      <c r="A14" s="1037">
        <v>45512</v>
      </c>
      <c r="B14" s="1038">
        <v>45877</v>
      </c>
      <c r="C14" s="1025" t="s">
        <v>953</v>
      </c>
      <c r="D14" s="1025" t="s">
        <v>61</v>
      </c>
      <c r="E14" s="1025" t="s">
        <v>1641</v>
      </c>
      <c r="F14" s="1061">
        <v>3763.83</v>
      </c>
      <c r="G14" s="1062">
        <v>0.1</v>
      </c>
      <c r="H14" s="1055">
        <v>346.27</v>
      </c>
      <c r="I14" s="1056"/>
      <c r="J14" s="1111"/>
      <c r="K14" s="1115" t="s">
        <v>2015</v>
      </c>
    </row>
    <row r="15" spans="1:11" ht="15.75">
      <c r="A15" s="1037">
        <v>45512</v>
      </c>
      <c r="B15" s="1038">
        <v>45877</v>
      </c>
      <c r="C15" s="1025" t="s">
        <v>2658</v>
      </c>
      <c r="D15" s="1025" t="s">
        <v>9</v>
      </c>
      <c r="E15" s="1025" t="s">
        <v>279</v>
      </c>
      <c r="F15" s="1061">
        <v>1379.48</v>
      </c>
      <c r="G15" s="1062">
        <v>0.1</v>
      </c>
      <c r="H15" s="1055">
        <v>126.91</v>
      </c>
      <c r="I15" s="1056"/>
      <c r="J15" s="1111"/>
      <c r="K15" s="1115" t="s">
        <v>1472</v>
      </c>
    </row>
    <row r="16" spans="1:11" s="1416" customFormat="1" ht="15.75">
      <c r="A16" s="1037">
        <v>45510</v>
      </c>
      <c r="B16" s="1038">
        <v>45878</v>
      </c>
      <c r="C16" s="1026" t="s">
        <v>2659</v>
      </c>
      <c r="D16" s="1026" t="s">
        <v>61</v>
      </c>
      <c r="E16" s="1025" t="s">
        <v>19</v>
      </c>
      <c r="F16" s="1061">
        <v>1914.97</v>
      </c>
      <c r="G16" s="1062">
        <v>0.1</v>
      </c>
      <c r="H16" s="1055">
        <v>176.17</v>
      </c>
      <c r="I16" s="1056"/>
      <c r="J16" s="1111"/>
      <c r="K16" s="1115" t="s">
        <v>1472</v>
      </c>
    </row>
    <row r="17" spans="1:11" s="1416" customFormat="1" ht="15.75">
      <c r="A17" s="1037">
        <v>45513</v>
      </c>
      <c r="B17" s="1038">
        <v>45878</v>
      </c>
      <c r="C17" s="1025" t="s">
        <v>1835</v>
      </c>
      <c r="D17" s="1026" t="s">
        <v>14</v>
      </c>
      <c r="E17" s="1025" t="s">
        <v>945</v>
      </c>
      <c r="F17" s="1092">
        <v>2404.63</v>
      </c>
      <c r="G17" s="1062">
        <v>0.2</v>
      </c>
      <c r="H17" s="1055">
        <v>442.45</v>
      </c>
      <c r="I17" s="1056"/>
      <c r="J17" s="1111"/>
      <c r="K17" s="1115" t="s">
        <v>2015</v>
      </c>
    </row>
    <row r="18" spans="1:11" s="1416" customFormat="1" ht="15.75">
      <c r="A18" s="1040">
        <v>45513</v>
      </c>
      <c r="B18" s="1042">
        <v>45879</v>
      </c>
      <c r="C18" s="1027" t="s">
        <v>2632</v>
      </c>
      <c r="D18" s="1030" t="s">
        <v>61</v>
      </c>
      <c r="E18" s="1027" t="s">
        <v>1593</v>
      </c>
      <c r="F18" s="1065">
        <v>6488.84</v>
      </c>
      <c r="G18" s="1066">
        <v>0.1</v>
      </c>
      <c r="H18" s="1067">
        <v>596.97</v>
      </c>
      <c r="I18" s="1068">
        <v>59.69</v>
      </c>
      <c r="J18" s="1112" t="s">
        <v>1470</v>
      </c>
      <c r="K18" s="1117" t="s">
        <v>1472</v>
      </c>
    </row>
    <row r="19" spans="1:11" s="1416" customFormat="1" ht="15.75">
      <c r="A19" s="1040">
        <v>45513</v>
      </c>
      <c r="B19" s="1042">
        <v>45879</v>
      </c>
      <c r="C19" s="1027" t="s">
        <v>2633</v>
      </c>
      <c r="D19" s="1030" t="s">
        <v>422</v>
      </c>
      <c r="E19" s="1027" t="s">
        <v>1310</v>
      </c>
      <c r="F19" s="1065">
        <v>1986.56</v>
      </c>
      <c r="G19" s="1066">
        <v>0.1</v>
      </c>
      <c r="H19" s="1067">
        <v>182.76</v>
      </c>
      <c r="I19" s="1068">
        <v>18.27</v>
      </c>
      <c r="J19" s="1112" t="s">
        <v>1470</v>
      </c>
      <c r="K19" s="1117" t="s">
        <v>1472</v>
      </c>
    </row>
    <row r="20" spans="1:11" s="1070" customFormat="1" ht="15.75">
      <c r="A20" s="1358">
        <v>45517</v>
      </c>
      <c r="B20" s="1359">
        <v>45881</v>
      </c>
      <c r="C20" s="1345" t="s">
        <v>2652</v>
      </c>
      <c r="D20" s="1360" t="s">
        <v>448</v>
      </c>
      <c r="E20" s="1345" t="s">
        <v>1080</v>
      </c>
      <c r="F20" s="1376">
        <v>3284.31</v>
      </c>
      <c r="G20" s="1347">
        <v>0.1</v>
      </c>
      <c r="H20" s="1348">
        <v>302.14999999999998</v>
      </c>
      <c r="I20" s="1362">
        <v>151.07</v>
      </c>
      <c r="J20" s="1363" t="s">
        <v>1396</v>
      </c>
      <c r="K20" s="1350" t="s">
        <v>1472</v>
      </c>
    </row>
    <row r="21" spans="1:11" ht="15.75">
      <c r="A21" s="1344">
        <v>45523</v>
      </c>
      <c r="B21" s="1344">
        <v>45881</v>
      </c>
      <c r="C21" s="1345" t="s">
        <v>2095</v>
      </c>
      <c r="D21" s="1345" t="s">
        <v>448</v>
      </c>
      <c r="E21" s="1345" t="s">
        <v>948</v>
      </c>
      <c r="F21" s="1346">
        <v>1852.18</v>
      </c>
      <c r="G21" s="1347">
        <v>0.1</v>
      </c>
      <c r="H21" s="1348">
        <v>170.4</v>
      </c>
      <c r="I21" s="1362">
        <v>115.2</v>
      </c>
      <c r="J21" s="1363" t="s">
        <v>2654</v>
      </c>
      <c r="K21" s="1350" t="s">
        <v>2015</v>
      </c>
    </row>
    <row r="22" spans="1:11" ht="15.75">
      <c r="A22" s="1039">
        <v>45516</v>
      </c>
      <c r="B22" s="1039">
        <v>45881</v>
      </c>
      <c r="C22" s="1025" t="s">
        <v>1186</v>
      </c>
      <c r="D22" s="1025" t="s">
        <v>448</v>
      </c>
      <c r="E22" s="1025" t="s">
        <v>948</v>
      </c>
      <c r="F22" s="1061">
        <v>2591.9899999999998</v>
      </c>
      <c r="G22" s="1062">
        <v>0.1</v>
      </c>
      <c r="H22" s="1055">
        <v>238.46</v>
      </c>
      <c r="I22" s="1056"/>
      <c r="J22" s="1111"/>
      <c r="K22" s="1115" t="s">
        <v>2015</v>
      </c>
    </row>
    <row r="23" spans="1:11" ht="15.75">
      <c r="A23" s="1358">
        <v>45516</v>
      </c>
      <c r="B23" s="1344">
        <v>45882</v>
      </c>
      <c r="C23" s="1345" t="s">
        <v>1001</v>
      </c>
      <c r="D23" s="1360" t="s">
        <v>448</v>
      </c>
      <c r="E23" s="1345" t="s">
        <v>458</v>
      </c>
      <c r="F23" s="1346">
        <v>2497.94</v>
      </c>
      <c r="G23" s="1347">
        <v>0.1</v>
      </c>
      <c r="H23" s="1348">
        <v>229.81</v>
      </c>
      <c r="I23" s="1362">
        <v>114.9</v>
      </c>
      <c r="J23" s="1363" t="s">
        <v>1396</v>
      </c>
      <c r="K23" s="1350" t="s">
        <v>2015</v>
      </c>
    </row>
    <row r="24" spans="1:11" s="1078" customFormat="1" ht="15.75">
      <c r="A24" s="1037">
        <v>45517</v>
      </c>
      <c r="B24" s="1039">
        <v>45882</v>
      </c>
      <c r="C24" s="1025" t="s">
        <v>1486</v>
      </c>
      <c r="D24" s="1026" t="s">
        <v>9</v>
      </c>
      <c r="E24" s="1025" t="s">
        <v>1310</v>
      </c>
      <c r="F24" s="1061">
        <v>1728.69</v>
      </c>
      <c r="G24" s="1062">
        <v>0.15</v>
      </c>
      <c r="H24" s="1055">
        <v>238.55</v>
      </c>
      <c r="I24" s="1056"/>
      <c r="J24" s="1111"/>
      <c r="K24" s="1115" t="s">
        <v>2015</v>
      </c>
    </row>
    <row r="25" spans="1:11" ht="15.75">
      <c r="A25" s="1040">
        <v>45518</v>
      </c>
      <c r="B25" s="1041">
        <v>45883</v>
      </c>
      <c r="C25" s="1027" t="s">
        <v>2634</v>
      </c>
      <c r="D25" s="1030" t="s">
        <v>448</v>
      </c>
      <c r="E25" s="1027" t="s">
        <v>945</v>
      </c>
      <c r="F25" s="1065">
        <v>1872.16</v>
      </c>
      <c r="G25" s="1066">
        <v>0.1</v>
      </c>
      <c r="H25" s="1067">
        <v>172.23</v>
      </c>
      <c r="I25" s="1068">
        <v>17.22</v>
      </c>
      <c r="J25" s="1112" t="s">
        <v>1470</v>
      </c>
      <c r="K25" s="1117" t="s">
        <v>1472</v>
      </c>
    </row>
    <row r="26" spans="1:11" ht="15.75">
      <c r="A26" s="1358">
        <v>45518</v>
      </c>
      <c r="B26" s="1344">
        <v>45883</v>
      </c>
      <c r="C26" s="1360" t="s">
        <v>2653</v>
      </c>
      <c r="D26" s="1360" t="s">
        <v>448</v>
      </c>
      <c r="E26" s="1345" t="s">
        <v>545</v>
      </c>
      <c r="F26" s="1346" t="s">
        <v>889</v>
      </c>
      <c r="G26" s="1347">
        <v>0.1</v>
      </c>
      <c r="H26" s="1348">
        <v>260</v>
      </c>
      <c r="I26" s="1362">
        <f>260/2</f>
        <v>130</v>
      </c>
      <c r="J26" s="1363" t="s">
        <v>1396</v>
      </c>
      <c r="K26" s="1350" t="s">
        <v>1472</v>
      </c>
    </row>
    <row r="27" spans="1:11" s="1078" customFormat="1" ht="15.75">
      <c r="A27" s="1039">
        <v>45518</v>
      </c>
      <c r="B27" s="1039">
        <v>45883</v>
      </c>
      <c r="C27" s="1025" t="s">
        <v>1848</v>
      </c>
      <c r="D27" s="1025" t="s">
        <v>14</v>
      </c>
      <c r="E27" s="1025" t="s">
        <v>1641</v>
      </c>
      <c r="F27" s="1061">
        <v>1942.49</v>
      </c>
      <c r="G27" s="1062">
        <v>0.1</v>
      </c>
      <c r="H27" s="1055">
        <v>178.7</v>
      </c>
      <c r="I27" s="1242"/>
      <c r="J27" s="1025"/>
      <c r="K27" s="1115" t="s">
        <v>2015</v>
      </c>
    </row>
    <row r="28" spans="1:11" ht="15.75">
      <c r="A28" s="1040">
        <v>45520</v>
      </c>
      <c r="B28" s="1041">
        <v>45884</v>
      </c>
      <c r="C28" s="1031" t="s">
        <v>2635</v>
      </c>
      <c r="D28" s="1030" t="s">
        <v>9</v>
      </c>
      <c r="E28" s="1030" t="s">
        <v>1310</v>
      </c>
      <c r="F28" s="1621">
        <v>83218.649999999994</v>
      </c>
      <c r="G28" s="1066">
        <v>0.1</v>
      </c>
      <c r="H28" s="1067">
        <v>7656.11</v>
      </c>
      <c r="I28" s="1068">
        <v>765.61</v>
      </c>
      <c r="J28" s="1112" t="s">
        <v>1470</v>
      </c>
      <c r="K28" s="1117" t="s">
        <v>2015</v>
      </c>
    </row>
    <row r="29" spans="1:11" s="1175" customFormat="1">
      <c r="A29" s="1037">
        <v>45516</v>
      </c>
      <c r="B29" s="1038">
        <v>45884</v>
      </c>
      <c r="C29" s="1039" t="s">
        <v>1012</v>
      </c>
      <c r="D29" s="1038" t="s">
        <v>61</v>
      </c>
      <c r="E29" s="1038" t="s">
        <v>1641</v>
      </c>
      <c r="F29" s="1053">
        <v>2898.74</v>
      </c>
      <c r="G29" s="1054">
        <v>0.1</v>
      </c>
      <c r="H29" s="1023">
        <v>266.68</v>
      </c>
      <c r="I29" s="1089"/>
      <c r="J29" s="1325"/>
      <c r="K29" s="1039" t="s">
        <v>2015</v>
      </c>
    </row>
    <row r="30" spans="1:11" s="1070" customFormat="1" ht="15.75">
      <c r="A30" s="1037">
        <v>45517</v>
      </c>
      <c r="B30" s="1038">
        <v>45884</v>
      </c>
      <c r="C30" s="1025" t="s">
        <v>1004</v>
      </c>
      <c r="D30" s="1026" t="s">
        <v>61</v>
      </c>
      <c r="E30" s="1026" t="s">
        <v>22</v>
      </c>
      <c r="F30" s="1059">
        <v>1268.3399999999999</v>
      </c>
      <c r="G30" s="1054">
        <v>0.15</v>
      </c>
      <c r="H30" s="1055">
        <v>175.03</v>
      </c>
      <c r="I30" s="1056"/>
      <c r="J30" s="1111"/>
      <c r="K30" s="1115" t="s">
        <v>2015</v>
      </c>
    </row>
    <row r="31" spans="1:11" s="1357" customFormat="1" ht="15.75">
      <c r="A31" s="1037">
        <v>45519</v>
      </c>
      <c r="B31" s="1038">
        <v>45884</v>
      </c>
      <c r="C31" s="1025" t="s">
        <v>1005</v>
      </c>
      <c r="D31" s="1026" t="s">
        <v>25</v>
      </c>
      <c r="E31" s="1026" t="s">
        <v>458</v>
      </c>
      <c r="F31" s="1059">
        <v>1504.76</v>
      </c>
      <c r="G31" s="1054">
        <v>0.1</v>
      </c>
      <c r="H31" s="1055">
        <v>138.43</v>
      </c>
      <c r="I31" s="1056"/>
      <c r="J31" s="1111"/>
      <c r="K31" s="1115" t="s">
        <v>2015</v>
      </c>
    </row>
    <row r="32" spans="1:11" s="1440" customFormat="1" ht="15.75">
      <c r="A32" s="1406">
        <v>45513</v>
      </c>
      <c r="B32" s="1406">
        <v>45885</v>
      </c>
      <c r="C32" s="1224" t="s">
        <v>2643</v>
      </c>
      <c r="D32" s="1224" t="s">
        <v>448</v>
      </c>
      <c r="E32" s="1224" t="s">
        <v>19</v>
      </c>
      <c r="F32" s="1407">
        <v>1374.44</v>
      </c>
      <c r="G32" s="1409">
        <v>0.15</v>
      </c>
      <c r="H32" s="1226">
        <v>189.67</v>
      </c>
      <c r="I32" s="1439">
        <v>94.83</v>
      </c>
      <c r="J32" s="1224" t="s">
        <v>2094</v>
      </c>
      <c r="K32" s="1231" t="s">
        <v>2015</v>
      </c>
    </row>
    <row r="33" spans="1:11" ht="15.75">
      <c r="A33" s="1037">
        <v>45520</v>
      </c>
      <c r="B33" s="1038">
        <v>45885</v>
      </c>
      <c r="C33" s="1025" t="s">
        <v>1014</v>
      </c>
      <c r="D33" s="1026" t="s">
        <v>9</v>
      </c>
      <c r="E33" s="1026" t="s">
        <v>1593</v>
      </c>
      <c r="F33" s="1059">
        <v>2343.6</v>
      </c>
      <c r="G33" s="1054">
        <v>0.1</v>
      </c>
      <c r="H33" s="1055">
        <v>215.61</v>
      </c>
      <c r="I33" s="1056"/>
      <c r="J33" s="1111"/>
      <c r="K33" s="1115" t="s">
        <v>2015</v>
      </c>
    </row>
    <row r="34" spans="1:11" ht="15.75">
      <c r="A34" s="1037">
        <v>45520</v>
      </c>
      <c r="B34" s="1038">
        <v>45885</v>
      </c>
      <c r="C34" s="1026" t="s">
        <v>760</v>
      </c>
      <c r="D34" s="1026" t="s">
        <v>832</v>
      </c>
      <c r="E34" s="1026" t="s">
        <v>1080</v>
      </c>
      <c r="F34" s="1059">
        <v>2497.5100000000002</v>
      </c>
      <c r="G34" s="1054">
        <v>0.1</v>
      </c>
      <c r="H34" s="1055">
        <v>229.77</v>
      </c>
      <c r="I34" s="1056"/>
      <c r="J34" s="1111"/>
      <c r="K34" s="1115" t="s">
        <v>2015</v>
      </c>
    </row>
    <row r="35" spans="1:11" ht="15.75">
      <c r="A35" s="1037">
        <v>45520</v>
      </c>
      <c r="B35" s="1038">
        <v>45886</v>
      </c>
      <c r="C35" s="1026" t="s">
        <v>2660</v>
      </c>
      <c r="D35" s="1026" t="s">
        <v>9</v>
      </c>
      <c r="E35" s="1026" t="s">
        <v>1310</v>
      </c>
      <c r="F35" s="1059">
        <v>1802.76</v>
      </c>
      <c r="G35" s="1054">
        <v>0.15</v>
      </c>
      <c r="H35" s="1055">
        <v>248.78</v>
      </c>
      <c r="I35" s="1056"/>
      <c r="J35" s="1111"/>
      <c r="K35" s="1115" t="s">
        <v>2015</v>
      </c>
    </row>
    <row r="36" spans="1:11" ht="15.75">
      <c r="A36" s="1037">
        <v>45520</v>
      </c>
      <c r="B36" s="1038">
        <v>45886</v>
      </c>
      <c r="C36" s="1025" t="s">
        <v>1100</v>
      </c>
      <c r="D36" s="1026" t="s">
        <v>14</v>
      </c>
      <c r="E36" s="1026" t="s">
        <v>19</v>
      </c>
      <c r="F36" s="1103">
        <v>1958.54</v>
      </c>
      <c r="G36" s="1054">
        <v>0.15</v>
      </c>
      <c r="H36" s="1055">
        <v>270.27</v>
      </c>
      <c r="I36" s="1056"/>
      <c r="J36" s="1111"/>
      <c r="K36" s="1115" t="s">
        <v>2015</v>
      </c>
    </row>
    <row r="37" spans="1:11" ht="15.75">
      <c r="A37" s="1372">
        <v>45520</v>
      </c>
      <c r="B37" s="1373">
        <v>45887</v>
      </c>
      <c r="C37" s="1377" t="s">
        <v>1010</v>
      </c>
      <c r="D37" s="1377" t="s">
        <v>61</v>
      </c>
      <c r="E37" s="1332" t="s">
        <v>1641</v>
      </c>
      <c r="F37" s="1383">
        <v>1514.8</v>
      </c>
      <c r="G37" s="1334">
        <v>0.2</v>
      </c>
      <c r="H37" s="1335">
        <v>278.72000000000003</v>
      </c>
      <c r="I37" s="1374">
        <v>139.36000000000001</v>
      </c>
      <c r="J37" s="1375" t="s">
        <v>1577</v>
      </c>
      <c r="K37" s="1337" t="s">
        <v>2015</v>
      </c>
    </row>
    <row r="38" spans="1:11" ht="15.75">
      <c r="A38" s="1037">
        <v>45520</v>
      </c>
      <c r="B38" s="1038">
        <v>45887</v>
      </c>
      <c r="C38" s="1026" t="s">
        <v>1353</v>
      </c>
      <c r="D38" s="1026" t="s">
        <v>9</v>
      </c>
      <c r="E38" s="1026" t="s">
        <v>948</v>
      </c>
      <c r="F38" s="1059">
        <v>1880.49</v>
      </c>
      <c r="G38" s="1054">
        <v>0.1</v>
      </c>
      <c r="H38" s="1055">
        <v>173</v>
      </c>
      <c r="I38" s="1056"/>
      <c r="J38" s="1111"/>
      <c r="K38" s="1115" t="s">
        <v>2015</v>
      </c>
    </row>
    <row r="39" spans="1:11" ht="15.75">
      <c r="A39" s="1037">
        <v>45520</v>
      </c>
      <c r="B39" s="1039">
        <v>45887</v>
      </c>
      <c r="C39" s="1025" t="s">
        <v>1489</v>
      </c>
      <c r="D39" s="1026" t="s">
        <v>9</v>
      </c>
      <c r="E39" s="1025" t="s">
        <v>1641</v>
      </c>
      <c r="F39" s="1061">
        <v>1531.15</v>
      </c>
      <c r="G39" s="1062">
        <v>0.1</v>
      </c>
      <c r="H39" s="1055">
        <v>140.86000000000001</v>
      </c>
      <c r="I39" s="1056"/>
      <c r="J39" s="1111"/>
      <c r="K39" s="1115" t="s">
        <v>2015</v>
      </c>
    </row>
    <row r="40" spans="1:11" s="1070" customFormat="1" ht="15.75">
      <c r="A40" s="1037">
        <v>45523</v>
      </c>
      <c r="B40" s="1038">
        <v>45888</v>
      </c>
      <c r="C40" s="1026" t="s">
        <v>1014</v>
      </c>
      <c r="D40" s="1026" t="s">
        <v>376</v>
      </c>
      <c r="E40" s="1026" t="s">
        <v>1593</v>
      </c>
      <c r="F40" s="1622">
        <v>3462.05</v>
      </c>
      <c r="G40" s="1054">
        <v>0.1</v>
      </c>
      <c r="H40" s="1023">
        <v>318.5</v>
      </c>
      <c r="I40" s="1056"/>
      <c r="J40" s="1111"/>
      <c r="K40" s="1115" t="s">
        <v>1472</v>
      </c>
    </row>
    <row r="41" spans="1:11" ht="15.75">
      <c r="A41" s="1037">
        <v>45523</v>
      </c>
      <c r="B41" s="1038">
        <v>45889</v>
      </c>
      <c r="C41" s="1026" t="s">
        <v>1007</v>
      </c>
      <c r="D41" s="1026" t="s">
        <v>14</v>
      </c>
      <c r="E41" s="1026" t="s">
        <v>948</v>
      </c>
      <c r="F41" s="1059">
        <v>1402.54</v>
      </c>
      <c r="G41" s="1054">
        <v>0.1</v>
      </c>
      <c r="H41" s="1055">
        <v>129.03</v>
      </c>
      <c r="I41" s="1056"/>
      <c r="J41" s="1111"/>
      <c r="K41" s="1115" t="s">
        <v>2015</v>
      </c>
    </row>
    <row r="42" spans="1:11" ht="15.75">
      <c r="A42" s="1367">
        <v>45513</v>
      </c>
      <c r="B42" s="1390">
        <v>45890</v>
      </c>
      <c r="C42" s="1368" t="s">
        <v>2642</v>
      </c>
      <c r="D42" s="1368" t="s">
        <v>61</v>
      </c>
      <c r="E42" s="1368" t="s">
        <v>22</v>
      </c>
      <c r="F42" s="1478">
        <v>346.18</v>
      </c>
      <c r="G42" s="1430">
        <v>0.1</v>
      </c>
      <c r="H42" s="1466">
        <v>31.84</v>
      </c>
      <c r="I42" s="1432">
        <v>15.92</v>
      </c>
      <c r="J42" s="1370" t="s">
        <v>1759</v>
      </c>
      <c r="K42" s="1341" t="s">
        <v>2015</v>
      </c>
    </row>
    <row r="43" spans="1:11" s="1440" customFormat="1" ht="15.75">
      <c r="A43" s="1223">
        <v>45523</v>
      </c>
      <c r="B43" s="1472">
        <v>45890</v>
      </c>
      <c r="C43" s="1225" t="s">
        <v>2644</v>
      </c>
      <c r="D43" s="1225" t="s">
        <v>9</v>
      </c>
      <c r="E43" s="1225" t="s">
        <v>948</v>
      </c>
      <c r="F43" s="1477">
        <v>2045.47</v>
      </c>
      <c r="G43" s="1480">
        <v>0.15</v>
      </c>
      <c r="H43" s="1226">
        <v>282.27</v>
      </c>
      <c r="I43" s="1227">
        <v>141.13</v>
      </c>
      <c r="J43" s="1228" t="s">
        <v>2094</v>
      </c>
      <c r="K43" s="1231" t="s">
        <v>2015</v>
      </c>
    </row>
    <row r="44" spans="1:11" ht="15.75">
      <c r="A44" s="1358">
        <v>45525</v>
      </c>
      <c r="B44" s="1359">
        <v>45890</v>
      </c>
      <c r="C44" s="1345" t="s">
        <v>1001</v>
      </c>
      <c r="D44" s="1360" t="s">
        <v>948</v>
      </c>
      <c r="E44" s="1360" t="s">
        <v>948</v>
      </c>
      <c r="F44" s="1419">
        <v>2385.54</v>
      </c>
      <c r="G44" s="1361">
        <v>0.1</v>
      </c>
      <c r="H44" s="1348">
        <v>219.46</v>
      </c>
      <c r="I44" s="1362">
        <v>109.73</v>
      </c>
      <c r="J44" s="1363" t="s">
        <v>1396</v>
      </c>
      <c r="K44" s="1350" t="s">
        <v>1472</v>
      </c>
    </row>
    <row r="45" spans="1:11" s="1440" customFormat="1" ht="15.75">
      <c r="A45" s="1223">
        <v>45523</v>
      </c>
      <c r="B45" s="1472">
        <v>45891</v>
      </c>
      <c r="C45" s="1473" t="s">
        <v>1465</v>
      </c>
      <c r="D45" s="1225" t="s">
        <v>9</v>
      </c>
      <c r="E45" s="1225" t="s">
        <v>948</v>
      </c>
      <c r="F45" s="1477">
        <v>1301.46</v>
      </c>
      <c r="G45" s="1480">
        <v>0.25</v>
      </c>
      <c r="H45" s="1226">
        <v>299.33</v>
      </c>
      <c r="I45" s="1227">
        <v>149.66</v>
      </c>
      <c r="J45" s="1228" t="s">
        <v>2094</v>
      </c>
      <c r="K45" s="1231" t="s">
        <v>2015</v>
      </c>
    </row>
    <row r="46" spans="1:11" ht="15.75">
      <c r="A46" s="1358">
        <v>45527</v>
      </c>
      <c r="B46" s="1359">
        <v>45892</v>
      </c>
      <c r="C46" s="1360" t="s">
        <v>2646</v>
      </c>
      <c r="D46" s="1360" t="s">
        <v>1924</v>
      </c>
      <c r="E46" s="1360" t="s">
        <v>945</v>
      </c>
      <c r="F46" s="1419">
        <v>965.28</v>
      </c>
      <c r="G46" s="1361">
        <v>0.1</v>
      </c>
      <c r="H46" s="1348">
        <v>88.8</v>
      </c>
      <c r="I46" s="1362">
        <v>44.4</v>
      </c>
      <c r="J46" s="1363" t="s">
        <v>1482</v>
      </c>
      <c r="K46" s="1350" t="s">
        <v>1472</v>
      </c>
    </row>
    <row r="47" spans="1:11" ht="15.75">
      <c r="A47" s="1358">
        <v>45527</v>
      </c>
      <c r="B47" s="1359">
        <v>45892</v>
      </c>
      <c r="C47" s="1360" t="s">
        <v>2647</v>
      </c>
      <c r="D47" s="1360" t="s">
        <v>9</v>
      </c>
      <c r="E47" s="1360" t="s">
        <v>1310</v>
      </c>
      <c r="F47" s="1419">
        <v>2296.6999999999998</v>
      </c>
      <c r="G47" s="1361">
        <v>0.1</v>
      </c>
      <c r="H47" s="1348">
        <v>211.29</v>
      </c>
      <c r="I47" s="1362">
        <v>105.64</v>
      </c>
      <c r="J47" s="1363" t="s">
        <v>1482</v>
      </c>
      <c r="K47" s="1350" t="s">
        <v>1472</v>
      </c>
    </row>
    <row r="48" spans="1:11" ht="15.75">
      <c r="A48" s="1037">
        <v>45523</v>
      </c>
      <c r="B48" s="1038">
        <v>45892</v>
      </c>
      <c r="C48" s="1026" t="s">
        <v>2661</v>
      </c>
      <c r="D48" s="1026" t="s">
        <v>14</v>
      </c>
      <c r="E48" s="1026" t="s">
        <v>458</v>
      </c>
      <c r="F48" s="1059">
        <v>1229.75</v>
      </c>
      <c r="G48" s="1054">
        <v>0.1</v>
      </c>
      <c r="H48" s="1055">
        <v>113.13</v>
      </c>
      <c r="I48" s="1056"/>
      <c r="J48" s="1111"/>
      <c r="K48" s="1115" t="s">
        <v>2015</v>
      </c>
    </row>
    <row r="49" spans="1:11" ht="15.75">
      <c r="A49" s="1358">
        <v>45527</v>
      </c>
      <c r="B49" s="1359">
        <v>45894</v>
      </c>
      <c r="C49" s="1360" t="s">
        <v>2062</v>
      </c>
      <c r="D49" s="1360" t="s">
        <v>448</v>
      </c>
      <c r="E49" s="1360" t="s">
        <v>1080</v>
      </c>
      <c r="F49" s="1419">
        <v>1599.54</v>
      </c>
      <c r="G49" s="1361">
        <v>0.1</v>
      </c>
      <c r="H49" s="1348">
        <v>147.15</v>
      </c>
      <c r="I49" s="1362">
        <v>73.569999999999993</v>
      </c>
      <c r="J49" s="1363" t="s">
        <v>1482</v>
      </c>
      <c r="K49" s="1350" t="s">
        <v>2015</v>
      </c>
    </row>
    <row r="50" spans="1:11" ht="15.75">
      <c r="A50" s="1040">
        <v>45527</v>
      </c>
      <c r="B50" s="1042">
        <v>45895</v>
      </c>
      <c r="C50" s="1030" t="s">
        <v>2636</v>
      </c>
      <c r="D50" s="1030" t="s">
        <v>14</v>
      </c>
      <c r="E50" s="1030" t="s">
        <v>948</v>
      </c>
      <c r="F50" s="1072">
        <v>881.94</v>
      </c>
      <c r="G50" s="1073">
        <v>0.1</v>
      </c>
      <c r="H50" s="1067">
        <v>81.13</v>
      </c>
      <c r="I50" s="1068">
        <v>8.11</v>
      </c>
      <c r="J50" s="1112" t="s">
        <v>1470</v>
      </c>
      <c r="K50" s="1117" t="s">
        <v>2015</v>
      </c>
    </row>
    <row r="51" spans="1:11" s="1440" customFormat="1" ht="15.75">
      <c r="A51" s="1223">
        <v>45526</v>
      </c>
      <c r="B51" s="1472">
        <v>45896</v>
      </c>
      <c r="C51" s="1225" t="s">
        <v>2645</v>
      </c>
      <c r="D51" s="1225" t="s">
        <v>9</v>
      </c>
      <c r="E51" s="1225" t="s">
        <v>948</v>
      </c>
      <c r="F51" s="1477">
        <v>1346.66</v>
      </c>
      <c r="G51" s="1480">
        <v>0.1</v>
      </c>
      <c r="H51" s="1226">
        <v>123.89</v>
      </c>
      <c r="I51" s="1227">
        <v>61.94</v>
      </c>
      <c r="J51" s="1228" t="s">
        <v>2094</v>
      </c>
      <c r="K51" s="1231" t="s">
        <v>2015</v>
      </c>
    </row>
    <row r="52" spans="1:11" ht="15.75">
      <c r="A52" s="1037">
        <v>45524</v>
      </c>
      <c r="B52" s="1038">
        <v>45896</v>
      </c>
      <c r="C52" s="1026" t="s">
        <v>2662</v>
      </c>
      <c r="D52" s="1026" t="s">
        <v>9</v>
      </c>
      <c r="E52" s="1026" t="s">
        <v>948</v>
      </c>
      <c r="F52" s="1059">
        <v>2568.42</v>
      </c>
      <c r="G52" s="1054">
        <v>0.15</v>
      </c>
      <c r="H52" s="1055">
        <v>354.44</v>
      </c>
      <c r="I52" s="1056"/>
      <c r="J52" s="1111"/>
      <c r="K52" s="1115" t="s">
        <v>2015</v>
      </c>
    </row>
    <row r="53" spans="1:11" ht="15.75">
      <c r="A53" s="1037">
        <v>45524</v>
      </c>
      <c r="B53" s="1038">
        <v>45896</v>
      </c>
      <c r="C53" s="1026" t="s">
        <v>2100</v>
      </c>
      <c r="D53" s="1026" t="s">
        <v>448</v>
      </c>
      <c r="E53" s="1026" t="s">
        <v>1080</v>
      </c>
      <c r="F53" s="1059">
        <v>3667.5</v>
      </c>
      <c r="G53" s="1054">
        <v>0.1</v>
      </c>
      <c r="H53" s="1055">
        <v>337.41</v>
      </c>
      <c r="I53" s="1056"/>
      <c r="J53" s="1111"/>
      <c r="K53" s="1115" t="s">
        <v>2015</v>
      </c>
    </row>
    <row r="54" spans="1:11" s="1070" customFormat="1" ht="15.75">
      <c r="A54" s="1451">
        <v>45527</v>
      </c>
      <c r="B54" s="1452">
        <v>45898</v>
      </c>
      <c r="C54" s="1453" t="s">
        <v>1430</v>
      </c>
      <c r="D54" s="1453" t="s">
        <v>448</v>
      </c>
      <c r="E54" s="1453" t="s">
        <v>948</v>
      </c>
      <c r="F54" s="1456">
        <v>2264.8200000000002</v>
      </c>
      <c r="G54" s="1454">
        <v>0.1</v>
      </c>
      <c r="H54" s="1445">
        <v>208.36</v>
      </c>
      <c r="I54" s="1455">
        <v>104.18</v>
      </c>
      <c r="J54" s="1450" t="s">
        <v>2152</v>
      </c>
      <c r="K54" s="1446" t="s">
        <v>2015</v>
      </c>
    </row>
    <row r="55" spans="1:11" s="1357" customFormat="1" ht="15.75">
      <c r="A55" s="1037">
        <v>45526</v>
      </c>
      <c r="B55" s="1038">
        <v>45898</v>
      </c>
      <c r="C55" s="1026" t="s">
        <v>1026</v>
      </c>
      <c r="D55" s="1026" t="s">
        <v>149</v>
      </c>
      <c r="E55" s="1026" t="s">
        <v>1310</v>
      </c>
      <c r="F55" s="1059">
        <v>2590.46</v>
      </c>
      <c r="G55" s="1054">
        <v>0.15</v>
      </c>
      <c r="H55" s="1055">
        <v>357.48</v>
      </c>
      <c r="I55" s="1056"/>
      <c r="J55" s="1111"/>
      <c r="K55" s="1115" t="s">
        <v>2015</v>
      </c>
    </row>
    <row r="56" spans="1:11" s="1357" customFormat="1" ht="15.75">
      <c r="A56" s="1037">
        <v>45526</v>
      </c>
      <c r="B56" s="1038">
        <v>45898</v>
      </c>
      <c r="C56" s="1026" t="s">
        <v>1645</v>
      </c>
      <c r="D56" s="1026" t="s">
        <v>448</v>
      </c>
      <c r="E56" s="1026" t="s">
        <v>945</v>
      </c>
      <c r="F56" s="1059">
        <v>2360.4499999999998</v>
      </c>
      <c r="G56" s="1054">
        <v>0.1</v>
      </c>
      <c r="H56" s="1055">
        <v>217.16</v>
      </c>
      <c r="I56" s="1056"/>
      <c r="J56" s="1111"/>
      <c r="K56" s="1115" t="s">
        <v>2015</v>
      </c>
    </row>
    <row r="57" spans="1:11" s="1357" customFormat="1" ht="15.75">
      <c r="A57" s="1037">
        <v>45534</v>
      </c>
      <c r="B57" s="1038">
        <v>45898</v>
      </c>
      <c r="C57" s="1026" t="s">
        <v>2663</v>
      </c>
      <c r="D57" s="1026" t="s">
        <v>448</v>
      </c>
      <c r="E57" s="1026" t="s">
        <v>1080</v>
      </c>
      <c r="F57" s="1059">
        <v>2055.86</v>
      </c>
      <c r="G57" s="1054">
        <v>0.1</v>
      </c>
      <c r="H57" s="1055">
        <v>189.13</v>
      </c>
      <c r="I57" s="1056"/>
      <c r="J57" s="1111"/>
      <c r="K57" s="1115" t="s">
        <v>2015</v>
      </c>
    </row>
    <row r="58" spans="1:11" s="1070" customFormat="1" ht="15.75">
      <c r="A58" s="1037">
        <v>45533</v>
      </c>
      <c r="B58" s="1038">
        <v>45898</v>
      </c>
      <c r="C58" s="1026" t="s">
        <v>1467</v>
      </c>
      <c r="D58" s="1026" t="s">
        <v>9</v>
      </c>
      <c r="E58" s="1026" t="s">
        <v>1641</v>
      </c>
      <c r="F58" s="1059">
        <v>1847.91</v>
      </c>
      <c r="G58" s="1054">
        <v>0.1</v>
      </c>
      <c r="H58" s="1055">
        <v>170</v>
      </c>
      <c r="I58" s="1056"/>
      <c r="J58" s="1111"/>
      <c r="K58" s="1115" t="s">
        <v>2015</v>
      </c>
    </row>
    <row r="59" spans="1:11" ht="15.75">
      <c r="A59" s="1358">
        <v>45534</v>
      </c>
      <c r="B59" s="1359">
        <v>45899</v>
      </c>
      <c r="C59" s="1360" t="s">
        <v>1069</v>
      </c>
      <c r="D59" s="1360" t="s">
        <v>448</v>
      </c>
      <c r="E59" s="1360" t="s">
        <v>945</v>
      </c>
      <c r="F59" s="1419">
        <v>2608.42</v>
      </c>
      <c r="G59" s="1361">
        <v>0.1</v>
      </c>
      <c r="H59" s="1348">
        <v>239.97</v>
      </c>
      <c r="I59" s="1362">
        <v>119.98</v>
      </c>
      <c r="J59" s="1363" t="s">
        <v>1482</v>
      </c>
      <c r="K59" s="1350" t="s">
        <v>1472</v>
      </c>
    </row>
    <row r="60" spans="1:11" ht="15.75">
      <c r="A60" s="1040">
        <v>45527</v>
      </c>
      <c r="B60" s="1042">
        <v>45900</v>
      </c>
      <c r="C60" s="1030" t="s">
        <v>2637</v>
      </c>
      <c r="D60" s="1030" t="s">
        <v>448</v>
      </c>
      <c r="E60" s="1030" t="s">
        <v>948</v>
      </c>
      <c r="F60" s="1072">
        <v>1871.51</v>
      </c>
      <c r="G60" s="1073">
        <v>0.2</v>
      </c>
      <c r="H60" s="1067">
        <v>344.35</v>
      </c>
      <c r="I60" s="1068">
        <v>34.43</v>
      </c>
      <c r="J60" s="1112" t="s">
        <v>1470</v>
      </c>
      <c r="K60" s="1117" t="s">
        <v>2015</v>
      </c>
    </row>
    <row r="61" spans="1:11" ht="15.75">
      <c r="A61" s="1040">
        <v>45534</v>
      </c>
      <c r="B61" s="1042">
        <v>45900</v>
      </c>
      <c r="C61" s="1030" t="s">
        <v>2638</v>
      </c>
      <c r="D61" s="1030" t="s">
        <v>25</v>
      </c>
      <c r="E61" s="1030" t="s">
        <v>391</v>
      </c>
      <c r="F61" s="1072">
        <v>3063.47</v>
      </c>
      <c r="G61" s="1073">
        <v>0.1</v>
      </c>
      <c r="H61" s="1067">
        <v>281.83</v>
      </c>
      <c r="I61" s="1068"/>
      <c r="J61" s="1112" t="s">
        <v>1470</v>
      </c>
      <c r="K61" s="1117" t="s">
        <v>2015</v>
      </c>
    </row>
    <row r="62" spans="1:11" ht="15.75">
      <c r="A62" s="1474">
        <v>45527</v>
      </c>
      <c r="B62" s="1475">
        <v>45900</v>
      </c>
      <c r="C62" s="1476" t="s">
        <v>2639</v>
      </c>
      <c r="D62" s="1476" t="s">
        <v>9</v>
      </c>
      <c r="E62" s="1476" t="s">
        <v>1310</v>
      </c>
      <c r="F62" s="1479">
        <v>1947.73</v>
      </c>
      <c r="G62" s="1481">
        <v>0.2</v>
      </c>
      <c r="H62" s="1469">
        <v>358.38</v>
      </c>
      <c r="I62" s="1482">
        <v>179.19</v>
      </c>
      <c r="J62" s="1483" t="s">
        <v>2640</v>
      </c>
      <c r="K62" s="1470" t="s">
        <v>2015</v>
      </c>
    </row>
    <row r="63" spans="1:11" ht="15.75">
      <c r="A63" s="1037">
        <v>45526</v>
      </c>
      <c r="B63" s="1038">
        <v>45900</v>
      </c>
      <c r="C63" s="1026" t="s">
        <v>1857</v>
      </c>
      <c r="D63" s="1026" t="s">
        <v>448</v>
      </c>
      <c r="E63" s="1026" t="s">
        <v>948</v>
      </c>
      <c r="F63" s="1059">
        <v>3050.83</v>
      </c>
      <c r="G63" s="1054">
        <v>0.1</v>
      </c>
      <c r="H63" s="1055">
        <v>280.67</v>
      </c>
      <c r="I63" s="1056"/>
      <c r="J63" s="1111"/>
      <c r="K63" s="1115" t="s">
        <v>2015</v>
      </c>
    </row>
    <row r="64" spans="1:11" s="1070" customFormat="1" ht="15.75">
      <c r="A64" s="1037">
        <v>45527</v>
      </c>
      <c r="B64" s="1038">
        <v>45900</v>
      </c>
      <c r="C64" s="1026" t="s">
        <v>1504</v>
      </c>
      <c r="D64" s="1026" t="s">
        <v>376</v>
      </c>
      <c r="E64" s="1026" t="s">
        <v>1641</v>
      </c>
      <c r="F64" s="1059">
        <v>1797.3</v>
      </c>
      <c r="G64" s="1054">
        <v>0.1</v>
      </c>
      <c r="H64" s="1055">
        <v>165.35</v>
      </c>
      <c r="I64" s="1056"/>
      <c r="J64" s="1111"/>
      <c r="K64" s="1115" t="s">
        <v>2015</v>
      </c>
    </row>
    <row r="65" spans="1:11" ht="15.75">
      <c r="A65" s="1372">
        <v>45511</v>
      </c>
      <c r="B65" s="1373" t="s">
        <v>1805</v>
      </c>
      <c r="C65" s="1377" t="s">
        <v>2641</v>
      </c>
      <c r="D65" s="1377" t="s">
        <v>25</v>
      </c>
      <c r="E65" s="1377" t="s">
        <v>948</v>
      </c>
      <c r="F65" s="1402">
        <v>397.46</v>
      </c>
      <c r="G65" s="1378">
        <v>0.15</v>
      </c>
      <c r="H65" s="1335">
        <v>54.84</v>
      </c>
      <c r="I65" s="1374">
        <v>27.42</v>
      </c>
      <c r="J65" s="1375" t="s">
        <v>1577</v>
      </c>
      <c r="K65" s="1337" t="s">
        <v>1805</v>
      </c>
    </row>
    <row r="66" spans="1:11" ht="15.75">
      <c r="A66" s="1037">
        <v>45534</v>
      </c>
      <c r="B66" s="1038" t="s">
        <v>1805</v>
      </c>
      <c r="C66" s="1026" t="s">
        <v>989</v>
      </c>
      <c r="D66" s="1026" t="s">
        <v>25</v>
      </c>
      <c r="E66" s="1026" t="s">
        <v>1593</v>
      </c>
      <c r="F66" s="1059">
        <v>0</v>
      </c>
      <c r="G66" s="1054">
        <v>0.1</v>
      </c>
      <c r="H66" s="1055">
        <v>0</v>
      </c>
      <c r="I66" s="1056">
        <v>0</v>
      </c>
      <c r="J66" s="1111"/>
      <c r="K66" s="1115" t="s">
        <v>1805</v>
      </c>
    </row>
    <row r="67" spans="1:11" ht="15.75">
      <c r="A67" s="1037">
        <v>45534</v>
      </c>
      <c r="B67" s="1038" t="s">
        <v>1805</v>
      </c>
      <c r="C67" s="1026" t="s">
        <v>2664</v>
      </c>
      <c r="D67" s="1026" t="s">
        <v>832</v>
      </c>
      <c r="E67" s="1026" t="s">
        <v>1310</v>
      </c>
      <c r="F67" s="1059">
        <v>155.25</v>
      </c>
      <c r="G67" s="1054">
        <v>0.1</v>
      </c>
      <c r="H67" s="1055">
        <v>14.28</v>
      </c>
      <c r="I67" s="1056"/>
      <c r="J67" s="1111"/>
      <c r="K67" s="1115" t="s">
        <v>1805</v>
      </c>
    </row>
    <row r="68" spans="1:11" ht="15.75">
      <c r="A68" s="1037">
        <v>45513</v>
      </c>
      <c r="B68" s="1038" t="s">
        <v>1805</v>
      </c>
      <c r="C68" s="1026" t="s">
        <v>2244</v>
      </c>
      <c r="D68" s="1026" t="s">
        <v>2665</v>
      </c>
      <c r="E68" s="1026" t="s">
        <v>1593</v>
      </c>
      <c r="F68" s="1059">
        <v>-149.75</v>
      </c>
      <c r="G68" s="1054">
        <v>0.1</v>
      </c>
      <c r="H68" s="1055">
        <v>-14.97</v>
      </c>
      <c r="I68" s="1056"/>
      <c r="J68" s="1111"/>
      <c r="K68" s="1115" t="s">
        <v>1805</v>
      </c>
    </row>
    <row r="69" spans="1:11" ht="16.5" thickBot="1">
      <c r="A69" s="1037">
        <v>45520</v>
      </c>
      <c r="B69" s="1038" t="s">
        <v>1805</v>
      </c>
      <c r="C69" s="1026" t="s">
        <v>2666</v>
      </c>
      <c r="D69" s="1026" t="s">
        <v>14</v>
      </c>
      <c r="E69" s="1026" t="s">
        <v>458</v>
      </c>
      <c r="F69" s="1059">
        <v>660.51</v>
      </c>
      <c r="G69" s="1054">
        <v>0.1</v>
      </c>
      <c r="H69" s="1055">
        <v>58.05</v>
      </c>
      <c r="I69" s="1056"/>
      <c r="J69" s="1111"/>
      <c r="K69" s="1115" t="s">
        <v>1805</v>
      </c>
    </row>
    <row r="70" spans="1:11" ht="20.25" thickBot="1">
      <c r="A70" s="1158"/>
      <c r="B70" s="1159"/>
      <c r="C70" s="1159"/>
      <c r="D70" s="1159"/>
      <c r="E70" s="1159"/>
      <c r="F70" s="1160">
        <f>SUM(F2:F69)</f>
        <v>221886.22000000006</v>
      </c>
      <c r="G70" s="1161"/>
      <c r="H70" s="1162">
        <f>SUM(H2:H69)</f>
        <v>23409.77</v>
      </c>
      <c r="I70" s="1163">
        <f>SUM(I38:I69)</f>
        <v>1175.3</v>
      </c>
      <c r="J70" s="1164"/>
      <c r="K70" s="1157"/>
    </row>
    <row r="71" spans="1:11" ht="15.75" customHeight="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116"/>
    </row>
    <row r="72" spans="1:11" ht="15.75" customHeight="1">
      <c r="A72" s="1037"/>
      <c r="B72" s="1037"/>
      <c r="C72" s="1026"/>
      <c r="D72" s="1026"/>
      <c r="E72" s="1026"/>
      <c r="F72" s="1059"/>
      <c r="G72" s="1054"/>
      <c r="H72" s="1269"/>
      <c r="I72" s="1056"/>
      <c r="J72" s="1111"/>
      <c r="K72" s="1116"/>
    </row>
    <row r="73" spans="1:11" ht="15.75" customHeight="1">
      <c r="A73" s="1037"/>
      <c r="B73" s="1038"/>
      <c r="C73" s="1026"/>
      <c r="D73" s="1026"/>
      <c r="E73" s="1026"/>
      <c r="F73" s="1059"/>
      <c r="G73" s="1054"/>
      <c r="H73" s="1269"/>
      <c r="I73" s="1056"/>
      <c r="J73" s="1111"/>
      <c r="K73" s="1116"/>
    </row>
    <row r="74" spans="1:11" ht="15.75" customHeight="1">
      <c r="A74" s="1037"/>
      <c r="B74" s="1038"/>
      <c r="C74" s="1026"/>
      <c r="D74" s="1026"/>
      <c r="E74" s="1026"/>
      <c r="F74" s="1059"/>
      <c r="G74" s="1054" t="s">
        <v>442</v>
      </c>
      <c r="H74" s="1269"/>
      <c r="I74" s="1056"/>
      <c r="J74" s="1111"/>
      <c r="K74" s="1116"/>
    </row>
    <row r="75" spans="1:11" ht="15.75" customHeight="1">
      <c r="A75" s="1037"/>
      <c r="B75" s="1038"/>
      <c r="C75" s="1026"/>
      <c r="D75" s="1026"/>
      <c r="E75" s="1026"/>
      <c r="F75" s="1059"/>
      <c r="G75" s="1054"/>
      <c r="H75" s="1269" t="s">
        <v>442</v>
      </c>
      <c r="I75" s="1056"/>
      <c r="J75" s="1111"/>
      <c r="K75" s="1116"/>
    </row>
    <row r="76" spans="1:11" ht="15.75" customHeight="1">
      <c r="A76" s="1037"/>
      <c r="B76" s="1038"/>
      <c r="C76" s="1026"/>
      <c r="D76" s="1026"/>
      <c r="E76" s="1026"/>
      <c r="F76" s="1059"/>
      <c r="G76" s="1054"/>
      <c r="H76" s="1269"/>
      <c r="I76" s="1056"/>
      <c r="J76" s="1111"/>
      <c r="K76" s="1116"/>
    </row>
    <row r="77" spans="1:11" ht="15.75" customHeight="1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1116"/>
    </row>
    <row r="78" spans="1:11" ht="15.75" customHeight="1">
      <c r="A78" s="1037"/>
      <c r="B78" s="1038"/>
      <c r="C78" s="1026"/>
      <c r="D78" s="1026"/>
      <c r="E78" s="1026"/>
      <c r="F78" s="1059"/>
      <c r="G78" s="1054"/>
      <c r="H78" s="1269"/>
      <c r="I78" s="1056"/>
      <c r="J78" s="1111"/>
      <c r="K78" s="1116"/>
    </row>
    <row r="79" spans="1:11" ht="15.75" customHeight="1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1116"/>
    </row>
    <row r="80" spans="1:11" ht="15.75" customHeight="1">
      <c r="A80" s="1037"/>
      <c r="B80" s="1038"/>
      <c r="C80" s="1026"/>
      <c r="D80" s="1026"/>
      <c r="E80" s="1026"/>
      <c r="F80" s="1059"/>
      <c r="G80" s="1054"/>
      <c r="H80" s="1269"/>
      <c r="I80" s="1056"/>
      <c r="J80" s="1111"/>
      <c r="K80" s="1262"/>
    </row>
    <row r="81" spans="1:11" ht="15.75" customHeight="1">
      <c r="A81" s="1037"/>
      <c r="B81" s="1038"/>
      <c r="C81" s="1026"/>
      <c r="D81" s="1026"/>
      <c r="E81" s="1026"/>
      <c r="F81" s="1059"/>
      <c r="G81" s="1054"/>
      <c r="H81" s="1269"/>
      <c r="I81" s="1056"/>
      <c r="J81" s="1111"/>
      <c r="K81" s="1116"/>
    </row>
    <row r="82" spans="1:11" ht="15.75" customHeight="1">
      <c r="A82" s="1037"/>
      <c r="B82" s="1038"/>
      <c r="C82" s="1026"/>
      <c r="D82" s="1026"/>
      <c r="E82" s="1026"/>
      <c r="F82" s="1059"/>
      <c r="G82" s="1059"/>
      <c r="H82" s="1269"/>
      <c r="I82" s="1056"/>
      <c r="J82" s="1111"/>
      <c r="K82" s="1116"/>
    </row>
    <row r="83" spans="1:11" ht="15.75" customHeight="1">
      <c r="A83" s="1037"/>
      <c r="B83" s="1038"/>
      <c r="C83" s="1026"/>
      <c r="D83" s="1026"/>
      <c r="E83" s="1026"/>
      <c r="F83" s="1059"/>
      <c r="G83" s="1059"/>
      <c r="H83" s="1269"/>
      <c r="I83" s="1056"/>
      <c r="J83" s="1111"/>
      <c r="K83" s="1262"/>
    </row>
    <row r="84" spans="1:11" ht="15.75" customHeight="1">
      <c r="A84" s="1037"/>
      <c r="B84" s="1038"/>
      <c r="C84" s="1026"/>
      <c r="D84" s="1026"/>
      <c r="E84" s="1026"/>
      <c r="F84" s="1059"/>
      <c r="G84" s="1059"/>
      <c r="H84" s="1269"/>
      <c r="I84" s="1056"/>
      <c r="J84" s="1111"/>
      <c r="K84" s="505"/>
    </row>
    <row r="85" spans="1:11" ht="15.75" customHeight="1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116"/>
    </row>
    <row r="86" spans="1:11" ht="15.75" customHeight="1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116"/>
    </row>
    <row r="87" spans="1:11" ht="15.75" customHeight="1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6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116"/>
    </row>
    <row r="89" spans="1:11" ht="15.75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116"/>
    </row>
    <row r="90" spans="1:11" ht="15.75">
      <c r="A90" s="1037"/>
      <c r="B90" s="1038"/>
      <c r="C90" s="1025"/>
      <c r="D90" s="1025"/>
      <c r="E90" s="1025"/>
      <c r="F90" s="1059"/>
      <c r="G90" s="1062"/>
      <c r="H90" s="1055"/>
      <c r="I90" s="1056"/>
      <c r="J90" s="1111"/>
      <c r="K90" s="1116"/>
    </row>
    <row r="91" spans="1:11" ht="15.75">
      <c r="A91" s="1037"/>
      <c r="B91" s="1039"/>
      <c r="C91" s="1025"/>
      <c r="D91" s="1025"/>
      <c r="E91" s="1025"/>
      <c r="F91" s="1059"/>
      <c r="G91" s="1054"/>
      <c r="H91" s="1269"/>
      <c r="I91" s="1056"/>
      <c r="J91" s="1111"/>
      <c r="K91" s="1116"/>
    </row>
    <row r="92" spans="1:11" ht="15.75">
      <c r="A92" s="1037"/>
      <c r="B92" s="1038"/>
      <c r="C92" s="1026"/>
      <c r="D92" s="1026"/>
      <c r="E92" s="1026"/>
      <c r="F92" s="1059"/>
      <c r="G92" s="1054"/>
      <c r="H92" s="1269"/>
      <c r="I92" s="1056"/>
      <c r="J92" s="1111"/>
      <c r="K92" s="1116"/>
    </row>
    <row r="93" spans="1:11" ht="15.75">
      <c r="A93" s="1037"/>
      <c r="B93" s="1038"/>
      <c r="C93" s="1026"/>
      <c r="D93" s="1026"/>
      <c r="E93" s="1026"/>
      <c r="F93" s="1059"/>
      <c r="G93" s="1054"/>
      <c r="H93" s="1269"/>
      <c r="I93" s="1056"/>
      <c r="J93" s="1111"/>
      <c r="K93" s="1116"/>
    </row>
    <row r="94" spans="1:11" ht="15.75">
      <c r="A94" s="1037"/>
      <c r="B94" s="1038"/>
      <c r="C94" s="1026"/>
      <c r="D94" s="1026"/>
      <c r="E94" s="1026"/>
      <c r="F94" s="1059"/>
      <c r="G94" s="1054"/>
      <c r="H94" s="1269"/>
      <c r="I94" s="1056"/>
      <c r="J94" s="1111"/>
      <c r="K94" s="1116"/>
    </row>
    <row r="95" spans="1:11" ht="15.75">
      <c r="A95" s="1037"/>
      <c r="B95" s="1038"/>
      <c r="C95" s="1026"/>
      <c r="D95" s="1026"/>
      <c r="E95" s="1026"/>
      <c r="F95" s="1059"/>
      <c r="G95" s="1054"/>
      <c r="H95" s="1269"/>
      <c r="I95" s="1056"/>
      <c r="J95" s="1111"/>
      <c r="K95" s="1116"/>
    </row>
    <row r="96" spans="1:11" ht="15.75">
      <c r="A96" s="1037"/>
      <c r="B96" s="1038"/>
      <c r="C96" s="1026"/>
      <c r="D96" s="1026"/>
      <c r="E96" s="1026"/>
      <c r="F96" s="1059"/>
      <c r="G96" s="1054"/>
      <c r="H96" s="1269"/>
      <c r="I96" s="1056"/>
      <c r="J96" s="1111"/>
      <c r="K96" s="1116"/>
    </row>
    <row r="97" spans="1:11" ht="15.75">
      <c r="A97" s="1037"/>
      <c r="B97" s="1038"/>
      <c r="C97" s="1026"/>
      <c r="D97" s="1026"/>
      <c r="E97" s="1026"/>
      <c r="F97" s="1059"/>
      <c r="G97" s="1054"/>
      <c r="H97" s="1269"/>
      <c r="I97" s="1056"/>
      <c r="J97" s="1111"/>
      <c r="K97" s="1116"/>
    </row>
    <row r="98" spans="1:11" ht="15.75">
      <c r="A98" s="1037"/>
      <c r="B98" s="1038"/>
      <c r="C98" s="1026"/>
      <c r="D98" s="1026"/>
      <c r="E98" s="1026"/>
      <c r="F98" s="1059"/>
      <c r="G98" s="1054"/>
      <c r="H98" s="1269"/>
      <c r="I98" s="1056"/>
      <c r="J98" s="1111"/>
      <c r="K98" s="1116"/>
    </row>
    <row r="99" spans="1:11" ht="15.75">
      <c r="A99" s="1037"/>
      <c r="B99" s="1038"/>
      <c r="C99" s="1026"/>
      <c r="D99" s="1026"/>
      <c r="E99" s="1026"/>
      <c r="F99" s="1059"/>
      <c r="G99" s="1054"/>
      <c r="H99" s="1269"/>
      <c r="I99" s="1056"/>
      <c r="J99" s="1111"/>
      <c r="K99" s="1116"/>
    </row>
    <row r="100" spans="1:11" ht="15.75">
      <c r="A100" s="1037"/>
      <c r="B100" s="1038"/>
      <c r="C100" s="1026"/>
      <c r="D100" s="1026"/>
      <c r="E100" s="1026"/>
      <c r="F100" s="1059"/>
      <c r="G100" s="1054"/>
      <c r="H100" s="1269"/>
      <c r="I100" s="1056"/>
      <c r="J100" s="1111"/>
      <c r="K100" s="1116"/>
    </row>
    <row r="101" spans="1:11" ht="15.75">
      <c r="A101" s="1037"/>
      <c r="B101" s="1038"/>
      <c r="C101" s="1026"/>
      <c r="D101" s="1026"/>
      <c r="E101" s="1026"/>
      <c r="F101" s="1059"/>
      <c r="G101" s="1054"/>
      <c r="H101" s="1269"/>
      <c r="I101" s="1056"/>
      <c r="J101" s="1111"/>
      <c r="K101" s="1116"/>
    </row>
    <row r="102" spans="1:11" ht="15.75">
      <c r="A102" s="1037"/>
      <c r="B102" s="1038"/>
      <c r="C102" s="1026"/>
      <c r="D102" s="1026"/>
      <c r="E102" s="1026"/>
      <c r="F102" s="1059"/>
      <c r="G102" s="1054"/>
      <c r="H102" s="1269"/>
      <c r="I102" s="1056"/>
      <c r="J102" s="1111"/>
      <c r="K102" s="1116"/>
    </row>
    <row r="103" spans="1:11" ht="15.75">
      <c r="A103" s="1037"/>
      <c r="B103" s="1038"/>
      <c r="C103" s="1026"/>
      <c r="D103" s="1026"/>
      <c r="E103" s="1026"/>
      <c r="F103" s="1059"/>
      <c r="G103" s="1054"/>
      <c r="H103" s="1269"/>
      <c r="I103" s="1056"/>
      <c r="J103" s="1111"/>
      <c r="K103" s="1116"/>
    </row>
    <row r="104" spans="1:11" ht="15.75">
      <c r="A104" s="1037"/>
      <c r="B104" s="1038"/>
      <c r="C104" s="1026"/>
      <c r="D104" s="1026"/>
      <c r="E104" s="1026"/>
      <c r="F104" s="1059"/>
      <c r="G104" s="1054"/>
      <c r="H104" s="1269"/>
      <c r="I104" s="1056"/>
      <c r="J104" s="1111"/>
      <c r="K104" s="1116"/>
    </row>
    <row r="105" spans="1:11">
      <c r="A105" s="1037"/>
      <c r="B105" s="1038"/>
      <c r="C105" s="1026"/>
      <c r="D105" s="1026"/>
      <c r="E105" s="1026"/>
      <c r="F105" s="1059"/>
      <c r="G105" s="1059"/>
      <c r="H105" s="1269"/>
      <c r="I105" s="1056"/>
      <c r="J105" s="1111"/>
      <c r="K105" s="1262"/>
    </row>
    <row r="106" spans="1:11">
      <c r="A106" s="1037"/>
      <c r="B106" s="1038"/>
      <c r="C106" s="1026"/>
      <c r="D106" s="1026"/>
      <c r="E106" s="1026"/>
      <c r="F106" s="1059"/>
      <c r="G106" s="1059"/>
      <c r="H106" s="1269"/>
      <c r="I106" s="1056"/>
      <c r="J106" s="1111"/>
      <c r="K106" s="1262"/>
    </row>
    <row r="107" spans="1:11">
      <c r="A107" s="1037"/>
      <c r="B107" s="1038"/>
      <c r="C107" s="1026"/>
      <c r="D107" s="1026"/>
      <c r="E107" s="1026"/>
      <c r="F107" s="1059"/>
      <c r="G107" s="1059"/>
      <c r="H107" s="1269"/>
      <c r="I107" s="1056"/>
      <c r="J107" s="1111"/>
      <c r="K107" s="505"/>
    </row>
    <row r="108" spans="1:11" ht="15.75">
      <c r="A108" s="1037"/>
      <c r="B108" s="1038"/>
      <c r="C108" s="1026"/>
      <c r="D108" s="1026"/>
      <c r="E108" s="1026"/>
      <c r="F108" s="1059"/>
      <c r="G108" s="1054"/>
      <c r="H108" s="1269"/>
      <c r="I108" s="1056"/>
      <c r="J108" s="1111"/>
      <c r="K108" s="1116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1262"/>
    </row>
    <row r="110" spans="1:11">
      <c r="A110" s="1037"/>
      <c r="B110" s="1038"/>
      <c r="C110" s="1026"/>
      <c r="D110" s="1026"/>
      <c r="E110" s="1026"/>
      <c r="F110" s="1059"/>
      <c r="G110" s="1059"/>
      <c r="H110" s="1269"/>
      <c r="I110" s="1056"/>
      <c r="J110" s="1111"/>
      <c r="K110" s="1262"/>
    </row>
    <row r="111" spans="1:11">
      <c r="A111" s="1037"/>
      <c r="B111" s="1038"/>
      <c r="C111" s="1026"/>
      <c r="D111" s="1026"/>
      <c r="E111" s="1026"/>
      <c r="F111" s="1059"/>
      <c r="G111" s="1059"/>
      <c r="H111" s="1269"/>
      <c r="I111" s="1056"/>
      <c r="J111" s="1111"/>
      <c r="K111" s="505"/>
    </row>
    <row r="112" spans="1:11" ht="15.75">
      <c r="A112" s="1037"/>
      <c r="B112" s="1038"/>
      <c r="C112" s="1026"/>
      <c r="D112" s="1026"/>
      <c r="E112" s="1026"/>
      <c r="F112" s="1059"/>
      <c r="G112" s="1054"/>
      <c r="H112" s="1269"/>
      <c r="I112" s="1056"/>
      <c r="J112" s="1111"/>
      <c r="K112" s="1116"/>
    </row>
    <row r="113" spans="1:11" ht="15.75">
      <c r="A113" s="1037"/>
      <c r="B113" s="1038"/>
      <c r="C113" s="1026"/>
      <c r="D113" s="1026"/>
      <c r="E113" s="1026"/>
      <c r="F113" s="1059"/>
      <c r="G113" s="1054"/>
      <c r="H113" s="1269"/>
      <c r="I113" s="1056"/>
      <c r="J113" s="1111"/>
      <c r="K113" s="1116"/>
    </row>
    <row r="114" spans="1:11">
      <c r="A114" s="1037"/>
      <c r="B114" s="1038"/>
      <c r="C114" s="1026"/>
      <c r="D114" s="1026"/>
      <c r="E114" s="1026"/>
      <c r="F114" s="1059"/>
      <c r="G114" s="1059"/>
      <c r="H114" s="1269"/>
      <c r="I114" s="1056"/>
      <c r="J114" s="1111"/>
      <c r="K114" s="1262"/>
    </row>
    <row r="115" spans="1:11">
      <c r="A115" s="1037"/>
      <c r="B115" s="1038"/>
      <c r="C115" s="1026"/>
      <c r="D115" s="1026"/>
      <c r="E115" s="1026"/>
      <c r="F115" s="1059"/>
      <c r="G115" s="1059"/>
      <c r="H115" s="1269"/>
      <c r="I115" s="1056"/>
      <c r="J115" s="1111"/>
      <c r="K115" s="1262"/>
    </row>
    <row r="116" spans="1:11">
      <c r="A116" s="1037"/>
      <c r="B116" s="1038"/>
      <c r="C116" s="1026"/>
      <c r="D116" s="1026"/>
      <c r="E116" s="1026"/>
      <c r="F116" s="1059"/>
      <c r="G116" s="1059"/>
      <c r="H116" s="1269"/>
      <c r="I116" s="1056"/>
      <c r="J116" s="1111"/>
      <c r="K116" s="505"/>
    </row>
    <row r="117" spans="1:11">
      <c r="A117" s="1037"/>
      <c r="B117" s="1038"/>
      <c r="C117" s="1026"/>
      <c r="D117" s="1026"/>
      <c r="E117" s="1026"/>
      <c r="F117" s="1059"/>
      <c r="G117" s="1059"/>
      <c r="H117" s="1269"/>
      <c r="I117" s="1056"/>
      <c r="J117" s="1111"/>
      <c r="K117" s="1262"/>
    </row>
    <row r="118" spans="1:11">
      <c r="A118" s="1037"/>
      <c r="B118" s="1038"/>
      <c r="C118" s="1026"/>
      <c r="D118" s="1026"/>
      <c r="E118" s="1026"/>
      <c r="F118" s="1059"/>
      <c r="G118" s="1059"/>
      <c r="H118" s="1269"/>
      <c r="I118" s="1056"/>
      <c r="J118" s="1111"/>
      <c r="K118" s="505"/>
    </row>
    <row r="119" spans="1:11">
      <c r="A119" s="1037"/>
      <c r="B119" s="1038"/>
      <c r="C119" s="1026"/>
      <c r="D119" s="1026"/>
      <c r="E119" s="1026"/>
      <c r="F119" s="1059"/>
      <c r="G119" s="1059"/>
      <c r="H119" s="1269"/>
      <c r="I119" s="1056"/>
      <c r="J119" s="1111"/>
      <c r="K119" s="505"/>
    </row>
    <row r="120" spans="1:11" ht="15.75">
      <c r="A120" s="1037"/>
      <c r="B120" s="1038"/>
      <c r="C120" s="1026"/>
      <c r="D120" s="1026"/>
      <c r="E120" s="1026"/>
      <c r="F120" s="1059"/>
      <c r="G120" s="1054"/>
      <c r="H120" s="1269"/>
      <c r="I120" s="1056"/>
      <c r="J120" s="1111"/>
      <c r="K120" s="1116"/>
    </row>
    <row r="121" spans="1:11">
      <c r="A121" s="1037"/>
      <c r="B121" s="1038"/>
      <c r="C121" s="1026"/>
      <c r="D121" s="1026"/>
      <c r="E121" s="1026"/>
      <c r="F121" s="1059"/>
      <c r="G121" s="1059"/>
      <c r="H121" s="1269"/>
      <c r="I121" s="1056"/>
      <c r="J121" s="1111"/>
      <c r="K121" s="1262"/>
    </row>
    <row r="122" spans="1:11">
      <c r="A122" s="1037"/>
      <c r="B122" s="1038"/>
      <c r="C122" s="1026"/>
      <c r="D122" s="1026"/>
      <c r="E122" s="1026"/>
      <c r="F122" s="1059"/>
      <c r="G122" s="1059"/>
      <c r="H122" s="1269"/>
      <c r="I122" s="1056"/>
      <c r="J122" s="1111"/>
      <c r="K122" s="505"/>
    </row>
    <row r="123" spans="1:11">
      <c r="A123" s="1037"/>
      <c r="B123" s="1038"/>
      <c r="C123" s="1026"/>
      <c r="D123" s="1026"/>
      <c r="E123" s="1026"/>
      <c r="F123" s="1059"/>
      <c r="G123" s="1059"/>
      <c r="H123" s="1269"/>
      <c r="I123" s="1056"/>
      <c r="J123" s="1111"/>
      <c r="K123" s="505"/>
    </row>
    <row r="124" spans="1:11" ht="15.75">
      <c r="A124" s="1037"/>
      <c r="B124" s="1038"/>
      <c r="C124" s="1026"/>
      <c r="D124" s="1026"/>
      <c r="E124" s="1026"/>
      <c r="F124" s="1059"/>
      <c r="G124" s="1059"/>
      <c r="H124" s="1269"/>
      <c r="I124" s="1056"/>
      <c r="J124" s="1111"/>
      <c r="K124" s="1116"/>
    </row>
    <row r="125" spans="1:11">
      <c r="A125" s="1037"/>
      <c r="B125" s="1038"/>
      <c r="C125" s="1026"/>
      <c r="D125" s="1026"/>
      <c r="E125" s="1026"/>
      <c r="F125" s="1059"/>
      <c r="G125" s="1059"/>
      <c r="H125" s="1269"/>
      <c r="I125" s="1056"/>
      <c r="J125" s="1111"/>
      <c r="K125" s="505"/>
    </row>
    <row r="126" spans="1:11">
      <c r="A126" s="1037"/>
      <c r="B126" s="1038"/>
      <c r="C126" s="1026"/>
      <c r="D126" s="1026"/>
      <c r="E126" s="1026"/>
      <c r="F126" s="1059"/>
      <c r="G126" s="1059"/>
      <c r="H126" s="1269"/>
      <c r="I126" s="1056"/>
      <c r="J126" s="1111"/>
      <c r="K126" s="505"/>
    </row>
    <row r="127" spans="1:11">
      <c r="A127" s="1037"/>
      <c r="B127" s="1038"/>
      <c r="C127" s="1026"/>
      <c r="D127" s="1026"/>
      <c r="E127" s="1026"/>
      <c r="F127" s="1059"/>
      <c r="G127" s="1059"/>
      <c r="H127" s="1269"/>
      <c r="I127" s="1056"/>
      <c r="J127" s="1111"/>
      <c r="K127" s="1262"/>
    </row>
    <row r="128" spans="1:11">
      <c r="A128" s="1037"/>
      <c r="B128" s="1038"/>
      <c r="C128" s="1026"/>
      <c r="D128" s="1026"/>
      <c r="E128" s="1026"/>
      <c r="F128" s="1059"/>
      <c r="G128" s="1059"/>
      <c r="H128" s="1269"/>
      <c r="I128" s="1056"/>
      <c r="J128" s="1111"/>
      <c r="K128" s="505"/>
    </row>
    <row r="129" spans="1:11">
      <c r="A129" s="1037"/>
      <c r="B129" s="1038"/>
      <c r="C129" s="1026"/>
      <c r="D129" s="1026"/>
      <c r="E129" s="1026"/>
      <c r="F129" s="1059"/>
      <c r="G129" s="1054"/>
      <c r="H129" s="1269"/>
      <c r="I129" s="1056"/>
      <c r="J129" s="1111"/>
      <c r="K129" s="505"/>
    </row>
    <row r="130" spans="1:11" ht="15.75">
      <c r="A130" s="1037"/>
      <c r="B130" s="1038"/>
      <c r="C130" s="1025"/>
      <c r="D130" s="1026"/>
      <c r="E130" s="1026"/>
      <c r="F130" s="1059"/>
      <c r="G130" s="1054"/>
      <c r="H130" s="1269"/>
      <c r="I130" s="1056"/>
      <c r="J130" s="1111"/>
      <c r="K130" s="1116"/>
    </row>
    <row r="131" spans="1:11" ht="15.75">
      <c r="A131" s="1037"/>
      <c r="B131" s="1038"/>
      <c r="C131" s="1026"/>
      <c r="D131" s="1026"/>
      <c r="E131" s="1026"/>
      <c r="F131" s="1059"/>
      <c r="G131" s="1054"/>
      <c r="H131" s="1269"/>
      <c r="I131" s="1056"/>
      <c r="J131" s="1111"/>
      <c r="K131" s="1116"/>
    </row>
    <row r="132" spans="1:11" ht="15.75">
      <c r="A132" s="1037"/>
      <c r="B132" s="1038"/>
      <c r="C132" s="1026"/>
      <c r="D132" s="1026"/>
      <c r="E132" s="1026"/>
      <c r="F132" s="1059"/>
      <c r="G132" s="1054"/>
      <c r="H132" s="1269"/>
      <c r="I132" s="1056"/>
      <c r="J132" s="1111"/>
      <c r="K132" s="1116"/>
    </row>
    <row r="133" spans="1:11" ht="15.75">
      <c r="A133" s="1037"/>
      <c r="B133" s="1038"/>
      <c r="C133" s="1026"/>
      <c r="D133" s="1026"/>
      <c r="E133" s="1026"/>
      <c r="F133" s="1059"/>
      <c r="G133" s="1054"/>
      <c r="H133" s="1269"/>
      <c r="I133" s="1056"/>
      <c r="J133" s="1111"/>
      <c r="K133" s="1116"/>
    </row>
    <row r="134" spans="1:11" ht="15.75">
      <c r="A134" s="1037"/>
      <c r="B134" s="1038"/>
      <c r="C134" s="1026"/>
      <c r="D134" s="1026"/>
      <c r="E134" s="1026"/>
      <c r="F134" s="1059"/>
      <c r="G134" s="1054"/>
      <c r="H134" s="1269"/>
      <c r="I134" s="1056"/>
      <c r="J134" s="1111"/>
      <c r="K134" s="1116"/>
    </row>
    <row r="135" spans="1:11">
      <c r="A135" s="1037"/>
      <c r="B135" s="1038"/>
      <c r="C135" s="1026"/>
      <c r="D135" s="1026"/>
      <c r="E135" s="1026"/>
      <c r="F135" s="1059"/>
      <c r="G135" s="1059"/>
      <c r="H135" s="1269"/>
      <c r="I135" s="1056"/>
      <c r="J135" s="1111"/>
      <c r="K135" s="1262"/>
    </row>
    <row r="136" spans="1:11">
      <c r="A136" s="1037"/>
      <c r="B136" s="1038"/>
      <c r="C136" s="1026"/>
      <c r="D136" s="1026"/>
      <c r="E136" s="1026"/>
      <c r="F136" s="1059"/>
      <c r="G136" s="1059"/>
      <c r="H136" s="1269"/>
      <c r="I136" s="1056"/>
      <c r="J136" s="1111"/>
      <c r="K136" s="505"/>
    </row>
    <row r="137" spans="1:11" ht="15.75">
      <c r="A137" s="1037"/>
      <c r="B137" s="1038"/>
      <c r="C137" s="1026"/>
      <c r="D137" s="1026"/>
      <c r="E137" s="1026"/>
      <c r="F137" s="1059"/>
      <c r="G137" s="1054"/>
      <c r="H137" s="1269"/>
      <c r="I137" s="1056"/>
      <c r="J137" s="1111"/>
      <c r="K137" s="1116"/>
    </row>
    <row r="138" spans="1:11" ht="15.75">
      <c r="A138" s="1037"/>
      <c r="B138" s="1038"/>
      <c r="C138" s="1026"/>
      <c r="D138" s="1026"/>
      <c r="E138" s="1026"/>
      <c r="F138" s="1059"/>
      <c r="G138" s="1054"/>
      <c r="H138" s="1269"/>
      <c r="I138" s="1056"/>
      <c r="J138" s="1111"/>
      <c r="K138" s="1116"/>
    </row>
    <row r="139" spans="1:11" ht="15.75">
      <c r="A139" s="1037"/>
      <c r="B139" s="1038"/>
      <c r="C139" s="1026"/>
      <c r="D139" s="1026"/>
      <c r="E139" s="1026"/>
      <c r="F139" s="1059"/>
      <c r="G139" s="1054"/>
      <c r="H139" s="1269"/>
      <c r="I139" s="1056"/>
      <c r="J139" s="1111"/>
      <c r="K139" s="1116"/>
    </row>
    <row r="140" spans="1:11">
      <c r="A140" s="1037"/>
      <c r="B140" s="1038"/>
      <c r="C140" s="1026"/>
      <c r="D140" s="1026"/>
      <c r="E140" s="1026"/>
      <c r="F140" s="1059"/>
      <c r="G140" s="1054"/>
      <c r="H140" s="1269"/>
      <c r="I140" s="1056"/>
      <c r="J140" s="1111"/>
      <c r="K140" s="1262"/>
    </row>
    <row r="141" spans="1:11">
      <c r="A141" s="1037"/>
      <c r="B141" s="1038"/>
      <c r="C141" s="1026"/>
      <c r="D141" s="1026"/>
      <c r="E141" s="1026"/>
      <c r="F141" s="1059"/>
      <c r="G141" s="1054"/>
      <c r="H141" s="1269"/>
      <c r="I141" s="1056"/>
      <c r="J141" s="1111"/>
      <c r="K141" s="1262"/>
    </row>
    <row r="142" spans="1:11">
      <c r="A142" s="1037"/>
      <c r="B142" s="1038"/>
      <c r="C142" s="1026"/>
      <c r="D142" s="1026"/>
      <c r="E142" s="1026"/>
      <c r="F142" s="1059"/>
      <c r="G142" s="1059"/>
      <c r="H142" s="1269"/>
      <c r="I142" s="1056"/>
      <c r="J142" s="1111"/>
      <c r="K142" s="1262"/>
    </row>
    <row r="143" spans="1:11">
      <c r="A143" s="1037"/>
      <c r="B143" s="1038"/>
      <c r="C143" s="1026"/>
      <c r="D143" s="1026"/>
      <c r="E143" s="1026"/>
      <c r="F143" s="1059"/>
      <c r="G143" s="1059"/>
      <c r="H143" s="1269"/>
      <c r="I143" s="1056"/>
      <c r="J143" s="1111"/>
      <c r="K143" s="505"/>
    </row>
    <row r="144" spans="1:11">
      <c r="A144" s="1037"/>
      <c r="B144" s="1038"/>
      <c r="C144" s="1026"/>
      <c r="D144" s="1026"/>
      <c r="E144" s="1026"/>
      <c r="F144" s="1059"/>
      <c r="G144" s="1059"/>
      <c r="H144" s="1269"/>
      <c r="I144" s="1056"/>
      <c r="J144" s="1111"/>
      <c r="K144" s="1262"/>
    </row>
    <row r="145" spans="1:11">
      <c r="A145" s="1037"/>
      <c r="B145" s="1038"/>
      <c r="C145" s="1026"/>
      <c r="D145" s="1026"/>
      <c r="E145" s="1026"/>
      <c r="F145" s="1059"/>
      <c r="G145" s="1059"/>
      <c r="H145" s="1269"/>
      <c r="I145" s="1056"/>
      <c r="J145" s="1111"/>
      <c r="K145" s="505"/>
    </row>
    <row r="146" spans="1:11" ht="15.75">
      <c r="A146" s="1037"/>
      <c r="B146" s="1038"/>
      <c r="C146" s="1026"/>
      <c r="D146" s="1026"/>
      <c r="E146" s="1026"/>
      <c r="F146" s="1059"/>
      <c r="G146" s="1054"/>
      <c r="H146" s="1269"/>
      <c r="I146" s="1056"/>
      <c r="J146" s="1111"/>
      <c r="K146" s="1116"/>
    </row>
    <row r="147" spans="1:11" ht="15.75">
      <c r="A147" s="1037"/>
      <c r="B147" s="1038"/>
      <c r="C147" s="1026"/>
      <c r="D147" s="1026"/>
      <c r="E147" s="1026"/>
      <c r="F147" s="1059"/>
      <c r="G147" s="1059"/>
      <c r="H147" s="1269"/>
      <c r="I147" s="1056"/>
      <c r="J147" s="1111"/>
      <c r="K147" s="1116"/>
    </row>
    <row r="148" spans="1:11">
      <c r="A148" s="1037"/>
      <c r="B148" s="1038"/>
      <c r="C148" s="1026"/>
      <c r="D148" s="1026"/>
      <c r="E148" s="1026"/>
      <c r="F148" s="1059"/>
      <c r="G148" s="1059"/>
      <c r="H148" s="1269"/>
      <c r="I148" s="1056"/>
      <c r="J148" s="1111"/>
      <c r="K148" s="505"/>
    </row>
    <row r="149" spans="1:11">
      <c r="A149" s="1037"/>
      <c r="B149" s="1038"/>
      <c r="C149" s="1026"/>
      <c r="D149" s="1026"/>
      <c r="E149" s="1328"/>
      <c r="F149" s="1059"/>
      <c r="G149" s="1054"/>
      <c r="H149" s="1269"/>
      <c r="I149" s="1056"/>
      <c r="J149" s="1111"/>
      <c r="K149" s="505"/>
    </row>
    <row r="150" spans="1:11" ht="15.75">
      <c r="A150" s="1037"/>
      <c r="B150" s="1038"/>
      <c r="C150" s="1026"/>
      <c r="D150" s="1026"/>
      <c r="E150" s="1026"/>
      <c r="F150" s="1059"/>
      <c r="G150" s="1054"/>
      <c r="H150" s="1269"/>
      <c r="I150" s="1056"/>
      <c r="J150" s="1111"/>
      <c r="K150" s="1116"/>
    </row>
    <row r="151" spans="1:11">
      <c r="A151" s="1037"/>
      <c r="B151" s="1038"/>
      <c r="C151" s="1026"/>
      <c r="D151" s="1026"/>
      <c r="E151" s="1026"/>
      <c r="F151" s="1059"/>
      <c r="G151" s="1054"/>
      <c r="H151" s="1269"/>
      <c r="I151" s="1056"/>
      <c r="J151" s="1111"/>
      <c r="K151" s="1262"/>
    </row>
    <row r="152" spans="1:11">
      <c r="A152" s="1037"/>
      <c r="B152" s="1038"/>
      <c r="C152" s="1026"/>
      <c r="D152" s="1026"/>
      <c r="E152" s="1026"/>
      <c r="F152" s="1059"/>
      <c r="G152" s="1059"/>
      <c r="H152" s="1269"/>
      <c r="I152" s="1056"/>
      <c r="J152" s="1111"/>
      <c r="K152" s="1262"/>
    </row>
    <row r="153" spans="1:11">
      <c r="A153" s="1037"/>
      <c r="B153" s="1038"/>
      <c r="C153" s="1026"/>
      <c r="D153" s="1026"/>
      <c r="E153" s="1026"/>
      <c r="F153" s="1059"/>
      <c r="G153" s="1059"/>
      <c r="H153" s="1269"/>
      <c r="I153" s="1056"/>
      <c r="J153" s="1111"/>
      <c r="K153" s="505"/>
    </row>
    <row r="154" spans="1:11" ht="15.75">
      <c r="A154" s="1037"/>
      <c r="B154" s="1038"/>
      <c r="C154" s="1026"/>
      <c r="D154" s="1026"/>
      <c r="E154" s="1026"/>
      <c r="F154" s="1059"/>
      <c r="G154" s="1054"/>
      <c r="H154" s="1269"/>
      <c r="I154" s="1056"/>
      <c r="J154" s="1111"/>
      <c r="K154" s="1116"/>
    </row>
    <row r="155" spans="1:11" ht="15.75">
      <c r="A155" s="1037"/>
      <c r="B155" s="1038"/>
      <c r="C155" s="1026"/>
      <c r="D155" s="1026"/>
      <c r="E155" s="1026"/>
      <c r="F155" s="1059"/>
      <c r="G155" s="1054"/>
      <c r="H155" s="1269"/>
      <c r="I155" s="1056"/>
      <c r="J155" s="1111"/>
      <c r="K155" s="1116"/>
    </row>
    <row r="156" spans="1:11" ht="15.75">
      <c r="A156" s="1037"/>
      <c r="B156" s="1038"/>
      <c r="C156" s="1026"/>
      <c r="D156" s="1026"/>
      <c r="E156" s="1026"/>
      <c r="F156" s="1059"/>
      <c r="G156" s="1054"/>
      <c r="H156" s="1269"/>
      <c r="I156" s="1056"/>
      <c r="J156" s="1111"/>
      <c r="K156" s="1116"/>
    </row>
    <row r="157" spans="1:11" ht="15.75">
      <c r="A157" s="1037"/>
      <c r="B157" s="1038"/>
      <c r="C157" s="1026"/>
      <c r="D157" s="1026"/>
      <c r="E157" s="1026"/>
      <c r="F157" s="1059"/>
      <c r="G157" s="1054"/>
      <c r="H157" s="1269"/>
      <c r="I157" s="1056"/>
      <c r="J157" s="1111"/>
      <c r="K157" s="1116"/>
    </row>
    <row r="158" spans="1:11" ht="15.75">
      <c r="A158" s="1037"/>
      <c r="B158" s="1038"/>
      <c r="C158" s="1026"/>
      <c r="D158" s="1026"/>
      <c r="E158" s="1026"/>
      <c r="F158" s="1059"/>
      <c r="G158" s="1054"/>
      <c r="H158" s="1269"/>
      <c r="I158" s="1056"/>
      <c r="J158" s="1111"/>
      <c r="K158" s="1116"/>
    </row>
    <row r="159" spans="1:11">
      <c r="A159" s="1037"/>
      <c r="B159" s="1038"/>
      <c r="C159" s="1026"/>
      <c r="D159" s="1026"/>
      <c r="E159" s="1026"/>
      <c r="F159" s="1059"/>
      <c r="G159" s="1054"/>
      <c r="H159" s="1269"/>
      <c r="I159" s="1056"/>
      <c r="J159" s="1111"/>
      <c r="K159" s="1262"/>
    </row>
    <row r="160" spans="1:11">
      <c r="A160" s="1037"/>
      <c r="B160" s="1038"/>
      <c r="C160" s="1025"/>
      <c r="D160" s="1026"/>
      <c r="E160" s="1026"/>
      <c r="F160" s="1061"/>
      <c r="G160" s="1054"/>
      <c r="H160" s="1055"/>
      <c r="I160" s="1056"/>
      <c r="J160" s="1111"/>
      <c r="K160" s="1262"/>
    </row>
    <row r="161" spans="1:11">
      <c r="A161" s="1037"/>
      <c r="B161" s="1038"/>
      <c r="C161" s="1026"/>
      <c r="D161" s="1026"/>
      <c r="E161" s="1026"/>
      <c r="F161" s="1059"/>
      <c r="G161" s="1054"/>
      <c r="H161" s="1269"/>
      <c r="I161" s="1056"/>
      <c r="J161" s="1111"/>
      <c r="K161" s="1262"/>
    </row>
    <row r="162" spans="1:11">
      <c r="A162" s="1037"/>
      <c r="B162" s="1038"/>
      <c r="C162" s="1026"/>
      <c r="D162" s="1026"/>
      <c r="E162" s="1026"/>
      <c r="F162" s="1059"/>
      <c r="G162" s="1054"/>
      <c r="H162" s="1269"/>
      <c r="I162" s="1056"/>
      <c r="J162" s="1111"/>
      <c r="K162" s="1262"/>
    </row>
    <row r="163" spans="1:11">
      <c r="A163" s="1037"/>
      <c r="B163" s="1038"/>
      <c r="C163" s="1026"/>
      <c r="D163" s="1026"/>
      <c r="E163" s="1026"/>
      <c r="F163" s="1059"/>
      <c r="G163" s="1059"/>
      <c r="H163" s="1269"/>
      <c r="I163" s="1056"/>
      <c r="J163" s="1111"/>
      <c r="K163" s="1262"/>
    </row>
    <row r="164" spans="1:11">
      <c r="A164" s="1037"/>
      <c r="B164" s="1038"/>
      <c r="C164" s="1026"/>
      <c r="D164" s="1026"/>
      <c r="E164" s="1026"/>
      <c r="F164" s="1059"/>
      <c r="G164" s="1059"/>
      <c r="H164" s="1269"/>
      <c r="I164" s="1056"/>
      <c r="J164" s="1111"/>
      <c r="K164" s="505"/>
    </row>
    <row r="165" spans="1:11" ht="15.75">
      <c r="A165" s="1037"/>
      <c r="B165" s="1038"/>
      <c r="C165" s="1026"/>
      <c r="D165" s="1026"/>
      <c r="E165" s="1026"/>
      <c r="F165" s="1059"/>
      <c r="G165" s="1054"/>
      <c r="H165" s="1269"/>
      <c r="I165" s="1056"/>
      <c r="J165" s="1111"/>
      <c r="K165" s="1116"/>
    </row>
    <row r="166" spans="1:11">
      <c r="A166" s="1037"/>
      <c r="B166" s="1038"/>
      <c r="C166" s="1026"/>
      <c r="D166" s="1026"/>
      <c r="E166" s="1026"/>
      <c r="F166" s="1059"/>
      <c r="G166" s="1054"/>
      <c r="H166" s="1269"/>
      <c r="I166" s="1056"/>
      <c r="J166" s="1111"/>
      <c r="K166" s="1262"/>
    </row>
    <row r="167" spans="1:11">
      <c r="A167" s="1037"/>
      <c r="B167" s="1038"/>
      <c r="C167" s="1026"/>
      <c r="D167" s="1026"/>
      <c r="E167" s="1026"/>
      <c r="F167" s="1059"/>
      <c r="G167" s="1059"/>
      <c r="H167" s="1269"/>
      <c r="I167" s="1056"/>
      <c r="J167" s="1111"/>
      <c r="K167" s="1262"/>
    </row>
    <row r="168" spans="1:11">
      <c r="A168" s="1037"/>
      <c r="B168" s="1038"/>
      <c r="C168" s="1026"/>
      <c r="D168" s="1026"/>
      <c r="E168" s="1026"/>
      <c r="F168" s="1059"/>
      <c r="G168" s="1059"/>
      <c r="H168" s="1269"/>
      <c r="I168" s="1056"/>
      <c r="J168" s="1111"/>
      <c r="K168" s="505"/>
    </row>
    <row r="169" spans="1:11">
      <c r="A169" s="1037"/>
      <c r="B169" s="1038"/>
      <c r="C169" s="1026"/>
      <c r="D169" s="1026"/>
      <c r="E169" s="1026"/>
      <c r="F169" s="1059"/>
      <c r="G169" s="1054"/>
      <c r="H169" s="1269"/>
      <c r="I169" s="1056"/>
      <c r="J169" s="1111"/>
      <c r="K169" s="505"/>
    </row>
    <row r="170" spans="1:11">
      <c r="A170" s="1037"/>
      <c r="B170" s="1038"/>
      <c r="C170" s="1026"/>
      <c r="D170" s="1026"/>
      <c r="E170" s="1026"/>
      <c r="F170" s="1059"/>
      <c r="G170" s="1054"/>
      <c r="H170" s="1269"/>
      <c r="I170" s="1056"/>
      <c r="J170" s="1111"/>
      <c r="K170" s="505"/>
    </row>
    <row r="171" spans="1:11">
      <c r="A171" s="1037"/>
      <c r="B171" s="1038"/>
      <c r="C171" s="1026"/>
      <c r="D171" s="1026"/>
      <c r="E171" s="1026"/>
      <c r="F171" s="1059"/>
      <c r="G171" s="1054"/>
      <c r="H171" s="1269"/>
      <c r="I171" s="1056"/>
      <c r="J171" s="1111"/>
      <c r="K171" s="505"/>
    </row>
    <row r="172" spans="1:11" ht="15.75">
      <c r="A172" s="1037"/>
      <c r="B172" s="1038"/>
      <c r="C172" s="1026"/>
      <c r="D172" s="1026"/>
      <c r="E172" s="1026"/>
      <c r="F172" s="1059"/>
      <c r="G172" s="1054"/>
      <c r="H172" s="1269"/>
      <c r="I172" s="1056"/>
      <c r="J172" s="1111"/>
      <c r="K172" s="1116"/>
    </row>
    <row r="173" spans="1:11">
      <c r="A173" s="1037"/>
      <c r="B173" s="1038"/>
      <c r="C173" s="1026"/>
      <c r="D173" s="1026"/>
      <c r="E173" s="1026"/>
      <c r="F173" s="1059"/>
      <c r="G173" s="1054"/>
      <c r="H173" s="1269"/>
      <c r="I173" s="1056"/>
      <c r="J173" s="1111"/>
      <c r="K173" s="1262"/>
    </row>
    <row r="174" spans="1:11">
      <c r="A174" s="1037"/>
      <c r="B174" s="1038"/>
      <c r="C174" s="346"/>
      <c r="D174" s="1026"/>
      <c r="E174" s="1026"/>
      <c r="F174" s="1059"/>
      <c r="G174" s="1054"/>
      <c r="H174" s="1269"/>
      <c r="I174" s="1056"/>
      <c r="J174" s="1111"/>
      <c r="K174" s="1262"/>
    </row>
    <row r="175" spans="1:11">
      <c r="A175" s="1037"/>
      <c r="B175" s="1038"/>
      <c r="C175" s="1026"/>
      <c r="D175" s="1026"/>
      <c r="E175" s="1026"/>
      <c r="F175" s="1059"/>
      <c r="G175" s="1054"/>
      <c r="H175" s="1269"/>
      <c r="I175" s="1056"/>
      <c r="J175" s="1111"/>
      <c r="K175" s="1262"/>
    </row>
    <row r="176" spans="1:11">
      <c r="A176" s="1037"/>
      <c r="B176" s="1038"/>
      <c r="C176" s="1026"/>
      <c r="D176" s="1026"/>
      <c r="E176" s="1026"/>
      <c r="F176" s="1059"/>
      <c r="G176" s="1054"/>
      <c r="H176" s="1269"/>
      <c r="I176" s="1056"/>
      <c r="J176" s="1111"/>
      <c r="K176" s="1262"/>
    </row>
    <row r="177" spans="1:11">
      <c r="A177" s="1037"/>
      <c r="B177" s="1038"/>
      <c r="C177" s="1026"/>
      <c r="D177" s="1026"/>
      <c r="E177" s="1026"/>
      <c r="F177" s="1059"/>
      <c r="G177" s="1054"/>
      <c r="H177" s="1269"/>
      <c r="I177" s="1056"/>
      <c r="J177" s="1111"/>
      <c r="K177" s="1262"/>
    </row>
    <row r="178" spans="1:11">
      <c r="A178" s="1037"/>
      <c r="B178" s="1038"/>
      <c r="C178" s="1026"/>
      <c r="D178" s="1026"/>
      <c r="E178" s="1026"/>
      <c r="F178" s="1059"/>
      <c r="G178" s="1054"/>
      <c r="H178" s="1269"/>
      <c r="I178" s="1056"/>
      <c r="J178" s="1111"/>
      <c r="K178" s="1262"/>
    </row>
    <row r="179" spans="1:11">
      <c r="A179" s="1037"/>
      <c r="B179" s="1038"/>
      <c r="C179" s="1026"/>
      <c r="D179" s="1026"/>
      <c r="E179" s="1026"/>
      <c r="F179" s="1059"/>
      <c r="G179" s="1054"/>
      <c r="H179" s="1269"/>
      <c r="I179" s="1056"/>
      <c r="J179" s="1111"/>
      <c r="K179" s="1262"/>
    </row>
    <row r="180" spans="1:11">
      <c r="A180" s="1037"/>
      <c r="B180" s="1038"/>
      <c r="C180" s="1026"/>
      <c r="D180" s="1026"/>
      <c r="E180" s="1026"/>
      <c r="F180" s="1059"/>
      <c r="G180" s="1054"/>
      <c r="H180" s="1269"/>
      <c r="I180" s="1056"/>
      <c r="J180" s="1111"/>
      <c r="K180" s="1262"/>
    </row>
    <row r="181" spans="1:11">
      <c r="A181" s="1037"/>
      <c r="B181" s="1038"/>
      <c r="C181" s="1026"/>
      <c r="D181" s="1026"/>
      <c r="E181" s="1026"/>
      <c r="F181" s="1059"/>
      <c r="G181" s="1054"/>
      <c r="H181" s="1269"/>
      <c r="I181" s="1056"/>
      <c r="J181" s="1111"/>
      <c r="K181" s="505"/>
    </row>
    <row r="182" spans="1:11">
      <c r="A182" s="1037"/>
      <c r="B182" s="1038"/>
      <c r="C182" s="1026"/>
      <c r="D182" s="1026"/>
      <c r="E182" s="1026"/>
      <c r="F182" s="1059"/>
      <c r="G182" s="1054"/>
      <c r="H182" s="1269"/>
      <c r="I182" s="1056"/>
      <c r="J182" s="1111"/>
      <c r="K182" s="505"/>
    </row>
    <row r="183" spans="1:11">
      <c r="A183" s="1037"/>
      <c r="B183" s="1038"/>
      <c r="C183" s="1026"/>
      <c r="D183" s="1026"/>
      <c r="E183" s="1026"/>
      <c r="F183" s="1059"/>
      <c r="G183" s="1059"/>
      <c r="H183" s="1269"/>
      <c r="I183" s="1056"/>
      <c r="J183" s="1111"/>
      <c r="K183" s="1262"/>
    </row>
    <row r="184" spans="1:11">
      <c r="A184" s="1037"/>
      <c r="B184" s="1038"/>
      <c r="C184" s="1026"/>
      <c r="D184" s="1026"/>
      <c r="E184" s="1026"/>
      <c r="F184" s="1059"/>
      <c r="G184" s="1059"/>
      <c r="H184" s="1269"/>
      <c r="I184" s="1056"/>
      <c r="J184" s="1111"/>
      <c r="K184" s="505"/>
    </row>
    <row r="185" spans="1:11">
      <c r="A185" s="1037"/>
      <c r="B185" s="1038"/>
      <c r="C185" s="1026"/>
      <c r="D185" s="1026"/>
      <c r="E185" s="1026"/>
      <c r="F185" s="1059"/>
      <c r="G185" s="1054"/>
      <c r="H185" s="1269"/>
      <c r="I185" s="1056"/>
      <c r="J185" s="1111"/>
      <c r="K185" s="505"/>
    </row>
    <row r="186" spans="1:11">
      <c r="A186" s="1037"/>
      <c r="B186" s="1038"/>
      <c r="C186" s="1026"/>
      <c r="D186" s="1026"/>
      <c r="E186" s="1026"/>
      <c r="F186" s="1059"/>
      <c r="G186" s="1054"/>
      <c r="H186" s="1269"/>
      <c r="I186" s="1056"/>
      <c r="J186" s="1111"/>
      <c r="K186" s="505"/>
    </row>
    <row r="187" spans="1:11">
      <c r="A187" s="1037"/>
      <c r="B187" s="1038"/>
      <c r="C187" s="1026"/>
      <c r="D187" s="1026"/>
      <c r="E187" s="1026"/>
      <c r="F187" s="1059"/>
      <c r="G187" s="1054"/>
      <c r="H187" s="1269"/>
      <c r="I187" s="1056"/>
      <c r="J187" s="1111"/>
      <c r="K187" s="1262"/>
    </row>
    <row r="188" spans="1:11" ht="15.75">
      <c r="A188" s="1037"/>
      <c r="B188" s="1038"/>
      <c r="C188" s="1026"/>
      <c r="D188" s="1026"/>
      <c r="E188" s="1026"/>
      <c r="F188" s="1059"/>
      <c r="G188" s="1059"/>
      <c r="H188" s="1269"/>
      <c r="I188" s="1056"/>
      <c r="J188" s="1111"/>
      <c r="K188" s="1116"/>
    </row>
    <row r="189" spans="1:11">
      <c r="A189" s="1037"/>
      <c r="B189" s="1038"/>
      <c r="C189" s="1026"/>
      <c r="D189" s="1026"/>
      <c r="E189" s="1026"/>
      <c r="F189" s="1059"/>
      <c r="G189" s="1059"/>
      <c r="H189" s="1269"/>
      <c r="I189" s="1056"/>
      <c r="J189" s="1111"/>
      <c r="K189" s="505"/>
    </row>
    <row r="190" spans="1:11" ht="15.75">
      <c r="A190" s="1037"/>
      <c r="B190" s="1038"/>
      <c r="C190" s="1026"/>
      <c r="D190" s="1026"/>
      <c r="E190" s="1026"/>
      <c r="F190" s="1059"/>
      <c r="G190" s="1054"/>
      <c r="H190" s="1269"/>
      <c r="I190" s="1056"/>
      <c r="J190" s="1111"/>
      <c r="K190" s="1116"/>
    </row>
    <row r="191" spans="1:11" ht="15.75">
      <c r="A191" s="1037"/>
      <c r="B191" s="1038"/>
      <c r="C191" s="1026"/>
      <c r="D191" s="1026"/>
      <c r="E191" s="1026"/>
      <c r="F191" s="1059"/>
      <c r="G191" s="1054"/>
      <c r="H191" s="1269"/>
      <c r="I191" s="1056"/>
      <c r="J191" s="1111"/>
      <c r="K191" s="1116"/>
    </row>
    <row r="192" spans="1:11" ht="15.75">
      <c r="A192" s="1037"/>
      <c r="B192" s="1038"/>
      <c r="C192" s="1026"/>
      <c r="D192" s="1026"/>
      <c r="E192" s="1026"/>
      <c r="F192" s="1059"/>
      <c r="G192" s="1054"/>
      <c r="H192" s="1269"/>
      <c r="I192" s="1056"/>
      <c r="J192" s="1111"/>
      <c r="K192" s="1116"/>
    </row>
    <row r="193" spans="1:11" ht="15.75">
      <c r="A193" s="1037"/>
      <c r="B193" s="1038"/>
      <c r="C193" s="1026"/>
      <c r="D193" s="1026"/>
      <c r="E193" s="1026"/>
      <c r="F193" s="1059"/>
      <c r="G193" s="1054"/>
      <c r="H193" s="1269"/>
      <c r="I193" s="1056"/>
      <c r="J193" s="1111"/>
      <c r="K193" s="1116"/>
    </row>
    <row r="194" spans="1:11" ht="15.75">
      <c r="A194" s="1037"/>
      <c r="B194" s="1038"/>
      <c r="C194" s="1026"/>
      <c r="D194" s="1026"/>
      <c r="E194" s="1026"/>
      <c r="F194" s="1059"/>
      <c r="G194" s="1059"/>
      <c r="H194" s="1269"/>
      <c r="I194" s="1056"/>
      <c r="J194" s="1111"/>
      <c r="K194" s="1116"/>
    </row>
    <row r="195" spans="1:11">
      <c r="A195" s="1037"/>
      <c r="B195" s="1038"/>
      <c r="C195" s="1026"/>
      <c r="D195" s="1026"/>
      <c r="E195" s="1026"/>
      <c r="F195" s="1059"/>
      <c r="G195" s="1059"/>
      <c r="H195" s="1269"/>
      <c r="I195" s="1056"/>
      <c r="J195" s="1111"/>
      <c r="K195" s="505"/>
    </row>
    <row r="196" spans="1:11" ht="15.75">
      <c r="A196" s="1037"/>
      <c r="B196" s="1038"/>
      <c r="C196" s="1026"/>
      <c r="D196" s="1026"/>
      <c r="E196" s="1026"/>
      <c r="F196" s="1059"/>
      <c r="G196" s="1054"/>
      <c r="H196" s="1269"/>
      <c r="I196" s="1056"/>
      <c r="J196" s="1111"/>
      <c r="K196" s="1116"/>
    </row>
    <row r="197" spans="1:11">
      <c r="A197" s="1037"/>
      <c r="B197" s="1038"/>
      <c r="C197" s="1026"/>
      <c r="D197" s="1026"/>
      <c r="E197" s="1026"/>
      <c r="F197" s="1059"/>
      <c r="G197" s="1059"/>
      <c r="H197" s="1269"/>
      <c r="I197" s="1056"/>
      <c r="J197" s="1111"/>
      <c r="K197" s="1262"/>
    </row>
    <row r="198" spans="1:11">
      <c r="A198" s="1037"/>
      <c r="B198" s="1038"/>
      <c r="C198" s="1026"/>
      <c r="D198" s="1026"/>
      <c r="E198" s="1026"/>
      <c r="F198" s="1059"/>
      <c r="G198" s="1059"/>
      <c r="H198" s="1269"/>
      <c r="I198" s="1056"/>
      <c r="J198" s="1111"/>
      <c r="K198" s="505"/>
    </row>
    <row r="199" spans="1:11">
      <c r="A199" s="1037"/>
      <c r="B199" s="1038"/>
      <c r="C199" s="1026"/>
      <c r="D199" s="1026"/>
      <c r="E199" s="1026"/>
      <c r="F199" s="1059"/>
      <c r="G199" s="1059"/>
      <c r="H199" s="1269"/>
      <c r="I199" s="1056"/>
      <c r="J199" s="1111"/>
      <c r="K199" s="1262"/>
    </row>
    <row r="200" spans="1:11">
      <c r="A200" s="1037"/>
      <c r="B200" s="1038"/>
      <c r="C200" s="1026"/>
      <c r="D200" s="1026"/>
      <c r="E200" s="1026"/>
      <c r="F200" s="1059"/>
      <c r="G200" s="1059"/>
      <c r="H200" s="1269"/>
      <c r="I200" s="1056"/>
      <c r="J200" s="1111"/>
      <c r="K200" s="505"/>
    </row>
    <row r="201" spans="1:11">
      <c r="A201" s="1037"/>
      <c r="B201" s="1038"/>
      <c r="C201" s="1026"/>
      <c r="D201" s="1026"/>
      <c r="E201" s="1026"/>
      <c r="F201" s="1059"/>
      <c r="G201" s="1054"/>
      <c r="H201" s="1269"/>
      <c r="I201" s="1056"/>
      <c r="J201" s="1111"/>
      <c r="K201" s="505"/>
    </row>
    <row r="202" spans="1:11">
      <c r="A202" s="1037"/>
      <c r="B202" s="1038"/>
      <c r="C202" s="1026"/>
      <c r="D202" s="1026"/>
      <c r="E202" s="1026"/>
      <c r="F202" s="1059"/>
      <c r="G202" s="1054"/>
      <c r="H202" s="1269"/>
      <c r="I202" s="1056"/>
      <c r="J202" s="1111"/>
      <c r="K202" s="505"/>
    </row>
    <row r="203" spans="1:11">
      <c r="A203" s="1037"/>
      <c r="B203" s="1038"/>
      <c r="C203" s="1026"/>
      <c r="D203" s="1026"/>
      <c r="E203" s="1026"/>
      <c r="F203" s="1059"/>
      <c r="G203" s="1054"/>
      <c r="H203" s="1269"/>
      <c r="I203" s="1056"/>
      <c r="J203" s="1111"/>
      <c r="K203" s="505"/>
    </row>
    <row r="204" spans="1:11">
      <c r="A204" s="1037"/>
      <c r="B204" s="1038"/>
      <c r="C204" s="1026"/>
      <c r="D204" s="1026"/>
      <c r="E204" s="1026"/>
      <c r="F204" s="1059"/>
      <c r="G204" s="1054"/>
      <c r="H204" s="1269"/>
      <c r="I204" s="1056"/>
      <c r="J204" s="1111"/>
      <c r="K204" s="505"/>
    </row>
    <row r="205" spans="1:11">
      <c r="A205" s="1037"/>
      <c r="B205" s="1038"/>
      <c r="C205" s="1026"/>
      <c r="D205" s="1026"/>
      <c r="E205" s="1026"/>
      <c r="F205" s="1059"/>
      <c r="G205" s="1054"/>
      <c r="H205" s="1269"/>
      <c r="I205" s="1056"/>
      <c r="J205" s="1111"/>
      <c r="K205" s="505"/>
    </row>
    <row r="206" spans="1:11">
      <c r="A206" s="1037"/>
      <c r="B206" s="1038"/>
      <c r="C206" s="1026"/>
      <c r="D206" s="1026"/>
      <c r="E206" s="1026"/>
      <c r="F206" s="1059"/>
      <c r="G206" s="1054"/>
      <c r="H206" s="1269"/>
      <c r="I206" s="1056"/>
      <c r="J206" s="1111"/>
      <c r="K206" s="505"/>
    </row>
    <row r="207" spans="1:11">
      <c r="A207" s="1037"/>
      <c r="B207" s="1038"/>
      <c r="C207" s="1026"/>
      <c r="D207" s="1026"/>
      <c r="E207" s="1026"/>
      <c r="F207" s="1059"/>
      <c r="G207" s="1054"/>
      <c r="H207" s="1269"/>
      <c r="I207" s="1056"/>
      <c r="J207" s="1111"/>
      <c r="K207" s="505"/>
    </row>
    <row r="208" spans="1:11">
      <c r="A208" s="1037"/>
      <c r="B208" s="1038"/>
      <c r="C208" s="1026"/>
      <c r="D208" s="1026"/>
      <c r="E208" s="1026"/>
      <c r="F208" s="1059"/>
      <c r="G208" s="1059"/>
      <c r="H208" s="1269"/>
      <c r="I208" s="1056"/>
      <c r="J208" s="1111"/>
      <c r="K208" s="1262"/>
    </row>
    <row r="209" spans="1:11">
      <c r="A209" s="1037"/>
      <c r="B209" s="1038"/>
      <c r="C209" s="1026"/>
      <c r="D209" s="1026"/>
      <c r="E209" s="1026"/>
      <c r="F209" s="1059"/>
      <c r="G209" s="1059"/>
      <c r="H209" s="1269"/>
      <c r="I209" s="1056"/>
      <c r="J209" s="1111"/>
      <c r="K209" s="505"/>
    </row>
    <row r="210" spans="1:11" ht="15.75">
      <c r="A210" s="1037"/>
      <c r="B210" s="1038"/>
      <c r="C210" s="1026"/>
      <c r="D210" s="1026"/>
      <c r="E210" s="1026"/>
      <c r="F210" s="1059"/>
      <c r="G210" s="1054"/>
      <c r="H210" s="1269"/>
      <c r="I210" s="1056"/>
      <c r="J210" s="1111"/>
      <c r="K210" s="1116"/>
    </row>
    <row r="211" spans="1:11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262"/>
    </row>
    <row r="212" spans="1:11">
      <c r="A212" s="1037"/>
      <c r="B212" s="1038"/>
      <c r="C212" s="1025"/>
      <c r="D212" s="1025"/>
      <c r="E212" s="1025"/>
      <c r="F212" s="1061"/>
      <c r="G212" s="1054"/>
      <c r="H212" s="1269"/>
      <c r="I212" s="1056"/>
      <c r="J212" s="1111"/>
      <c r="K212" s="1262"/>
    </row>
    <row r="213" spans="1:11">
      <c r="A213" s="1037"/>
      <c r="B213" s="1038"/>
      <c r="C213" s="1026"/>
      <c r="D213" s="1026"/>
      <c r="E213" s="1026"/>
      <c r="F213" s="1061"/>
      <c r="G213" s="1054"/>
      <c r="H213" s="1269"/>
      <c r="I213" s="1056"/>
      <c r="J213" s="1111"/>
      <c r="K213" s="505"/>
    </row>
    <row r="214" spans="1:11" ht="15.75">
      <c r="A214" s="1037"/>
      <c r="B214" s="1038"/>
      <c r="C214" s="1026"/>
      <c r="D214" s="1026"/>
      <c r="E214" s="1026"/>
      <c r="F214" s="1059"/>
      <c r="G214" s="1059"/>
      <c r="H214" s="1269"/>
      <c r="I214" s="1056"/>
      <c r="J214" s="1111"/>
      <c r="K214" s="1116"/>
    </row>
    <row r="215" spans="1:11">
      <c r="A215" s="1037"/>
      <c r="B215" s="1038"/>
      <c r="C215" s="1026"/>
      <c r="D215" s="1026"/>
      <c r="E215" s="1026"/>
      <c r="F215" s="1059"/>
      <c r="G215" s="1059"/>
      <c r="H215" s="1269"/>
      <c r="I215" s="1056"/>
      <c r="J215" s="1111"/>
      <c r="K215" s="505"/>
    </row>
    <row r="216" spans="1:11" ht="15.75">
      <c r="A216" s="1037"/>
      <c r="B216" s="1038"/>
      <c r="C216" s="1026"/>
      <c r="D216" s="1026"/>
      <c r="E216" s="1026"/>
      <c r="F216" s="1059"/>
      <c r="G216" s="1054"/>
      <c r="H216" s="1269"/>
      <c r="I216" s="1056"/>
      <c r="J216" s="1111"/>
      <c r="K216" s="1116"/>
    </row>
    <row r="217" spans="1:11" ht="15.75">
      <c r="A217" s="1037"/>
      <c r="B217" s="1038"/>
      <c r="C217" s="1026"/>
      <c r="D217" s="1026"/>
      <c r="E217" s="1026"/>
      <c r="F217" s="1059"/>
      <c r="G217" s="1054"/>
      <c r="H217" s="1269"/>
      <c r="I217" s="1056"/>
      <c r="J217" s="1111"/>
      <c r="K217" s="1116"/>
    </row>
    <row r="218" spans="1:11" ht="15.75">
      <c r="A218" s="1037"/>
      <c r="B218" s="1038"/>
      <c r="C218" s="1026"/>
      <c r="D218" s="1026"/>
      <c r="E218" s="1026"/>
      <c r="F218" s="1059"/>
      <c r="G218" s="1054"/>
      <c r="H218" s="1269"/>
      <c r="I218" s="1056"/>
      <c r="J218" s="1111"/>
      <c r="K218" s="1116"/>
    </row>
    <row r="219" spans="1:11" ht="15.75">
      <c r="A219" s="1037"/>
      <c r="B219" s="1038"/>
      <c r="C219" s="1026"/>
      <c r="D219" s="1026"/>
      <c r="E219" s="1026"/>
      <c r="F219" s="1059"/>
      <c r="G219" s="1054"/>
      <c r="H219" s="1269"/>
      <c r="I219" s="1056"/>
      <c r="J219" s="1111"/>
      <c r="K219" s="1116"/>
    </row>
    <row r="220" spans="1:11" ht="15.75">
      <c r="A220" s="1037"/>
      <c r="B220" s="1038"/>
      <c r="C220" s="1026"/>
      <c r="D220" s="1026"/>
      <c r="E220" s="1026"/>
      <c r="F220" s="1059"/>
      <c r="G220" s="1054"/>
      <c r="H220" s="1269"/>
      <c r="I220" s="1056"/>
      <c r="J220" s="1111"/>
      <c r="K220" s="1116"/>
    </row>
    <row r="221" spans="1:11" ht="15.75">
      <c r="A221" s="1037"/>
      <c r="B221" s="1038"/>
      <c r="C221" s="1026"/>
      <c r="D221" s="1026"/>
      <c r="E221" s="1026"/>
      <c r="F221" s="1059"/>
      <c r="G221" s="1054"/>
      <c r="H221" s="1269"/>
      <c r="I221" s="1056"/>
      <c r="J221" s="1111"/>
      <c r="K221" s="1116"/>
    </row>
    <row r="222" spans="1:11" ht="15.75">
      <c r="A222" s="1037"/>
      <c r="B222" s="1038"/>
      <c r="C222" s="1026"/>
      <c r="D222" s="1026"/>
      <c r="E222" s="1026"/>
      <c r="F222" s="1059"/>
      <c r="G222" s="1054"/>
      <c r="H222" s="1269"/>
      <c r="I222" s="1056"/>
      <c r="J222" s="1111"/>
      <c r="K222" s="1116"/>
    </row>
    <row r="223" spans="1:11" ht="15.75">
      <c r="A223" s="1037"/>
      <c r="B223" s="1038"/>
      <c r="C223" s="1026"/>
      <c r="D223" s="1026"/>
      <c r="E223" s="1026"/>
      <c r="F223" s="1059"/>
      <c r="G223" s="1054"/>
      <c r="H223" s="1269"/>
      <c r="I223" s="1056"/>
      <c r="J223" s="1111"/>
      <c r="K223" s="1116"/>
    </row>
    <row r="224" spans="1:11" ht="15.75">
      <c r="A224" s="1037"/>
      <c r="B224" s="1038"/>
      <c r="C224" s="1026"/>
      <c r="D224" s="1026"/>
      <c r="E224" s="1032"/>
      <c r="F224" s="1059"/>
      <c r="G224" s="1054"/>
      <c r="H224" s="1269"/>
      <c r="I224" s="1056"/>
      <c r="J224" s="1111"/>
      <c r="K224" s="1116"/>
    </row>
    <row r="225" spans="1:11" ht="15.75">
      <c r="A225" s="1037"/>
      <c r="B225" s="1038"/>
      <c r="C225" s="1026"/>
      <c r="D225" s="1026"/>
      <c r="E225" s="1026"/>
      <c r="F225" s="1059"/>
      <c r="G225" s="1054"/>
      <c r="H225" s="1269"/>
      <c r="I225" s="1056"/>
      <c r="J225" s="1111"/>
      <c r="K225" s="1116"/>
    </row>
    <row r="226" spans="1:11" ht="15.75">
      <c r="A226" s="1037"/>
      <c r="B226" s="1038"/>
      <c r="C226" s="1026"/>
      <c r="D226" s="1026"/>
      <c r="E226" s="1026"/>
      <c r="F226" s="1059"/>
      <c r="G226" s="1054"/>
      <c r="H226" s="1269"/>
      <c r="I226" s="1056"/>
      <c r="J226" s="1111"/>
      <c r="K226" s="1116"/>
    </row>
    <row r="227" spans="1:11" ht="15.75">
      <c r="A227" s="1037"/>
      <c r="B227" s="1038"/>
      <c r="C227" s="1026"/>
      <c r="D227" s="1026"/>
      <c r="E227" s="1026"/>
      <c r="F227" s="1059"/>
      <c r="G227" s="1054"/>
      <c r="H227" s="1269"/>
      <c r="I227" s="1056"/>
      <c r="J227" s="1111"/>
      <c r="K227" s="1116"/>
    </row>
    <row r="228" spans="1:11" ht="15.75">
      <c r="A228" s="1037"/>
      <c r="B228" s="1038"/>
      <c r="C228" s="1026"/>
      <c r="D228" s="1026"/>
      <c r="E228" s="1026"/>
      <c r="F228" s="1059"/>
      <c r="G228" s="1054"/>
      <c r="H228" s="1269"/>
      <c r="I228" s="1056"/>
      <c r="J228" s="1111"/>
      <c r="K228" s="1116"/>
    </row>
    <row r="229" spans="1:11">
      <c r="A229" s="1037"/>
      <c r="B229" s="1038"/>
      <c r="C229" s="1026"/>
      <c r="D229" s="1026"/>
      <c r="E229" s="1026"/>
      <c r="F229" s="1059"/>
      <c r="G229" s="1054"/>
      <c r="H229" s="1269"/>
      <c r="I229" s="1056"/>
      <c r="J229" s="1111"/>
      <c r="K229" s="1262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505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505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505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505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505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505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505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505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505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505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505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505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505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505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505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505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505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505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505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505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505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505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505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505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505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505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505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505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505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505"/>
    </row>
    <row r="260" spans="1:11">
      <c r="A260" s="1039"/>
      <c r="B260" s="1039"/>
      <c r="C260" s="1025"/>
      <c r="D260" s="1025"/>
      <c r="E260" s="1025"/>
      <c r="F260" s="1061"/>
      <c r="G260" s="1062"/>
      <c r="H260" s="1269"/>
      <c r="I260" s="1056"/>
      <c r="J260" s="1111"/>
      <c r="K260" s="505"/>
    </row>
    <row r="261" spans="1:11">
      <c r="A261" s="1039"/>
      <c r="B261" s="1039"/>
      <c r="C261" s="1025"/>
      <c r="D261" s="1025"/>
      <c r="E261" s="1025"/>
      <c r="F261" s="1061"/>
      <c r="G261" s="1062"/>
      <c r="H261" s="1269"/>
      <c r="I261" s="1056"/>
      <c r="J261" s="1111"/>
      <c r="K261" s="505"/>
    </row>
    <row r="262" spans="1:11">
      <c r="A262" s="1039"/>
      <c r="B262" s="1039"/>
      <c r="C262" s="1025"/>
      <c r="D262" s="1025"/>
      <c r="E262" s="1025"/>
      <c r="F262" s="1061"/>
      <c r="G262" s="1062"/>
      <c r="H262" s="1269"/>
      <c r="I262" s="1056"/>
      <c r="J262" s="1111"/>
      <c r="K262" s="505"/>
    </row>
    <row r="263" spans="1:11">
      <c r="A263" s="1039"/>
      <c r="B263" s="1039"/>
      <c r="C263" s="1025"/>
      <c r="D263" s="1025"/>
      <c r="E263" s="1025"/>
      <c r="F263" s="1061"/>
      <c r="G263" s="1062"/>
      <c r="H263" s="1269"/>
      <c r="I263" s="1056"/>
      <c r="J263" s="1111"/>
      <c r="K263" s="505"/>
    </row>
    <row r="264" spans="1:11">
      <c r="A264" s="1039"/>
      <c r="B264" s="1039"/>
      <c r="C264" s="1025"/>
      <c r="D264" s="1025"/>
      <c r="E264" s="1025"/>
      <c r="F264" s="1061"/>
      <c r="G264" s="1062"/>
      <c r="H264" s="1269"/>
      <c r="I264" s="1056"/>
      <c r="J264" s="1111"/>
      <c r="K264" s="505"/>
    </row>
    <row r="265" spans="1:11">
      <c r="A265" s="1039"/>
      <c r="B265" s="1039"/>
      <c r="C265" s="1025"/>
      <c r="D265" s="1025"/>
      <c r="E265" s="1025"/>
      <c r="F265" s="1061"/>
      <c r="G265" s="1062"/>
      <c r="H265" s="1269"/>
      <c r="I265" s="1056"/>
      <c r="J265" s="1111"/>
      <c r="K265" s="505"/>
    </row>
    <row r="266" spans="1:11">
      <c r="A266" s="1039"/>
      <c r="B266" s="1039"/>
      <c r="C266" s="1025"/>
      <c r="D266" s="1025"/>
      <c r="E266" s="1025"/>
      <c r="F266" s="1061"/>
      <c r="G266" s="1062"/>
      <c r="H266" s="1269"/>
      <c r="I266" s="1056"/>
      <c r="J266" s="1111"/>
      <c r="K266" s="505"/>
    </row>
    <row r="267" spans="1:11">
      <c r="A267" s="1039"/>
      <c r="B267" s="1039"/>
      <c r="C267" s="1025"/>
      <c r="D267" s="1025"/>
      <c r="E267" s="1025"/>
      <c r="F267" s="1061"/>
      <c r="G267" s="1062"/>
      <c r="H267" s="1269"/>
      <c r="I267" s="1056"/>
      <c r="J267" s="1111"/>
      <c r="K267" s="505"/>
    </row>
    <row r="268" spans="1:11">
      <c r="A268" s="1039"/>
      <c r="B268" s="1039"/>
      <c r="C268" s="1025"/>
      <c r="D268" s="1025"/>
      <c r="E268" s="1025"/>
      <c r="F268" s="1061"/>
      <c r="G268" s="1062"/>
      <c r="H268" s="1269"/>
      <c r="I268" s="1056"/>
      <c r="J268" s="1111"/>
      <c r="K268" s="505"/>
    </row>
    <row r="269" spans="1:11">
      <c r="A269" s="1039"/>
      <c r="B269" s="1039"/>
      <c r="C269" s="1025"/>
      <c r="D269" s="1025"/>
      <c r="E269" s="1025"/>
      <c r="F269" s="1061"/>
      <c r="G269" s="1062"/>
      <c r="H269" s="1269"/>
      <c r="I269" s="1056"/>
      <c r="J269" s="1111"/>
      <c r="K269" s="505"/>
    </row>
    <row r="270" spans="1:11">
      <c r="A270" s="1039"/>
      <c r="B270" s="1039"/>
      <c r="C270" s="1025"/>
      <c r="D270" s="1025"/>
      <c r="E270" s="1025"/>
      <c r="F270" s="1061"/>
      <c r="G270" s="1062"/>
      <c r="H270" s="1269"/>
      <c r="I270" s="1056"/>
      <c r="J270" s="1111"/>
      <c r="K270" s="505"/>
    </row>
    <row r="271" spans="1:11">
      <c r="A271" s="1039"/>
      <c r="B271" s="1039"/>
      <c r="C271" s="1025"/>
      <c r="D271" s="1025"/>
      <c r="E271" s="1025"/>
      <c r="F271" s="1061"/>
      <c r="G271" s="1062"/>
      <c r="H271" s="1269"/>
      <c r="I271" s="1056"/>
      <c r="J271" s="1111"/>
      <c r="K271" s="505"/>
    </row>
    <row r="272" spans="1:11">
      <c r="A272" s="1039"/>
      <c r="B272" s="1039"/>
      <c r="C272" s="1025"/>
      <c r="D272" s="1025"/>
      <c r="E272" s="1025"/>
      <c r="F272" s="1061"/>
      <c r="G272" s="1062"/>
      <c r="H272" s="1269"/>
      <c r="I272" s="1056"/>
      <c r="J272" s="1111"/>
      <c r="K272" s="505"/>
    </row>
    <row r="273" spans="1:11">
      <c r="A273" s="1039"/>
      <c r="B273" s="1039"/>
      <c r="C273" s="1025"/>
      <c r="D273" s="1025"/>
      <c r="E273" s="1025"/>
      <c r="F273" s="1061"/>
      <c r="G273" s="1062"/>
      <c r="H273" s="1269"/>
      <c r="I273" s="1056"/>
      <c r="J273" s="1111"/>
      <c r="K273" s="505"/>
    </row>
    <row r="274" spans="1:11">
      <c r="A274" s="1039"/>
      <c r="B274" s="1039"/>
      <c r="C274" s="1025"/>
      <c r="D274" s="1025"/>
      <c r="E274" s="1025"/>
      <c r="F274" s="1061"/>
      <c r="G274" s="1062"/>
      <c r="H274" s="1269"/>
      <c r="I274" s="1056"/>
      <c r="J274" s="1111"/>
      <c r="K274" s="505"/>
    </row>
    <row r="275" spans="1:11">
      <c r="A275" s="1039"/>
      <c r="B275" s="1039"/>
      <c r="C275" s="1025"/>
      <c r="D275" s="1025"/>
      <c r="E275" s="1025"/>
      <c r="F275" s="1061"/>
      <c r="G275" s="1062"/>
      <c r="H275" s="1269"/>
      <c r="I275" s="1056"/>
      <c r="J275" s="1111"/>
      <c r="K275" s="505"/>
    </row>
    <row r="276" spans="1:11">
      <c r="A276" s="1039"/>
      <c r="B276" s="1039"/>
      <c r="C276" s="1025"/>
      <c r="D276" s="1025"/>
      <c r="E276" s="1025"/>
      <c r="F276" s="1061"/>
      <c r="G276" s="1062"/>
      <c r="H276" s="1269"/>
      <c r="I276" s="1056"/>
      <c r="J276" s="1111"/>
      <c r="K276" s="505"/>
    </row>
    <row r="277" spans="1:11">
      <c r="A277" s="1262"/>
      <c r="B277" s="1262"/>
      <c r="C277" s="1327"/>
      <c r="D277" s="1262"/>
      <c r="E277" s="1262"/>
      <c r="F277" s="1262"/>
      <c r="G277" s="1262"/>
      <c r="H277" s="1269"/>
      <c r="I277" s="1056"/>
      <c r="J277" s="1111"/>
      <c r="K277" s="505"/>
    </row>
    <row r="278" spans="1:11">
      <c r="A278" s="1262"/>
      <c r="B278" s="1262"/>
      <c r="C278" s="1327"/>
      <c r="D278" s="1262"/>
      <c r="E278" s="1262"/>
      <c r="F278" s="1262"/>
      <c r="G278" s="1262"/>
      <c r="H278" s="1269"/>
      <c r="I278" s="1056"/>
      <c r="J278" s="1111"/>
      <c r="K278" s="505"/>
    </row>
    <row r="279" spans="1:11">
      <c r="A279" s="1262"/>
      <c r="B279" s="1262"/>
      <c r="C279" s="1327"/>
      <c r="D279" s="1262"/>
      <c r="E279" s="1262"/>
      <c r="F279" s="1262"/>
      <c r="G279" s="1262"/>
      <c r="H279" s="1269"/>
      <c r="I279" s="1056"/>
      <c r="J279" s="1111"/>
      <c r="K279" s="505"/>
    </row>
    <row r="280" spans="1:11">
      <c r="A280" s="1262"/>
      <c r="B280" s="1262"/>
      <c r="C280" s="1327"/>
      <c r="D280" s="1262"/>
      <c r="E280" s="1262"/>
      <c r="F280" s="1262"/>
      <c r="G280" s="1262"/>
      <c r="H280" s="1269"/>
      <c r="I280" s="1056"/>
      <c r="J280" s="1111"/>
      <c r="K280" s="505"/>
    </row>
    <row r="281" spans="1:11">
      <c r="A281" s="1262"/>
      <c r="B281" s="1262"/>
      <c r="C281" s="1327"/>
      <c r="D281" s="1262"/>
      <c r="E281" s="1262"/>
      <c r="F281" s="1262"/>
      <c r="G281" s="1262"/>
      <c r="H281" s="1269"/>
      <c r="I281" s="1056"/>
      <c r="J281" s="1111"/>
      <c r="K281" s="505"/>
    </row>
    <row r="282" spans="1:11">
      <c r="A282" s="1262"/>
      <c r="B282" s="1262"/>
      <c r="C282" s="1327"/>
      <c r="D282" s="1262"/>
      <c r="E282" s="1262"/>
      <c r="F282" s="1262"/>
      <c r="G282" s="1262"/>
      <c r="H282" s="1269"/>
      <c r="I282" s="1056"/>
      <c r="J282" s="1111"/>
      <c r="K282" s="505"/>
    </row>
    <row r="283" spans="1:11">
      <c r="A283" s="1262"/>
      <c r="B283" s="1262"/>
      <c r="C283" s="1327"/>
      <c r="D283" s="1262"/>
      <c r="E283" s="1262"/>
      <c r="F283" s="1262"/>
      <c r="G283" s="1262"/>
      <c r="H283" s="1269"/>
      <c r="I283" s="1056"/>
      <c r="J283" s="1111"/>
      <c r="K283" s="505"/>
    </row>
    <row r="284" spans="1:11">
      <c r="A284" s="1262"/>
      <c r="B284" s="1262"/>
      <c r="C284" s="1327"/>
      <c r="D284" s="1262"/>
      <c r="E284" s="1262"/>
      <c r="F284" s="1262"/>
      <c r="G284" s="1262"/>
      <c r="H284" s="1269"/>
      <c r="I284" s="1056"/>
      <c r="J284" s="1111"/>
      <c r="K284" s="505"/>
    </row>
    <row r="285" spans="1:11">
      <c r="A285" s="1262"/>
      <c r="B285" s="1262"/>
      <c r="C285" s="1327"/>
      <c r="D285" s="1262"/>
      <c r="E285" s="1262"/>
      <c r="F285" s="1262"/>
      <c r="G285" s="1262"/>
      <c r="H285" s="1269"/>
      <c r="I285" s="1056"/>
      <c r="J285" s="1111"/>
      <c r="K285" s="505"/>
    </row>
    <row r="286" spans="1:11">
      <c r="A286" s="1262"/>
      <c r="B286" s="1262"/>
      <c r="C286" s="1327"/>
      <c r="D286" s="1262"/>
      <c r="E286" s="1262"/>
      <c r="F286" s="1262"/>
      <c r="G286" s="1262"/>
      <c r="H286" s="1269"/>
      <c r="I286" s="1056"/>
      <c r="J286" s="1111"/>
      <c r="K286" s="505"/>
    </row>
    <row r="287" spans="1:11">
      <c r="A287" s="1262"/>
      <c r="B287" s="1262"/>
      <c r="C287" s="1327"/>
      <c r="D287" s="1262"/>
      <c r="E287" s="1262"/>
      <c r="F287" s="1262"/>
      <c r="G287" s="1262"/>
      <c r="H287" s="1269"/>
      <c r="I287" s="1056"/>
      <c r="J287" s="1111"/>
      <c r="K287" s="505"/>
    </row>
    <row r="288" spans="1:11">
      <c r="A288" s="1262"/>
      <c r="B288" s="1262"/>
      <c r="C288" s="1327"/>
      <c r="D288" s="1262"/>
      <c r="E288" s="1262"/>
      <c r="F288" s="1262"/>
      <c r="G288" s="1262"/>
      <c r="H288" s="1269"/>
      <c r="I288" s="1056"/>
      <c r="J288" s="1111"/>
      <c r="K288" s="505"/>
    </row>
    <row r="289" spans="1:11">
      <c r="A289" s="1262"/>
      <c r="B289" s="1262"/>
      <c r="C289" s="1327"/>
      <c r="D289" s="1262"/>
      <c r="E289" s="1262"/>
      <c r="F289" s="1262"/>
      <c r="G289" s="1262"/>
      <c r="H289" s="1269"/>
      <c r="I289" s="1056"/>
      <c r="J289" s="1111"/>
      <c r="K289" s="505"/>
    </row>
    <row r="290" spans="1:11">
      <c r="A290" s="1262"/>
      <c r="B290" s="1262"/>
      <c r="C290" s="1327"/>
      <c r="D290" s="1262"/>
      <c r="E290" s="1262"/>
      <c r="F290" s="1262"/>
      <c r="G290" s="1262"/>
      <c r="H290" s="1269"/>
      <c r="I290" s="1056"/>
      <c r="J290" s="1111"/>
      <c r="K290" s="505"/>
    </row>
    <row r="291" spans="1:11" ht="15.75" thickBot="1">
      <c r="A291" s="1037"/>
      <c r="B291" s="1038"/>
      <c r="C291" s="1026"/>
      <c r="D291" s="1026"/>
      <c r="E291" s="1026"/>
      <c r="F291" s="1059"/>
      <c r="G291" s="1054"/>
      <c r="H291" s="1269"/>
      <c r="I291" s="1056"/>
      <c r="J291" s="1111"/>
      <c r="K291" s="505"/>
    </row>
    <row r="292" spans="1:11" ht="20.25" thickBot="1">
      <c r="A292" s="1158"/>
      <c r="B292" s="1159"/>
      <c r="C292" s="1159"/>
      <c r="D292" s="1159"/>
      <c r="E292" s="1159"/>
      <c r="F292" s="1160">
        <f>SUM(F171:F179,F181:F291)</f>
        <v>0</v>
      </c>
      <c r="G292" s="1159"/>
      <c r="H292" s="1293">
        <f>SUM(H71:H291)</f>
        <v>0</v>
      </c>
      <c r="I292" s="1160">
        <f>SUM(I171:I291)</f>
        <v>0</v>
      </c>
      <c r="J292" s="1164"/>
      <c r="K292" s="1157"/>
    </row>
  </sheetData>
  <autoFilter ref="A1:K70" xr:uid="{65B8CA4A-BA0E-4A07-A13B-9640E83A81DE}">
    <sortState xmlns:xlrd2="http://schemas.microsoft.com/office/spreadsheetml/2017/richdata2" ref="A2:K70">
      <sortCondition ref="B1:B70"/>
    </sortState>
  </autoFilter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BF81-4B6A-4B29-8923-D85A6B77DB57}">
  <dimension ref="A1:K286"/>
  <sheetViews>
    <sheetView zoomScale="85" zoomScaleNormal="85" workbookViewId="0">
      <selection activeCell="C14" sqref="C14"/>
    </sheetView>
  </sheetViews>
  <sheetFormatPr defaultColWidth="9.140625" defaultRowHeight="15"/>
  <cols>
    <col min="1" max="1" width="15.140625" style="1058" bestFit="1" customWidth="1"/>
    <col min="2" max="2" width="13.5703125" style="1058" customWidth="1"/>
    <col min="3" max="3" width="44.5703125" style="1165" bestFit="1" customWidth="1"/>
    <col min="4" max="4" width="22.28515625" style="1058" bestFit="1" customWidth="1"/>
    <col min="5" max="5" width="11.5703125" style="1058" customWidth="1"/>
    <col min="6" max="6" width="22" style="1058" bestFit="1" customWidth="1"/>
    <col min="7" max="7" width="15" style="1058" customWidth="1"/>
    <col min="8" max="8" width="24.85546875" style="1058" bestFit="1" customWidth="1"/>
    <col min="9" max="9" width="23.28515625" style="1058" bestFit="1" customWidth="1"/>
    <col min="10" max="10" width="20.42578125" style="1058" customWidth="1"/>
    <col min="11" max="11" width="16.5703125" style="1058" customWidth="1"/>
    <col min="12" max="16384" width="9.140625" style="1058"/>
  </cols>
  <sheetData>
    <row r="1" spans="1:11" ht="15" customHeight="1">
      <c r="A1" s="1235" t="s">
        <v>2519</v>
      </c>
      <c r="B1" s="1236" t="s">
        <v>2</v>
      </c>
      <c r="C1" s="1236" t="s">
        <v>3</v>
      </c>
      <c r="D1" s="1236" t="s">
        <v>4</v>
      </c>
      <c r="E1" s="1236" t="s">
        <v>5</v>
      </c>
      <c r="F1" s="1237" t="s">
        <v>644</v>
      </c>
      <c r="G1" s="1238" t="s">
        <v>555</v>
      </c>
      <c r="H1" s="1239" t="s">
        <v>7</v>
      </c>
      <c r="I1" s="1240" t="s">
        <v>307</v>
      </c>
      <c r="J1" s="1238" t="s">
        <v>370</v>
      </c>
      <c r="K1" s="1241" t="s">
        <v>2667</v>
      </c>
    </row>
    <row r="2" spans="1:11" ht="15.75">
      <c r="A2" s="1039">
        <v>45545</v>
      </c>
      <c r="B2" s="1039">
        <v>45917</v>
      </c>
      <c r="C2" s="1025" t="s">
        <v>2331</v>
      </c>
      <c r="D2" s="1025" t="s">
        <v>448</v>
      </c>
      <c r="E2" s="1025" t="s">
        <v>948</v>
      </c>
      <c r="F2" s="1092">
        <v>1665.56</v>
      </c>
      <c r="G2" s="1062">
        <v>0.1</v>
      </c>
      <c r="H2" s="1055">
        <v>153.22999999999999</v>
      </c>
      <c r="I2" s="1242"/>
      <c r="J2" s="1025" t="s">
        <v>1726</v>
      </c>
      <c r="K2" s="1115" t="s">
        <v>2015</v>
      </c>
    </row>
    <row r="3" spans="1:11" ht="15.75">
      <c r="A3" s="1041">
        <v>45538</v>
      </c>
      <c r="B3" s="1041">
        <v>45903</v>
      </c>
      <c r="C3" s="1027" t="s">
        <v>2668</v>
      </c>
      <c r="D3" s="1027" t="s">
        <v>448</v>
      </c>
      <c r="E3" s="1027" t="s">
        <v>945</v>
      </c>
      <c r="F3" s="1090">
        <v>4373.4799999999996</v>
      </c>
      <c r="G3" s="1066">
        <v>0.1</v>
      </c>
      <c r="H3" s="1090">
        <v>402.36</v>
      </c>
      <c r="I3" s="1243"/>
      <c r="J3" s="1027" t="s">
        <v>1470</v>
      </c>
      <c r="K3" s="1117" t="s">
        <v>1472</v>
      </c>
    </row>
    <row r="4" spans="1:11" s="1070" customFormat="1" ht="15.75">
      <c r="A4" s="1041">
        <v>45545</v>
      </c>
      <c r="B4" s="1041">
        <v>45910</v>
      </c>
      <c r="C4" s="1027" t="s">
        <v>2669</v>
      </c>
      <c r="D4" s="1027" t="s">
        <v>25</v>
      </c>
      <c r="E4" s="1027" t="s">
        <v>1641</v>
      </c>
      <c r="F4" s="1065">
        <v>1752.2</v>
      </c>
      <c r="G4" s="1066">
        <v>0.13</v>
      </c>
      <c r="H4" s="1067">
        <v>209.56</v>
      </c>
      <c r="I4" s="1243"/>
      <c r="J4" s="1027" t="s">
        <v>1470</v>
      </c>
      <c r="K4" s="1117" t="s">
        <v>1472</v>
      </c>
    </row>
    <row r="5" spans="1:11" ht="15.75">
      <c r="A5" s="1041">
        <v>45546</v>
      </c>
      <c r="B5" s="1041">
        <v>45912</v>
      </c>
      <c r="C5" s="1027" t="s">
        <v>1326</v>
      </c>
      <c r="D5" s="1027" t="s">
        <v>70</v>
      </c>
      <c r="E5" s="1027" t="s">
        <v>458</v>
      </c>
      <c r="F5" s="1065">
        <v>3257</v>
      </c>
      <c r="G5" s="1066">
        <v>0.1</v>
      </c>
      <c r="H5" s="1067">
        <v>299.64</v>
      </c>
      <c r="I5" s="1243"/>
      <c r="J5" s="1027" t="s">
        <v>1470</v>
      </c>
      <c r="K5" s="1117" t="s">
        <v>2015</v>
      </c>
    </row>
    <row r="6" spans="1:11" ht="15.75">
      <c r="A6" s="1040">
        <v>45548</v>
      </c>
      <c r="B6" s="1042">
        <v>45921</v>
      </c>
      <c r="C6" s="1027" t="s">
        <v>1524</v>
      </c>
      <c r="D6" s="1030" t="s">
        <v>2472</v>
      </c>
      <c r="E6" s="1030" t="s">
        <v>948</v>
      </c>
      <c r="F6" s="1072">
        <v>2231.5</v>
      </c>
      <c r="G6" s="1073">
        <v>0.15</v>
      </c>
      <c r="H6" s="1067">
        <v>307.94</v>
      </c>
      <c r="I6" s="1068"/>
      <c r="J6" s="1112" t="s">
        <v>1470</v>
      </c>
      <c r="K6" s="1117" t="s">
        <v>2015</v>
      </c>
    </row>
    <row r="7" spans="1:11" s="1338" customFormat="1">
      <c r="A7" s="1040">
        <v>45548</v>
      </c>
      <c r="B7" s="1041">
        <v>45921</v>
      </c>
      <c r="C7" s="1041" t="s">
        <v>1515</v>
      </c>
      <c r="D7" s="1042" t="s">
        <v>1924</v>
      </c>
      <c r="E7" s="1041" t="s">
        <v>948</v>
      </c>
      <c r="F7" s="1090">
        <v>1373.94</v>
      </c>
      <c r="G7" s="1066">
        <v>0.15</v>
      </c>
      <c r="H7" s="1090">
        <v>189.6</v>
      </c>
      <c r="I7" s="1234"/>
      <c r="J7" s="1513" t="s">
        <v>1470</v>
      </c>
      <c r="K7" s="1041" t="s">
        <v>2015</v>
      </c>
    </row>
    <row r="8" spans="1:11" s="1485" customFormat="1" ht="15.75">
      <c r="A8" s="1041">
        <v>45560</v>
      </c>
      <c r="B8" s="1041">
        <v>45926</v>
      </c>
      <c r="C8" s="1027" t="s">
        <v>2670</v>
      </c>
      <c r="D8" s="1027" t="s">
        <v>9</v>
      </c>
      <c r="E8" s="1027" t="s">
        <v>945</v>
      </c>
      <c r="F8" s="1400">
        <v>1946.13</v>
      </c>
      <c r="G8" s="1066">
        <v>0.15</v>
      </c>
      <c r="H8" s="1090">
        <v>268.56</v>
      </c>
      <c r="I8" s="1243"/>
      <c r="J8" s="1027" t="s">
        <v>1470</v>
      </c>
      <c r="K8" s="1117" t="s">
        <v>1472</v>
      </c>
    </row>
    <row r="9" spans="1:11" s="1485" customFormat="1" ht="15.75">
      <c r="A9" s="1041">
        <v>45562</v>
      </c>
      <c r="B9" s="1041">
        <v>45930</v>
      </c>
      <c r="C9" s="1027" t="s">
        <v>2671</v>
      </c>
      <c r="D9" s="1027" t="s">
        <v>9</v>
      </c>
      <c r="E9" s="1027" t="s">
        <v>1641</v>
      </c>
      <c r="F9" s="1065">
        <v>2983.3</v>
      </c>
      <c r="G9" s="1066">
        <v>0.1</v>
      </c>
      <c r="H9" s="1233">
        <v>274.45999999999998</v>
      </c>
      <c r="I9" s="1090"/>
      <c r="J9" s="1027" t="s">
        <v>1470</v>
      </c>
      <c r="K9" s="1117" t="s">
        <v>2015</v>
      </c>
    </row>
    <row r="10" spans="1:11" s="1342" customFormat="1" ht="15.75">
      <c r="A10" s="1652">
        <v>45554</v>
      </c>
      <c r="B10" s="1653">
        <v>45919</v>
      </c>
      <c r="C10" s="1654" t="s">
        <v>2334</v>
      </c>
      <c r="D10" s="1654" t="s">
        <v>448</v>
      </c>
      <c r="E10" s="1654" t="s">
        <v>1080</v>
      </c>
      <c r="F10" s="1655">
        <v>590.38</v>
      </c>
      <c r="G10" s="1656">
        <v>0.15</v>
      </c>
      <c r="H10" s="1657">
        <v>88.55</v>
      </c>
      <c r="I10" s="1659">
        <v>44.27</v>
      </c>
      <c r="J10" s="1660" t="s">
        <v>2152</v>
      </c>
      <c r="K10" s="1661" t="s">
        <v>2015</v>
      </c>
    </row>
    <row r="11" spans="1:11" s="1342" customFormat="1" ht="15.75">
      <c r="A11" s="1379">
        <v>45544</v>
      </c>
      <c r="B11" s="1379">
        <v>45909</v>
      </c>
      <c r="C11" s="1380" t="s">
        <v>1864</v>
      </c>
      <c r="D11" s="1380" t="s">
        <v>9</v>
      </c>
      <c r="E11" s="1380" t="s">
        <v>1310</v>
      </c>
      <c r="F11" s="1381">
        <v>2232.17</v>
      </c>
      <c r="G11" s="1384">
        <v>0.1</v>
      </c>
      <c r="H11" s="1340">
        <v>205.35</v>
      </c>
      <c r="I11" s="1658">
        <v>102.67</v>
      </c>
      <c r="J11" s="1370" t="s">
        <v>1759</v>
      </c>
      <c r="K11" s="1341" t="s">
        <v>2015</v>
      </c>
    </row>
    <row r="12" spans="1:11" s="1500" customFormat="1" ht="15.75">
      <c r="A12" s="1379">
        <v>45552</v>
      </c>
      <c r="B12" s="1379">
        <v>45918</v>
      </c>
      <c r="C12" s="1380" t="s">
        <v>2672</v>
      </c>
      <c r="D12" s="1380" t="s">
        <v>9</v>
      </c>
      <c r="E12" s="1380" t="s">
        <v>1641</v>
      </c>
      <c r="F12" s="1381">
        <v>1263.99</v>
      </c>
      <c r="G12" s="1384">
        <v>0.1</v>
      </c>
      <c r="H12" s="1340">
        <v>116.28</v>
      </c>
      <c r="I12" s="1463">
        <v>58.14</v>
      </c>
      <c r="J12" s="1380" t="s">
        <v>1759</v>
      </c>
      <c r="K12" s="1341" t="s">
        <v>1472</v>
      </c>
    </row>
    <row r="13" spans="1:11" s="1460" customFormat="1" ht="15.75">
      <c r="A13" s="1367">
        <v>45566</v>
      </c>
      <c r="B13" s="1390" t="s">
        <v>1805</v>
      </c>
      <c r="C13" s="1368" t="s">
        <v>2672</v>
      </c>
      <c r="D13" s="1368" t="s">
        <v>25</v>
      </c>
      <c r="E13" s="1368" t="s">
        <v>1641</v>
      </c>
      <c r="F13" s="1478">
        <v>55.47</v>
      </c>
      <c r="G13" s="1430">
        <v>0.1</v>
      </c>
      <c r="H13" s="1340">
        <v>5.0999999999999996</v>
      </c>
      <c r="I13" s="1369">
        <v>2.5499999999999998</v>
      </c>
      <c r="J13" s="1370" t="s">
        <v>1759</v>
      </c>
      <c r="K13" s="1341" t="s">
        <v>1805</v>
      </c>
    </row>
    <row r="14" spans="1:11" s="1357" customFormat="1" ht="15.75">
      <c r="A14" s="1358">
        <v>45537</v>
      </c>
      <c r="B14" s="1359">
        <v>45902</v>
      </c>
      <c r="C14" s="1345" t="s">
        <v>2673</v>
      </c>
      <c r="D14" s="1345" t="s">
        <v>448</v>
      </c>
      <c r="E14" s="1345" t="s">
        <v>1080</v>
      </c>
      <c r="F14" s="1346">
        <v>3153.85</v>
      </c>
      <c r="G14" s="1347">
        <v>0.1</v>
      </c>
      <c r="H14" s="1348">
        <v>290.14999999999998</v>
      </c>
      <c r="I14" s="1362">
        <v>145.07</v>
      </c>
      <c r="J14" s="1363" t="s">
        <v>1482</v>
      </c>
      <c r="K14" s="1350" t="s">
        <v>1472</v>
      </c>
    </row>
    <row r="15" spans="1:11" s="1357" customFormat="1" ht="15.75">
      <c r="A15" s="1358">
        <v>45541</v>
      </c>
      <c r="B15" s="1359">
        <v>45906</v>
      </c>
      <c r="C15" s="1345" t="s">
        <v>1138</v>
      </c>
      <c r="D15" s="1345" t="s">
        <v>9</v>
      </c>
      <c r="E15" s="1345" t="s">
        <v>1310</v>
      </c>
      <c r="F15" s="1346">
        <v>2260.0500000000002</v>
      </c>
      <c r="G15" s="1347">
        <v>0.1</v>
      </c>
      <c r="H15" s="1348">
        <v>207.92</v>
      </c>
      <c r="I15" s="1362">
        <f>207.92/2</f>
        <v>103.96</v>
      </c>
      <c r="J15" s="1363" t="s">
        <v>1482</v>
      </c>
      <c r="K15" s="1350" t="s">
        <v>2015</v>
      </c>
    </row>
    <row r="16" spans="1:11" s="1357" customFormat="1" ht="15.75">
      <c r="A16" s="1358">
        <v>45545</v>
      </c>
      <c r="B16" s="1359">
        <v>45910</v>
      </c>
      <c r="C16" s="1360" t="s">
        <v>2674</v>
      </c>
      <c r="D16" s="1360" t="s">
        <v>448</v>
      </c>
      <c r="E16" s="1345" t="s">
        <v>1080</v>
      </c>
      <c r="F16" s="1346">
        <v>2516.9299999999998</v>
      </c>
      <c r="G16" s="1347">
        <v>0.1</v>
      </c>
      <c r="H16" s="1348">
        <v>231.55</v>
      </c>
      <c r="I16" s="1362">
        <v>115.77</v>
      </c>
      <c r="J16" s="1363" t="s">
        <v>1482</v>
      </c>
      <c r="K16" s="1350" t="s">
        <v>1472</v>
      </c>
    </row>
    <row r="17" spans="1:11" s="1357" customFormat="1" ht="15.75">
      <c r="A17" s="1358">
        <v>45541</v>
      </c>
      <c r="B17" s="1359">
        <v>45912</v>
      </c>
      <c r="C17" s="1345" t="s">
        <v>1263</v>
      </c>
      <c r="D17" s="1360" t="s">
        <v>9</v>
      </c>
      <c r="E17" s="1345" t="s">
        <v>1552</v>
      </c>
      <c r="F17" s="1346">
        <v>2825.89</v>
      </c>
      <c r="G17" s="1347">
        <v>0.15</v>
      </c>
      <c r="H17" s="1348">
        <v>389.97</v>
      </c>
      <c r="I17" s="1362">
        <v>194.86</v>
      </c>
      <c r="J17" s="1363" t="s">
        <v>1482</v>
      </c>
      <c r="K17" s="1350" t="s">
        <v>2015</v>
      </c>
    </row>
    <row r="18" spans="1:11" s="1357" customFormat="1" ht="15.75">
      <c r="A18" s="1358">
        <v>45547</v>
      </c>
      <c r="B18" s="1359">
        <v>45916</v>
      </c>
      <c r="C18" s="1345" t="s">
        <v>1521</v>
      </c>
      <c r="D18" s="1360" t="s">
        <v>1862</v>
      </c>
      <c r="E18" s="1345" t="s">
        <v>1593</v>
      </c>
      <c r="F18" s="1346">
        <v>2884.97</v>
      </c>
      <c r="G18" s="1347">
        <v>0.25</v>
      </c>
      <c r="H18" s="1348">
        <v>663.54</v>
      </c>
      <c r="I18" s="1362">
        <v>331.77</v>
      </c>
      <c r="J18" s="1363" t="s">
        <v>1482</v>
      </c>
      <c r="K18" s="1350" t="s">
        <v>2015</v>
      </c>
    </row>
    <row r="19" spans="1:11" s="1357" customFormat="1" ht="15.75">
      <c r="A19" s="1358">
        <v>45552</v>
      </c>
      <c r="B19" s="1359">
        <v>45918</v>
      </c>
      <c r="C19" s="1345" t="s">
        <v>2107</v>
      </c>
      <c r="D19" s="1360" t="s">
        <v>1924</v>
      </c>
      <c r="E19" s="1345" t="s">
        <v>458</v>
      </c>
      <c r="F19" s="1346">
        <v>1807.52</v>
      </c>
      <c r="G19" s="1347">
        <v>0.1</v>
      </c>
      <c r="H19" s="1348">
        <v>166.29</v>
      </c>
      <c r="I19" s="1362">
        <v>83.14</v>
      </c>
      <c r="J19" s="1363" t="s">
        <v>1482</v>
      </c>
      <c r="K19" s="1350" t="s">
        <v>2015</v>
      </c>
    </row>
    <row r="20" spans="1:11" s="1357" customFormat="1" ht="15.75">
      <c r="A20" s="1358">
        <v>45559</v>
      </c>
      <c r="B20" s="1359">
        <v>45924</v>
      </c>
      <c r="C20" s="1345" t="s">
        <v>2675</v>
      </c>
      <c r="D20" s="1360" t="s">
        <v>70</v>
      </c>
      <c r="E20" s="1345" t="s">
        <v>1080</v>
      </c>
      <c r="F20" s="1346">
        <v>3270.91</v>
      </c>
      <c r="G20" s="1347">
        <v>0.1</v>
      </c>
      <c r="H20" s="1348">
        <v>300.92</v>
      </c>
      <c r="I20" s="1362">
        <v>150.46</v>
      </c>
      <c r="J20" s="1363" t="s">
        <v>1482</v>
      </c>
      <c r="K20" s="1350" t="s">
        <v>1472</v>
      </c>
    </row>
    <row r="21" spans="1:11" s="1357" customFormat="1" ht="15.75">
      <c r="A21" s="1344">
        <v>45558</v>
      </c>
      <c r="B21" s="1344">
        <v>45924</v>
      </c>
      <c r="C21" s="1345" t="s">
        <v>1527</v>
      </c>
      <c r="D21" s="1345" t="s">
        <v>21</v>
      </c>
      <c r="E21" s="1345" t="s">
        <v>1080</v>
      </c>
      <c r="F21" s="1346">
        <v>2575.9699999999998</v>
      </c>
      <c r="G21" s="1347">
        <v>0.1</v>
      </c>
      <c r="H21" s="1348">
        <v>236.98</v>
      </c>
      <c r="I21" s="1362">
        <v>118.49</v>
      </c>
      <c r="J21" s="1363" t="s">
        <v>1482</v>
      </c>
      <c r="K21" s="1350" t="s">
        <v>2015</v>
      </c>
    </row>
    <row r="22" spans="1:11" s="1357" customFormat="1" ht="15.75">
      <c r="A22" s="1344">
        <v>45560</v>
      </c>
      <c r="B22" s="1344">
        <v>45925</v>
      </c>
      <c r="C22" s="1345" t="s">
        <v>2676</v>
      </c>
      <c r="D22" s="1345" t="s">
        <v>448</v>
      </c>
      <c r="E22" s="1345" t="s">
        <v>1080</v>
      </c>
      <c r="F22" s="1346">
        <v>1443</v>
      </c>
      <c r="G22" s="1347">
        <v>0.24</v>
      </c>
      <c r="H22" s="1348">
        <v>318.61</v>
      </c>
      <c r="I22" s="1362">
        <v>159.30000000000001</v>
      </c>
      <c r="J22" s="1363" t="s">
        <v>1482</v>
      </c>
      <c r="K22" s="1350" t="s">
        <v>1472</v>
      </c>
    </row>
    <row r="23" spans="1:11" s="1357" customFormat="1" ht="15.75">
      <c r="A23" s="1358">
        <v>45561</v>
      </c>
      <c r="B23" s="1344">
        <v>45926</v>
      </c>
      <c r="C23" s="1345" t="s">
        <v>2677</v>
      </c>
      <c r="D23" s="1360" t="s">
        <v>448</v>
      </c>
      <c r="E23" s="1345" t="s">
        <v>545</v>
      </c>
      <c r="F23" s="1346" t="s">
        <v>889</v>
      </c>
      <c r="G23" s="1347">
        <v>0.14000000000000001</v>
      </c>
      <c r="H23" s="1348">
        <v>380</v>
      </c>
      <c r="I23" s="1362">
        <v>190</v>
      </c>
      <c r="J23" s="1363" t="s">
        <v>1482</v>
      </c>
      <c r="K23" s="1350" t="s">
        <v>1472</v>
      </c>
    </row>
    <row r="24" spans="1:11" s="1460" customFormat="1" ht="15.75">
      <c r="A24" s="1358">
        <v>45562</v>
      </c>
      <c r="B24" s="1344">
        <v>45927</v>
      </c>
      <c r="C24" s="1345" t="s">
        <v>2678</v>
      </c>
      <c r="D24" s="1360" t="s">
        <v>448</v>
      </c>
      <c r="E24" s="1345" t="s">
        <v>945</v>
      </c>
      <c r="F24" s="1346">
        <v>4527.82</v>
      </c>
      <c r="G24" s="1347">
        <v>0.1</v>
      </c>
      <c r="H24" s="1348">
        <v>416.55</v>
      </c>
      <c r="I24" s="1362">
        <v>208.27</v>
      </c>
      <c r="J24" s="1363" t="s">
        <v>1482</v>
      </c>
      <c r="K24" s="1350" t="s">
        <v>1472</v>
      </c>
    </row>
    <row r="25" spans="1:11" s="1357" customFormat="1" ht="15.75">
      <c r="A25" s="1358">
        <v>45562</v>
      </c>
      <c r="B25" s="1344">
        <v>45928</v>
      </c>
      <c r="C25" s="1345" t="s">
        <v>2337</v>
      </c>
      <c r="D25" s="1360" t="s">
        <v>448</v>
      </c>
      <c r="E25" s="1345" t="s">
        <v>945</v>
      </c>
      <c r="F25" s="1346">
        <v>2012.95</v>
      </c>
      <c r="G25" s="1347">
        <v>0.1</v>
      </c>
      <c r="H25" s="1348">
        <v>185.19</v>
      </c>
      <c r="I25" s="1362">
        <v>92.59</v>
      </c>
      <c r="J25" s="1363" t="s">
        <v>1482</v>
      </c>
      <c r="K25" s="1350" t="s">
        <v>2015</v>
      </c>
    </row>
    <row r="26" spans="1:11" s="1342" customFormat="1" ht="15.75">
      <c r="A26" s="1358">
        <v>45548</v>
      </c>
      <c r="B26" s="1344" t="s">
        <v>1805</v>
      </c>
      <c r="C26" s="1360" t="s">
        <v>2652</v>
      </c>
      <c r="D26" s="1360" t="s">
        <v>70</v>
      </c>
      <c r="E26" s="1345" t="s">
        <v>1080</v>
      </c>
      <c r="F26" s="1517">
        <v>184.42</v>
      </c>
      <c r="G26" s="1347">
        <v>0.1</v>
      </c>
      <c r="H26" s="1348">
        <v>16.96</v>
      </c>
      <c r="I26" s="1362">
        <v>8.48</v>
      </c>
      <c r="J26" s="1363" t="s">
        <v>1482</v>
      </c>
      <c r="K26" s="1350" t="s">
        <v>1805</v>
      </c>
    </row>
    <row r="27" spans="1:11" s="1175" customFormat="1" ht="15.75">
      <c r="A27" s="1344">
        <v>45539</v>
      </c>
      <c r="B27" s="1344">
        <v>45904</v>
      </c>
      <c r="C27" s="1345" t="s">
        <v>2679</v>
      </c>
      <c r="D27" s="1345" t="s">
        <v>448</v>
      </c>
      <c r="E27" s="1345" t="s">
        <v>948</v>
      </c>
      <c r="F27" s="1346">
        <v>2632.22</v>
      </c>
      <c r="G27" s="1347">
        <v>0.1</v>
      </c>
      <c r="H27" s="1348">
        <v>242.16</v>
      </c>
      <c r="I27" s="1349">
        <v>121.08</v>
      </c>
      <c r="J27" s="1345" t="s">
        <v>2680</v>
      </c>
      <c r="K27" s="1350" t="s">
        <v>1472</v>
      </c>
    </row>
    <row r="28" spans="1:11" s="1426" customFormat="1" ht="15.75">
      <c r="A28" s="1037">
        <v>45537</v>
      </c>
      <c r="B28" s="1039">
        <v>45903</v>
      </c>
      <c r="C28" s="1032" t="s">
        <v>1030</v>
      </c>
      <c r="D28" s="1026" t="s">
        <v>21</v>
      </c>
      <c r="E28" s="1026" t="s">
        <v>1641</v>
      </c>
      <c r="F28" s="1104">
        <v>1940.72</v>
      </c>
      <c r="G28" s="1062">
        <v>0.2</v>
      </c>
      <c r="H28" s="1023">
        <v>357.09</v>
      </c>
      <c r="I28" s="1056"/>
      <c r="J28" s="1111"/>
      <c r="K28" s="1115" t="s">
        <v>2015</v>
      </c>
    </row>
    <row r="29" spans="1:11" s="1459" customFormat="1" ht="15.75">
      <c r="A29" s="1037">
        <v>45540</v>
      </c>
      <c r="B29" s="1038">
        <v>45905</v>
      </c>
      <c r="C29" s="1025" t="s">
        <v>1987</v>
      </c>
      <c r="D29" s="1026" t="s">
        <v>9</v>
      </c>
      <c r="E29" s="1026" t="s">
        <v>1310</v>
      </c>
      <c r="F29" s="1053">
        <v>2794.84</v>
      </c>
      <c r="G29" s="1054">
        <v>0.2</v>
      </c>
      <c r="H29" s="1023">
        <v>514.25</v>
      </c>
      <c r="I29" s="1056"/>
      <c r="J29" s="1111"/>
      <c r="K29" s="1115" t="s">
        <v>2015</v>
      </c>
    </row>
    <row r="30" spans="1:11" s="1070" customFormat="1" ht="15.75">
      <c r="A30" s="1037">
        <v>45541</v>
      </c>
      <c r="B30" s="1038">
        <v>45906</v>
      </c>
      <c r="C30" s="1025" t="s">
        <v>1574</v>
      </c>
      <c r="D30" s="1026" t="s">
        <v>70</v>
      </c>
      <c r="E30" s="1026" t="s">
        <v>1080</v>
      </c>
      <c r="F30" s="1059">
        <v>2248.39</v>
      </c>
      <c r="G30" s="1054">
        <v>0.16</v>
      </c>
      <c r="H30" s="1055">
        <v>330.96</v>
      </c>
      <c r="I30" s="1056"/>
      <c r="J30" s="1111"/>
      <c r="K30" s="1115" t="s">
        <v>2015</v>
      </c>
    </row>
    <row r="31" spans="1:11" ht="15.75">
      <c r="A31" s="1037">
        <v>45541</v>
      </c>
      <c r="B31" s="1038">
        <v>45906</v>
      </c>
      <c r="C31" s="1025" t="s">
        <v>960</v>
      </c>
      <c r="D31" s="1026" t="s">
        <v>9</v>
      </c>
      <c r="E31" s="1026" t="s">
        <v>1641</v>
      </c>
      <c r="F31" s="1059">
        <v>1714.47</v>
      </c>
      <c r="G31" s="1054">
        <v>0.15</v>
      </c>
      <c r="H31" s="1055">
        <v>236.59</v>
      </c>
      <c r="I31" s="1056"/>
      <c r="J31" s="1111"/>
      <c r="K31" s="1115" t="s">
        <v>2015</v>
      </c>
    </row>
    <row r="32" spans="1:11" ht="15.75">
      <c r="A32" s="1039">
        <v>45541</v>
      </c>
      <c r="B32" s="1039">
        <v>45908</v>
      </c>
      <c r="C32" s="1025" t="s">
        <v>1999</v>
      </c>
      <c r="D32" s="1025" t="s">
        <v>448</v>
      </c>
      <c r="E32" s="1025" t="s">
        <v>458</v>
      </c>
      <c r="F32" s="1061">
        <v>930.01</v>
      </c>
      <c r="G32" s="1062">
        <v>0.1</v>
      </c>
      <c r="H32" s="1055">
        <v>85.56</v>
      </c>
      <c r="I32" s="1242"/>
      <c r="J32" s="1025"/>
      <c r="K32" s="1115" t="s">
        <v>2015</v>
      </c>
    </row>
    <row r="33" spans="1:11" ht="15.75">
      <c r="A33" s="1037">
        <v>45541</v>
      </c>
      <c r="B33" s="1038">
        <v>45908</v>
      </c>
      <c r="C33" s="1025" t="s">
        <v>1691</v>
      </c>
      <c r="D33" s="1026" t="s">
        <v>9</v>
      </c>
      <c r="E33" s="1026" t="s">
        <v>1593</v>
      </c>
      <c r="F33" s="1059">
        <v>1978.5</v>
      </c>
      <c r="G33" s="1054">
        <v>0.15</v>
      </c>
      <c r="H33" s="1055">
        <v>296.77</v>
      </c>
      <c r="I33" s="1056"/>
      <c r="J33" s="1111"/>
      <c r="K33" s="1115"/>
    </row>
    <row r="34" spans="1:11" ht="15.75">
      <c r="A34" s="1037">
        <v>45546</v>
      </c>
      <c r="B34" s="1038">
        <v>45911</v>
      </c>
      <c r="C34" s="1026" t="s">
        <v>1398</v>
      </c>
      <c r="D34" s="1026" t="s">
        <v>2372</v>
      </c>
      <c r="E34" s="1026" t="s">
        <v>945</v>
      </c>
      <c r="F34" s="1059">
        <v>1958.97</v>
      </c>
      <c r="G34" s="1054">
        <v>0.1</v>
      </c>
      <c r="H34" s="1055">
        <v>180.22</v>
      </c>
      <c r="I34" s="1056"/>
      <c r="J34" s="1111"/>
      <c r="K34" s="1115" t="s">
        <v>1472</v>
      </c>
    </row>
    <row r="35" spans="1:11" ht="15.75">
      <c r="A35" s="1037">
        <v>45544</v>
      </c>
      <c r="B35" s="1038">
        <v>45912</v>
      </c>
      <c r="C35" s="1026" t="s">
        <v>2328</v>
      </c>
      <c r="D35" s="1026" t="s">
        <v>25</v>
      </c>
      <c r="E35" s="1026" t="s">
        <v>1080</v>
      </c>
      <c r="F35" s="1103">
        <v>639.76</v>
      </c>
      <c r="G35" s="1054">
        <v>0.1</v>
      </c>
      <c r="H35" s="1055">
        <v>58.85</v>
      </c>
      <c r="I35" s="1056"/>
      <c r="J35" s="1111"/>
      <c r="K35" s="1115" t="s">
        <v>2015</v>
      </c>
    </row>
    <row r="36" spans="1:11" ht="15.75">
      <c r="A36" s="1037">
        <v>45541</v>
      </c>
      <c r="B36" s="1038">
        <v>45912</v>
      </c>
      <c r="C36" s="1025" t="s">
        <v>2687</v>
      </c>
      <c r="D36" s="1026" t="s">
        <v>25</v>
      </c>
      <c r="E36" s="1026" t="s">
        <v>1161</v>
      </c>
      <c r="F36" s="1059">
        <v>6605.92</v>
      </c>
      <c r="G36" s="1054">
        <v>0.1</v>
      </c>
      <c r="H36" s="1023">
        <v>660.59</v>
      </c>
      <c r="I36" s="1056"/>
      <c r="J36" s="1111"/>
      <c r="K36" s="1115"/>
    </row>
    <row r="37" spans="1:11" ht="15.75">
      <c r="A37" s="1040">
        <v>45517</v>
      </c>
      <c r="B37" s="1042">
        <v>45913</v>
      </c>
      <c r="C37" s="1030" t="s">
        <v>2686</v>
      </c>
      <c r="D37" s="1030" t="s">
        <v>448</v>
      </c>
      <c r="E37" s="1027" t="s">
        <v>945</v>
      </c>
      <c r="F37" s="1065">
        <v>328.5</v>
      </c>
      <c r="G37" s="1066">
        <v>0.1</v>
      </c>
      <c r="H37" s="1067">
        <v>65.790000000000006</v>
      </c>
      <c r="I37" s="1068"/>
      <c r="J37" s="1112"/>
      <c r="K37" s="1115"/>
    </row>
    <row r="38" spans="1:11" ht="15.75">
      <c r="A38" s="1040">
        <v>45517</v>
      </c>
      <c r="B38" s="1042">
        <v>45913</v>
      </c>
      <c r="C38" s="1030" t="s">
        <v>2686</v>
      </c>
      <c r="D38" s="1030" t="s">
        <v>848</v>
      </c>
      <c r="E38" s="1030" t="s">
        <v>19</v>
      </c>
      <c r="F38" s="1072">
        <v>3942.95</v>
      </c>
      <c r="G38" s="1073">
        <v>0.1</v>
      </c>
      <c r="H38" s="1067">
        <v>328.5</v>
      </c>
      <c r="I38" s="1068"/>
      <c r="J38" s="1112"/>
      <c r="K38" s="1115"/>
    </row>
    <row r="39" spans="1:11" ht="15.75">
      <c r="A39" s="1037">
        <v>45541</v>
      </c>
      <c r="B39" s="1039">
        <v>45913</v>
      </c>
      <c r="C39" s="1025" t="s">
        <v>1984</v>
      </c>
      <c r="D39" s="1026" t="s">
        <v>448</v>
      </c>
      <c r="E39" s="1025" t="s">
        <v>22</v>
      </c>
      <c r="F39" s="1092">
        <v>1615.94</v>
      </c>
      <c r="G39" s="1062">
        <v>0.1</v>
      </c>
      <c r="H39" s="1055">
        <v>148.66</v>
      </c>
      <c r="I39" s="1056"/>
      <c r="J39" s="1111"/>
      <c r="K39" s="1115" t="s">
        <v>2015</v>
      </c>
    </row>
    <row r="40" spans="1:11" s="1070" customFormat="1" ht="15.75">
      <c r="A40" s="1037">
        <v>45541</v>
      </c>
      <c r="B40" s="1038">
        <v>45914</v>
      </c>
      <c r="C40" s="1026" t="s">
        <v>1047</v>
      </c>
      <c r="D40" s="1026" t="s">
        <v>25</v>
      </c>
      <c r="E40" s="1026" t="s">
        <v>948</v>
      </c>
      <c r="F40" s="1061">
        <v>1915.74</v>
      </c>
      <c r="G40" s="1054">
        <v>0.1</v>
      </c>
      <c r="H40" s="1055">
        <v>176.24</v>
      </c>
      <c r="I40" s="1056"/>
      <c r="J40" s="1111"/>
      <c r="K40" s="1115" t="s">
        <v>2015</v>
      </c>
    </row>
    <row r="41" spans="1:11" ht="15.75">
      <c r="A41" s="1037">
        <v>45545</v>
      </c>
      <c r="B41" s="1038">
        <v>45915</v>
      </c>
      <c r="C41" s="1026" t="s">
        <v>1041</v>
      </c>
      <c r="D41" s="1026" t="s">
        <v>448</v>
      </c>
      <c r="E41" s="1026" t="s">
        <v>948</v>
      </c>
      <c r="F41" s="1059">
        <v>1012.2</v>
      </c>
      <c r="G41" s="1054">
        <v>0.15</v>
      </c>
      <c r="H41" s="1055">
        <v>139.68</v>
      </c>
      <c r="I41" s="1056"/>
      <c r="J41" s="1111"/>
      <c r="K41" s="1115" t="s">
        <v>2015</v>
      </c>
    </row>
    <row r="42" spans="1:11" ht="15.75">
      <c r="A42" s="1037">
        <v>45546</v>
      </c>
      <c r="B42" s="1038">
        <v>45916</v>
      </c>
      <c r="C42" s="1026" t="s">
        <v>2681</v>
      </c>
      <c r="D42" s="1026" t="s">
        <v>448</v>
      </c>
      <c r="E42" s="1026" t="s">
        <v>945</v>
      </c>
      <c r="F42" s="1059">
        <v>2218.41</v>
      </c>
      <c r="G42" s="1054">
        <v>0.1</v>
      </c>
      <c r="H42" s="1055">
        <v>204.09</v>
      </c>
      <c r="I42" s="1056"/>
      <c r="J42" s="1111"/>
      <c r="K42" s="1115" t="s">
        <v>1472</v>
      </c>
    </row>
    <row r="43" spans="1:11" ht="15.75">
      <c r="A43" s="1037">
        <v>45545</v>
      </c>
      <c r="B43" s="1038">
        <v>45917</v>
      </c>
      <c r="C43" s="1026" t="s">
        <v>1522</v>
      </c>
      <c r="D43" s="1026" t="s">
        <v>9</v>
      </c>
      <c r="E43" s="1026" t="s">
        <v>1310</v>
      </c>
      <c r="F43" s="1059">
        <v>2837.75</v>
      </c>
      <c r="G43" s="1054">
        <v>0.1</v>
      </c>
      <c r="H43" s="1055">
        <v>261.07</v>
      </c>
      <c r="I43" s="1056"/>
      <c r="J43" s="1111"/>
      <c r="K43" s="1115" t="s">
        <v>2015</v>
      </c>
    </row>
    <row r="44" spans="1:11" ht="15.75">
      <c r="A44" s="1037">
        <v>45553</v>
      </c>
      <c r="B44" s="1038">
        <v>45918</v>
      </c>
      <c r="C44" s="1025" t="s">
        <v>1045</v>
      </c>
      <c r="D44" s="1026" t="s">
        <v>448</v>
      </c>
      <c r="E44" s="1026" t="s">
        <v>948</v>
      </c>
      <c r="F44" s="1059">
        <v>1156.08</v>
      </c>
      <c r="G44" s="1054">
        <v>0.2</v>
      </c>
      <c r="H44" s="1055">
        <v>212.71</v>
      </c>
      <c r="I44" s="1056"/>
      <c r="J44" s="1111"/>
      <c r="K44" s="1115" t="s">
        <v>2015</v>
      </c>
    </row>
    <row r="45" spans="1:11" ht="15.75">
      <c r="A45" s="1046">
        <v>45555</v>
      </c>
      <c r="B45" s="1047">
        <v>45920</v>
      </c>
      <c r="C45" s="1085" t="s">
        <v>1178</v>
      </c>
      <c r="D45" s="1080" t="s">
        <v>448</v>
      </c>
      <c r="E45" s="1080" t="s">
        <v>948</v>
      </c>
      <c r="F45" s="1081">
        <v>1483.5</v>
      </c>
      <c r="G45" s="1082">
        <v>0.1</v>
      </c>
      <c r="H45" s="1083">
        <v>136.47999999999999</v>
      </c>
      <c r="I45" s="1084"/>
      <c r="J45" s="1184"/>
      <c r="K45" s="1173" t="s">
        <v>2015</v>
      </c>
    </row>
    <row r="46" spans="1:11" ht="15.75">
      <c r="A46" s="1040">
        <v>45555</v>
      </c>
      <c r="B46" s="1042">
        <v>45920</v>
      </c>
      <c r="C46" s="1042" t="s">
        <v>2243</v>
      </c>
      <c r="D46" s="1042" t="s">
        <v>448</v>
      </c>
      <c r="E46" s="1042" t="s">
        <v>2689</v>
      </c>
      <c r="F46" s="1120">
        <v>153.94</v>
      </c>
      <c r="G46" s="1073">
        <v>0.2</v>
      </c>
      <c r="H46" s="1090">
        <v>30.78</v>
      </c>
      <c r="I46" s="1234"/>
      <c r="J46" s="1513"/>
      <c r="K46" s="1115"/>
    </row>
    <row r="47" spans="1:11" ht="15.75">
      <c r="A47" s="1037">
        <v>45555</v>
      </c>
      <c r="B47" s="1038">
        <v>45921</v>
      </c>
      <c r="C47" s="1026" t="s">
        <v>129</v>
      </c>
      <c r="D47" s="1026" t="s">
        <v>448</v>
      </c>
      <c r="E47" s="1026" t="s">
        <v>2682</v>
      </c>
      <c r="F47" s="1103">
        <v>2480.9499999999998</v>
      </c>
      <c r="G47" s="1054">
        <v>0.1</v>
      </c>
      <c r="H47" s="1055">
        <v>228.24</v>
      </c>
      <c r="I47" s="1056"/>
      <c r="J47" s="1111"/>
      <c r="K47" s="1115" t="s">
        <v>2015</v>
      </c>
    </row>
    <row r="48" spans="1:11" ht="15.75">
      <c r="A48" s="1037">
        <v>45554</v>
      </c>
      <c r="B48" s="1038">
        <v>45921</v>
      </c>
      <c r="C48" s="1026" t="s">
        <v>1722</v>
      </c>
      <c r="D48" s="1026" t="s">
        <v>9</v>
      </c>
      <c r="E48" s="1026" t="s">
        <v>945</v>
      </c>
      <c r="F48" s="1103">
        <v>1851.23</v>
      </c>
      <c r="G48" s="1054">
        <v>0.15</v>
      </c>
      <c r="H48" s="1055">
        <v>255.46</v>
      </c>
      <c r="I48" s="1056"/>
      <c r="J48" s="1111"/>
      <c r="K48" s="1115" t="s">
        <v>2015</v>
      </c>
    </row>
    <row r="49" spans="1:11" ht="15.75">
      <c r="A49" s="1037">
        <v>45555</v>
      </c>
      <c r="B49" s="1038">
        <v>45921</v>
      </c>
      <c r="C49" s="1026" t="s">
        <v>2688</v>
      </c>
      <c r="D49" s="1026" t="s">
        <v>448</v>
      </c>
      <c r="E49" s="1026" t="s">
        <v>545</v>
      </c>
      <c r="F49" s="1059">
        <v>100</v>
      </c>
      <c r="G49" s="1054">
        <v>0.1</v>
      </c>
      <c r="H49" s="1055">
        <v>100</v>
      </c>
      <c r="I49" s="1056"/>
      <c r="J49" s="1111"/>
      <c r="K49" s="1115"/>
    </row>
    <row r="50" spans="1:11" ht="15.75">
      <c r="A50" s="1037">
        <v>45555</v>
      </c>
      <c r="B50" s="1038">
        <v>45922</v>
      </c>
      <c r="C50" s="1026" t="s">
        <v>330</v>
      </c>
      <c r="D50" s="1026" t="s">
        <v>25</v>
      </c>
      <c r="E50" s="1026" t="s">
        <v>2682</v>
      </c>
      <c r="F50" s="1059">
        <v>3555.55</v>
      </c>
      <c r="G50" s="1054">
        <v>0.1</v>
      </c>
      <c r="H50" s="1055">
        <v>327.11</v>
      </c>
      <c r="I50" s="1056"/>
      <c r="J50" s="1111"/>
      <c r="K50" s="1115" t="s">
        <v>2015</v>
      </c>
    </row>
    <row r="51" spans="1:11" ht="15.75">
      <c r="A51" s="1037">
        <v>45552</v>
      </c>
      <c r="B51" s="1038">
        <v>45924</v>
      </c>
      <c r="C51" s="1026" t="s">
        <v>1528</v>
      </c>
      <c r="D51" s="1026" t="s">
        <v>9</v>
      </c>
      <c r="E51" s="1026" t="s">
        <v>948</v>
      </c>
      <c r="F51" s="1059">
        <v>1057.27</v>
      </c>
      <c r="G51" s="1054">
        <v>0.15</v>
      </c>
      <c r="H51" s="1055">
        <v>145.9</v>
      </c>
      <c r="I51" s="1056"/>
      <c r="J51" s="1111"/>
      <c r="K51" s="1115" t="s">
        <v>2015</v>
      </c>
    </row>
    <row r="52" spans="1:11" ht="15.75">
      <c r="A52" s="1037">
        <v>45561</v>
      </c>
      <c r="B52" s="1038">
        <v>45926</v>
      </c>
      <c r="C52" s="1099" t="s">
        <v>1677</v>
      </c>
      <c r="D52" s="1026" t="s">
        <v>448</v>
      </c>
      <c r="E52" s="1026" t="s">
        <v>1610</v>
      </c>
      <c r="F52" s="1059">
        <v>5207.58</v>
      </c>
      <c r="G52" s="1054">
        <v>0.1</v>
      </c>
      <c r="H52" s="1055">
        <v>479.09</v>
      </c>
      <c r="I52" s="1056"/>
      <c r="J52" s="1111"/>
      <c r="K52" s="1115" t="s">
        <v>1472</v>
      </c>
    </row>
    <row r="53" spans="1:11" s="1416" customFormat="1" ht="15.75">
      <c r="A53" s="1037">
        <v>45562</v>
      </c>
      <c r="B53" s="1038">
        <v>45927</v>
      </c>
      <c r="C53" s="1026" t="s">
        <v>480</v>
      </c>
      <c r="D53" s="1026" t="s">
        <v>1924</v>
      </c>
      <c r="E53" s="1026" t="s">
        <v>945</v>
      </c>
      <c r="F53" s="1059">
        <v>2468.13</v>
      </c>
      <c r="G53" s="1054">
        <v>0.15</v>
      </c>
      <c r="H53" s="1055">
        <v>340.6</v>
      </c>
      <c r="I53" s="1056"/>
      <c r="J53" s="1111"/>
      <c r="K53" s="1115" t="s">
        <v>2015</v>
      </c>
    </row>
    <row r="54" spans="1:11" s="1342" customFormat="1" ht="15.75">
      <c r="A54" s="1037">
        <v>45552</v>
      </c>
      <c r="B54" s="1038">
        <v>45927</v>
      </c>
      <c r="C54" s="1026" t="s">
        <v>2111</v>
      </c>
      <c r="D54" s="1026" t="s">
        <v>9</v>
      </c>
      <c r="E54" s="1026" t="s">
        <v>1641</v>
      </c>
      <c r="F54" s="1059">
        <v>2323.6799999999998</v>
      </c>
      <c r="G54" s="1054">
        <v>0.2</v>
      </c>
      <c r="H54" s="1055">
        <v>427.55</v>
      </c>
      <c r="I54" s="1056"/>
      <c r="J54" s="1111"/>
      <c r="K54" s="1115" t="s">
        <v>2015</v>
      </c>
    </row>
    <row r="55" spans="1:11" s="1357" customFormat="1" ht="15.75">
      <c r="A55" s="1037">
        <v>45562</v>
      </c>
      <c r="B55" s="1038">
        <v>45927</v>
      </c>
      <c r="C55" s="1026" t="s">
        <v>1999</v>
      </c>
      <c r="D55" s="1026" t="s">
        <v>376</v>
      </c>
      <c r="E55" s="1026" t="s">
        <v>1552</v>
      </c>
      <c r="F55" s="1059">
        <v>1407.8</v>
      </c>
      <c r="G55" s="1054">
        <v>0.15</v>
      </c>
      <c r="H55" s="1055">
        <v>194.27</v>
      </c>
      <c r="I55" s="1056"/>
      <c r="J55" s="1111"/>
      <c r="K55" s="1115" t="s">
        <v>2015</v>
      </c>
    </row>
    <row r="56" spans="1:11" s="1357" customFormat="1" ht="15.75">
      <c r="A56" s="1039">
        <v>45562</v>
      </c>
      <c r="B56" s="1039">
        <v>45927</v>
      </c>
      <c r="C56" s="1025" t="s">
        <v>2154</v>
      </c>
      <c r="D56" s="1025" t="s">
        <v>9</v>
      </c>
      <c r="E56" s="1025" t="s">
        <v>1552</v>
      </c>
      <c r="F56" s="1061">
        <v>3744.11</v>
      </c>
      <c r="G56" s="1062">
        <v>0.1</v>
      </c>
      <c r="H56" s="1055">
        <v>344.45</v>
      </c>
      <c r="I56" s="1242"/>
      <c r="J56" s="1025"/>
      <c r="K56" s="1115" t="s">
        <v>2015</v>
      </c>
    </row>
    <row r="57" spans="1:11" s="1357" customFormat="1" ht="15.75">
      <c r="A57" s="1039">
        <v>45562</v>
      </c>
      <c r="B57" s="1039">
        <v>45928</v>
      </c>
      <c r="C57" s="1025" t="s">
        <v>1874</v>
      </c>
      <c r="D57" s="1025" t="s">
        <v>14</v>
      </c>
      <c r="E57" s="1025" t="s">
        <v>22</v>
      </c>
      <c r="F57" s="1061">
        <v>3063.18</v>
      </c>
      <c r="G57" s="1062">
        <v>0.1</v>
      </c>
      <c r="H57" s="1055">
        <v>281.81</v>
      </c>
      <c r="I57" s="1242"/>
      <c r="J57" s="1025"/>
      <c r="K57" s="1115" t="s">
        <v>2015</v>
      </c>
    </row>
    <row r="58" spans="1:11" s="1070" customFormat="1" ht="15.75">
      <c r="A58" s="1039">
        <v>45562</v>
      </c>
      <c r="B58" s="1039">
        <v>45929</v>
      </c>
      <c r="C58" s="1025" t="s">
        <v>1531</v>
      </c>
      <c r="D58" s="1025" t="s">
        <v>448</v>
      </c>
      <c r="E58" s="1025" t="s">
        <v>948</v>
      </c>
      <c r="F58" s="1061">
        <v>1223.42</v>
      </c>
      <c r="G58" s="1062">
        <v>0.15</v>
      </c>
      <c r="H58" s="1055">
        <v>168.83</v>
      </c>
      <c r="I58" s="1242"/>
      <c r="J58" s="1025"/>
      <c r="K58" s="1115" t="s">
        <v>2015</v>
      </c>
    </row>
    <row r="59" spans="1:11" ht="15.75">
      <c r="A59" s="1039">
        <v>45565</v>
      </c>
      <c r="B59" s="1039">
        <v>45930</v>
      </c>
      <c r="C59" s="1025" t="s">
        <v>2683</v>
      </c>
      <c r="D59" s="1025" t="s">
        <v>21</v>
      </c>
      <c r="E59" s="1025" t="s">
        <v>945</v>
      </c>
      <c r="F59" s="1061">
        <v>2569.1</v>
      </c>
      <c r="G59" s="1062">
        <v>0.1</v>
      </c>
      <c r="H59" s="1055">
        <v>236.35</v>
      </c>
      <c r="I59" s="1242"/>
      <c r="J59" s="1025"/>
      <c r="K59" s="1115" t="s">
        <v>2015</v>
      </c>
    </row>
    <row r="60" spans="1:11" s="1448" customFormat="1" ht="15.75">
      <c r="A60" s="1039">
        <v>45565</v>
      </c>
      <c r="B60" s="1039">
        <v>45930</v>
      </c>
      <c r="C60" s="1025" t="s">
        <v>1537</v>
      </c>
      <c r="D60" s="1025" t="s">
        <v>448</v>
      </c>
      <c r="E60" s="1025" t="s">
        <v>1080</v>
      </c>
      <c r="F60" s="1061">
        <v>1547.59</v>
      </c>
      <c r="G60" s="1062">
        <v>0.1</v>
      </c>
      <c r="H60" s="1055">
        <v>142.37</v>
      </c>
      <c r="I60" s="1242"/>
      <c r="J60" s="1025"/>
      <c r="K60" s="1115" t="s">
        <v>2015</v>
      </c>
    </row>
    <row r="61" spans="1:11" ht="15.75">
      <c r="A61" s="1039">
        <v>45566</v>
      </c>
      <c r="B61" s="1039" t="s">
        <v>1805</v>
      </c>
      <c r="C61" s="1025" t="s">
        <v>2684</v>
      </c>
      <c r="D61" s="1025" t="s">
        <v>2685</v>
      </c>
      <c r="E61" s="1025" t="s">
        <v>22</v>
      </c>
      <c r="F61" s="1061">
        <v>546.39</v>
      </c>
      <c r="G61" s="1062">
        <v>0.15</v>
      </c>
      <c r="H61" s="1055">
        <v>75.400000000000006</v>
      </c>
      <c r="I61" s="1242"/>
      <c r="J61" s="1025"/>
      <c r="K61" s="1115" t="s">
        <v>1805</v>
      </c>
    </row>
    <row r="62" spans="1:11" ht="15.75">
      <c r="A62" s="1037"/>
      <c r="B62" s="1038"/>
      <c r="C62" s="1026"/>
      <c r="D62" s="1026"/>
      <c r="E62" s="1026"/>
      <c r="F62" s="1059"/>
      <c r="G62" s="1054"/>
      <c r="H62" s="1055"/>
      <c r="I62" s="1056"/>
      <c r="J62" s="1111"/>
      <c r="K62" s="1115"/>
    </row>
    <row r="63" spans="1:11" ht="16.5" thickBot="1">
      <c r="A63" s="1037"/>
      <c r="B63" s="1038"/>
      <c r="C63" s="1026"/>
      <c r="D63" s="1026"/>
      <c r="E63" s="1026"/>
      <c r="F63" s="1059"/>
      <c r="G63" s="1054"/>
      <c r="H63" s="1055"/>
      <c r="I63" s="1056"/>
      <c r="J63" s="1111"/>
      <c r="K63" s="1115"/>
    </row>
    <row r="64" spans="1:11" ht="20.25" thickBot="1">
      <c r="A64" s="1158"/>
      <c r="B64" s="1159"/>
      <c r="C64" s="1159"/>
      <c r="D64" s="1159"/>
      <c r="E64" s="1159"/>
      <c r="F64" s="1160">
        <f>SUM(F2:F7,F8:F63)</f>
        <v>126444.18999999999</v>
      </c>
      <c r="G64" s="1161"/>
      <c r="H64" s="1162">
        <f>SUM(H2:H63)</f>
        <v>14739.73</v>
      </c>
      <c r="I64" s="1163">
        <f>SUM(I2:I63)</f>
        <v>2230.87</v>
      </c>
      <c r="J64" s="1164"/>
      <c r="K64" s="1157"/>
    </row>
    <row r="65" spans="1:11" ht="15.75" customHeight="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116"/>
    </row>
    <row r="66" spans="1:11" ht="15.75" customHeight="1">
      <c r="A66" s="1037"/>
      <c r="B66" s="1037"/>
      <c r="C66" s="1026"/>
      <c r="D66" s="1026"/>
      <c r="E66" s="1026"/>
      <c r="F66" s="1059"/>
      <c r="G66" s="1054"/>
      <c r="H66" s="1269"/>
      <c r="I66" s="1056"/>
      <c r="J66" s="1111"/>
      <c r="K66" s="1116"/>
    </row>
    <row r="67" spans="1:11" ht="15.75" customHeight="1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1116"/>
    </row>
    <row r="68" spans="1:11" ht="15.75" customHeight="1">
      <c r="A68" s="1037"/>
      <c r="B68" s="1038"/>
      <c r="C68" s="1026"/>
      <c r="D68" s="1026"/>
      <c r="E68" s="1026"/>
      <c r="F68" s="1059"/>
      <c r="G68" s="1054"/>
      <c r="H68" s="1269"/>
      <c r="I68" s="1056"/>
      <c r="J68" s="1111"/>
      <c r="K68" s="1116"/>
    </row>
    <row r="69" spans="1:11" ht="15.75" customHeight="1">
      <c r="A69" s="1037"/>
      <c r="B69" s="1038"/>
      <c r="C69" s="1026"/>
      <c r="D69" s="1026"/>
      <c r="E69" s="1026"/>
      <c r="F69" s="1059"/>
      <c r="G69" s="1054"/>
      <c r="H69" s="1269"/>
      <c r="I69" s="1056"/>
      <c r="J69" s="1111"/>
      <c r="K69" s="1116"/>
    </row>
    <row r="70" spans="1:11" ht="15.75" customHeight="1">
      <c r="A70" s="1037"/>
      <c r="B70" s="1038"/>
      <c r="C70" s="1026"/>
      <c r="D70" s="1026"/>
      <c r="E70" s="1026"/>
      <c r="F70" s="1059"/>
      <c r="G70" s="1054"/>
      <c r="H70" s="1269"/>
      <c r="I70" s="1056"/>
      <c r="J70" s="1111"/>
      <c r="K70" s="1116"/>
    </row>
    <row r="71" spans="1:11" ht="15.75" customHeight="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116"/>
    </row>
    <row r="72" spans="1:11" ht="15.75" customHeight="1">
      <c r="A72" s="1037"/>
      <c r="B72" s="1038"/>
      <c r="C72" s="1026"/>
      <c r="D72" s="1026"/>
      <c r="E72" s="1026"/>
      <c r="F72" s="1059"/>
      <c r="G72" s="1054"/>
      <c r="H72" s="1269"/>
      <c r="I72" s="1056"/>
      <c r="J72" s="1111"/>
      <c r="K72" s="1116"/>
    </row>
    <row r="73" spans="1:11" ht="15.75" customHeight="1">
      <c r="A73" s="1037"/>
      <c r="B73" s="1038"/>
      <c r="C73" s="1026"/>
      <c r="D73" s="1026"/>
      <c r="E73" s="1026"/>
      <c r="F73" s="1059"/>
      <c r="G73" s="1054"/>
      <c r="H73" s="1269"/>
      <c r="I73" s="1056"/>
      <c r="J73" s="1111"/>
      <c r="K73" s="1116"/>
    </row>
    <row r="74" spans="1:11" ht="15.75" customHeight="1">
      <c r="A74" s="1037"/>
      <c r="B74" s="1038"/>
      <c r="C74" s="1026"/>
      <c r="D74" s="1026"/>
      <c r="E74" s="1026"/>
      <c r="F74" s="1059"/>
      <c r="G74" s="1054"/>
      <c r="H74" s="1269"/>
      <c r="I74" s="1056"/>
      <c r="J74" s="1111"/>
      <c r="K74" s="1262"/>
    </row>
    <row r="75" spans="1:11" ht="15.75" customHeight="1">
      <c r="A75" s="1037"/>
      <c r="B75" s="1038"/>
      <c r="C75" s="1026"/>
      <c r="D75" s="1026"/>
      <c r="E75" s="1026"/>
      <c r="F75" s="1059"/>
      <c r="G75" s="1054"/>
      <c r="H75" s="1269"/>
      <c r="I75" s="1056"/>
      <c r="J75" s="1111"/>
      <c r="K75" s="1116"/>
    </row>
    <row r="76" spans="1:11" ht="15.75" customHeight="1">
      <c r="A76" s="1037"/>
      <c r="B76" s="1038"/>
      <c r="C76" s="1026"/>
      <c r="D76" s="1026"/>
      <c r="E76" s="1026"/>
      <c r="F76" s="1059"/>
      <c r="G76" s="1059"/>
      <c r="H76" s="1269"/>
      <c r="I76" s="1056"/>
      <c r="J76" s="1111"/>
      <c r="K76" s="1116"/>
    </row>
    <row r="77" spans="1:11" ht="15.75" customHeight="1">
      <c r="A77" s="1037"/>
      <c r="B77" s="1038"/>
      <c r="C77" s="1026"/>
      <c r="D77" s="1026"/>
      <c r="E77" s="1026"/>
      <c r="F77" s="1059"/>
      <c r="G77" s="1059"/>
      <c r="H77" s="1269"/>
      <c r="I77" s="1056"/>
      <c r="J77" s="1111"/>
      <c r="K77" s="1262"/>
    </row>
    <row r="78" spans="1:11" ht="15.75" customHeight="1">
      <c r="A78" s="1037"/>
      <c r="B78" s="1038"/>
      <c r="C78" s="1026"/>
      <c r="D78" s="1026"/>
      <c r="E78" s="1026"/>
      <c r="F78" s="1059"/>
      <c r="G78" s="1059"/>
      <c r="H78" s="1269"/>
      <c r="I78" s="1056"/>
      <c r="J78" s="1111"/>
      <c r="K78" s="505"/>
    </row>
    <row r="79" spans="1:11" ht="15.75" customHeight="1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1116"/>
    </row>
    <row r="80" spans="1:11" ht="15.75" customHeight="1">
      <c r="A80" s="1037"/>
      <c r="B80" s="1038"/>
      <c r="C80" s="1026"/>
      <c r="D80" s="1026"/>
      <c r="E80" s="1026"/>
      <c r="F80" s="1059"/>
      <c r="G80" s="1054"/>
      <c r="H80" s="1269"/>
      <c r="I80" s="1056"/>
      <c r="J80" s="1111"/>
      <c r="K80" s="1116"/>
    </row>
    <row r="81" spans="1:11" ht="15.75" customHeight="1">
      <c r="A81" s="1037"/>
      <c r="B81" s="1038"/>
      <c r="C81" s="1026"/>
      <c r="D81" s="1026"/>
      <c r="E81" s="1026"/>
      <c r="F81" s="1059"/>
      <c r="G81" s="1054"/>
      <c r="H81" s="1269"/>
      <c r="I81" s="1056"/>
      <c r="J81" s="1111"/>
      <c r="K81" s="1116"/>
    </row>
    <row r="82" spans="1:11" ht="15.75">
      <c r="A82" s="1037"/>
      <c r="B82" s="1038"/>
      <c r="C82" s="1026"/>
      <c r="D82" s="1026"/>
      <c r="E82" s="1026"/>
      <c r="F82" s="1059"/>
      <c r="G82" s="1054"/>
      <c r="H82" s="1269"/>
      <c r="I82" s="1056"/>
      <c r="J82" s="1111"/>
      <c r="K82" s="1116"/>
    </row>
    <row r="83" spans="1:11" ht="15.75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1116"/>
    </row>
    <row r="84" spans="1:11" ht="15.75">
      <c r="A84" s="1037"/>
      <c r="B84" s="1038"/>
      <c r="C84" s="1025"/>
      <c r="D84" s="1025"/>
      <c r="E84" s="1025"/>
      <c r="F84" s="1059"/>
      <c r="G84" s="1062"/>
      <c r="H84" s="1055"/>
      <c r="I84" s="1056"/>
      <c r="J84" s="1111"/>
      <c r="K84" s="1116"/>
    </row>
    <row r="85" spans="1:11" ht="15.75">
      <c r="A85" s="1037"/>
      <c r="B85" s="1039"/>
      <c r="C85" s="1025"/>
      <c r="D85" s="1025"/>
      <c r="E85" s="1025"/>
      <c r="F85" s="1059"/>
      <c r="G85" s="1054"/>
      <c r="H85" s="1269"/>
      <c r="I85" s="1056"/>
      <c r="J85" s="1111"/>
      <c r="K85" s="1116"/>
    </row>
    <row r="86" spans="1:11" ht="15.75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116"/>
    </row>
    <row r="87" spans="1:11" ht="15.75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6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116"/>
    </row>
    <row r="89" spans="1:11" ht="15.75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116"/>
    </row>
    <row r="90" spans="1:11" ht="15.75">
      <c r="A90" s="1037"/>
      <c r="B90" s="1038"/>
      <c r="C90" s="1026"/>
      <c r="D90" s="1026"/>
      <c r="E90" s="1026"/>
      <c r="F90" s="1059"/>
      <c r="G90" s="1054"/>
      <c r="H90" s="1269"/>
      <c r="I90" s="1056"/>
      <c r="J90" s="1111"/>
      <c r="K90" s="1116"/>
    </row>
    <row r="91" spans="1:11" ht="15.75">
      <c r="A91" s="1037"/>
      <c r="B91" s="1038"/>
      <c r="C91" s="1026"/>
      <c r="D91" s="1026"/>
      <c r="E91" s="1026"/>
      <c r="F91" s="1059"/>
      <c r="G91" s="1054"/>
      <c r="H91" s="1269"/>
      <c r="I91" s="1056"/>
      <c r="J91" s="1111"/>
      <c r="K91" s="1116"/>
    </row>
    <row r="92" spans="1:11" ht="15.75">
      <c r="A92" s="1037"/>
      <c r="B92" s="1038"/>
      <c r="C92" s="1026"/>
      <c r="D92" s="1026"/>
      <c r="E92" s="1026"/>
      <c r="F92" s="1059"/>
      <c r="G92" s="1054"/>
      <c r="H92" s="1269"/>
      <c r="I92" s="1056"/>
      <c r="J92" s="1111"/>
      <c r="K92" s="1116"/>
    </row>
    <row r="93" spans="1:11" ht="15.75">
      <c r="A93" s="1037"/>
      <c r="B93" s="1038"/>
      <c r="C93" s="1026"/>
      <c r="D93" s="1026"/>
      <c r="E93" s="1026"/>
      <c r="F93" s="1059"/>
      <c r="G93" s="1054"/>
      <c r="H93" s="1269"/>
      <c r="I93" s="1056"/>
      <c r="J93" s="1111"/>
      <c r="K93" s="1116"/>
    </row>
    <row r="94" spans="1:11" ht="15.75">
      <c r="A94" s="1037"/>
      <c r="B94" s="1038"/>
      <c r="C94" s="1026"/>
      <c r="D94" s="1026"/>
      <c r="E94" s="1026"/>
      <c r="F94" s="1059"/>
      <c r="G94" s="1054"/>
      <c r="H94" s="1269"/>
      <c r="I94" s="1056"/>
      <c r="J94" s="1111"/>
      <c r="K94" s="1116"/>
    </row>
    <row r="95" spans="1:11" ht="15.75">
      <c r="A95" s="1037"/>
      <c r="B95" s="1038"/>
      <c r="C95" s="1026"/>
      <c r="D95" s="1026"/>
      <c r="E95" s="1026"/>
      <c r="F95" s="1059"/>
      <c r="G95" s="1054"/>
      <c r="H95" s="1269"/>
      <c r="I95" s="1056"/>
      <c r="J95" s="1111"/>
      <c r="K95" s="1116"/>
    </row>
    <row r="96" spans="1:11" ht="15.75">
      <c r="A96" s="1037"/>
      <c r="B96" s="1038"/>
      <c r="C96" s="1026"/>
      <c r="D96" s="1026"/>
      <c r="E96" s="1026"/>
      <c r="F96" s="1059"/>
      <c r="G96" s="1054"/>
      <c r="H96" s="1269"/>
      <c r="I96" s="1056"/>
      <c r="J96" s="1111"/>
      <c r="K96" s="1116"/>
    </row>
    <row r="97" spans="1:11" ht="15.75">
      <c r="A97" s="1037"/>
      <c r="B97" s="1038"/>
      <c r="C97" s="1026"/>
      <c r="D97" s="1026"/>
      <c r="E97" s="1026"/>
      <c r="F97" s="1059"/>
      <c r="G97" s="1054"/>
      <c r="H97" s="1269"/>
      <c r="I97" s="1056"/>
      <c r="J97" s="1111"/>
      <c r="K97" s="1116"/>
    </row>
    <row r="98" spans="1:11" ht="15.75">
      <c r="A98" s="1037"/>
      <c r="B98" s="1038"/>
      <c r="C98" s="1026"/>
      <c r="D98" s="1026"/>
      <c r="E98" s="1026"/>
      <c r="F98" s="1059"/>
      <c r="G98" s="1054"/>
      <c r="H98" s="1269"/>
      <c r="I98" s="1056"/>
      <c r="J98" s="1111"/>
      <c r="K98" s="1116"/>
    </row>
    <row r="99" spans="1:11">
      <c r="A99" s="1037"/>
      <c r="B99" s="1038"/>
      <c r="C99" s="1026"/>
      <c r="D99" s="1026"/>
      <c r="E99" s="1026"/>
      <c r="F99" s="1059"/>
      <c r="G99" s="1059"/>
      <c r="H99" s="1269"/>
      <c r="I99" s="1056"/>
      <c r="J99" s="1111"/>
      <c r="K99" s="1262"/>
    </row>
    <row r="100" spans="1:11">
      <c r="A100" s="1037"/>
      <c r="B100" s="1038"/>
      <c r="C100" s="1026"/>
      <c r="D100" s="1026"/>
      <c r="E100" s="1026"/>
      <c r="F100" s="1059"/>
      <c r="G100" s="1059"/>
      <c r="H100" s="1269"/>
      <c r="I100" s="1056"/>
      <c r="J100" s="1111"/>
      <c r="K100" s="1262"/>
    </row>
    <row r="101" spans="1:11">
      <c r="A101" s="1037"/>
      <c r="B101" s="1038"/>
      <c r="C101" s="1026"/>
      <c r="D101" s="1026"/>
      <c r="E101" s="1026"/>
      <c r="F101" s="1059"/>
      <c r="G101" s="1059"/>
      <c r="H101" s="1269"/>
      <c r="I101" s="1056"/>
      <c r="J101" s="1111"/>
      <c r="K101" s="505"/>
    </row>
    <row r="102" spans="1:11" ht="15.75">
      <c r="A102" s="1037"/>
      <c r="B102" s="1038"/>
      <c r="C102" s="1026"/>
      <c r="D102" s="1026"/>
      <c r="E102" s="1026"/>
      <c r="F102" s="1059"/>
      <c r="G102" s="1054"/>
      <c r="H102" s="1269"/>
      <c r="I102" s="1056"/>
      <c r="J102" s="1111"/>
      <c r="K102" s="1116"/>
    </row>
    <row r="103" spans="1:11">
      <c r="A103" s="1037"/>
      <c r="B103" s="1038"/>
      <c r="C103" s="1026"/>
      <c r="D103" s="1026"/>
      <c r="E103" s="1026"/>
      <c r="F103" s="1059"/>
      <c r="G103" s="1059"/>
      <c r="H103" s="1269"/>
      <c r="I103" s="1056"/>
      <c r="J103" s="1111"/>
      <c r="K103" s="1262"/>
    </row>
    <row r="104" spans="1:11">
      <c r="A104" s="1037"/>
      <c r="B104" s="1038"/>
      <c r="C104" s="1026"/>
      <c r="D104" s="1026"/>
      <c r="E104" s="1026"/>
      <c r="F104" s="1059"/>
      <c r="G104" s="1059"/>
      <c r="H104" s="1269"/>
      <c r="I104" s="1056"/>
      <c r="J104" s="1111"/>
      <c r="K104" s="1262"/>
    </row>
    <row r="105" spans="1:11">
      <c r="A105" s="1037"/>
      <c r="B105" s="1038"/>
      <c r="C105" s="1026"/>
      <c r="D105" s="1026"/>
      <c r="E105" s="1026"/>
      <c r="F105" s="1059"/>
      <c r="G105" s="1059"/>
      <c r="H105" s="1269"/>
      <c r="I105" s="1056"/>
      <c r="J105" s="1111"/>
      <c r="K105" s="505"/>
    </row>
    <row r="106" spans="1:11" ht="15.75">
      <c r="A106" s="1037"/>
      <c r="B106" s="1038"/>
      <c r="C106" s="1026"/>
      <c r="D106" s="1026"/>
      <c r="E106" s="1026"/>
      <c r="F106" s="1059"/>
      <c r="G106" s="1054"/>
      <c r="H106" s="1269"/>
      <c r="I106" s="1056"/>
      <c r="J106" s="1111"/>
      <c r="K106" s="1116"/>
    </row>
    <row r="107" spans="1:11" ht="15.75">
      <c r="A107" s="1037"/>
      <c r="B107" s="1038"/>
      <c r="C107" s="1026"/>
      <c r="D107" s="1026"/>
      <c r="E107" s="1026"/>
      <c r="F107" s="1059"/>
      <c r="G107" s="1054"/>
      <c r="H107" s="1269"/>
      <c r="I107" s="1056"/>
      <c r="J107" s="1111"/>
      <c r="K107" s="1116"/>
    </row>
    <row r="108" spans="1:11">
      <c r="A108" s="1037"/>
      <c r="B108" s="1038"/>
      <c r="C108" s="1026"/>
      <c r="D108" s="1026"/>
      <c r="E108" s="1026"/>
      <c r="F108" s="1059"/>
      <c r="G108" s="1059"/>
      <c r="H108" s="1269"/>
      <c r="I108" s="1056"/>
      <c r="J108" s="1111"/>
      <c r="K108" s="1262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1262"/>
    </row>
    <row r="110" spans="1:11">
      <c r="A110" s="1037"/>
      <c r="B110" s="1038"/>
      <c r="C110" s="1026"/>
      <c r="D110" s="1026"/>
      <c r="E110" s="1026"/>
      <c r="F110" s="1059"/>
      <c r="G110" s="1059"/>
      <c r="H110" s="1269"/>
      <c r="I110" s="1056"/>
      <c r="J110" s="1111"/>
      <c r="K110" s="505"/>
    </row>
    <row r="111" spans="1:11">
      <c r="A111" s="1037"/>
      <c r="B111" s="1038"/>
      <c r="C111" s="1026"/>
      <c r="D111" s="1026"/>
      <c r="E111" s="1026"/>
      <c r="F111" s="1059"/>
      <c r="G111" s="1059"/>
      <c r="H111" s="1269"/>
      <c r="I111" s="1056"/>
      <c r="J111" s="1111"/>
      <c r="K111" s="1262"/>
    </row>
    <row r="112" spans="1:11">
      <c r="A112" s="1037"/>
      <c r="B112" s="1038"/>
      <c r="C112" s="1026"/>
      <c r="D112" s="1026"/>
      <c r="E112" s="1026"/>
      <c r="F112" s="1059"/>
      <c r="G112" s="1059"/>
      <c r="H112" s="1269"/>
      <c r="I112" s="1056"/>
      <c r="J112" s="1111"/>
      <c r="K112" s="505"/>
    </row>
    <row r="113" spans="1:11">
      <c r="A113" s="1037"/>
      <c r="B113" s="1038"/>
      <c r="C113" s="1026"/>
      <c r="D113" s="1026"/>
      <c r="E113" s="1026"/>
      <c r="F113" s="1059"/>
      <c r="G113" s="1059"/>
      <c r="H113" s="1269"/>
      <c r="I113" s="1056"/>
      <c r="J113" s="1111"/>
      <c r="K113" s="505"/>
    </row>
    <row r="114" spans="1:11" ht="15.75">
      <c r="A114" s="1037"/>
      <c r="B114" s="1038"/>
      <c r="C114" s="1026"/>
      <c r="D114" s="1026"/>
      <c r="E114" s="1026"/>
      <c r="F114" s="1059"/>
      <c r="G114" s="1054"/>
      <c r="H114" s="1269"/>
      <c r="I114" s="1056"/>
      <c r="J114" s="1111"/>
      <c r="K114" s="1116"/>
    </row>
    <row r="115" spans="1:11">
      <c r="A115" s="1037"/>
      <c r="B115" s="1038"/>
      <c r="C115" s="1026"/>
      <c r="D115" s="1026"/>
      <c r="E115" s="1026"/>
      <c r="F115" s="1059"/>
      <c r="G115" s="1059"/>
      <c r="H115" s="1269"/>
      <c r="I115" s="1056"/>
      <c r="J115" s="1111"/>
      <c r="K115" s="1262"/>
    </row>
    <row r="116" spans="1:11">
      <c r="A116" s="1037"/>
      <c r="B116" s="1038"/>
      <c r="C116" s="1026"/>
      <c r="D116" s="1026"/>
      <c r="E116" s="1026"/>
      <c r="F116" s="1059"/>
      <c r="G116" s="1059"/>
      <c r="H116" s="1269"/>
      <c r="I116" s="1056"/>
      <c r="J116" s="1111"/>
      <c r="K116" s="505"/>
    </row>
    <row r="117" spans="1:11">
      <c r="A117" s="1037"/>
      <c r="B117" s="1038"/>
      <c r="C117" s="1026"/>
      <c r="D117" s="1026"/>
      <c r="E117" s="1026"/>
      <c r="F117" s="1059"/>
      <c r="G117" s="1059"/>
      <c r="H117" s="1269"/>
      <c r="I117" s="1056"/>
      <c r="J117" s="1111"/>
      <c r="K117" s="505"/>
    </row>
    <row r="118" spans="1:11" ht="15.75">
      <c r="A118" s="1037"/>
      <c r="B118" s="1038"/>
      <c r="C118" s="1026"/>
      <c r="D118" s="1026"/>
      <c r="E118" s="1026"/>
      <c r="F118" s="1059"/>
      <c r="G118" s="1059"/>
      <c r="H118" s="1269"/>
      <c r="I118" s="1056"/>
      <c r="J118" s="1111"/>
      <c r="K118" s="1116"/>
    </row>
    <row r="119" spans="1:11">
      <c r="A119" s="1037"/>
      <c r="B119" s="1038"/>
      <c r="C119" s="1026"/>
      <c r="D119" s="1026"/>
      <c r="E119" s="1026"/>
      <c r="F119" s="1059"/>
      <c r="G119" s="1059"/>
      <c r="H119" s="1269"/>
      <c r="I119" s="1056"/>
      <c r="J119" s="1111"/>
      <c r="K119" s="505"/>
    </row>
    <row r="120" spans="1:11">
      <c r="A120" s="1037"/>
      <c r="B120" s="1038"/>
      <c r="C120" s="1026"/>
      <c r="D120" s="1026"/>
      <c r="E120" s="1026"/>
      <c r="F120" s="1059"/>
      <c r="G120" s="1059"/>
      <c r="H120" s="1269"/>
      <c r="I120" s="1056"/>
      <c r="J120" s="1111"/>
      <c r="K120" s="505"/>
    </row>
    <row r="121" spans="1:11">
      <c r="A121" s="1037"/>
      <c r="B121" s="1038"/>
      <c r="C121" s="1026"/>
      <c r="D121" s="1026"/>
      <c r="E121" s="1026"/>
      <c r="F121" s="1059"/>
      <c r="G121" s="1059"/>
      <c r="H121" s="1269"/>
      <c r="I121" s="1056"/>
      <c r="J121" s="1111"/>
      <c r="K121" s="1262"/>
    </row>
    <row r="122" spans="1:11">
      <c r="A122" s="1037"/>
      <c r="B122" s="1038"/>
      <c r="C122" s="1026"/>
      <c r="D122" s="1026"/>
      <c r="E122" s="1026"/>
      <c r="F122" s="1059"/>
      <c r="G122" s="1059"/>
      <c r="H122" s="1269"/>
      <c r="I122" s="1056"/>
      <c r="J122" s="1111"/>
      <c r="K122" s="505"/>
    </row>
    <row r="123" spans="1:11">
      <c r="A123" s="1037"/>
      <c r="B123" s="1038"/>
      <c r="C123" s="1026"/>
      <c r="D123" s="1026"/>
      <c r="E123" s="1026"/>
      <c r="F123" s="1059"/>
      <c r="G123" s="1054"/>
      <c r="H123" s="1269"/>
      <c r="I123" s="1056"/>
      <c r="J123" s="1111"/>
      <c r="K123" s="505"/>
    </row>
    <row r="124" spans="1:11" ht="15.75">
      <c r="A124" s="1037"/>
      <c r="B124" s="1038"/>
      <c r="C124" s="1025"/>
      <c r="D124" s="1026"/>
      <c r="E124" s="1026"/>
      <c r="F124" s="1059"/>
      <c r="G124" s="1054"/>
      <c r="H124" s="1269"/>
      <c r="I124" s="1056"/>
      <c r="J124" s="1111"/>
      <c r="K124" s="1116"/>
    </row>
    <row r="125" spans="1:11" ht="15.75">
      <c r="A125" s="1037"/>
      <c r="B125" s="1038"/>
      <c r="C125" s="1026"/>
      <c r="D125" s="1026"/>
      <c r="E125" s="1026"/>
      <c r="F125" s="1059"/>
      <c r="G125" s="1054"/>
      <c r="H125" s="1269"/>
      <c r="I125" s="1056"/>
      <c r="J125" s="1111"/>
      <c r="K125" s="1116"/>
    </row>
    <row r="126" spans="1:11" ht="15.75">
      <c r="A126" s="1037"/>
      <c r="B126" s="1038"/>
      <c r="C126" s="1026"/>
      <c r="D126" s="1026"/>
      <c r="E126" s="1026"/>
      <c r="F126" s="1059"/>
      <c r="G126" s="1054"/>
      <c r="H126" s="1269"/>
      <c r="I126" s="1056"/>
      <c r="J126" s="1111"/>
      <c r="K126" s="1116"/>
    </row>
    <row r="127" spans="1:11" ht="15.75">
      <c r="A127" s="1037"/>
      <c r="B127" s="1038"/>
      <c r="C127" s="1026"/>
      <c r="D127" s="1026"/>
      <c r="E127" s="1026"/>
      <c r="F127" s="1059"/>
      <c r="G127" s="1054"/>
      <c r="H127" s="1269"/>
      <c r="I127" s="1056"/>
      <c r="J127" s="1111"/>
      <c r="K127" s="1116"/>
    </row>
    <row r="128" spans="1:11" ht="15.75">
      <c r="A128" s="1037"/>
      <c r="B128" s="1038"/>
      <c r="C128" s="1026"/>
      <c r="D128" s="1026"/>
      <c r="E128" s="1026"/>
      <c r="F128" s="1059"/>
      <c r="G128" s="1054"/>
      <c r="H128" s="1269"/>
      <c r="I128" s="1056"/>
      <c r="J128" s="1111"/>
      <c r="K128" s="1116"/>
    </row>
    <row r="129" spans="1:11">
      <c r="A129" s="1037"/>
      <c r="B129" s="1038"/>
      <c r="C129" s="1026"/>
      <c r="D129" s="1026"/>
      <c r="E129" s="1026"/>
      <c r="F129" s="1059"/>
      <c r="G129" s="1059"/>
      <c r="H129" s="1269"/>
      <c r="I129" s="1056"/>
      <c r="J129" s="1111"/>
      <c r="K129" s="1262"/>
    </row>
    <row r="130" spans="1:11">
      <c r="A130" s="1037"/>
      <c r="B130" s="1038"/>
      <c r="C130" s="1026"/>
      <c r="D130" s="1026"/>
      <c r="E130" s="1026"/>
      <c r="F130" s="1059"/>
      <c r="G130" s="1059"/>
      <c r="H130" s="1269"/>
      <c r="I130" s="1056"/>
      <c r="J130" s="1111"/>
      <c r="K130" s="505"/>
    </row>
    <row r="131" spans="1:11" ht="15.75">
      <c r="A131" s="1037"/>
      <c r="B131" s="1038"/>
      <c r="C131" s="1026"/>
      <c r="D131" s="1026"/>
      <c r="E131" s="1026"/>
      <c r="F131" s="1059"/>
      <c r="G131" s="1054"/>
      <c r="H131" s="1269"/>
      <c r="I131" s="1056"/>
      <c r="J131" s="1111"/>
      <c r="K131" s="1116"/>
    </row>
    <row r="132" spans="1:11" ht="15.75">
      <c r="A132" s="1037"/>
      <c r="B132" s="1038"/>
      <c r="C132" s="1026"/>
      <c r="D132" s="1026"/>
      <c r="E132" s="1026"/>
      <c r="F132" s="1059"/>
      <c r="G132" s="1054"/>
      <c r="H132" s="1269"/>
      <c r="I132" s="1056"/>
      <c r="J132" s="1111"/>
      <c r="K132" s="1116"/>
    </row>
    <row r="133" spans="1:11" ht="15.75">
      <c r="A133" s="1037"/>
      <c r="B133" s="1038"/>
      <c r="C133" s="1026"/>
      <c r="D133" s="1026"/>
      <c r="E133" s="1026"/>
      <c r="F133" s="1059"/>
      <c r="G133" s="1054"/>
      <c r="H133" s="1269"/>
      <c r="I133" s="1056"/>
      <c r="J133" s="1111"/>
      <c r="K133" s="1116"/>
    </row>
    <row r="134" spans="1:11">
      <c r="A134" s="1037"/>
      <c r="B134" s="1038"/>
      <c r="C134" s="1026"/>
      <c r="D134" s="1026"/>
      <c r="E134" s="1026"/>
      <c r="F134" s="1059"/>
      <c r="G134" s="1054"/>
      <c r="H134" s="1269"/>
      <c r="I134" s="1056"/>
      <c r="J134" s="1111"/>
      <c r="K134" s="1262"/>
    </row>
    <row r="135" spans="1:11">
      <c r="A135" s="1037"/>
      <c r="B135" s="1038"/>
      <c r="C135" s="1026"/>
      <c r="D135" s="1026"/>
      <c r="E135" s="1026"/>
      <c r="F135" s="1059"/>
      <c r="G135" s="1054"/>
      <c r="H135" s="1269"/>
      <c r="I135" s="1056"/>
      <c r="J135" s="1111"/>
      <c r="K135" s="1262"/>
    </row>
    <row r="136" spans="1:11">
      <c r="A136" s="1037"/>
      <c r="B136" s="1038"/>
      <c r="C136" s="1026"/>
      <c r="D136" s="1026"/>
      <c r="E136" s="1026"/>
      <c r="F136" s="1059"/>
      <c r="G136" s="1059"/>
      <c r="H136" s="1269"/>
      <c r="I136" s="1056"/>
      <c r="J136" s="1111"/>
      <c r="K136" s="1262"/>
    </row>
    <row r="137" spans="1:11">
      <c r="A137" s="1037"/>
      <c r="B137" s="1038"/>
      <c r="C137" s="1026"/>
      <c r="D137" s="1026"/>
      <c r="E137" s="1026"/>
      <c r="F137" s="1059"/>
      <c r="G137" s="1059"/>
      <c r="H137" s="1269"/>
      <c r="I137" s="1056"/>
      <c r="J137" s="1111"/>
      <c r="K137" s="505"/>
    </row>
    <row r="138" spans="1:11">
      <c r="A138" s="1037"/>
      <c r="B138" s="1038"/>
      <c r="C138" s="1026"/>
      <c r="D138" s="1026"/>
      <c r="E138" s="1026"/>
      <c r="F138" s="1059"/>
      <c r="G138" s="1059"/>
      <c r="H138" s="1269"/>
      <c r="I138" s="1056"/>
      <c r="J138" s="1111"/>
      <c r="K138" s="1262"/>
    </row>
    <row r="139" spans="1:11">
      <c r="A139" s="1037"/>
      <c r="B139" s="1038"/>
      <c r="C139" s="1026"/>
      <c r="D139" s="1026"/>
      <c r="E139" s="1026"/>
      <c r="F139" s="1059"/>
      <c r="G139" s="1059"/>
      <c r="H139" s="1269"/>
      <c r="I139" s="1056"/>
      <c r="J139" s="1111"/>
      <c r="K139" s="505"/>
    </row>
    <row r="140" spans="1:11" ht="15.75">
      <c r="A140" s="1037"/>
      <c r="B140" s="1038"/>
      <c r="C140" s="1026"/>
      <c r="D140" s="1026"/>
      <c r="E140" s="1026"/>
      <c r="F140" s="1059"/>
      <c r="G140" s="1054"/>
      <c r="H140" s="1269"/>
      <c r="I140" s="1056"/>
      <c r="J140" s="1111"/>
      <c r="K140" s="1116"/>
    </row>
    <row r="141" spans="1:11" ht="15.75">
      <c r="A141" s="1037"/>
      <c r="B141" s="1038"/>
      <c r="C141" s="1026"/>
      <c r="D141" s="1026"/>
      <c r="E141" s="1026"/>
      <c r="F141" s="1059"/>
      <c r="G141" s="1059"/>
      <c r="H141" s="1269"/>
      <c r="I141" s="1056"/>
      <c r="J141" s="1111"/>
      <c r="K141" s="1116"/>
    </row>
    <row r="142" spans="1:11">
      <c r="A142" s="1037"/>
      <c r="B142" s="1038"/>
      <c r="C142" s="1026"/>
      <c r="D142" s="1026"/>
      <c r="E142" s="1026"/>
      <c r="F142" s="1059"/>
      <c r="G142" s="1059"/>
      <c r="H142" s="1269"/>
      <c r="I142" s="1056"/>
      <c r="J142" s="1111"/>
      <c r="K142" s="505"/>
    </row>
    <row r="143" spans="1:11">
      <c r="A143" s="1037"/>
      <c r="B143" s="1038"/>
      <c r="C143" s="1026"/>
      <c r="D143" s="1026"/>
      <c r="E143" s="1328"/>
      <c r="F143" s="1059"/>
      <c r="G143" s="1054"/>
      <c r="H143" s="1269"/>
      <c r="I143" s="1056"/>
      <c r="J143" s="1111"/>
      <c r="K143" s="505"/>
    </row>
    <row r="144" spans="1:11" ht="15.75">
      <c r="A144" s="1037"/>
      <c r="B144" s="1038"/>
      <c r="C144" s="1026"/>
      <c r="D144" s="1026"/>
      <c r="E144" s="1026"/>
      <c r="F144" s="1059"/>
      <c r="G144" s="1054"/>
      <c r="H144" s="1269"/>
      <c r="I144" s="1056"/>
      <c r="J144" s="1111"/>
      <c r="K144" s="1116"/>
    </row>
    <row r="145" spans="1:11">
      <c r="A145" s="1037"/>
      <c r="B145" s="1038"/>
      <c r="C145" s="1026"/>
      <c r="D145" s="1026"/>
      <c r="E145" s="1026"/>
      <c r="F145" s="1059"/>
      <c r="G145" s="1054"/>
      <c r="H145" s="1269"/>
      <c r="I145" s="1056"/>
      <c r="J145" s="1111"/>
      <c r="K145" s="1262"/>
    </row>
    <row r="146" spans="1:11">
      <c r="A146" s="1037"/>
      <c r="B146" s="1038"/>
      <c r="C146" s="1026"/>
      <c r="D146" s="1026"/>
      <c r="E146" s="1026"/>
      <c r="F146" s="1059"/>
      <c r="G146" s="1059"/>
      <c r="H146" s="1269"/>
      <c r="I146" s="1056"/>
      <c r="J146" s="1111"/>
      <c r="K146" s="1262"/>
    </row>
    <row r="147" spans="1:11">
      <c r="A147" s="1037"/>
      <c r="B147" s="1038"/>
      <c r="C147" s="1026"/>
      <c r="D147" s="1026"/>
      <c r="E147" s="1026"/>
      <c r="F147" s="1059"/>
      <c r="G147" s="1059"/>
      <c r="H147" s="1269"/>
      <c r="I147" s="1056"/>
      <c r="J147" s="1111"/>
      <c r="K147" s="505"/>
    </row>
    <row r="148" spans="1:11" ht="15.75">
      <c r="A148" s="1037"/>
      <c r="B148" s="1038"/>
      <c r="C148" s="1026"/>
      <c r="D148" s="1026"/>
      <c r="E148" s="1026"/>
      <c r="F148" s="1059"/>
      <c r="G148" s="1054"/>
      <c r="H148" s="1269"/>
      <c r="I148" s="1056"/>
      <c r="J148" s="1111"/>
      <c r="K148" s="1116"/>
    </row>
    <row r="149" spans="1:11" ht="15.75">
      <c r="A149" s="1037"/>
      <c r="B149" s="1038"/>
      <c r="C149" s="1026"/>
      <c r="D149" s="1026"/>
      <c r="E149" s="1026"/>
      <c r="F149" s="1059"/>
      <c r="G149" s="1054"/>
      <c r="H149" s="1269"/>
      <c r="I149" s="1056"/>
      <c r="J149" s="1111"/>
      <c r="K149" s="1116"/>
    </row>
    <row r="150" spans="1:11" ht="15.75">
      <c r="A150" s="1037"/>
      <c r="B150" s="1038"/>
      <c r="C150" s="1026"/>
      <c r="D150" s="1026"/>
      <c r="E150" s="1026"/>
      <c r="F150" s="1059"/>
      <c r="G150" s="1054"/>
      <c r="H150" s="1269"/>
      <c r="I150" s="1056"/>
      <c r="J150" s="1111"/>
      <c r="K150" s="1116"/>
    </row>
    <row r="151" spans="1:11" ht="15.75">
      <c r="A151" s="1037"/>
      <c r="B151" s="1038"/>
      <c r="C151" s="1026"/>
      <c r="D151" s="1026"/>
      <c r="E151" s="1026"/>
      <c r="F151" s="1059"/>
      <c r="G151" s="1054"/>
      <c r="H151" s="1269"/>
      <c r="I151" s="1056"/>
      <c r="J151" s="1111"/>
      <c r="K151" s="1116"/>
    </row>
    <row r="152" spans="1:11" ht="15.75">
      <c r="A152" s="1037"/>
      <c r="B152" s="1038"/>
      <c r="C152" s="1026"/>
      <c r="D152" s="1026"/>
      <c r="E152" s="1026"/>
      <c r="F152" s="1059"/>
      <c r="G152" s="1054"/>
      <c r="H152" s="1269"/>
      <c r="I152" s="1056"/>
      <c r="J152" s="1111"/>
      <c r="K152" s="1116"/>
    </row>
    <row r="153" spans="1:11">
      <c r="A153" s="1037"/>
      <c r="B153" s="1038"/>
      <c r="C153" s="1026"/>
      <c r="D153" s="1026"/>
      <c r="E153" s="1026"/>
      <c r="F153" s="1059"/>
      <c r="G153" s="1054"/>
      <c r="H153" s="1269"/>
      <c r="I153" s="1056"/>
      <c r="J153" s="1111"/>
      <c r="K153" s="1262"/>
    </row>
    <row r="154" spans="1:11">
      <c r="A154" s="1037"/>
      <c r="B154" s="1038"/>
      <c r="C154" s="1025"/>
      <c r="D154" s="1026"/>
      <c r="E154" s="1026"/>
      <c r="F154" s="1061"/>
      <c r="G154" s="1054"/>
      <c r="H154" s="1055"/>
      <c r="I154" s="1056"/>
      <c r="J154" s="1111"/>
      <c r="K154" s="1262"/>
    </row>
    <row r="155" spans="1:11">
      <c r="A155" s="1037"/>
      <c r="B155" s="1038"/>
      <c r="C155" s="1026"/>
      <c r="D155" s="1026"/>
      <c r="E155" s="1026"/>
      <c r="F155" s="1059"/>
      <c r="G155" s="1054"/>
      <c r="H155" s="1269"/>
      <c r="I155" s="1056"/>
      <c r="J155" s="1111"/>
      <c r="K155" s="1262"/>
    </row>
    <row r="156" spans="1:11">
      <c r="A156" s="1037"/>
      <c r="B156" s="1038"/>
      <c r="C156" s="1026"/>
      <c r="D156" s="1026"/>
      <c r="E156" s="1026"/>
      <c r="F156" s="1059"/>
      <c r="G156" s="1054"/>
      <c r="H156" s="1269"/>
      <c r="I156" s="1056"/>
      <c r="J156" s="1111"/>
      <c r="K156" s="1262"/>
    </row>
    <row r="157" spans="1:11">
      <c r="A157" s="1037"/>
      <c r="B157" s="1038"/>
      <c r="C157" s="1026"/>
      <c r="D157" s="1026"/>
      <c r="E157" s="1026"/>
      <c r="F157" s="1059"/>
      <c r="G157" s="1059"/>
      <c r="H157" s="1269"/>
      <c r="I157" s="1056"/>
      <c r="J157" s="1111"/>
      <c r="K157" s="1262"/>
    </row>
    <row r="158" spans="1:11">
      <c r="A158" s="1037"/>
      <c r="B158" s="1038"/>
      <c r="C158" s="1026"/>
      <c r="D158" s="1026"/>
      <c r="E158" s="1026"/>
      <c r="F158" s="1059"/>
      <c r="G158" s="1059"/>
      <c r="H158" s="1269"/>
      <c r="I158" s="1056"/>
      <c r="J158" s="1111"/>
      <c r="K158" s="505"/>
    </row>
    <row r="159" spans="1:11" ht="15.75">
      <c r="A159" s="1037"/>
      <c r="B159" s="1038"/>
      <c r="C159" s="1026"/>
      <c r="D159" s="1026"/>
      <c r="E159" s="1026"/>
      <c r="F159" s="1059"/>
      <c r="G159" s="1054"/>
      <c r="H159" s="1269"/>
      <c r="I159" s="1056"/>
      <c r="J159" s="1111"/>
      <c r="K159" s="1116"/>
    </row>
    <row r="160" spans="1:11">
      <c r="A160" s="1037"/>
      <c r="B160" s="1038"/>
      <c r="C160" s="1026"/>
      <c r="D160" s="1026"/>
      <c r="E160" s="1026"/>
      <c r="F160" s="1059"/>
      <c r="G160" s="1054"/>
      <c r="H160" s="1269"/>
      <c r="I160" s="1056"/>
      <c r="J160" s="1111"/>
      <c r="K160" s="1262"/>
    </row>
    <row r="161" spans="1:11">
      <c r="A161" s="1037"/>
      <c r="B161" s="1038"/>
      <c r="C161" s="1026"/>
      <c r="D161" s="1026"/>
      <c r="E161" s="1026"/>
      <c r="F161" s="1059"/>
      <c r="G161" s="1059"/>
      <c r="H161" s="1269"/>
      <c r="I161" s="1056"/>
      <c r="J161" s="1111"/>
      <c r="K161" s="1262"/>
    </row>
    <row r="162" spans="1:11">
      <c r="A162" s="1037"/>
      <c r="B162" s="1038"/>
      <c r="C162" s="1026"/>
      <c r="D162" s="1026"/>
      <c r="E162" s="1026"/>
      <c r="F162" s="1059"/>
      <c r="G162" s="1059"/>
      <c r="H162" s="1269"/>
      <c r="I162" s="1056"/>
      <c r="J162" s="1111"/>
      <c r="K162" s="505"/>
    </row>
    <row r="163" spans="1:11">
      <c r="A163" s="1037"/>
      <c r="B163" s="1038"/>
      <c r="C163" s="1026"/>
      <c r="D163" s="1026"/>
      <c r="E163" s="1026"/>
      <c r="F163" s="1059"/>
      <c r="G163" s="1054"/>
      <c r="H163" s="1269"/>
      <c r="I163" s="1056"/>
      <c r="J163" s="1111"/>
      <c r="K163" s="505"/>
    </row>
    <row r="164" spans="1:11">
      <c r="A164" s="1037"/>
      <c r="B164" s="1038"/>
      <c r="C164" s="1026"/>
      <c r="D164" s="1026"/>
      <c r="E164" s="1026"/>
      <c r="F164" s="1059"/>
      <c r="G164" s="1054"/>
      <c r="H164" s="1269"/>
      <c r="I164" s="1056"/>
      <c r="J164" s="1111"/>
      <c r="K164" s="505"/>
    </row>
    <row r="165" spans="1:11">
      <c r="A165" s="1037"/>
      <c r="B165" s="1038"/>
      <c r="C165" s="1026"/>
      <c r="D165" s="1026"/>
      <c r="E165" s="1026"/>
      <c r="F165" s="1059"/>
      <c r="G165" s="1054"/>
      <c r="H165" s="1269"/>
      <c r="I165" s="1056"/>
      <c r="J165" s="1111"/>
      <c r="K165" s="505"/>
    </row>
    <row r="166" spans="1:11" ht="15.75">
      <c r="A166" s="1037"/>
      <c r="B166" s="1038"/>
      <c r="C166" s="1026"/>
      <c r="D166" s="1026"/>
      <c r="E166" s="1026"/>
      <c r="F166" s="1059"/>
      <c r="G166" s="1054"/>
      <c r="H166" s="1269"/>
      <c r="I166" s="1056"/>
      <c r="J166" s="1111"/>
      <c r="K166" s="1116"/>
    </row>
    <row r="167" spans="1:11">
      <c r="A167" s="1037"/>
      <c r="B167" s="1038"/>
      <c r="C167" s="1026"/>
      <c r="D167" s="1026"/>
      <c r="E167" s="1026"/>
      <c r="F167" s="1059"/>
      <c r="G167" s="1054"/>
      <c r="H167" s="1269"/>
      <c r="I167" s="1056"/>
      <c r="J167" s="1111"/>
      <c r="K167" s="1262"/>
    </row>
    <row r="168" spans="1:11">
      <c r="A168" s="1037"/>
      <c r="B168" s="1038"/>
      <c r="C168" s="1140"/>
      <c r="D168" s="1026"/>
      <c r="E168" s="1026"/>
      <c r="F168" s="1059"/>
      <c r="G168" s="1054"/>
      <c r="H168" s="1269"/>
      <c r="I168" s="1056"/>
      <c r="J168" s="1111"/>
      <c r="K168" s="1262"/>
    </row>
    <row r="169" spans="1:11">
      <c r="A169" s="1037"/>
      <c r="B169" s="1038"/>
      <c r="C169" s="1026"/>
      <c r="D169" s="1026"/>
      <c r="E169" s="1026"/>
      <c r="F169" s="1059"/>
      <c r="G169" s="1054"/>
      <c r="H169" s="1269"/>
      <c r="I169" s="1056"/>
      <c r="J169" s="1111"/>
      <c r="K169" s="1262"/>
    </row>
    <row r="170" spans="1:11">
      <c r="A170" s="1037"/>
      <c r="B170" s="1038"/>
      <c r="C170" s="1026"/>
      <c r="D170" s="1026"/>
      <c r="E170" s="1026"/>
      <c r="F170" s="1059"/>
      <c r="G170" s="1054"/>
      <c r="H170" s="1269"/>
      <c r="I170" s="1056"/>
      <c r="J170" s="1111"/>
      <c r="K170" s="1262"/>
    </row>
    <row r="171" spans="1:11">
      <c r="A171" s="1037"/>
      <c r="B171" s="1038"/>
      <c r="C171" s="1026"/>
      <c r="D171" s="1026"/>
      <c r="E171" s="1026"/>
      <c r="F171" s="1059"/>
      <c r="G171" s="1054"/>
      <c r="H171" s="1269"/>
      <c r="I171" s="1056"/>
      <c r="J171" s="1111"/>
      <c r="K171" s="1262"/>
    </row>
    <row r="172" spans="1:11">
      <c r="A172" s="1037"/>
      <c r="B172" s="1038"/>
      <c r="C172" s="1026"/>
      <c r="D172" s="1026"/>
      <c r="E172" s="1026"/>
      <c r="F172" s="1059"/>
      <c r="G172" s="1054"/>
      <c r="H172" s="1269"/>
      <c r="I172" s="1056"/>
      <c r="J172" s="1111"/>
      <c r="K172" s="1262"/>
    </row>
    <row r="173" spans="1:11">
      <c r="A173" s="1037"/>
      <c r="B173" s="1038"/>
      <c r="C173" s="1026"/>
      <c r="D173" s="1026"/>
      <c r="E173" s="1026"/>
      <c r="F173" s="1059"/>
      <c r="G173" s="1054"/>
      <c r="H173" s="1269"/>
      <c r="I173" s="1056"/>
      <c r="J173" s="1111"/>
      <c r="K173" s="1262"/>
    </row>
    <row r="174" spans="1:11">
      <c r="A174" s="1037"/>
      <c r="B174" s="1038"/>
      <c r="C174" s="1026"/>
      <c r="D174" s="1026"/>
      <c r="E174" s="1026"/>
      <c r="F174" s="1059"/>
      <c r="G174" s="1054"/>
      <c r="H174" s="1269"/>
      <c r="I174" s="1056"/>
      <c r="J174" s="1111"/>
      <c r="K174" s="1262"/>
    </row>
    <row r="175" spans="1:11">
      <c r="A175" s="1037"/>
      <c r="B175" s="1038"/>
      <c r="C175" s="1026"/>
      <c r="D175" s="1026"/>
      <c r="E175" s="1026"/>
      <c r="F175" s="1059"/>
      <c r="G175" s="1054"/>
      <c r="H175" s="1269"/>
      <c r="I175" s="1056"/>
      <c r="J175" s="1111"/>
      <c r="K175" s="505"/>
    </row>
    <row r="176" spans="1:11">
      <c r="A176" s="1037"/>
      <c r="B176" s="1038"/>
      <c r="C176" s="1026"/>
      <c r="D176" s="1026"/>
      <c r="E176" s="1026"/>
      <c r="F176" s="1059"/>
      <c r="G176" s="1054"/>
      <c r="H176" s="1269"/>
      <c r="I176" s="1056"/>
      <c r="J176" s="1111"/>
      <c r="K176" s="505"/>
    </row>
    <row r="177" spans="1:11">
      <c r="A177" s="1037"/>
      <c r="B177" s="1038"/>
      <c r="C177" s="1026"/>
      <c r="D177" s="1026"/>
      <c r="E177" s="1026"/>
      <c r="F177" s="1059"/>
      <c r="G177" s="1059"/>
      <c r="H177" s="1269"/>
      <c r="I177" s="1056"/>
      <c r="J177" s="1111"/>
      <c r="K177" s="1262"/>
    </row>
    <row r="178" spans="1:11">
      <c r="A178" s="1037"/>
      <c r="B178" s="1038"/>
      <c r="C178" s="1026"/>
      <c r="D178" s="1026"/>
      <c r="E178" s="1026"/>
      <c r="F178" s="1059"/>
      <c r="G178" s="1059"/>
      <c r="H178" s="1269"/>
      <c r="I178" s="1056"/>
      <c r="J178" s="1111"/>
      <c r="K178" s="505"/>
    </row>
    <row r="179" spans="1:11">
      <c r="A179" s="1037"/>
      <c r="B179" s="1038"/>
      <c r="C179" s="1026"/>
      <c r="D179" s="1026"/>
      <c r="E179" s="1026"/>
      <c r="F179" s="1059"/>
      <c r="G179" s="1054"/>
      <c r="H179" s="1269"/>
      <c r="I179" s="1056"/>
      <c r="J179" s="1111"/>
      <c r="K179" s="505"/>
    </row>
    <row r="180" spans="1:11">
      <c r="A180" s="1037"/>
      <c r="B180" s="1038"/>
      <c r="C180" s="1026"/>
      <c r="D180" s="1026"/>
      <c r="E180" s="1026"/>
      <c r="F180" s="1059"/>
      <c r="G180" s="1054"/>
      <c r="H180" s="1269"/>
      <c r="I180" s="1056"/>
      <c r="J180" s="1111"/>
      <c r="K180" s="505"/>
    </row>
    <row r="181" spans="1:11">
      <c r="A181" s="1037"/>
      <c r="B181" s="1038"/>
      <c r="C181" s="1026"/>
      <c r="D181" s="1026"/>
      <c r="E181" s="1026"/>
      <c r="F181" s="1059"/>
      <c r="G181" s="1054"/>
      <c r="H181" s="1269"/>
      <c r="I181" s="1056"/>
      <c r="J181" s="1111"/>
      <c r="K181" s="1262"/>
    </row>
    <row r="182" spans="1:11" ht="15.75">
      <c r="A182" s="1037"/>
      <c r="B182" s="1038"/>
      <c r="C182" s="1026"/>
      <c r="D182" s="1026"/>
      <c r="E182" s="1026"/>
      <c r="F182" s="1059"/>
      <c r="G182" s="1059"/>
      <c r="H182" s="1269"/>
      <c r="I182" s="1056"/>
      <c r="J182" s="1111"/>
      <c r="K182" s="1116"/>
    </row>
    <row r="183" spans="1:11">
      <c r="A183" s="1037"/>
      <c r="B183" s="1038"/>
      <c r="C183" s="1026"/>
      <c r="D183" s="1026"/>
      <c r="E183" s="1026"/>
      <c r="F183" s="1059"/>
      <c r="G183" s="1059"/>
      <c r="H183" s="1269"/>
      <c r="I183" s="1056"/>
      <c r="J183" s="1111"/>
      <c r="K183" s="505"/>
    </row>
    <row r="184" spans="1:11" ht="15.75">
      <c r="A184" s="1037"/>
      <c r="B184" s="1038"/>
      <c r="C184" s="1026"/>
      <c r="D184" s="1026"/>
      <c r="E184" s="1026"/>
      <c r="F184" s="1059"/>
      <c r="G184" s="1054"/>
      <c r="H184" s="1269"/>
      <c r="I184" s="1056"/>
      <c r="J184" s="1111"/>
      <c r="K184" s="1116"/>
    </row>
    <row r="185" spans="1:11" ht="15.75">
      <c r="A185" s="1037"/>
      <c r="B185" s="1038"/>
      <c r="C185" s="1026"/>
      <c r="D185" s="1026"/>
      <c r="E185" s="1026"/>
      <c r="F185" s="1059"/>
      <c r="G185" s="1054"/>
      <c r="H185" s="1269"/>
      <c r="I185" s="1056"/>
      <c r="J185" s="1111"/>
      <c r="K185" s="1116"/>
    </row>
    <row r="186" spans="1:11" ht="15.75">
      <c r="A186" s="1037"/>
      <c r="B186" s="1038"/>
      <c r="C186" s="1026"/>
      <c r="D186" s="1026"/>
      <c r="E186" s="1026"/>
      <c r="F186" s="1059"/>
      <c r="G186" s="1054"/>
      <c r="H186" s="1269"/>
      <c r="I186" s="1056"/>
      <c r="J186" s="1111"/>
      <c r="K186" s="1116"/>
    </row>
    <row r="187" spans="1:11" ht="15.75">
      <c r="A187" s="1037"/>
      <c r="B187" s="1038"/>
      <c r="C187" s="1026"/>
      <c r="D187" s="1026"/>
      <c r="E187" s="1026"/>
      <c r="F187" s="1059"/>
      <c r="G187" s="1054"/>
      <c r="H187" s="1269"/>
      <c r="I187" s="1056"/>
      <c r="J187" s="1111"/>
      <c r="K187" s="1116"/>
    </row>
    <row r="188" spans="1:11" ht="15.75">
      <c r="A188" s="1037"/>
      <c r="B188" s="1038"/>
      <c r="C188" s="1026"/>
      <c r="D188" s="1026"/>
      <c r="E188" s="1026"/>
      <c r="F188" s="1059"/>
      <c r="G188" s="1059"/>
      <c r="H188" s="1269"/>
      <c r="I188" s="1056"/>
      <c r="J188" s="1111"/>
      <c r="K188" s="1116"/>
    </row>
    <row r="189" spans="1:11">
      <c r="A189" s="1037"/>
      <c r="B189" s="1038"/>
      <c r="C189" s="1026"/>
      <c r="D189" s="1026"/>
      <c r="E189" s="1026"/>
      <c r="F189" s="1059"/>
      <c r="G189" s="1059"/>
      <c r="H189" s="1269"/>
      <c r="I189" s="1056"/>
      <c r="J189" s="1111"/>
      <c r="K189" s="505"/>
    </row>
    <row r="190" spans="1:11" ht="15.75">
      <c r="A190" s="1037"/>
      <c r="B190" s="1038"/>
      <c r="C190" s="1026"/>
      <c r="D190" s="1026"/>
      <c r="E190" s="1026"/>
      <c r="F190" s="1059"/>
      <c r="G190" s="1054"/>
      <c r="H190" s="1269"/>
      <c r="I190" s="1056"/>
      <c r="J190" s="1111"/>
      <c r="K190" s="1116"/>
    </row>
    <row r="191" spans="1:11">
      <c r="A191" s="1037"/>
      <c r="B191" s="1038"/>
      <c r="C191" s="1026"/>
      <c r="D191" s="1026"/>
      <c r="E191" s="1026"/>
      <c r="F191" s="1059"/>
      <c r="G191" s="1059"/>
      <c r="H191" s="1269"/>
      <c r="I191" s="1056"/>
      <c r="J191" s="1111"/>
      <c r="K191" s="1262"/>
    </row>
    <row r="192" spans="1:11">
      <c r="A192" s="1037"/>
      <c r="B192" s="1038"/>
      <c r="C192" s="1026"/>
      <c r="D192" s="1026"/>
      <c r="E192" s="1026"/>
      <c r="F192" s="1059"/>
      <c r="G192" s="1059"/>
      <c r="H192" s="1269"/>
      <c r="I192" s="1056"/>
      <c r="J192" s="1111"/>
      <c r="K192" s="505"/>
    </row>
    <row r="193" spans="1:11">
      <c r="A193" s="1037"/>
      <c r="B193" s="1038"/>
      <c r="C193" s="1026"/>
      <c r="D193" s="1026"/>
      <c r="E193" s="1026"/>
      <c r="F193" s="1059"/>
      <c r="G193" s="1059"/>
      <c r="H193" s="1269"/>
      <c r="I193" s="1056"/>
      <c r="J193" s="1111"/>
      <c r="K193" s="1262"/>
    </row>
    <row r="194" spans="1:11">
      <c r="A194" s="1037"/>
      <c r="B194" s="1038"/>
      <c r="C194" s="1026"/>
      <c r="D194" s="1026"/>
      <c r="E194" s="1026"/>
      <c r="F194" s="1059"/>
      <c r="G194" s="1059"/>
      <c r="H194" s="1269"/>
      <c r="I194" s="1056"/>
      <c r="J194" s="1111"/>
      <c r="K194" s="505"/>
    </row>
    <row r="195" spans="1:11">
      <c r="A195" s="1037"/>
      <c r="B195" s="1038"/>
      <c r="C195" s="1026"/>
      <c r="D195" s="1026"/>
      <c r="E195" s="1026"/>
      <c r="F195" s="1059"/>
      <c r="G195" s="1054"/>
      <c r="H195" s="1269"/>
      <c r="I195" s="1056"/>
      <c r="J195" s="1111"/>
      <c r="K195" s="505"/>
    </row>
    <row r="196" spans="1:11">
      <c r="A196" s="1037"/>
      <c r="B196" s="1038"/>
      <c r="C196" s="1026"/>
      <c r="D196" s="1026"/>
      <c r="E196" s="1026"/>
      <c r="F196" s="1059"/>
      <c r="G196" s="1054"/>
      <c r="H196" s="1269"/>
      <c r="I196" s="1056"/>
      <c r="J196" s="1111"/>
      <c r="K196" s="505"/>
    </row>
    <row r="197" spans="1:11">
      <c r="A197" s="1037"/>
      <c r="B197" s="1038"/>
      <c r="C197" s="1026"/>
      <c r="D197" s="1026"/>
      <c r="E197" s="1026"/>
      <c r="F197" s="1059"/>
      <c r="G197" s="1054"/>
      <c r="H197" s="1269"/>
      <c r="I197" s="1056"/>
      <c r="J197" s="1111"/>
      <c r="K197" s="505"/>
    </row>
    <row r="198" spans="1:11">
      <c r="A198" s="1037"/>
      <c r="B198" s="1038"/>
      <c r="C198" s="1026"/>
      <c r="D198" s="1026"/>
      <c r="E198" s="1026"/>
      <c r="F198" s="1059"/>
      <c r="G198" s="1054"/>
      <c r="H198" s="1269"/>
      <c r="I198" s="1056"/>
      <c r="J198" s="1111"/>
      <c r="K198" s="505"/>
    </row>
    <row r="199" spans="1:11">
      <c r="A199" s="1037"/>
      <c r="B199" s="1038"/>
      <c r="C199" s="1026"/>
      <c r="D199" s="1026"/>
      <c r="E199" s="1026"/>
      <c r="F199" s="1059"/>
      <c r="G199" s="1054"/>
      <c r="H199" s="1269"/>
      <c r="I199" s="1056"/>
      <c r="J199" s="1111"/>
      <c r="K199" s="505"/>
    </row>
    <row r="200" spans="1:11">
      <c r="A200" s="1037"/>
      <c r="B200" s="1038"/>
      <c r="C200" s="1026"/>
      <c r="D200" s="1026"/>
      <c r="E200" s="1026"/>
      <c r="F200" s="1059"/>
      <c r="G200" s="1054"/>
      <c r="H200" s="1269"/>
      <c r="I200" s="1056"/>
      <c r="J200" s="1111"/>
      <c r="K200" s="505"/>
    </row>
    <row r="201" spans="1:11">
      <c r="A201" s="1037"/>
      <c r="B201" s="1038"/>
      <c r="C201" s="1026"/>
      <c r="D201" s="1026"/>
      <c r="E201" s="1026"/>
      <c r="F201" s="1059"/>
      <c r="G201" s="1054"/>
      <c r="H201" s="1269"/>
      <c r="I201" s="1056"/>
      <c r="J201" s="1111"/>
      <c r="K201" s="505"/>
    </row>
    <row r="202" spans="1:11">
      <c r="A202" s="1037"/>
      <c r="B202" s="1038"/>
      <c r="C202" s="1026"/>
      <c r="D202" s="1026"/>
      <c r="E202" s="1026"/>
      <c r="F202" s="1059"/>
      <c r="G202" s="1059"/>
      <c r="H202" s="1269"/>
      <c r="I202" s="1056"/>
      <c r="J202" s="1111"/>
      <c r="K202" s="1262"/>
    </row>
    <row r="203" spans="1:11">
      <c r="A203" s="1037"/>
      <c r="B203" s="1038"/>
      <c r="C203" s="1026"/>
      <c r="D203" s="1026"/>
      <c r="E203" s="1026"/>
      <c r="F203" s="1059"/>
      <c r="G203" s="1059"/>
      <c r="H203" s="1269"/>
      <c r="I203" s="1056"/>
      <c r="J203" s="1111"/>
      <c r="K203" s="505"/>
    </row>
    <row r="204" spans="1:11" ht="15.75">
      <c r="A204" s="1037"/>
      <c r="B204" s="1038"/>
      <c r="C204" s="1026"/>
      <c r="D204" s="1026"/>
      <c r="E204" s="1026"/>
      <c r="F204" s="1059"/>
      <c r="G204" s="1054"/>
      <c r="H204" s="1269"/>
      <c r="I204" s="1056"/>
      <c r="J204" s="1111"/>
      <c r="K204" s="1116"/>
    </row>
    <row r="205" spans="1:11">
      <c r="A205" s="1037"/>
      <c r="B205" s="1038"/>
      <c r="C205" s="1026"/>
      <c r="D205" s="1026"/>
      <c r="E205" s="1026"/>
      <c r="F205" s="1059"/>
      <c r="G205" s="1054"/>
      <c r="H205" s="1269"/>
      <c r="I205" s="1056"/>
      <c r="J205" s="1111"/>
      <c r="K205" s="1262"/>
    </row>
    <row r="206" spans="1:11">
      <c r="A206" s="1037"/>
      <c r="B206" s="1038"/>
      <c r="C206" s="1025"/>
      <c r="D206" s="1025"/>
      <c r="E206" s="1025"/>
      <c r="F206" s="1061"/>
      <c r="G206" s="1054"/>
      <c r="H206" s="1269"/>
      <c r="I206" s="1056"/>
      <c r="J206" s="1111"/>
      <c r="K206" s="1262"/>
    </row>
    <row r="207" spans="1:11">
      <c r="A207" s="1037"/>
      <c r="B207" s="1038"/>
      <c r="C207" s="1026"/>
      <c r="D207" s="1026"/>
      <c r="E207" s="1026"/>
      <c r="F207" s="1061"/>
      <c r="G207" s="1054"/>
      <c r="H207" s="1269"/>
      <c r="I207" s="1056"/>
      <c r="J207" s="1111"/>
      <c r="K207" s="505"/>
    </row>
    <row r="208" spans="1:11" ht="15.75">
      <c r="A208" s="1037"/>
      <c r="B208" s="1038"/>
      <c r="C208" s="1026"/>
      <c r="D208" s="1026"/>
      <c r="E208" s="1026"/>
      <c r="F208" s="1059"/>
      <c r="G208" s="1059"/>
      <c r="H208" s="1269"/>
      <c r="I208" s="1056"/>
      <c r="J208" s="1111"/>
      <c r="K208" s="1116"/>
    </row>
    <row r="209" spans="1:11">
      <c r="A209" s="1037"/>
      <c r="B209" s="1038"/>
      <c r="C209" s="1026"/>
      <c r="D209" s="1026"/>
      <c r="E209" s="1026"/>
      <c r="F209" s="1059"/>
      <c r="G209" s="1059"/>
      <c r="H209" s="1269"/>
      <c r="I209" s="1056"/>
      <c r="J209" s="1111"/>
      <c r="K209" s="505"/>
    </row>
    <row r="210" spans="1:11" ht="15.75">
      <c r="A210" s="1037"/>
      <c r="B210" s="1038"/>
      <c r="C210" s="1026"/>
      <c r="D210" s="1026"/>
      <c r="E210" s="1026"/>
      <c r="F210" s="1059"/>
      <c r="G210" s="1054"/>
      <c r="H210" s="1269"/>
      <c r="I210" s="1056"/>
      <c r="J210" s="1111"/>
      <c r="K210" s="1116"/>
    </row>
    <row r="211" spans="1:11" ht="15.75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116"/>
    </row>
    <row r="212" spans="1:11" ht="15.75">
      <c r="A212" s="1037"/>
      <c r="B212" s="1038"/>
      <c r="C212" s="1026"/>
      <c r="D212" s="1026"/>
      <c r="E212" s="1026"/>
      <c r="F212" s="1059"/>
      <c r="G212" s="1054"/>
      <c r="H212" s="1269"/>
      <c r="I212" s="1056"/>
      <c r="J212" s="1111"/>
      <c r="K212" s="1116"/>
    </row>
    <row r="213" spans="1:11" ht="15.75">
      <c r="A213" s="1037"/>
      <c r="B213" s="1038"/>
      <c r="C213" s="1026"/>
      <c r="D213" s="1026"/>
      <c r="E213" s="1026"/>
      <c r="F213" s="1059"/>
      <c r="G213" s="1054"/>
      <c r="H213" s="1269"/>
      <c r="I213" s="1056"/>
      <c r="J213" s="1111"/>
      <c r="K213" s="1116"/>
    </row>
    <row r="214" spans="1:11" ht="15.75">
      <c r="A214" s="1037"/>
      <c r="B214" s="1038"/>
      <c r="C214" s="1026"/>
      <c r="D214" s="1026"/>
      <c r="E214" s="1026"/>
      <c r="F214" s="1059"/>
      <c r="G214" s="1054"/>
      <c r="H214" s="1269"/>
      <c r="I214" s="1056"/>
      <c r="J214" s="1111"/>
      <c r="K214" s="1116"/>
    </row>
    <row r="215" spans="1:11" ht="15.75">
      <c r="A215" s="1037"/>
      <c r="B215" s="1038"/>
      <c r="C215" s="1026"/>
      <c r="D215" s="1026"/>
      <c r="E215" s="1026"/>
      <c r="F215" s="1059"/>
      <c r="G215" s="1054"/>
      <c r="H215" s="1269"/>
      <c r="I215" s="1056"/>
      <c r="J215" s="1111"/>
      <c r="K215" s="1116"/>
    </row>
    <row r="216" spans="1:11" ht="15.75">
      <c r="A216" s="1037"/>
      <c r="B216" s="1038"/>
      <c r="C216" s="1026"/>
      <c r="D216" s="1026"/>
      <c r="E216" s="1026"/>
      <c r="F216" s="1059"/>
      <c r="G216" s="1054"/>
      <c r="H216" s="1269"/>
      <c r="I216" s="1056"/>
      <c r="J216" s="1111"/>
      <c r="K216" s="1116"/>
    </row>
    <row r="217" spans="1:11" ht="15.75">
      <c r="A217" s="1037"/>
      <c r="B217" s="1038"/>
      <c r="C217" s="1026"/>
      <c r="D217" s="1026"/>
      <c r="E217" s="1026"/>
      <c r="F217" s="1059"/>
      <c r="G217" s="1054"/>
      <c r="H217" s="1269"/>
      <c r="I217" s="1056"/>
      <c r="J217" s="1111"/>
      <c r="K217" s="1116"/>
    </row>
    <row r="218" spans="1:11" ht="15.75">
      <c r="A218" s="1037"/>
      <c r="B218" s="1038"/>
      <c r="C218" s="1026"/>
      <c r="D218" s="1026"/>
      <c r="E218" s="1032"/>
      <c r="F218" s="1059"/>
      <c r="G218" s="1054"/>
      <c r="H218" s="1269"/>
      <c r="I218" s="1056"/>
      <c r="J218" s="1111"/>
      <c r="K218" s="1116"/>
    </row>
    <row r="219" spans="1:11" ht="15.75">
      <c r="A219" s="1037"/>
      <c r="B219" s="1038"/>
      <c r="C219" s="1026"/>
      <c r="D219" s="1026"/>
      <c r="E219" s="1026"/>
      <c r="F219" s="1059"/>
      <c r="G219" s="1054"/>
      <c r="H219" s="1269"/>
      <c r="I219" s="1056"/>
      <c r="J219" s="1111"/>
      <c r="K219" s="1116"/>
    </row>
    <row r="220" spans="1:11" ht="15.75">
      <c r="A220" s="1037"/>
      <c r="B220" s="1038"/>
      <c r="C220" s="1026"/>
      <c r="D220" s="1026"/>
      <c r="E220" s="1026"/>
      <c r="F220" s="1059"/>
      <c r="G220" s="1054"/>
      <c r="H220" s="1269"/>
      <c r="I220" s="1056"/>
      <c r="J220" s="1111"/>
      <c r="K220" s="1116"/>
    </row>
    <row r="221" spans="1:11" ht="15.75">
      <c r="A221" s="1037"/>
      <c r="B221" s="1038"/>
      <c r="C221" s="1026"/>
      <c r="D221" s="1026"/>
      <c r="E221" s="1026"/>
      <c r="F221" s="1059"/>
      <c r="G221" s="1054"/>
      <c r="H221" s="1269"/>
      <c r="I221" s="1056"/>
      <c r="J221" s="1111"/>
      <c r="K221" s="1116"/>
    </row>
    <row r="222" spans="1:11" ht="15.75">
      <c r="A222" s="1037"/>
      <c r="B222" s="1038"/>
      <c r="C222" s="1026"/>
      <c r="D222" s="1026"/>
      <c r="E222" s="1026"/>
      <c r="F222" s="1059"/>
      <c r="G222" s="1054"/>
      <c r="H222" s="1269"/>
      <c r="I222" s="1056"/>
      <c r="J222" s="1111"/>
      <c r="K222" s="1116"/>
    </row>
    <row r="223" spans="1:11">
      <c r="A223" s="1037"/>
      <c r="B223" s="1038"/>
      <c r="C223" s="1026"/>
      <c r="D223" s="1026"/>
      <c r="E223" s="1026"/>
      <c r="F223" s="1059"/>
      <c r="G223" s="1054"/>
      <c r="H223" s="1269"/>
      <c r="I223" s="1056"/>
      <c r="J223" s="1111"/>
      <c r="K223" s="1262"/>
    </row>
    <row r="224" spans="1:11">
      <c r="A224" s="1039"/>
      <c r="B224" s="1039"/>
      <c r="C224" s="1025"/>
      <c r="D224" s="1025"/>
      <c r="E224" s="1025"/>
      <c r="F224" s="1061"/>
      <c r="G224" s="1062"/>
      <c r="H224" s="1269"/>
      <c r="I224" s="1056"/>
      <c r="J224" s="1111"/>
      <c r="K224" s="505"/>
    </row>
    <row r="225" spans="1:11">
      <c r="A225" s="1039"/>
      <c r="B225" s="1039"/>
      <c r="C225" s="1025"/>
      <c r="D225" s="1025"/>
      <c r="E225" s="1025"/>
      <c r="F225" s="1061"/>
      <c r="G225" s="1062"/>
      <c r="H225" s="1269"/>
      <c r="I225" s="1056"/>
      <c r="J225" s="1111"/>
      <c r="K225" s="505"/>
    </row>
    <row r="226" spans="1:11">
      <c r="A226" s="1039"/>
      <c r="B226" s="1039"/>
      <c r="C226" s="1025"/>
      <c r="D226" s="1025"/>
      <c r="E226" s="1025"/>
      <c r="F226" s="1061"/>
      <c r="G226" s="1062"/>
      <c r="H226" s="1269"/>
      <c r="I226" s="1056"/>
      <c r="J226" s="1111"/>
      <c r="K226" s="505"/>
    </row>
    <row r="227" spans="1:11">
      <c r="A227" s="1039"/>
      <c r="B227" s="1039"/>
      <c r="C227" s="1025"/>
      <c r="D227" s="1025"/>
      <c r="E227" s="1025"/>
      <c r="F227" s="1061"/>
      <c r="G227" s="1062"/>
      <c r="H227" s="1269"/>
      <c r="I227" s="1056"/>
      <c r="J227" s="1111"/>
      <c r="K227" s="505"/>
    </row>
    <row r="228" spans="1:11">
      <c r="A228" s="1039"/>
      <c r="B228" s="1039"/>
      <c r="C228" s="1025"/>
      <c r="D228" s="1025"/>
      <c r="E228" s="1025"/>
      <c r="F228" s="1061"/>
      <c r="G228" s="1062"/>
      <c r="H228" s="1269"/>
      <c r="I228" s="1056"/>
      <c r="J228" s="1111"/>
      <c r="K228" s="505"/>
    </row>
    <row r="229" spans="1:11">
      <c r="A229" s="1039"/>
      <c r="B229" s="1039"/>
      <c r="C229" s="1025"/>
      <c r="D229" s="1025"/>
      <c r="E229" s="1025"/>
      <c r="F229" s="1061"/>
      <c r="G229" s="1062"/>
      <c r="H229" s="1269"/>
      <c r="I229" s="1056"/>
      <c r="J229" s="1111"/>
      <c r="K229" s="505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505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505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505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505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505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505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505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505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505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505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505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505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505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505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505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505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505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505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505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505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505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505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505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505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505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505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505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505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505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505"/>
    </row>
    <row r="260" spans="1:11">
      <c r="A260" s="1039"/>
      <c r="B260" s="1039"/>
      <c r="C260" s="1025"/>
      <c r="D260" s="1025"/>
      <c r="E260" s="1025"/>
      <c r="F260" s="1061"/>
      <c r="G260" s="1062"/>
      <c r="H260" s="1269"/>
      <c r="I260" s="1056"/>
      <c r="J260" s="1111"/>
      <c r="K260" s="505"/>
    </row>
    <row r="261" spans="1:11">
      <c r="A261" s="1039"/>
      <c r="B261" s="1039"/>
      <c r="C261" s="1025"/>
      <c r="D261" s="1025"/>
      <c r="E261" s="1025"/>
      <c r="F261" s="1061"/>
      <c r="G261" s="1062"/>
      <c r="H261" s="1269"/>
      <c r="I261" s="1056"/>
      <c r="J261" s="1111"/>
      <c r="K261" s="505"/>
    </row>
    <row r="262" spans="1:11">
      <c r="A262" s="1039"/>
      <c r="B262" s="1039"/>
      <c r="C262" s="1025"/>
      <c r="D262" s="1025"/>
      <c r="E262" s="1025"/>
      <c r="F262" s="1061"/>
      <c r="G262" s="1062"/>
      <c r="H262" s="1269"/>
      <c r="I262" s="1056"/>
      <c r="J262" s="1111"/>
      <c r="K262" s="505"/>
    </row>
    <row r="263" spans="1:11">
      <c r="A263" s="1039"/>
      <c r="B263" s="1039"/>
      <c r="C263" s="1025"/>
      <c r="D263" s="1025"/>
      <c r="E263" s="1025"/>
      <c r="F263" s="1061"/>
      <c r="G263" s="1062"/>
      <c r="H263" s="1269"/>
      <c r="I263" s="1056"/>
      <c r="J263" s="1111"/>
      <c r="K263" s="505"/>
    </row>
    <row r="264" spans="1:11">
      <c r="A264" s="1039"/>
      <c r="B264" s="1039"/>
      <c r="C264" s="1025"/>
      <c r="D264" s="1025"/>
      <c r="E264" s="1025"/>
      <c r="F264" s="1061"/>
      <c r="G264" s="1062"/>
      <c r="H264" s="1269"/>
      <c r="I264" s="1056"/>
      <c r="J264" s="1111"/>
      <c r="K264" s="505"/>
    </row>
    <row r="265" spans="1:11">
      <c r="A265" s="1039"/>
      <c r="B265" s="1039"/>
      <c r="C265" s="1025"/>
      <c r="D265" s="1025"/>
      <c r="E265" s="1025"/>
      <c r="F265" s="1061"/>
      <c r="G265" s="1062"/>
      <c r="H265" s="1269"/>
      <c r="I265" s="1056"/>
      <c r="J265" s="1111"/>
      <c r="K265" s="505"/>
    </row>
    <row r="266" spans="1:11">
      <c r="A266" s="1039"/>
      <c r="B266" s="1039"/>
      <c r="C266" s="1025"/>
      <c r="D266" s="1025"/>
      <c r="E266" s="1025"/>
      <c r="F266" s="1061"/>
      <c r="G266" s="1062"/>
      <c r="H266" s="1269"/>
      <c r="I266" s="1056"/>
      <c r="J266" s="1111"/>
      <c r="K266" s="505"/>
    </row>
    <row r="267" spans="1:11">
      <c r="A267" s="1039"/>
      <c r="B267" s="1039"/>
      <c r="C267" s="1025"/>
      <c r="D267" s="1025"/>
      <c r="E267" s="1025"/>
      <c r="F267" s="1061"/>
      <c r="G267" s="1062"/>
      <c r="H267" s="1269"/>
      <c r="I267" s="1056"/>
      <c r="J267" s="1111"/>
      <c r="K267" s="505"/>
    </row>
    <row r="268" spans="1:11">
      <c r="A268" s="1039"/>
      <c r="B268" s="1039"/>
      <c r="C268" s="1025"/>
      <c r="D268" s="1025"/>
      <c r="E268" s="1025"/>
      <c r="F268" s="1061"/>
      <c r="G268" s="1062"/>
      <c r="H268" s="1269"/>
      <c r="I268" s="1056"/>
      <c r="J268" s="1111"/>
      <c r="K268" s="505"/>
    </row>
    <row r="269" spans="1:11">
      <c r="A269" s="1039"/>
      <c r="B269" s="1039"/>
      <c r="C269" s="1025"/>
      <c r="D269" s="1025"/>
      <c r="E269" s="1025"/>
      <c r="F269" s="1061"/>
      <c r="G269" s="1062"/>
      <c r="H269" s="1269"/>
      <c r="I269" s="1056"/>
      <c r="J269" s="1111"/>
      <c r="K269" s="505"/>
    </row>
    <row r="270" spans="1:11">
      <c r="A270" s="1039"/>
      <c r="B270" s="1039"/>
      <c r="C270" s="1025"/>
      <c r="D270" s="1025"/>
      <c r="E270" s="1025"/>
      <c r="F270" s="1061"/>
      <c r="G270" s="1062"/>
      <c r="H270" s="1269"/>
      <c r="I270" s="1056"/>
      <c r="J270" s="1111"/>
      <c r="K270" s="505"/>
    </row>
    <row r="271" spans="1:11">
      <c r="A271" s="1262"/>
      <c r="B271" s="1262"/>
      <c r="C271" s="1327"/>
      <c r="D271" s="1262"/>
      <c r="E271" s="1262"/>
      <c r="F271" s="1262"/>
      <c r="G271" s="1262"/>
      <c r="H271" s="1269"/>
      <c r="I271" s="1056"/>
      <c r="J271" s="1111"/>
      <c r="K271" s="505"/>
    </row>
    <row r="272" spans="1:11">
      <c r="A272" s="1262"/>
      <c r="B272" s="1262"/>
      <c r="C272" s="1327"/>
      <c r="D272" s="1262"/>
      <c r="E272" s="1262"/>
      <c r="F272" s="1262"/>
      <c r="G272" s="1262"/>
      <c r="H272" s="1269"/>
      <c r="I272" s="1056"/>
      <c r="J272" s="1111"/>
      <c r="K272" s="505"/>
    </row>
    <row r="273" spans="1:11">
      <c r="A273" s="1262"/>
      <c r="B273" s="1262"/>
      <c r="C273" s="1327"/>
      <c r="D273" s="1262"/>
      <c r="E273" s="1262"/>
      <c r="F273" s="1262"/>
      <c r="G273" s="1262"/>
      <c r="H273" s="1269"/>
      <c r="I273" s="1056"/>
      <c r="J273" s="1111"/>
      <c r="K273" s="505"/>
    </row>
    <row r="274" spans="1:11">
      <c r="A274" s="1262"/>
      <c r="B274" s="1262"/>
      <c r="C274" s="1327"/>
      <c r="D274" s="1262"/>
      <c r="E274" s="1262"/>
      <c r="F274" s="1262"/>
      <c r="G274" s="1262"/>
      <c r="H274" s="1269"/>
      <c r="I274" s="1056"/>
      <c r="J274" s="1111"/>
      <c r="K274" s="505"/>
    </row>
    <row r="275" spans="1:11">
      <c r="A275" s="1262"/>
      <c r="B275" s="1262"/>
      <c r="C275" s="1327"/>
      <c r="D275" s="1262"/>
      <c r="E275" s="1262"/>
      <c r="F275" s="1262"/>
      <c r="G275" s="1262"/>
      <c r="H275" s="1269"/>
      <c r="I275" s="1056"/>
      <c r="J275" s="1111"/>
      <c r="K275" s="505"/>
    </row>
    <row r="276" spans="1:11">
      <c r="A276" s="1262"/>
      <c r="B276" s="1262"/>
      <c r="C276" s="1327"/>
      <c r="D276" s="1262"/>
      <c r="E276" s="1262"/>
      <c r="F276" s="1262"/>
      <c r="G276" s="1262"/>
      <c r="H276" s="1269"/>
      <c r="I276" s="1056"/>
      <c r="J276" s="1111"/>
      <c r="K276" s="505"/>
    </row>
    <row r="277" spans="1:11">
      <c r="A277" s="1262"/>
      <c r="B277" s="1262"/>
      <c r="C277" s="1327"/>
      <c r="D277" s="1262"/>
      <c r="E277" s="1262"/>
      <c r="F277" s="1262"/>
      <c r="G277" s="1262"/>
      <c r="H277" s="1269"/>
      <c r="I277" s="1056"/>
      <c r="J277" s="1111"/>
      <c r="K277" s="505"/>
    </row>
    <row r="278" spans="1:11">
      <c r="A278" s="1262"/>
      <c r="B278" s="1262"/>
      <c r="C278" s="1327"/>
      <c r="D278" s="1262"/>
      <c r="E278" s="1262"/>
      <c r="F278" s="1262"/>
      <c r="G278" s="1262"/>
      <c r="H278" s="1269"/>
      <c r="I278" s="1056"/>
      <c r="J278" s="1111"/>
      <c r="K278" s="505"/>
    </row>
    <row r="279" spans="1:11">
      <c r="A279" s="1262"/>
      <c r="B279" s="1262"/>
      <c r="C279" s="1327"/>
      <c r="D279" s="1262"/>
      <c r="E279" s="1262"/>
      <c r="F279" s="1262"/>
      <c r="G279" s="1262"/>
      <c r="H279" s="1269"/>
      <c r="I279" s="1056"/>
      <c r="J279" s="1111"/>
      <c r="K279" s="505"/>
    </row>
    <row r="280" spans="1:11">
      <c r="A280" s="1262"/>
      <c r="B280" s="1262"/>
      <c r="C280" s="1327"/>
      <c r="D280" s="1262"/>
      <c r="E280" s="1262"/>
      <c r="F280" s="1262"/>
      <c r="G280" s="1262"/>
      <c r="H280" s="1269"/>
      <c r="I280" s="1056"/>
      <c r="J280" s="1111"/>
      <c r="K280" s="505"/>
    </row>
    <row r="281" spans="1:11">
      <c r="A281" s="1262"/>
      <c r="B281" s="1262"/>
      <c r="C281" s="1327"/>
      <c r="D281" s="1262"/>
      <c r="E281" s="1262"/>
      <c r="F281" s="1262"/>
      <c r="G281" s="1262"/>
      <c r="H281" s="1269"/>
      <c r="I281" s="1056"/>
      <c r="J281" s="1111"/>
      <c r="K281" s="505"/>
    </row>
    <row r="282" spans="1:11">
      <c r="A282" s="1262"/>
      <c r="B282" s="1262"/>
      <c r="C282" s="1327"/>
      <c r="D282" s="1262"/>
      <c r="E282" s="1262"/>
      <c r="F282" s="1262"/>
      <c r="G282" s="1262"/>
      <c r="H282" s="1269"/>
      <c r="I282" s="1056"/>
      <c r="J282" s="1111"/>
      <c r="K282" s="505"/>
    </row>
    <row r="283" spans="1:11">
      <c r="A283" s="1262"/>
      <c r="B283" s="1262"/>
      <c r="C283" s="1327"/>
      <c r="D283" s="1262"/>
      <c r="E283" s="1262"/>
      <c r="F283" s="1262"/>
      <c r="G283" s="1262"/>
      <c r="H283" s="1269"/>
      <c r="I283" s="1056"/>
      <c r="J283" s="1111"/>
      <c r="K283" s="505"/>
    </row>
    <row r="284" spans="1:11">
      <c r="A284" s="1262"/>
      <c r="B284" s="1262"/>
      <c r="C284" s="1327"/>
      <c r="D284" s="1262"/>
      <c r="E284" s="1262"/>
      <c r="F284" s="1262"/>
      <c r="G284" s="1262"/>
      <c r="H284" s="1269"/>
      <c r="I284" s="1056"/>
      <c r="J284" s="1111"/>
      <c r="K284" s="505"/>
    </row>
    <row r="285" spans="1:11" ht="15.75" thickBot="1">
      <c r="A285" s="1037"/>
      <c r="B285" s="1038"/>
      <c r="C285" s="1026"/>
      <c r="D285" s="1026"/>
      <c r="E285" s="1026"/>
      <c r="F285" s="1059"/>
      <c r="G285" s="1054"/>
      <c r="H285" s="1269"/>
      <c r="I285" s="1056"/>
      <c r="J285" s="1111"/>
      <c r="K285" s="505"/>
    </row>
    <row r="286" spans="1:11" ht="20.25" thickBot="1">
      <c r="A286" s="1158"/>
      <c r="B286" s="1159"/>
      <c r="C286" s="1159"/>
      <c r="D286" s="1159"/>
      <c r="E286" s="1159"/>
      <c r="F286" s="1160">
        <f>SUM(F165:F173,F175:F285)</f>
        <v>0</v>
      </c>
      <c r="G286" s="1159"/>
      <c r="H286" s="1293">
        <f>SUM(H65:H285)</f>
        <v>0</v>
      </c>
      <c r="I286" s="1160">
        <f>SUM(I165:I285)</f>
        <v>0</v>
      </c>
      <c r="J286" s="1164"/>
      <c r="K286" s="1157"/>
    </row>
  </sheetData>
  <autoFilter ref="A1:K56" xr:uid="{3F95BF81-4B6A-4B29-8923-D85A6B77DB57}">
    <sortState xmlns:xlrd2="http://schemas.microsoft.com/office/spreadsheetml/2017/richdata2" ref="A2:K61">
      <sortCondition ref="J1:J56"/>
    </sortState>
  </autoFilter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2FD95-28D0-409E-8237-9AF25CBAF1A2}">
  <dimension ref="A1:K284"/>
  <sheetViews>
    <sheetView zoomScale="85" zoomScaleNormal="85" workbookViewId="0">
      <pane ySplit="1" topLeftCell="A2" activePane="bottomLeft" state="frozen"/>
      <selection pane="bottomLeft" activeCell="K57" sqref="K57"/>
    </sheetView>
  </sheetViews>
  <sheetFormatPr defaultColWidth="9.140625" defaultRowHeight="15"/>
  <cols>
    <col min="1" max="1" width="15.140625" style="1190" bestFit="1" customWidth="1"/>
    <col min="2" max="2" width="13.5703125" style="1190" customWidth="1"/>
    <col min="3" max="3" width="44.5703125" style="1190" bestFit="1" customWidth="1"/>
    <col min="4" max="4" width="22.28515625" style="1190" bestFit="1" customWidth="1"/>
    <col min="5" max="5" width="11.5703125" style="1190" customWidth="1"/>
    <col min="6" max="6" width="22" style="1190" bestFit="1" customWidth="1"/>
    <col min="7" max="7" width="15" style="1190" customWidth="1"/>
    <col min="8" max="8" width="24.85546875" style="1190" bestFit="1" customWidth="1"/>
    <col min="9" max="9" width="23.28515625" style="1190" bestFit="1" customWidth="1"/>
    <col min="10" max="10" width="13.140625" style="1190" customWidth="1"/>
    <col min="11" max="11" width="16.5703125" style="1190" customWidth="1"/>
    <col min="12" max="16384" width="9.140625" style="1190"/>
  </cols>
  <sheetData>
    <row r="1" spans="1:11" ht="14.25" customHeight="1">
      <c r="A1" s="1235" t="s">
        <v>2519</v>
      </c>
      <c r="B1" s="1236" t="s">
        <v>2</v>
      </c>
      <c r="C1" s="1236" t="s">
        <v>3</v>
      </c>
      <c r="D1" s="1236" t="s">
        <v>4</v>
      </c>
      <c r="E1" s="1236" t="s">
        <v>5</v>
      </c>
      <c r="F1" s="1237" t="s">
        <v>644</v>
      </c>
      <c r="G1" s="1238" t="s">
        <v>555</v>
      </c>
      <c r="H1" s="1239" t="s">
        <v>7</v>
      </c>
      <c r="I1" s="1240" t="s">
        <v>307</v>
      </c>
      <c r="J1" s="1238" t="s">
        <v>370</v>
      </c>
      <c r="K1" s="1308" t="s">
        <v>442</v>
      </c>
    </row>
    <row r="2" spans="1:11" s="1222" customFormat="1" ht="15.75">
      <c r="A2" s="1041">
        <v>45569</v>
      </c>
      <c r="B2" s="1041">
        <v>45935</v>
      </c>
      <c r="C2" s="1027" t="s">
        <v>1543</v>
      </c>
      <c r="D2" s="1027" t="s">
        <v>198</v>
      </c>
      <c r="E2" s="1027" t="s">
        <v>948</v>
      </c>
      <c r="F2" s="1065">
        <v>2078.9899999999998</v>
      </c>
      <c r="G2" s="1066">
        <v>0.1</v>
      </c>
      <c r="H2" s="1067">
        <v>191.35</v>
      </c>
      <c r="I2" s="1243"/>
      <c r="J2" s="1027" t="s">
        <v>1470</v>
      </c>
      <c r="K2" s="1117" t="s">
        <v>2015</v>
      </c>
    </row>
    <row r="3" spans="1:11" s="1222" customFormat="1" ht="15.75">
      <c r="A3" s="1040">
        <v>45575</v>
      </c>
      <c r="B3" s="1042">
        <v>45940</v>
      </c>
      <c r="C3" s="1030" t="s">
        <v>2698</v>
      </c>
      <c r="D3" s="1030" t="s">
        <v>9</v>
      </c>
      <c r="E3" s="1030" t="s">
        <v>22</v>
      </c>
      <c r="F3" s="1120">
        <v>15240.45</v>
      </c>
      <c r="G3" s="1073">
        <v>0.2</v>
      </c>
      <c r="H3" s="1067">
        <v>2804.24</v>
      </c>
      <c r="I3" s="1068"/>
      <c r="J3" s="1112" t="s">
        <v>1470</v>
      </c>
      <c r="K3" s="1117" t="s">
        <v>1472</v>
      </c>
    </row>
    <row r="4" spans="1:11" s="1222" customFormat="1" ht="15.75">
      <c r="A4" s="1040">
        <v>45575</v>
      </c>
      <c r="B4" s="1042">
        <v>45941</v>
      </c>
      <c r="C4" s="1030" t="s">
        <v>2699</v>
      </c>
      <c r="D4" s="1030" t="s">
        <v>1862</v>
      </c>
      <c r="E4" s="1030" t="s">
        <v>143</v>
      </c>
      <c r="F4" s="1072">
        <v>4394.0200000000004</v>
      </c>
      <c r="G4" s="1073">
        <v>0.1</v>
      </c>
      <c r="H4" s="1067">
        <v>404.24</v>
      </c>
      <c r="I4" s="1068"/>
      <c r="J4" s="1112" t="s">
        <v>1470</v>
      </c>
      <c r="K4" s="1117" t="s">
        <v>2015</v>
      </c>
    </row>
    <row r="5" spans="1:11" s="1222" customFormat="1">
      <c r="A5" s="1041">
        <v>45583</v>
      </c>
      <c r="B5" s="1041">
        <v>45949</v>
      </c>
      <c r="C5" s="1041" t="s">
        <v>1551</v>
      </c>
      <c r="D5" s="1041" t="s">
        <v>9</v>
      </c>
      <c r="E5" s="1041" t="s">
        <v>1641</v>
      </c>
      <c r="F5" s="1090">
        <v>1962.98</v>
      </c>
      <c r="G5" s="1066">
        <v>0.1</v>
      </c>
      <c r="H5" s="1090">
        <v>180.59</v>
      </c>
      <c r="I5" s="1090"/>
      <c r="J5" s="1041" t="s">
        <v>1470</v>
      </c>
      <c r="K5" s="1041" t="s">
        <v>1472</v>
      </c>
    </row>
    <row r="6" spans="1:11" s="1222" customFormat="1" ht="15.75">
      <c r="A6" s="1040">
        <v>45588</v>
      </c>
      <c r="B6" s="1042">
        <v>45953</v>
      </c>
      <c r="C6" s="1027" t="s">
        <v>1570</v>
      </c>
      <c r="D6" s="1030" t="s">
        <v>70</v>
      </c>
      <c r="E6" s="1030" t="s">
        <v>1080</v>
      </c>
      <c r="F6" s="1120">
        <v>2664.32</v>
      </c>
      <c r="G6" s="1073">
        <v>0.1</v>
      </c>
      <c r="H6" s="1090">
        <v>245.11</v>
      </c>
      <c r="I6" s="1068"/>
      <c r="J6" s="1112" t="s">
        <v>1470</v>
      </c>
      <c r="K6" s="1117" t="s">
        <v>2015</v>
      </c>
    </row>
    <row r="7" spans="1:11" s="1222" customFormat="1" ht="15.75">
      <c r="A7" s="1040">
        <v>45590</v>
      </c>
      <c r="B7" s="1041">
        <v>45955</v>
      </c>
      <c r="C7" s="1027" t="s">
        <v>2702</v>
      </c>
      <c r="D7" s="1030" t="s">
        <v>448</v>
      </c>
      <c r="E7" s="1027" t="s">
        <v>19</v>
      </c>
      <c r="F7" s="1065">
        <v>2836.53</v>
      </c>
      <c r="G7" s="1066">
        <v>0.1</v>
      </c>
      <c r="H7" s="1067">
        <v>260.95999999999998</v>
      </c>
      <c r="I7" s="1068"/>
      <c r="J7" s="1112" t="s">
        <v>1470</v>
      </c>
      <c r="K7" s="1117" t="s">
        <v>1472</v>
      </c>
    </row>
    <row r="8" spans="1:11" s="1105" customFormat="1" ht="15.75">
      <c r="A8" s="1041">
        <v>45595</v>
      </c>
      <c r="B8" s="1041">
        <v>45958</v>
      </c>
      <c r="C8" s="1027" t="s">
        <v>2704</v>
      </c>
      <c r="D8" s="1027" t="s">
        <v>448</v>
      </c>
      <c r="E8" s="1027" t="s">
        <v>948</v>
      </c>
      <c r="F8" s="1672">
        <v>3683.77</v>
      </c>
      <c r="G8" s="1066">
        <v>0.1</v>
      </c>
      <c r="H8" s="1067">
        <v>338.9</v>
      </c>
      <c r="I8" s="1243" t="s">
        <v>2705</v>
      </c>
      <c r="J8" s="1027" t="s">
        <v>1470</v>
      </c>
      <c r="K8" s="1117" t="s">
        <v>1472</v>
      </c>
    </row>
    <row r="9" spans="1:11" s="1105" customFormat="1" ht="15.75">
      <c r="A9" s="1041">
        <v>45593</v>
      </c>
      <c r="B9" s="1041">
        <v>45958</v>
      </c>
      <c r="C9" s="1027" t="s">
        <v>2707</v>
      </c>
      <c r="D9" s="1027" t="s">
        <v>9</v>
      </c>
      <c r="E9" s="1027" t="s">
        <v>19</v>
      </c>
      <c r="F9" s="1065">
        <v>2314.88</v>
      </c>
      <c r="G9" s="1066">
        <v>0.1</v>
      </c>
      <c r="H9" s="1067">
        <v>212.96</v>
      </c>
      <c r="I9" s="1243"/>
      <c r="J9" s="1027" t="s">
        <v>1470</v>
      </c>
      <c r="K9" s="1117" t="s">
        <v>1472</v>
      </c>
    </row>
    <row r="10" spans="1:11" s="1230" customFormat="1" ht="15.75">
      <c r="A10" s="1124">
        <v>45596</v>
      </c>
      <c r="B10" s="1125">
        <v>45961</v>
      </c>
      <c r="C10" s="1028" t="s">
        <v>1160</v>
      </c>
      <c r="D10" s="1028" t="s">
        <v>9</v>
      </c>
      <c r="E10" s="1028" t="s">
        <v>1310</v>
      </c>
      <c r="F10" s="1126">
        <v>66000.02</v>
      </c>
      <c r="G10" s="1127">
        <v>0.15</v>
      </c>
      <c r="H10" s="1128">
        <v>9108</v>
      </c>
      <c r="I10" s="1129"/>
      <c r="J10" s="1130" t="s">
        <v>1470</v>
      </c>
      <c r="K10" s="1468" t="s">
        <v>1472</v>
      </c>
    </row>
    <row r="11" spans="1:11" s="1230" customFormat="1" ht="15.75">
      <c r="A11" s="1041">
        <v>45593</v>
      </c>
      <c r="B11" s="1041">
        <v>45961</v>
      </c>
      <c r="C11" s="1027" t="s">
        <v>2302</v>
      </c>
      <c r="D11" s="1027" t="s">
        <v>25</v>
      </c>
      <c r="E11" s="1027" t="s">
        <v>22</v>
      </c>
      <c r="F11" s="1065">
        <v>1484.48</v>
      </c>
      <c r="G11" s="1066">
        <v>0.15</v>
      </c>
      <c r="H11" s="1067">
        <v>204.85</v>
      </c>
      <c r="I11" s="1122"/>
      <c r="J11" s="1112" t="s">
        <v>1470</v>
      </c>
      <c r="K11" s="1117" t="s">
        <v>2015</v>
      </c>
    </row>
    <row r="12" spans="1:11" s="1509" customFormat="1" ht="15.75">
      <c r="A12" s="1039">
        <v>45594</v>
      </c>
      <c r="B12" s="1039">
        <v>45959</v>
      </c>
      <c r="C12" s="1025" t="s">
        <v>2120</v>
      </c>
      <c r="D12" s="1025" t="s">
        <v>61</v>
      </c>
      <c r="E12" s="1025" t="s">
        <v>1080</v>
      </c>
      <c r="F12" s="1061">
        <v>567.91999999999996</v>
      </c>
      <c r="G12" s="1062">
        <v>0.22</v>
      </c>
      <c r="H12" s="1088">
        <v>114.94</v>
      </c>
      <c r="I12" s="1023">
        <v>57.47</v>
      </c>
      <c r="J12" s="1025" t="s">
        <v>1219</v>
      </c>
      <c r="K12" s="1115" t="s">
        <v>2015</v>
      </c>
    </row>
    <row r="13" spans="1:11" s="1464" customFormat="1" ht="15.75">
      <c r="A13" s="1367">
        <v>45582</v>
      </c>
      <c r="B13" s="1390">
        <v>45951</v>
      </c>
      <c r="C13" s="1368" t="s">
        <v>2355</v>
      </c>
      <c r="D13" s="1368" t="s">
        <v>25</v>
      </c>
      <c r="E13" s="1368" t="s">
        <v>948</v>
      </c>
      <c r="F13" s="1478">
        <v>936.28</v>
      </c>
      <c r="G13" s="1430">
        <v>0.15</v>
      </c>
      <c r="H13" s="1340">
        <v>129.19999999999999</v>
      </c>
      <c r="I13" s="1369">
        <v>64.599999999999994</v>
      </c>
      <c r="J13" s="1370" t="s">
        <v>1759</v>
      </c>
      <c r="K13" s="1341" t="s">
        <v>2015</v>
      </c>
    </row>
    <row r="14" spans="1:11" ht="15.75">
      <c r="A14" s="1367">
        <v>45580</v>
      </c>
      <c r="B14" s="1390" t="s">
        <v>1805</v>
      </c>
      <c r="C14" s="1380" t="s">
        <v>2709</v>
      </c>
      <c r="D14" s="1380" t="s">
        <v>2710</v>
      </c>
      <c r="E14" s="1380" t="s">
        <v>1310</v>
      </c>
      <c r="F14" s="1381">
        <v>1787.3</v>
      </c>
      <c r="G14" s="1384">
        <v>0.1</v>
      </c>
      <c r="H14" s="1340">
        <v>164.43</v>
      </c>
      <c r="I14" s="1369">
        <v>82.21</v>
      </c>
      <c r="J14" s="1370" t="s">
        <v>1759</v>
      </c>
      <c r="K14" s="1341" t="s">
        <v>1805</v>
      </c>
    </row>
    <row r="15" spans="1:11" s="1511" customFormat="1" ht="15.75">
      <c r="A15" s="1367">
        <v>45566</v>
      </c>
      <c r="B15" s="1390" t="s">
        <v>1805</v>
      </c>
      <c r="C15" s="1380" t="s">
        <v>2711</v>
      </c>
      <c r="D15" s="1380" t="s">
        <v>25</v>
      </c>
      <c r="E15" s="1380" t="s">
        <v>1641</v>
      </c>
      <c r="F15" s="1381">
        <v>55.47</v>
      </c>
      <c r="G15" s="1384">
        <v>0.1</v>
      </c>
      <c r="H15" s="1340">
        <v>5.0999999999999996</v>
      </c>
      <c r="I15" s="1369">
        <v>2.5499999999999998</v>
      </c>
      <c r="J15" s="1370" t="s">
        <v>1759</v>
      </c>
      <c r="K15" s="1341" t="s">
        <v>1805</v>
      </c>
    </row>
    <row r="16" spans="1:11" ht="15.75">
      <c r="A16" s="1451">
        <v>45567</v>
      </c>
      <c r="B16" s="1452">
        <v>45932</v>
      </c>
      <c r="C16" s="1453" t="s">
        <v>2690</v>
      </c>
      <c r="D16" s="1453" t="s">
        <v>9</v>
      </c>
      <c r="E16" s="1442" t="s">
        <v>948</v>
      </c>
      <c r="F16" s="1443">
        <v>3507.37</v>
      </c>
      <c r="G16" s="1444">
        <v>0.15</v>
      </c>
      <c r="H16" s="1445">
        <v>484.01</v>
      </c>
      <c r="I16" s="1455">
        <v>242</v>
      </c>
      <c r="J16" s="1450" t="s">
        <v>2094</v>
      </c>
      <c r="K16" s="1446" t="s">
        <v>2015</v>
      </c>
    </row>
    <row r="17" spans="1:11" ht="15.75">
      <c r="A17" s="1451">
        <v>45586</v>
      </c>
      <c r="B17" s="1452">
        <v>45957</v>
      </c>
      <c r="C17" s="1442" t="s">
        <v>2359</v>
      </c>
      <c r="D17" s="1453" t="s">
        <v>14</v>
      </c>
      <c r="E17" s="1442" t="s">
        <v>19</v>
      </c>
      <c r="F17" s="1443">
        <v>1758.17</v>
      </c>
      <c r="G17" s="1444">
        <v>0.2</v>
      </c>
      <c r="H17" s="1445">
        <v>323.5</v>
      </c>
      <c r="I17" s="1455">
        <v>161.75</v>
      </c>
      <c r="J17" s="1450" t="s">
        <v>2094</v>
      </c>
      <c r="K17" s="1446" t="s">
        <v>2015</v>
      </c>
    </row>
    <row r="18" spans="1:11" ht="15.75">
      <c r="A18" s="1223">
        <v>45568</v>
      </c>
      <c r="B18" s="1472">
        <v>45933</v>
      </c>
      <c r="C18" s="1224" t="s">
        <v>2692</v>
      </c>
      <c r="D18" s="1225" t="s">
        <v>198</v>
      </c>
      <c r="E18" s="1224" t="s">
        <v>1310</v>
      </c>
      <c r="F18" s="1407">
        <v>5184.76</v>
      </c>
      <c r="G18" s="1409">
        <v>0.1</v>
      </c>
      <c r="H18" s="1226">
        <v>476.99</v>
      </c>
      <c r="I18" s="1227">
        <v>238.49</v>
      </c>
      <c r="J18" s="1228" t="s">
        <v>1482</v>
      </c>
      <c r="K18" s="1231" t="s">
        <v>1472</v>
      </c>
    </row>
    <row r="19" spans="1:11" ht="15.75">
      <c r="A19" s="1223">
        <v>45568</v>
      </c>
      <c r="B19" s="1472">
        <v>45933</v>
      </c>
      <c r="C19" s="1224" t="s">
        <v>2693</v>
      </c>
      <c r="D19" s="1225" t="s">
        <v>448</v>
      </c>
      <c r="E19" s="1224" t="s">
        <v>1080</v>
      </c>
      <c r="F19" s="1407">
        <v>3159.86</v>
      </c>
      <c r="G19" s="1409">
        <v>0.1</v>
      </c>
      <c r="H19" s="1226">
        <v>290.7</v>
      </c>
      <c r="I19" s="1227">
        <v>145.35</v>
      </c>
      <c r="J19" s="1228" t="s">
        <v>1482</v>
      </c>
      <c r="K19" s="1231" t="s">
        <v>2015</v>
      </c>
    </row>
    <row r="20" spans="1:11" ht="15.75">
      <c r="A20" s="1406">
        <v>45569</v>
      </c>
      <c r="B20" s="1406">
        <v>45935</v>
      </c>
      <c r="C20" s="1224" t="s">
        <v>2695</v>
      </c>
      <c r="D20" s="1224" t="s">
        <v>21</v>
      </c>
      <c r="E20" s="1224" t="s">
        <v>1310</v>
      </c>
      <c r="F20" s="1407">
        <v>4575.78</v>
      </c>
      <c r="G20" s="1409">
        <v>0.2</v>
      </c>
      <c r="H20" s="1226">
        <v>841.94</v>
      </c>
      <c r="I20" s="1227">
        <v>420.97</v>
      </c>
      <c r="J20" s="1228" t="s">
        <v>1482</v>
      </c>
      <c r="K20" s="1231" t="s">
        <v>2015</v>
      </c>
    </row>
    <row r="21" spans="1:11" ht="15.75">
      <c r="A21" s="1406">
        <v>45576</v>
      </c>
      <c r="B21" s="1406">
        <v>45939</v>
      </c>
      <c r="C21" s="1224" t="s">
        <v>1001</v>
      </c>
      <c r="D21" s="1224" t="s">
        <v>448</v>
      </c>
      <c r="E21" s="1224" t="s">
        <v>22</v>
      </c>
      <c r="F21" s="1407">
        <v>2545.04</v>
      </c>
      <c r="G21" s="1409">
        <v>0.1</v>
      </c>
      <c r="H21" s="1226">
        <v>234.14</v>
      </c>
      <c r="I21" s="1227">
        <v>117.07</v>
      </c>
      <c r="J21" s="1228" t="s">
        <v>1482</v>
      </c>
      <c r="K21" s="1231" t="s">
        <v>1472</v>
      </c>
    </row>
    <row r="22" spans="1:11" ht="15.75">
      <c r="A22" s="1223">
        <v>45587</v>
      </c>
      <c r="B22" s="1406">
        <v>45955</v>
      </c>
      <c r="C22" s="1224" t="s">
        <v>2604</v>
      </c>
      <c r="D22" s="1225" t="s">
        <v>9</v>
      </c>
      <c r="E22" s="1224" t="s">
        <v>1080</v>
      </c>
      <c r="F22" s="1407">
        <v>1233.05</v>
      </c>
      <c r="G22" s="1409">
        <v>0.1</v>
      </c>
      <c r="H22" s="1226">
        <v>113.44</v>
      </c>
      <c r="I22" s="1227">
        <v>56.2</v>
      </c>
      <c r="J22" s="1228" t="s">
        <v>1482</v>
      </c>
      <c r="K22" s="1231" t="s">
        <v>1472</v>
      </c>
    </row>
    <row r="23" spans="1:11" s="1032" customFormat="1" ht="15.75">
      <c r="A23" s="1223">
        <v>45590</v>
      </c>
      <c r="B23" s="1406">
        <v>45955</v>
      </c>
      <c r="C23" s="1224" t="s">
        <v>2701</v>
      </c>
      <c r="D23" s="1225" t="s">
        <v>448</v>
      </c>
      <c r="E23" s="1224" t="s">
        <v>1080</v>
      </c>
      <c r="F23" s="1407">
        <v>1221.28</v>
      </c>
      <c r="G23" s="1409">
        <v>0.21</v>
      </c>
      <c r="H23" s="1226">
        <v>235.95</v>
      </c>
      <c r="I23" s="1227">
        <v>117.97</v>
      </c>
      <c r="J23" s="1228" t="s">
        <v>1482</v>
      </c>
      <c r="K23" s="1231" t="s">
        <v>1472</v>
      </c>
    </row>
    <row r="24" spans="1:11" ht="15.75">
      <c r="A24" s="1037">
        <v>45567</v>
      </c>
      <c r="B24" s="1039">
        <v>45932</v>
      </c>
      <c r="C24" s="1025" t="s">
        <v>2691</v>
      </c>
      <c r="D24" s="1026" t="s">
        <v>9</v>
      </c>
      <c r="E24" s="1025" t="s">
        <v>1641</v>
      </c>
      <c r="F24" s="1023">
        <v>1402.31</v>
      </c>
      <c r="G24" s="1062">
        <v>0.2</v>
      </c>
      <c r="H24" s="1023">
        <v>258.02</v>
      </c>
      <c r="I24" s="1056"/>
      <c r="J24" s="1111"/>
      <c r="K24" s="1115" t="s">
        <v>2015</v>
      </c>
    </row>
    <row r="25" spans="1:11" ht="15.75">
      <c r="A25" s="1037">
        <v>45568</v>
      </c>
      <c r="B25" s="1039">
        <v>45933</v>
      </c>
      <c r="C25" s="1026" t="s">
        <v>2694</v>
      </c>
      <c r="D25" s="1026" t="s">
        <v>33</v>
      </c>
      <c r="E25" s="1025" t="s">
        <v>1080</v>
      </c>
      <c r="F25" s="1061">
        <v>1216.22</v>
      </c>
      <c r="G25" s="1062">
        <v>0.1</v>
      </c>
      <c r="H25" s="1055">
        <v>111.89</v>
      </c>
      <c r="I25" s="1056"/>
      <c r="J25" s="1111"/>
      <c r="K25" s="1115" t="s">
        <v>2015</v>
      </c>
    </row>
    <row r="26" spans="1:11" s="1032" customFormat="1" ht="15.75">
      <c r="A26" s="1039">
        <v>45562</v>
      </c>
      <c r="B26" s="1039">
        <v>45935</v>
      </c>
      <c r="C26" s="1025" t="s">
        <v>1081</v>
      </c>
      <c r="D26" s="1025" t="s">
        <v>9</v>
      </c>
      <c r="E26" s="1025" t="s">
        <v>948</v>
      </c>
      <c r="F26" s="1061">
        <v>1152.8900000000001</v>
      </c>
      <c r="G26" s="1062">
        <v>0.2</v>
      </c>
      <c r="H26" s="1055">
        <v>212.13</v>
      </c>
      <c r="I26" s="1242"/>
      <c r="J26" s="1025"/>
      <c r="K26" s="1115" t="s">
        <v>2015</v>
      </c>
    </row>
    <row r="27" spans="1:11" ht="15.75">
      <c r="A27" s="1037">
        <v>45569</v>
      </c>
      <c r="B27" s="1039">
        <v>45936</v>
      </c>
      <c r="C27" s="1032" t="s">
        <v>1546</v>
      </c>
      <c r="D27" s="1026" t="s">
        <v>70</v>
      </c>
      <c r="E27" s="1026" t="s">
        <v>1080</v>
      </c>
      <c r="F27" s="1071">
        <v>2114.8200000000002</v>
      </c>
      <c r="G27" s="1062">
        <v>0.1</v>
      </c>
      <c r="H27" s="1055">
        <v>194.56</v>
      </c>
      <c r="I27" s="1056"/>
      <c r="J27" s="1111"/>
      <c r="K27" s="1115" t="s">
        <v>2015</v>
      </c>
    </row>
    <row r="28" spans="1:11" s="1032" customFormat="1" ht="15.75">
      <c r="A28" s="1037">
        <v>45569</v>
      </c>
      <c r="B28" s="1038">
        <v>45936</v>
      </c>
      <c r="C28" s="1025" t="s">
        <v>2696</v>
      </c>
      <c r="D28" s="1026" t="s">
        <v>21</v>
      </c>
      <c r="E28" s="1026" t="s">
        <v>19</v>
      </c>
      <c r="F28" s="1059">
        <v>764.51</v>
      </c>
      <c r="G28" s="1054">
        <v>0.2</v>
      </c>
      <c r="H28" s="1055">
        <v>140.66</v>
      </c>
      <c r="I28" s="1056"/>
      <c r="J28" s="1111"/>
      <c r="K28" s="1115" t="s">
        <v>2015</v>
      </c>
    </row>
    <row r="29" spans="1:11" ht="15.75">
      <c r="A29" s="1037">
        <v>45573</v>
      </c>
      <c r="B29" s="1038">
        <v>45939</v>
      </c>
      <c r="C29" s="1025" t="s">
        <v>2697</v>
      </c>
      <c r="D29" s="1026" t="s">
        <v>9</v>
      </c>
      <c r="E29" s="1026" t="s">
        <v>948</v>
      </c>
      <c r="F29" s="1059">
        <v>1590.09</v>
      </c>
      <c r="G29" s="1054">
        <v>0.2</v>
      </c>
      <c r="H29" s="1055">
        <v>292.57</v>
      </c>
      <c r="I29" s="1056"/>
      <c r="J29" s="1111"/>
      <c r="K29" s="1115" t="s">
        <v>2015</v>
      </c>
    </row>
    <row r="30" spans="1:11" ht="15.75">
      <c r="A30" s="1037">
        <v>45574</v>
      </c>
      <c r="B30" s="1038">
        <v>45939</v>
      </c>
      <c r="C30" s="1025" t="s">
        <v>1133</v>
      </c>
      <c r="D30" s="1026" t="s">
        <v>9</v>
      </c>
      <c r="E30" s="1026" t="s">
        <v>1641</v>
      </c>
      <c r="F30" s="1053">
        <v>3425.98</v>
      </c>
      <c r="G30" s="1054">
        <v>0.1</v>
      </c>
      <c r="H30" s="1055">
        <v>315.19</v>
      </c>
      <c r="I30" s="1056"/>
      <c r="J30" s="1111"/>
      <c r="K30" s="1115" t="s">
        <v>2015</v>
      </c>
    </row>
    <row r="31" spans="1:11" ht="15.75">
      <c r="A31" s="1039">
        <v>45576</v>
      </c>
      <c r="B31" s="1039">
        <v>45941</v>
      </c>
      <c r="C31" s="1025" t="s">
        <v>962</v>
      </c>
      <c r="D31" s="1025" t="s">
        <v>1862</v>
      </c>
      <c r="E31" s="1025" t="s">
        <v>1610</v>
      </c>
      <c r="F31" s="1061">
        <v>3134.16</v>
      </c>
      <c r="G31" s="1062">
        <v>0.1</v>
      </c>
      <c r="H31" s="1055">
        <v>288.33999999999997</v>
      </c>
      <c r="I31" s="1242"/>
      <c r="J31" s="1025"/>
      <c r="K31" s="1115" t="s">
        <v>2015</v>
      </c>
    </row>
    <row r="32" spans="1:11" s="1230" customFormat="1" ht="15.75">
      <c r="A32" s="1037">
        <v>45572</v>
      </c>
      <c r="B32" s="1038">
        <v>45941</v>
      </c>
      <c r="C32" s="1025" t="s">
        <v>2009</v>
      </c>
      <c r="D32" s="1026" t="s">
        <v>448</v>
      </c>
      <c r="E32" s="1026" t="s">
        <v>948</v>
      </c>
      <c r="F32" s="1059">
        <v>1513.18</v>
      </c>
      <c r="G32" s="1054">
        <v>0.1</v>
      </c>
      <c r="H32" s="1055">
        <v>139.21</v>
      </c>
      <c r="I32" s="1056"/>
      <c r="J32" s="1111"/>
      <c r="K32" s="1115" t="s">
        <v>2015</v>
      </c>
    </row>
    <row r="33" spans="1:11" ht="15.75">
      <c r="A33" s="1037">
        <v>45576</v>
      </c>
      <c r="B33" s="1038">
        <v>45943</v>
      </c>
      <c r="C33" s="1026" t="s">
        <v>1091</v>
      </c>
      <c r="D33" s="1026" t="s">
        <v>9</v>
      </c>
      <c r="E33" s="1026" t="s">
        <v>948</v>
      </c>
      <c r="F33" s="1059">
        <v>1532.88</v>
      </c>
      <c r="G33" s="1054">
        <v>0.1</v>
      </c>
      <c r="H33" s="1055">
        <v>141.02000000000001</v>
      </c>
      <c r="I33" s="1056"/>
      <c r="J33" s="1111"/>
      <c r="K33" s="1115" t="s">
        <v>2015</v>
      </c>
    </row>
    <row r="34" spans="1:11" s="1230" customFormat="1" ht="15.75">
      <c r="A34" s="1037">
        <v>45579</v>
      </c>
      <c r="B34" s="1038">
        <v>45943</v>
      </c>
      <c r="C34" s="1026" t="s">
        <v>2139</v>
      </c>
      <c r="D34" s="1026" t="s">
        <v>448</v>
      </c>
      <c r="E34" s="1026" t="s">
        <v>1080</v>
      </c>
      <c r="F34" s="1053">
        <v>1428.48</v>
      </c>
      <c r="G34" s="1054">
        <v>0.2</v>
      </c>
      <c r="H34" s="1055">
        <v>262.83999999999997</v>
      </c>
      <c r="I34" s="1056"/>
      <c r="J34" s="1111"/>
      <c r="K34" s="1115" t="s">
        <v>2015</v>
      </c>
    </row>
    <row r="35" spans="1:11" ht="15.75">
      <c r="A35" s="1037">
        <v>45580</v>
      </c>
      <c r="B35" s="1038">
        <v>45946</v>
      </c>
      <c r="C35" s="1025" t="s">
        <v>1880</v>
      </c>
      <c r="D35" s="1026" t="s">
        <v>9</v>
      </c>
      <c r="E35" s="1026" t="s">
        <v>1641</v>
      </c>
      <c r="F35" s="1059">
        <v>658.62</v>
      </c>
      <c r="G35" s="1054">
        <v>0.15</v>
      </c>
      <c r="H35" s="1055">
        <v>90.88</v>
      </c>
      <c r="I35" s="1056"/>
      <c r="J35" s="1111"/>
      <c r="K35" s="1115" t="s">
        <v>2015</v>
      </c>
    </row>
    <row r="36" spans="1:11" ht="15.75">
      <c r="A36" s="1037">
        <v>45581</v>
      </c>
      <c r="B36" s="1038">
        <v>45946</v>
      </c>
      <c r="C36" s="1026" t="s">
        <v>2700</v>
      </c>
      <c r="D36" s="1026" t="s">
        <v>418</v>
      </c>
      <c r="E36" s="1025" t="s">
        <v>19</v>
      </c>
      <c r="F36" s="1061">
        <v>2281.41</v>
      </c>
      <c r="G36" s="1062">
        <v>0.15</v>
      </c>
      <c r="H36" s="1055">
        <v>314.83</v>
      </c>
      <c r="I36" s="1056"/>
      <c r="J36" s="1111"/>
      <c r="K36" s="1115" t="s">
        <v>2015</v>
      </c>
    </row>
    <row r="37" spans="1:11" ht="15.75">
      <c r="A37" s="1037">
        <v>45582</v>
      </c>
      <c r="B37" s="1038">
        <v>45947</v>
      </c>
      <c r="C37" s="1026" t="s">
        <v>1090</v>
      </c>
      <c r="D37" s="1026" t="s">
        <v>70</v>
      </c>
      <c r="E37" s="1026" t="s">
        <v>1080</v>
      </c>
      <c r="F37" s="1059">
        <v>1569.39</v>
      </c>
      <c r="G37" s="1054">
        <v>0.2</v>
      </c>
      <c r="H37" s="1055">
        <v>288.76</v>
      </c>
      <c r="I37" s="1056"/>
      <c r="J37" s="1111"/>
      <c r="K37" s="1115" t="s">
        <v>2015</v>
      </c>
    </row>
    <row r="38" spans="1:11" ht="15.75">
      <c r="A38" s="1037">
        <v>45582</v>
      </c>
      <c r="B38" s="1039">
        <v>45949</v>
      </c>
      <c r="C38" s="1025" t="s">
        <v>1883</v>
      </c>
      <c r="D38" s="1026" t="s">
        <v>448</v>
      </c>
      <c r="E38" s="1025" t="s">
        <v>948</v>
      </c>
      <c r="F38" s="1061">
        <v>1794.17</v>
      </c>
      <c r="G38" s="1062">
        <v>0.15</v>
      </c>
      <c r="H38" s="1055">
        <v>247.59</v>
      </c>
      <c r="I38" s="1056"/>
      <c r="J38" s="1111"/>
      <c r="K38" s="1115" t="s">
        <v>2015</v>
      </c>
    </row>
    <row r="39" spans="1:11" ht="15.75">
      <c r="A39" s="1037">
        <v>45583</v>
      </c>
      <c r="B39" s="1038">
        <v>45950</v>
      </c>
      <c r="C39" s="1026" t="s">
        <v>1840</v>
      </c>
      <c r="D39" s="1026" t="s">
        <v>9</v>
      </c>
      <c r="E39" s="1026" t="s">
        <v>1310</v>
      </c>
      <c r="F39" s="1104">
        <v>2944.13</v>
      </c>
      <c r="G39" s="1054">
        <v>0.1</v>
      </c>
      <c r="H39" s="1055">
        <v>270.85000000000002</v>
      </c>
      <c r="I39" s="1056"/>
      <c r="J39" s="1111"/>
      <c r="K39" s="1115" t="s">
        <v>2015</v>
      </c>
    </row>
    <row r="40" spans="1:11" ht="15.75">
      <c r="A40" s="1037">
        <v>45582</v>
      </c>
      <c r="B40" s="1038">
        <v>45950</v>
      </c>
      <c r="C40" s="1026" t="s">
        <v>1559</v>
      </c>
      <c r="D40" s="1026" t="s">
        <v>9</v>
      </c>
      <c r="E40" s="1026" t="s">
        <v>1641</v>
      </c>
      <c r="F40" s="1059">
        <v>2964.3</v>
      </c>
      <c r="G40" s="1054">
        <v>0.1</v>
      </c>
      <c r="H40" s="1055">
        <v>272.70999999999998</v>
      </c>
      <c r="I40" s="1056"/>
      <c r="J40" s="1111"/>
      <c r="K40" s="1115" t="s">
        <v>2015</v>
      </c>
    </row>
    <row r="41" spans="1:11" s="1230" customFormat="1" ht="15.75">
      <c r="A41" s="1037">
        <v>45587</v>
      </c>
      <c r="B41" s="1038">
        <v>45951</v>
      </c>
      <c r="C41" s="1026" t="s">
        <v>1105</v>
      </c>
      <c r="D41" s="1026" t="s">
        <v>448</v>
      </c>
      <c r="E41" s="1026" t="s">
        <v>948</v>
      </c>
      <c r="F41" s="1059">
        <v>2122.92</v>
      </c>
      <c r="G41" s="1054">
        <v>0.1</v>
      </c>
      <c r="H41" s="1055">
        <v>195.3</v>
      </c>
      <c r="I41" s="1056"/>
      <c r="J41" s="1111"/>
      <c r="K41" s="1115" t="s">
        <v>2015</v>
      </c>
    </row>
    <row r="42" spans="1:11" ht="15.75">
      <c r="A42" s="1037">
        <v>45589</v>
      </c>
      <c r="B42" s="1038">
        <v>45954</v>
      </c>
      <c r="C42" s="290" t="s">
        <v>1541</v>
      </c>
      <c r="D42" s="1026" t="s">
        <v>14</v>
      </c>
      <c r="E42" s="1026" t="s">
        <v>22</v>
      </c>
      <c r="F42" s="1059">
        <v>1229.54</v>
      </c>
      <c r="G42" s="1054">
        <v>0.1</v>
      </c>
      <c r="H42" s="1055">
        <v>113.17</v>
      </c>
      <c r="I42" s="1056"/>
      <c r="J42" s="1111"/>
      <c r="K42" s="1115" t="s">
        <v>2015</v>
      </c>
    </row>
    <row r="43" spans="1:11" ht="15.75">
      <c r="A43" s="1037">
        <v>45583</v>
      </c>
      <c r="B43" s="1038">
        <v>45956</v>
      </c>
      <c r="C43" s="1025" t="s">
        <v>2703</v>
      </c>
      <c r="D43" s="1026" t="s">
        <v>9</v>
      </c>
      <c r="E43" s="1026" t="s">
        <v>948</v>
      </c>
      <c r="F43" s="1053">
        <v>984.82</v>
      </c>
      <c r="G43" s="1054">
        <v>0.25</v>
      </c>
      <c r="H43" s="1055">
        <v>226.5</v>
      </c>
      <c r="I43" s="1056"/>
      <c r="J43" s="1111"/>
      <c r="K43" s="1115" t="s">
        <v>2015</v>
      </c>
    </row>
    <row r="44" spans="1:11" ht="15.75">
      <c r="A44" s="1037">
        <v>45593</v>
      </c>
      <c r="B44" s="1038">
        <v>45958</v>
      </c>
      <c r="C44" s="1025" t="s">
        <v>2706</v>
      </c>
      <c r="D44" s="1026" t="s">
        <v>832</v>
      </c>
      <c r="E44" s="1026" t="s">
        <v>1080</v>
      </c>
      <c r="F44" s="1059">
        <v>1494.68</v>
      </c>
      <c r="G44" s="1054">
        <v>0.15</v>
      </c>
      <c r="H44" s="1055">
        <v>206.26</v>
      </c>
      <c r="I44" s="1056"/>
      <c r="J44" s="1111"/>
      <c r="K44" s="1115" t="s">
        <v>2015</v>
      </c>
    </row>
    <row r="45" spans="1:11" s="1222" customFormat="1" ht="15.75">
      <c r="A45" s="1037">
        <v>45588</v>
      </c>
      <c r="B45" s="1038">
        <v>45958</v>
      </c>
      <c r="C45" s="1026" t="s">
        <v>1889</v>
      </c>
      <c r="D45" s="1026" t="s">
        <v>2472</v>
      </c>
      <c r="E45" s="1026" t="s">
        <v>19</v>
      </c>
      <c r="F45" s="1059">
        <v>1150.21</v>
      </c>
      <c r="G45" s="1054">
        <v>0.15</v>
      </c>
      <c r="H45" s="1055">
        <v>158.72</v>
      </c>
      <c r="I45" s="1056"/>
      <c r="J45" s="1111"/>
      <c r="K45" s="1115" t="s">
        <v>2015</v>
      </c>
    </row>
    <row r="46" spans="1:11" s="1222" customFormat="1" ht="15.75">
      <c r="A46" s="1037">
        <v>45588</v>
      </c>
      <c r="B46" s="1038">
        <v>45958</v>
      </c>
      <c r="C46" s="1026" t="s">
        <v>1892</v>
      </c>
      <c r="D46" s="1026" t="s">
        <v>448</v>
      </c>
      <c r="E46" s="1026" t="s">
        <v>19</v>
      </c>
      <c r="F46" s="1059">
        <v>1447.81</v>
      </c>
      <c r="G46" s="1054">
        <v>0.15</v>
      </c>
      <c r="H46" s="1055">
        <v>199.79</v>
      </c>
      <c r="I46" s="1056"/>
      <c r="J46" s="1111"/>
      <c r="K46" s="1115" t="s">
        <v>2015</v>
      </c>
    </row>
    <row r="47" spans="1:11" ht="15.75">
      <c r="A47" s="1037">
        <v>45594</v>
      </c>
      <c r="B47" s="1038">
        <v>45959</v>
      </c>
      <c r="C47" s="1026" t="s">
        <v>2708</v>
      </c>
      <c r="D47" s="1026" t="s">
        <v>448</v>
      </c>
      <c r="E47" s="1026" t="s">
        <v>19</v>
      </c>
      <c r="F47" s="1059">
        <v>4669.12</v>
      </c>
      <c r="G47" s="1054">
        <v>0.15</v>
      </c>
      <c r="H47" s="1055">
        <v>644.33000000000004</v>
      </c>
      <c r="I47" s="1056"/>
      <c r="J47" s="1111"/>
      <c r="K47" s="1115" t="s">
        <v>2015</v>
      </c>
    </row>
    <row r="48" spans="1:11" ht="15.75">
      <c r="A48" s="1037">
        <v>45566</v>
      </c>
      <c r="B48" s="1038" t="s">
        <v>1805</v>
      </c>
      <c r="C48" s="1026" t="s">
        <v>1442</v>
      </c>
      <c r="D48" s="1026" t="s">
        <v>2685</v>
      </c>
      <c r="E48" s="1026" t="s">
        <v>22</v>
      </c>
      <c r="F48" s="1059">
        <v>546.39</v>
      </c>
      <c r="G48" s="1054">
        <v>0.15</v>
      </c>
      <c r="H48" s="1055">
        <v>75.400000000000006</v>
      </c>
      <c r="I48" s="1056"/>
      <c r="J48" s="1111"/>
      <c r="K48" s="1115" t="s">
        <v>1805</v>
      </c>
    </row>
    <row r="49" spans="1:11" ht="15.75">
      <c r="A49" s="1039">
        <v>45567</v>
      </c>
      <c r="B49" s="1039">
        <v>45932</v>
      </c>
      <c r="C49" s="1025" t="s">
        <v>2384</v>
      </c>
      <c r="D49" s="1025" t="s">
        <v>198</v>
      </c>
      <c r="E49" s="1025" t="s">
        <v>948</v>
      </c>
      <c r="F49" s="1061">
        <v>1701.97</v>
      </c>
      <c r="G49" s="1062">
        <v>0.1</v>
      </c>
      <c r="H49" s="1055">
        <v>170.19</v>
      </c>
      <c r="I49" s="1242"/>
      <c r="J49" s="1025"/>
      <c r="K49" s="1115" t="s">
        <v>2015</v>
      </c>
    </row>
    <row r="50" spans="1:11" ht="15.75">
      <c r="A50" s="1039">
        <v>45569</v>
      </c>
      <c r="B50" s="1039">
        <v>45933</v>
      </c>
      <c r="C50" s="1025" t="s">
        <v>1376</v>
      </c>
      <c r="D50" s="1025" t="s">
        <v>448</v>
      </c>
      <c r="E50" s="1025" t="s">
        <v>948</v>
      </c>
      <c r="F50" s="1061">
        <v>3918.31</v>
      </c>
      <c r="G50" s="1062">
        <v>0.1</v>
      </c>
      <c r="H50" s="1055">
        <v>391.83</v>
      </c>
      <c r="I50" s="1242"/>
      <c r="J50" s="1025"/>
      <c r="K50" s="1115" t="s">
        <v>2015</v>
      </c>
    </row>
    <row r="51" spans="1:11" ht="15.75">
      <c r="A51" s="1039">
        <v>45569</v>
      </c>
      <c r="B51" s="1039">
        <v>45939</v>
      </c>
      <c r="C51" s="1025" t="s">
        <v>2712</v>
      </c>
      <c r="D51" s="1025" t="s">
        <v>448</v>
      </c>
      <c r="E51" s="1025" t="s">
        <v>948</v>
      </c>
      <c r="F51" s="1061">
        <v>2173.63</v>
      </c>
      <c r="G51" s="1062">
        <v>0.15</v>
      </c>
      <c r="H51" s="1055">
        <v>326.04000000000002</v>
      </c>
      <c r="I51" s="1242"/>
      <c r="J51" s="1025"/>
      <c r="K51" s="1115" t="s">
        <v>2015</v>
      </c>
    </row>
    <row r="52" spans="1:11" ht="15.75">
      <c r="A52" s="1039">
        <v>45573</v>
      </c>
      <c r="B52" s="1039">
        <v>45941</v>
      </c>
      <c r="C52" s="1025" t="s">
        <v>2713</v>
      </c>
      <c r="D52" s="1025" t="s">
        <v>9</v>
      </c>
      <c r="E52" s="1025" t="s">
        <v>948</v>
      </c>
      <c r="F52" s="1061">
        <v>1531.33</v>
      </c>
      <c r="G52" s="1062">
        <v>0.1</v>
      </c>
      <c r="H52" s="1055">
        <v>153.13</v>
      </c>
      <c r="I52" s="1242"/>
      <c r="J52" s="1025"/>
      <c r="K52" s="1115" t="s">
        <v>2015</v>
      </c>
    </row>
    <row r="53" spans="1:11" s="1222" customFormat="1" ht="15.75">
      <c r="A53" s="1039">
        <v>45582</v>
      </c>
      <c r="B53" s="1039">
        <v>45947</v>
      </c>
      <c r="C53" s="1025" t="s">
        <v>2714</v>
      </c>
      <c r="D53" s="1025" t="s">
        <v>14</v>
      </c>
      <c r="E53" s="1025" t="s">
        <v>19</v>
      </c>
      <c r="F53" s="1061">
        <v>5945.1</v>
      </c>
      <c r="G53" s="1062">
        <v>0.1</v>
      </c>
      <c r="H53" s="1055">
        <v>594.51</v>
      </c>
      <c r="I53" s="1242"/>
      <c r="J53" s="1025"/>
      <c r="K53" s="1115" t="s">
        <v>2015</v>
      </c>
    </row>
    <row r="54" spans="1:11" s="1510" customFormat="1" ht="15.75">
      <c r="A54" s="1039">
        <v>45588</v>
      </c>
      <c r="B54" s="1039">
        <v>45955</v>
      </c>
      <c r="C54" s="1025" t="s">
        <v>2715</v>
      </c>
      <c r="D54" s="1025" t="s">
        <v>1924</v>
      </c>
      <c r="E54" s="1025" t="s">
        <v>19</v>
      </c>
      <c r="F54" s="1061">
        <v>2287.3000000000002</v>
      </c>
      <c r="G54" s="1062">
        <v>0.15</v>
      </c>
      <c r="H54" s="1055">
        <v>343.09</v>
      </c>
      <c r="I54" s="1025"/>
      <c r="J54" s="1111"/>
      <c r="K54" s="1115" t="s">
        <v>2274</v>
      </c>
    </row>
    <row r="55" spans="1:11" s="1510" customFormat="1" ht="15.75">
      <c r="A55" s="1039">
        <v>45590</v>
      </c>
      <c r="B55" s="1039">
        <v>45958</v>
      </c>
      <c r="C55" s="1025" t="s">
        <v>2716</v>
      </c>
      <c r="D55" s="1025" t="s">
        <v>448</v>
      </c>
      <c r="E55" s="1025" t="s">
        <v>19</v>
      </c>
      <c r="F55" s="1061">
        <v>1564.29</v>
      </c>
      <c r="G55" s="1062">
        <v>0.15</v>
      </c>
      <c r="H55" s="1055">
        <v>130.32</v>
      </c>
      <c r="I55" s="1025"/>
      <c r="J55" s="1111"/>
      <c r="K55" s="1115" t="s">
        <v>2015</v>
      </c>
    </row>
    <row r="56" spans="1:11" s="1222" customFormat="1" ht="15.75">
      <c r="A56" s="1037"/>
      <c r="B56" s="1038"/>
      <c r="C56" s="1026"/>
      <c r="D56" s="1026"/>
      <c r="E56" s="1026"/>
      <c r="F56" s="1059"/>
      <c r="G56" s="1054"/>
      <c r="H56" s="1055"/>
      <c r="I56" s="1056"/>
      <c r="J56" s="1111"/>
      <c r="K56" s="1115" t="s">
        <v>2015</v>
      </c>
    </row>
    <row r="57" spans="1:11" ht="15.75">
      <c r="A57" s="1037"/>
      <c r="B57" s="1038"/>
      <c r="C57" s="1026"/>
      <c r="D57" s="1026"/>
      <c r="E57" s="1026"/>
      <c r="F57" s="1059"/>
      <c r="G57" s="1054"/>
      <c r="H57" s="1055"/>
      <c r="I57" s="1056"/>
      <c r="J57" s="1111"/>
      <c r="K57" s="1115"/>
    </row>
    <row r="58" spans="1:11" s="1511" customFormat="1" ht="15.75">
      <c r="A58" s="1037"/>
      <c r="B58" s="1038"/>
      <c r="C58" s="1026"/>
      <c r="D58" s="1026"/>
      <c r="E58" s="1026"/>
      <c r="F58" s="1059"/>
      <c r="G58" s="1054"/>
      <c r="H58" s="1055"/>
      <c r="I58" s="1056"/>
      <c r="J58" s="1111"/>
      <c r="K58" s="1115"/>
    </row>
    <row r="59" spans="1:11" ht="15.75">
      <c r="A59" s="1037"/>
      <c r="B59" s="1038"/>
      <c r="C59" s="1026"/>
      <c r="D59" s="1026"/>
      <c r="E59" s="1026"/>
      <c r="F59" s="1059"/>
      <c r="G59" s="1054"/>
      <c r="H59" s="1055"/>
      <c r="I59" s="1056"/>
      <c r="J59" s="1111"/>
      <c r="K59" s="1115"/>
    </row>
    <row r="60" spans="1:11" ht="15.75">
      <c r="A60" s="1037"/>
      <c r="B60" s="1038"/>
      <c r="C60" s="1026"/>
      <c r="D60" s="1026"/>
      <c r="E60" s="1026"/>
      <c r="F60" s="1059"/>
      <c r="G60" s="1054"/>
      <c r="H60" s="1055"/>
      <c r="I60" s="1056"/>
      <c r="J60" s="1111"/>
      <c r="K60" s="1115"/>
    </row>
    <row r="61" spans="1:11" ht="16.5" thickBot="1">
      <c r="A61" s="1037"/>
      <c r="B61" s="1038"/>
      <c r="C61" s="1026"/>
      <c r="D61" s="1026"/>
      <c r="E61" s="1026"/>
      <c r="F61" s="1059"/>
      <c r="G61" s="1054"/>
      <c r="H61" s="1055"/>
      <c r="I61" s="1056"/>
      <c r="J61" s="1111"/>
      <c r="K61" s="1115"/>
    </row>
    <row r="62" spans="1:11" ht="20.25" thickBot="1">
      <c r="A62" s="1158"/>
      <c r="B62" s="1159"/>
      <c r="C62" s="1159"/>
      <c r="D62" s="1159"/>
      <c r="E62" s="1159"/>
      <c r="F62" s="1160">
        <f>SUM(F2:F7,F8:F61)</f>
        <v>193447.68000000005</v>
      </c>
      <c r="G62" s="1161"/>
      <c r="H62" s="1162">
        <f>SUM(H2:H61)</f>
        <v>25136.170000000002</v>
      </c>
      <c r="I62" s="1163">
        <f>SUM(I2:I61)</f>
        <v>1706.6299999999999</v>
      </c>
      <c r="J62" s="1193"/>
      <c r="K62" s="1116"/>
    </row>
    <row r="63" spans="1:11" ht="15.75" customHeight="1">
      <c r="A63" s="1037"/>
      <c r="B63" s="1038"/>
      <c r="C63" s="1026"/>
      <c r="D63" s="1026"/>
      <c r="E63" s="1026"/>
      <c r="F63" s="1059"/>
      <c r="G63" s="1054"/>
      <c r="H63" s="1269"/>
      <c r="I63" s="1056"/>
      <c r="J63" s="1111"/>
      <c r="K63" s="1116"/>
    </row>
    <row r="64" spans="1:11" ht="15.75" customHeight="1">
      <c r="A64" s="1037"/>
      <c r="B64" s="1037"/>
      <c r="C64" s="1026"/>
      <c r="D64" s="1026"/>
      <c r="E64" s="1026"/>
      <c r="F64" s="1059"/>
      <c r="G64" s="1054"/>
      <c r="H64" s="1269"/>
      <c r="I64" s="1056"/>
      <c r="J64" s="1111"/>
      <c r="K64" s="1116"/>
    </row>
    <row r="65" spans="1:11" ht="15.75" customHeight="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116"/>
    </row>
    <row r="66" spans="1:11" ht="15.75" customHeight="1">
      <c r="A66" s="1037"/>
      <c r="B66" s="1038"/>
      <c r="C66" s="1026"/>
      <c r="D66" s="1026"/>
      <c r="E66" s="1026"/>
      <c r="F66" s="1059"/>
      <c r="G66" s="1054"/>
      <c r="H66" s="1269"/>
      <c r="I66" s="1056"/>
      <c r="J66" s="1111"/>
      <c r="K66" s="1116"/>
    </row>
    <row r="67" spans="1:11" ht="15.75" customHeight="1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1116"/>
    </row>
    <row r="68" spans="1:11" ht="15.75" customHeight="1">
      <c r="A68" s="1037"/>
      <c r="B68" s="1038"/>
      <c r="C68" s="1026"/>
      <c r="D68" s="1026"/>
      <c r="E68" s="1026"/>
      <c r="F68" s="1059"/>
      <c r="G68" s="1054"/>
      <c r="H68" s="1269"/>
      <c r="I68" s="1056"/>
      <c r="J68" s="1111"/>
      <c r="K68" s="1116"/>
    </row>
    <row r="69" spans="1:11" ht="15.75" customHeight="1">
      <c r="A69" s="1037"/>
      <c r="B69" s="1038"/>
      <c r="C69" s="1026"/>
      <c r="D69" s="1026"/>
      <c r="E69" s="1026"/>
      <c r="F69" s="1059"/>
      <c r="G69" s="1054"/>
      <c r="H69" s="1269"/>
      <c r="I69" s="1056"/>
      <c r="J69" s="1111"/>
      <c r="K69" s="1116"/>
    </row>
    <row r="70" spans="1:11" ht="15.75" customHeight="1">
      <c r="A70" s="1037"/>
      <c r="B70" s="1038"/>
      <c r="C70" s="1026"/>
      <c r="D70" s="1026"/>
      <c r="E70" s="1026"/>
      <c r="F70" s="1059"/>
      <c r="G70" s="1054"/>
      <c r="H70" s="1269"/>
      <c r="I70" s="1056"/>
      <c r="J70" s="1111"/>
      <c r="K70" s="1116"/>
    </row>
    <row r="71" spans="1:11" ht="15.75" customHeight="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116"/>
    </row>
    <row r="72" spans="1:11" ht="15.75" customHeight="1">
      <c r="A72" s="1037"/>
      <c r="B72" s="1038"/>
      <c r="C72" s="1026"/>
      <c r="D72" s="1026"/>
      <c r="E72" s="1026"/>
      <c r="F72" s="1059"/>
      <c r="G72" s="1054"/>
      <c r="H72" s="1269"/>
      <c r="I72" s="1056"/>
      <c r="J72" s="1111"/>
      <c r="K72" s="1033"/>
    </row>
    <row r="73" spans="1:11" ht="15.75" customHeight="1">
      <c r="A73" s="1037"/>
      <c r="B73" s="1038"/>
      <c r="C73" s="1026"/>
      <c r="D73" s="1026"/>
      <c r="E73" s="1026"/>
      <c r="F73" s="1059"/>
      <c r="G73" s="1054"/>
      <c r="H73" s="1269"/>
      <c r="I73" s="1056"/>
      <c r="J73" s="1111"/>
      <c r="K73" s="1116"/>
    </row>
    <row r="74" spans="1:11" ht="15.75" customHeight="1">
      <c r="A74" s="1037"/>
      <c r="B74" s="1038"/>
      <c r="C74" s="1026"/>
      <c r="D74" s="1026"/>
      <c r="E74" s="1026"/>
      <c r="F74" s="1059"/>
      <c r="G74" s="1059"/>
      <c r="H74" s="1269"/>
      <c r="I74" s="1056"/>
      <c r="J74" s="1111"/>
      <c r="K74" s="1116"/>
    </row>
    <row r="75" spans="1:11" ht="15.75" customHeight="1">
      <c r="A75" s="1037"/>
      <c r="B75" s="1038"/>
      <c r="C75" s="1026"/>
      <c r="D75" s="1026"/>
      <c r="E75" s="1026"/>
      <c r="F75" s="1059"/>
      <c r="G75" s="1059"/>
      <c r="H75" s="1269"/>
      <c r="I75" s="1056"/>
      <c r="J75" s="1111"/>
      <c r="K75" s="1033"/>
    </row>
    <row r="76" spans="1:11" ht="15.75" customHeight="1">
      <c r="A76" s="1037"/>
      <c r="B76" s="1038"/>
      <c r="C76" s="1026"/>
      <c r="D76" s="1026"/>
      <c r="E76" s="1026"/>
      <c r="F76" s="1059"/>
      <c r="G76" s="1059"/>
      <c r="H76" s="1269"/>
      <c r="I76" s="1056"/>
      <c r="J76" s="1111"/>
      <c r="K76" s="1033"/>
    </row>
    <row r="77" spans="1:11" ht="15.75" customHeight="1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1116"/>
    </row>
    <row r="78" spans="1:11" ht="15.75" customHeight="1">
      <c r="A78" s="1037"/>
      <c r="B78" s="1038"/>
      <c r="C78" s="1026"/>
      <c r="D78" s="1026"/>
      <c r="E78" s="1026"/>
      <c r="F78" s="1059"/>
      <c r="G78" s="1054"/>
      <c r="H78" s="1269"/>
      <c r="I78" s="1056"/>
      <c r="J78" s="1111"/>
      <c r="K78" s="1116"/>
    </row>
    <row r="79" spans="1:11" ht="15.75" customHeight="1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1116"/>
    </row>
    <row r="80" spans="1:11" ht="15.75">
      <c r="A80" s="1037"/>
      <c r="B80" s="1038"/>
      <c r="C80" s="1026"/>
      <c r="D80" s="1026"/>
      <c r="E80" s="1026"/>
      <c r="F80" s="1059"/>
      <c r="G80" s="1054"/>
      <c r="H80" s="1269"/>
      <c r="I80" s="1056"/>
      <c r="J80" s="1111"/>
      <c r="K80" s="1116"/>
    </row>
    <row r="81" spans="1:11" ht="15.75">
      <c r="A81" s="1037"/>
      <c r="B81" s="1038"/>
      <c r="C81" s="1026"/>
      <c r="D81" s="1026"/>
      <c r="E81" s="1026"/>
      <c r="F81" s="1059"/>
      <c r="G81" s="1054"/>
      <c r="H81" s="1269"/>
      <c r="I81" s="1056"/>
      <c r="J81" s="1111"/>
      <c r="K81" s="1116"/>
    </row>
    <row r="82" spans="1:11" ht="15.75">
      <c r="A82" s="1037"/>
      <c r="B82" s="1038"/>
      <c r="C82" s="1025"/>
      <c r="D82" s="1025"/>
      <c r="E82" s="1025"/>
      <c r="F82" s="1059"/>
      <c r="G82" s="1062"/>
      <c r="H82" s="1055"/>
      <c r="I82" s="1056"/>
      <c r="J82" s="1111"/>
      <c r="K82" s="1116"/>
    </row>
    <row r="83" spans="1:11" ht="15.75">
      <c r="A83" s="1037"/>
      <c r="B83" s="1039"/>
      <c r="C83" s="1025"/>
      <c r="D83" s="1025"/>
      <c r="E83" s="1025"/>
      <c r="F83" s="1059"/>
      <c r="G83" s="1054"/>
      <c r="H83" s="1269"/>
      <c r="I83" s="1056"/>
      <c r="J83" s="1111"/>
      <c r="K83" s="1116"/>
    </row>
    <row r="84" spans="1:11" ht="15.75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116"/>
    </row>
    <row r="85" spans="1:11" ht="15.75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116"/>
    </row>
    <row r="86" spans="1:11" ht="15.75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116"/>
    </row>
    <row r="87" spans="1:11" ht="15.75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6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116"/>
    </row>
    <row r="89" spans="1:11" ht="15.75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116"/>
    </row>
    <row r="90" spans="1:11" ht="15.75">
      <c r="A90" s="1037"/>
      <c r="B90" s="1038"/>
      <c r="C90" s="1026"/>
      <c r="D90" s="1026"/>
      <c r="E90" s="1026"/>
      <c r="F90" s="1059"/>
      <c r="G90" s="1054"/>
      <c r="H90" s="1269"/>
      <c r="I90" s="1056"/>
      <c r="J90" s="1111"/>
      <c r="K90" s="1116"/>
    </row>
    <row r="91" spans="1:11" ht="15.75">
      <c r="A91" s="1037"/>
      <c r="B91" s="1038"/>
      <c r="C91" s="1026"/>
      <c r="D91" s="1026"/>
      <c r="E91" s="1026"/>
      <c r="F91" s="1059"/>
      <c r="G91" s="1054"/>
      <c r="H91" s="1269"/>
      <c r="I91" s="1056"/>
      <c r="J91" s="1111"/>
      <c r="K91" s="1116"/>
    </row>
    <row r="92" spans="1:11" ht="15.75">
      <c r="A92" s="1037"/>
      <c r="B92" s="1038"/>
      <c r="C92" s="1026"/>
      <c r="D92" s="1026"/>
      <c r="E92" s="1026"/>
      <c r="F92" s="1059"/>
      <c r="G92" s="1054"/>
      <c r="H92" s="1269"/>
      <c r="I92" s="1056"/>
      <c r="J92" s="1111"/>
      <c r="K92" s="1116"/>
    </row>
    <row r="93" spans="1:11" ht="15.75">
      <c r="A93" s="1037"/>
      <c r="B93" s="1038"/>
      <c r="C93" s="1026"/>
      <c r="D93" s="1026"/>
      <c r="E93" s="1026"/>
      <c r="F93" s="1059"/>
      <c r="G93" s="1054"/>
      <c r="H93" s="1269"/>
      <c r="I93" s="1056"/>
      <c r="J93" s="1111"/>
      <c r="K93" s="1116"/>
    </row>
    <row r="94" spans="1:11" ht="15.75">
      <c r="A94" s="1037"/>
      <c r="B94" s="1038"/>
      <c r="C94" s="1026"/>
      <c r="D94" s="1026"/>
      <c r="E94" s="1026"/>
      <c r="F94" s="1059"/>
      <c r="G94" s="1054"/>
      <c r="H94" s="1269"/>
      <c r="I94" s="1056"/>
      <c r="J94" s="1111"/>
      <c r="K94" s="1116"/>
    </row>
    <row r="95" spans="1:11" ht="15.75">
      <c r="A95" s="1037"/>
      <c r="B95" s="1038"/>
      <c r="C95" s="1026"/>
      <c r="D95" s="1026"/>
      <c r="E95" s="1026"/>
      <c r="F95" s="1059"/>
      <c r="G95" s="1054"/>
      <c r="H95" s="1269"/>
      <c r="I95" s="1056"/>
      <c r="J95" s="1111"/>
      <c r="K95" s="1116"/>
    </row>
    <row r="96" spans="1:11" ht="15.75">
      <c r="A96" s="1037"/>
      <c r="B96" s="1038"/>
      <c r="C96" s="1026"/>
      <c r="D96" s="1026"/>
      <c r="E96" s="1026"/>
      <c r="F96" s="1059"/>
      <c r="G96" s="1054"/>
      <c r="H96" s="1269"/>
      <c r="I96" s="1056"/>
      <c r="J96" s="1111"/>
      <c r="K96" s="1116"/>
    </row>
    <row r="97" spans="1:11">
      <c r="A97" s="1037"/>
      <c r="B97" s="1038"/>
      <c r="C97" s="1026"/>
      <c r="D97" s="1026"/>
      <c r="E97" s="1026"/>
      <c r="F97" s="1059"/>
      <c r="G97" s="1059"/>
      <c r="H97" s="1269"/>
      <c r="I97" s="1056"/>
      <c r="J97" s="1111"/>
      <c r="K97" s="1033"/>
    </row>
    <row r="98" spans="1:11">
      <c r="A98" s="1037"/>
      <c r="B98" s="1038"/>
      <c r="C98" s="1026"/>
      <c r="D98" s="1026"/>
      <c r="E98" s="1026"/>
      <c r="F98" s="1059"/>
      <c r="G98" s="1059"/>
      <c r="H98" s="1269"/>
      <c r="I98" s="1056"/>
      <c r="J98" s="1111"/>
      <c r="K98" s="1033"/>
    </row>
    <row r="99" spans="1:11">
      <c r="A99" s="1037"/>
      <c r="B99" s="1038"/>
      <c r="C99" s="1026"/>
      <c r="D99" s="1026"/>
      <c r="E99" s="1026"/>
      <c r="F99" s="1059"/>
      <c r="G99" s="1059"/>
      <c r="H99" s="1269"/>
      <c r="I99" s="1056"/>
      <c r="J99" s="1111"/>
      <c r="K99" s="1033"/>
    </row>
    <row r="100" spans="1:11" ht="15.75">
      <c r="A100" s="1037"/>
      <c r="B100" s="1038"/>
      <c r="C100" s="1026"/>
      <c r="D100" s="1026"/>
      <c r="E100" s="1026"/>
      <c r="F100" s="1059"/>
      <c r="G100" s="1054"/>
      <c r="H100" s="1269"/>
      <c r="I100" s="1056"/>
      <c r="J100" s="1111"/>
      <c r="K100" s="1116"/>
    </row>
    <row r="101" spans="1:11">
      <c r="A101" s="1037"/>
      <c r="B101" s="1038"/>
      <c r="C101" s="1026"/>
      <c r="D101" s="1026"/>
      <c r="E101" s="1026"/>
      <c r="F101" s="1059"/>
      <c r="G101" s="1059"/>
      <c r="H101" s="1269"/>
      <c r="I101" s="1056"/>
      <c r="J101" s="1111"/>
      <c r="K101" s="1033"/>
    </row>
    <row r="102" spans="1:11">
      <c r="A102" s="1037"/>
      <c r="B102" s="1038"/>
      <c r="C102" s="1026"/>
      <c r="D102" s="1026"/>
      <c r="E102" s="1026"/>
      <c r="F102" s="1059"/>
      <c r="G102" s="1059"/>
      <c r="H102" s="1269"/>
      <c r="I102" s="1056"/>
      <c r="J102" s="1111"/>
      <c r="K102" s="1033"/>
    </row>
    <row r="103" spans="1:11">
      <c r="A103" s="1037"/>
      <c r="B103" s="1038"/>
      <c r="C103" s="1026"/>
      <c r="D103" s="1026"/>
      <c r="E103" s="1026"/>
      <c r="F103" s="1059"/>
      <c r="G103" s="1059"/>
      <c r="H103" s="1269"/>
      <c r="I103" s="1056"/>
      <c r="J103" s="1111"/>
      <c r="K103" s="1033"/>
    </row>
    <row r="104" spans="1:11" ht="15.75">
      <c r="A104" s="1037"/>
      <c r="B104" s="1038"/>
      <c r="C104" s="1026"/>
      <c r="D104" s="1026"/>
      <c r="E104" s="1026"/>
      <c r="F104" s="1059"/>
      <c r="G104" s="1054"/>
      <c r="H104" s="1269"/>
      <c r="I104" s="1056"/>
      <c r="J104" s="1111"/>
      <c r="K104" s="1116"/>
    </row>
    <row r="105" spans="1:11" ht="15.75">
      <c r="A105" s="1037"/>
      <c r="B105" s="1038"/>
      <c r="C105" s="1026"/>
      <c r="D105" s="1026"/>
      <c r="E105" s="1026"/>
      <c r="F105" s="1059"/>
      <c r="G105" s="1054"/>
      <c r="H105" s="1269"/>
      <c r="I105" s="1056"/>
      <c r="J105" s="1111"/>
      <c r="K105" s="1116"/>
    </row>
    <row r="106" spans="1:11">
      <c r="A106" s="1037"/>
      <c r="B106" s="1038"/>
      <c r="C106" s="1026"/>
      <c r="D106" s="1026"/>
      <c r="E106" s="1026"/>
      <c r="F106" s="1059"/>
      <c r="G106" s="1059"/>
      <c r="H106" s="1269"/>
      <c r="I106" s="1056"/>
      <c r="J106" s="1111"/>
      <c r="K106" s="1033"/>
    </row>
    <row r="107" spans="1:11">
      <c r="A107" s="1037"/>
      <c r="B107" s="1038"/>
      <c r="C107" s="1026"/>
      <c r="D107" s="1026"/>
      <c r="E107" s="1026"/>
      <c r="F107" s="1059"/>
      <c r="G107" s="1059"/>
      <c r="H107" s="1269"/>
      <c r="I107" s="1056"/>
      <c r="J107" s="1111"/>
      <c r="K107" s="1033"/>
    </row>
    <row r="108" spans="1:11">
      <c r="A108" s="1037"/>
      <c r="B108" s="1038"/>
      <c r="C108" s="1026"/>
      <c r="D108" s="1026"/>
      <c r="E108" s="1026"/>
      <c r="F108" s="1059"/>
      <c r="G108" s="1059"/>
      <c r="H108" s="1269"/>
      <c r="I108" s="1056"/>
      <c r="J108" s="1111"/>
      <c r="K108" s="1033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1033"/>
    </row>
    <row r="110" spans="1:11">
      <c r="A110" s="1037"/>
      <c r="B110" s="1038"/>
      <c r="C110" s="1026"/>
      <c r="D110" s="1026"/>
      <c r="E110" s="1026"/>
      <c r="F110" s="1059"/>
      <c r="G110" s="1059"/>
      <c r="H110" s="1269"/>
      <c r="I110" s="1056"/>
      <c r="J110" s="1111"/>
      <c r="K110" s="1033"/>
    </row>
    <row r="111" spans="1:11">
      <c r="A111" s="1037"/>
      <c r="B111" s="1038"/>
      <c r="C111" s="1026"/>
      <c r="D111" s="1026"/>
      <c r="E111" s="1026"/>
      <c r="F111" s="1059"/>
      <c r="G111" s="1059"/>
      <c r="H111" s="1269"/>
      <c r="I111" s="1056"/>
      <c r="J111" s="1111"/>
      <c r="K111" s="1033"/>
    </row>
    <row r="112" spans="1:11" ht="15.75">
      <c r="A112" s="1037"/>
      <c r="B112" s="1038"/>
      <c r="C112" s="1026"/>
      <c r="D112" s="1026"/>
      <c r="E112" s="1026"/>
      <c r="F112" s="1059"/>
      <c r="G112" s="1054"/>
      <c r="H112" s="1269"/>
      <c r="I112" s="1056"/>
      <c r="J112" s="1111"/>
      <c r="K112" s="1116"/>
    </row>
    <row r="113" spans="1:11">
      <c r="A113" s="1037"/>
      <c r="B113" s="1038"/>
      <c r="C113" s="1026"/>
      <c r="D113" s="1026"/>
      <c r="E113" s="1026"/>
      <c r="F113" s="1059"/>
      <c r="G113" s="1059"/>
      <c r="H113" s="1269"/>
      <c r="I113" s="1056"/>
      <c r="J113" s="1111"/>
      <c r="K113" s="1033"/>
    </row>
    <row r="114" spans="1:11">
      <c r="A114" s="1037"/>
      <c r="B114" s="1038"/>
      <c r="C114" s="1026"/>
      <c r="D114" s="1026"/>
      <c r="E114" s="1026"/>
      <c r="F114" s="1059"/>
      <c r="G114" s="1059"/>
      <c r="H114" s="1269"/>
      <c r="I114" s="1056"/>
      <c r="J114" s="1111"/>
      <c r="K114" s="1033"/>
    </row>
    <row r="115" spans="1:11">
      <c r="A115" s="1037"/>
      <c r="B115" s="1038"/>
      <c r="C115" s="1026"/>
      <c r="D115" s="1026"/>
      <c r="E115" s="1026"/>
      <c r="F115" s="1059"/>
      <c r="G115" s="1059"/>
      <c r="H115" s="1269"/>
      <c r="I115" s="1056"/>
      <c r="J115" s="1111"/>
      <c r="K115" s="1033"/>
    </row>
    <row r="116" spans="1:11" ht="15.75">
      <c r="A116" s="1037"/>
      <c r="B116" s="1038"/>
      <c r="C116" s="1026"/>
      <c r="D116" s="1026"/>
      <c r="E116" s="1026"/>
      <c r="F116" s="1059"/>
      <c r="G116" s="1059"/>
      <c r="H116" s="1269"/>
      <c r="I116" s="1056"/>
      <c r="J116" s="1111"/>
      <c r="K116" s="1116"/>
    </row>
    <row r="117" spans="1:11">
      <c r="A117" s="1037"/>
      <c r="B117" s="1038"/>
      <c r="C117" s="1026"/>
      <c r="D117" s="1026"/>
      <c r="E117" s="1026"/>
      <c r="F117" s="1059"/>
      <c r="G117" s="1059"/>
      <c r="H117" s="1269"/>
      <c r="I117" s="1056"/>
      <c r="J117" s="1111"/>
      <c r="K117" s="1033"/>
    </row>
    <row r="118" spans="1:11">
      <c r="A118" s="1037"/>
      <c r="B118" s="1038"/>
      <c r="C118" s="1026"/>
      <c r="D118" s="1026"/>
      <c r="E118" s="1026"/>
      <c r="F118" s="1059"/>
      <c r="G118" s="1059"/>
      <c r="H118" s="1269"/>
      <c r="I118" s="1056"/>
      <c r="J118" s="1111"/>
      <c r="K118" s="1033"/>
    </row>
    <row r="119" spans="1:11">
      <c r="A119" s="1037"/>
      <c r="B119" s="1038"/>
      <c r="C119" s="1026"/>
      <c r="D119" s="1026"/>
      <c r="E119" s="1026"/>
      <c r="F119" s="1059"/>
      <c r="G119" s="1059"/>
      <c r="H119" s="1269"/>
      <c r="I119" s="1056"/>
      <c r="J119" s="1111"/>
      <c r="K119" s="1033"/>
    </row>
    <row r="120" spans="1:11">
      <c r="A120" s="1037"/>
      <c r="B120" s="1038"/>
      <c r="C120" s="1026"/>
      <c r="D120" s="1026"/>
      <c r="E120" s="1026"/>
      <c r="F120" s="1059"/>
      <c r="G120" s="1059"/>
      <c r="H120" s="1269"/>
      <c r="I120" s="1056"/>
      <c r="J120" s="1111"/>
      <c r="K120" s="1033"/>
    </row>
    <row r="121" spans="1:11">
      <c r="A121" s="1037"/>
      <c r="B121" s="1038"/>
      <c r="C121" s="1026"/>
      <c r="D121" s="1026"/>
      <c r="E121" s="1026"/>
      <c r="F121" s="1059"/>
      <c r="G121" s="1054"/>
      <c r="H121" s="1269"/>
      <c r="I121" s="1056"/>
      <c r="J121" s="1111"/>
      <c r="K121" s="1033"/>
    </row>
    <row r="122" spans="1:11" ht="15.75">
      <c r="A122" s="1037"/>
      <c r="B122" s="1038"/>
      <c r="C122" s="1025"/>
      <c r="D122" s="1026"/>
      <c r="E122" s="1026"/>
      <c r="F122" s="1059"/>
      <c r="G122" s="1054"/>
      <c r="H122" s="1269"/>
      <c r="I122" s="1056"/>
      <c r="J122" s="1111"/>
      <c r="K122" s="1116"/>
    </row>
    <row r="123" spans="1:11" ht="15.75">
      <c r="A123" s="1037"/>
      <c r="B123" s="1038"/>
      <c r="C123" s="1026"/>
      <c r="D123" s="1026"/>
      <c r="E123" s="1026"/>
      <c r="F123" s="1059"/>
      <c r="G123" s="1054"/>
      <c r="H123" s="1269"/>
      <c r="I123" s="1056"/>
      <c r="J123" s="1111"/>
      <c r="K123" s="1116"/>
    </row>
    <row r="124" spans="1:11" ht="15.75">
      <c r="A124" s="1037"/>
      <c r="B124" s="1038"/>
      <c r="C124" s="1026"/>
      <c r="D124" s="1026"/>
      <c r="E124" s="1026"/>
      <c r="F124" s="1059"/>
      <c r="G124" s="1054"/>
      <c r="H124" s="1269"/>
      <c r="I124" s="1056"/>
      <c r="J124" s="1111"/>
      <c r="K124" s="1116"/>
    </row>
    <row r="125" spans="1:11" ht="15.75">
      <c r="A125" s="1037"/>
      <c r="B125" s="1038"/>
      <c r="C125" s="1026"/>
      <c r="D125" s="1026"/>
      <c r="E125" s="1026"/>
      <c r="F125" s="1059"/>
      <c r="G125" s="1054"/>
      <c r="H125" s="1269"/>
      <c r="I125" s="1056"/>
      <c r="J125" s="1111"/>
      <c r="K125" s="1116"/>
    </row>
    <row r="126" spans="1:11" ht="15.75">
      <c r="A126" s="1037"/>
      <c r="B126" s="1038"/>
      <c r="C126" s="1026"/>
      <c r="D126" s="1026"/>
      <c r="E126" s="1026"/>
      <c r="F126" s="1059"/>
      <c r="G126" s="1054"/>
      <c r="H126" s="1269"/>
      <c r="I126" s="1056"/>
      <c r="J126" s="1111"/>
      <c r="K126" s="1116"/>
    </row>
    <row r="127" spans="1:11">
      <c r="A127" s="1037"/>
      <c r="B127" s="1038"/>
      <c r="C127" s="1026"/>
      <c r="D127" s="1026"/>
      <c r="E127" s="1026"/>
      <c r="F127" s="1059"/>
      <c r="G127" s="1059"/>
      <c r="H127" s="1269"/>
      <c r="I127" s="1056"/>
      <c r="J127" s="1111"/>
      <c r="K127" s="1033"/>
    </row>
    <row r="128" spans="1:11">
      <c r="A128" s="1037"/>
      <c r="B128" s="1038"/>
      <c r="C128" s="1026"/>
      <c r="D128" s="1026"/>
      <c r="E128" s="1026"/>
      <c r="F128" s="1059"/>
      <c r="G128" s="1059"/>
      <c r="H128" s="1269"/>
      <c r="I128" s="1056"/>
      <c r="J128" s="1111"/>
      <c r="K128" s="1033"/>
    </row>
    <row r="129" spans="1:11" ht="15.75">
      <c r="A129" s="1037"/>
      <c r="B129" s="1038"/>
      <c r="C129" s="1026"/>
      <c r="D129" s="1026"/>
      <c r="E129" s="1026"/>
      <c r="F129" s="1059"/>
      <c r="G129" s="1054"/>
      <c r="H129" s="1269"/>
      <c r="I129" s="1056"/>
      <c r="J129" s="1111"/>
      <c r="K129" s="1116"/>
    </row>
    <row r="130" spans="1:11" ht="15.75">
      <c r="A130" s="1037"/>
      <c r="B130" s="1038"/>
      <c r="C130" s="1026"/>
      <c r="D130" s="1026"/>
      <c r="E130" s="1026"/>
      <c r="F130" s="1059"/>
      <c r="G130" s="1054"/>
      <c r="H130" s="1269"/>
      <c r="I130" s="1056"/>
      <c r="J130" s="1111"/>
      <c r="K130" s="1116"/>
    </row>
    <row r="131" spans="1:11" ht="15.75">
      <c r="A131" s="1037"/>
      <c r="B131" s="1038"/>
      <c r="C131" s="1026"/>
      <c r="D131" s="1026"/>
      <c r="E131" s="1026"/>
      <c r="F131" s="1059"/>
      <c r="G131" s="1054"/>
      <c r="H131" s="1269"/>
      <c r="I131" s="1056"/>
      <c r="J131" s="1111"/>
      <c r="K131" s="1116"/>
    </row>
    <row r="132" spans="1:11">
      <c r="A132" s="1037"/>
      <c r="B132" s="1038"/>
      <c r="C132" s="1026"/>
      <c r="D132" s="1026"/>
      <c r="E132" s="1026"/>
      <c r="F132" s="1059"/>
      <c r="G132" s="1054"/>
      <c r="H132" s="1269"/>
      <c r="I132" s="1056"/>
      <c r="J132" s="1111"/>
      <c r="K132" s="1033"/>
    </row>
    <row r="133" spans="1:11">
      <c r="A133" s="1037"/>
      <c r="B133" s="1038"/>
      <c r="C133" s="1026"/>
      <c r="D133" s="1026"/>
      <c r="E133" s="1026"/>
      <c r="F133" s="1059"/>
      <c r="G133" s="1054"/>
      <c r="H133" s="1269"/>
      <c r="I133" s="1056"/>
      <c r="J133" s="1111"/>
      <c r="K133" s="1033"/>
    </row>
    <row r="134" spans="1:11">
      <c r="A134" s="1037"/>
      <c r="B134" s="1038"/>
      <c r="C134" s="1026"/>
      <c r="D134" s="1026"/>
      <c r="E134" s="1026"/>
      <c r="F134" s="1059"/>
      <c r="G134" s="1059"/>
      <c r="H134" s="1269"/>
      <c r="I134" s="1056"/>
      <c r="J134" s="1111"/>
      <c r="K134" s="1033"/>
    </row>
    <row r="135" spans="1:11">
      <c r="A135" s="1037"/>
      <c r="B135" s="1038"/>
      <c r="C135" s="1026"/>
      <c r="D135" s="1026"/>
      <c r="E135" s="1026"/>
      <c r="F135" s="1059"/>
      <c r="G135" s="1059"/>
      <c r="H135" s="1269"/>
      <c r="I135" s="1056"/>
      <c r="J135" s="1111"/>
      <c r="K135" s="1033"/>
    </row>
    <row r="136" spans="1:11">
      <c r="A136" s="1037"/>
      <c r="B136" s="1038"/>
      <c r="C136" s="1026"/>
      <c r="D136" s="1026"/>
      <c r="E136" s="1026"/>
      <c r="F136" s="1059"/>
      <c r="G136" s="1059"/>
      <c r="H136" s="1269"/>
      <c r="I136" s="1056"/>
      <c r="J136" s="1111"/>
      <c r="K136" s="1033"/>
    </row>
    <row r="137" spans="1:11">
      <c r="A137" s="1037"/>
      <c r="B137" s="1038"/>
      <c r="C137" s="1026"/>
      <c r="D137" s="1026"/>
      <c r="E137" s="1026"/>
      <c r="F137" s="1059"/>
      <c r="G137" s="1059"/>
      <c r="H137" s="1269"/>
      <c r="I137" s="1056"/>
      <c r="J137" s="1111"/>
      <c r="K137" s="1033"/>
    </row>
    <row r="138" spans="1:11" ht="15.75">
      <c r="A138" s="1037"/>
      <c r="B138" s="1038"/>
      <c r="C138" s="1026"/>
      <c r="D138" s="1026"/>
      <c r="E138" s="1026"/>
      <c r="F138" s="1059"/>
      <c r="G138" s="1054"/>
      <c r="H138" s="1269"/>
      <c r="I138" s="1056"/>
      <c r="J138" s="1111"/>
      <c r="K138" s="1116"/>
    </row>
    <row r="139" spans="1:11" ht="15.75">
      <c r="A139" s="1037"/>
      <c r="B139" s="1038"/>
      <c r="C139" s="1026"/>
      <c r="D139" s="1026"/>
      <c r="E139" s="1026"/>
      <c r="F139" s="1059"/>
      <c r="G139" s="1059"/>
      <c r="H139" s="1269"/>
      <c r="I139" s="1056"/>
      <c r="J139" s="1111"/>
      <c r="K139" s="1116"/>
    </row>
    <row r="140" spans="1:11">
      <c r="A140" s="1037"/>
      <c r="B140" s="1038"/>
      <c r="C140" s="1026"/>
      <c r="D140" s="1026"/>
      <c r="E140" s="1026"/>
      <c r="F140" s="1059"/>
      <c r="G140" s="1059"/>
      <c r="H140" s="1269"/>
      <c r="I140" s="1056"/>
      <c r="J140" s="1111"/>
      <c r="K140" s="1033"/>
    </row>
    <row r="141" spans="1:11">
      <c r="A141" s="1037"/>
      <c r="B141" s="1038"/>
      <c r="C141" s="1026"/>
      <c r="D141" s="1026"/>
      <c r="E141" s="1140"/>
      <c r="F141" s="1059"/>
      <c r="G141" s="1054"/>
      <c r="H141" s="1269"/>
      <c r="I141" s="1056"/>
      <c r="J141" s="1111"/>
      <c r="K141" s="1033"/>
    </row>
    <row r="142" spans="1:11" ht="15.75">
      <c r="A142" s="1037"/>
      <c r="B142" s="1038"/>
      <c r="C142" s="1026"/>
      <c r="D142" s="1026"/>
      <c r="E142" s="1026"/>
      <c r="F142" s="1059"/>
      <c r="G142" s="1054"/>
      <c r="H142" s="1269"/>
      <c r="I142" s="1056"/>
      <c r="J142" s="1111"/>
      <c r="K142" s="1116"/>
    </row>
    <row r="143" spans="1:11">
      <c r="A143" s="1037"/>
      <c r="B143" s="1038"/>
      <c r="C143" s="1026"/>
      <c r="D143" s="1026"/>
      <c r="E143" s="1026"/>
      <c r="F143" s="1059"/>
      <c r="G143" s="1054"/>
      <c r="H143" s="1269"/>
      <c r="I143" s="1056"/>
      <c r="J143" s="1111"/>
      <c r="K143" s="1033"/>
    </row>
    <row r="144" spans="1:11">
      <c r="A144" s="1037"/>
      <c r="B144" s="1038"/>
      <c r="C144" s="1026"/>
      <c r="D144" s="1026"/>
      <c r="E144" s="1026"/>
      <c r="F144" s="1059"/>
      <c r="G144" s="1059"/>
      <c r="H144" s="1269"/>
      <c r="I144" s="1056"/>
      <c r="J144" s="1111"/>
      <c r="K144" s="1033"/>
    </row>
    <row r="145" spans="1:11">
      <c r="A145" s="1037"/>
      <c r="B145" s="1038"/>
      <c r="C145" s="1026"/>
      <c r="D145" s="1026"/>
      <c r="E145" s="1026"/>
      <c r="F145" s="1059"/>
      <c r="G145" s="1059"/>
      <c r="H145" s="1269"/>
      <c r="I145" s="1056"/>
      <c r="J145" s="1111"/>
      <c r="K145" s="1033"/>
    </row>
    <row r="146" spans="1:11" ht="15.75">
      <c r="A146" s="1037"/>
      <c r="B146" s="1038"/>
      <c r="C146" s="1026"/>
      <c r="D146" s="1026"/>
      <c r="E146" s="1026"/>
      <c r="F146" s="1059"/>
      <c r="G146" s="1054"/>
      <c r="H146" s="1269"/>
      <c r="I146" s="1056"/>
      <c r="J146" s="1111"/>
      <c r="K146" s="1116"/>
    </row>
    <row r="147" spans="1:11" ht="15.75">
      <c r="A147" s="1037"/>
      <c r="B147" s="1038"/>
      <c r="C147" s="1026"/>
      <c r="D147" s="1026"/>
      <c r="E147" s="1026"/>
      <c r="F147" s="1059"/>
      <c r="G147" s="1054"/>
      <c r="H147" s="1269"/>
      <c r="I147" s="1056"/>
      <c r="J147" s="1111"/>
      <c r="K147" s="1116"/>
    </row>
    <row r="148" spans="1:11" ht="15.75">
      <c r="A148" s="1037"/>
      <c r="B148" s="1038"/>
      <c r="C148" s="1026"/>
      <c r="D148" s="1026"/>
      <c r="E148" s="1026"/>
      <c r="F148" s="1059"/>
      <c r="G148" s="1054"/>
      <c r="H148" s="1269"/>
      <c r="I148" s="1056"/>
      <c r="J148" s="1111"/>
      <c r="K148" s="1116"/>
    </row>
    <row r="149" spans="1:11" ht="15.75">
      <c r="A149" s="1037"/>
      <c r="B149" s="1038"/>
      <c r="C149" s="1026"/>
      <c r="D149" s="1026"/>
      <c r="E149" s="1026"/>
      <c r="F149" s="1059"/>
      <c r="G149" s="1054"/>
      <c r="H149" s="1269"/>
      <c r="I149" s="1056"/>
      <c r="J149" s="1111"/>
      <c r="K149" s="1116"/>
    </row>
    <row r="150" spans="1:11" ht="15.75">
      <c r="A150" s="1037"/>
      <c r="B150" s="1038"/>
      <c r="C150" s="1026"/>
      <c r="D150" s="1026"/>
      <c r="E150" s="1026"/>
      <c r="F150" s="1059"/>
      <c r="G150" s="1054"/>
      <c r="H150" s="1269"/>
      <c r="I150" s="1056"/>
      <c r="J150" s="1111"/>
      <c r="K150" s="1116"/>
    </row>
    <row r="151" spans="1:11">
      <c r="A151" s="1037"/>
      <c r="B151" s="1038"/>
      <c r="C151" s="1026"/>
      <c r="D151" s="1026"/>
      <c r="E151" s="1026"/>
      <c r="F151" s="1059"/>
      <c r="G151" s="1054"/>
      <c r="H151" s="1269"/>
      <c r="I151" s="1056"/>
      <c r="J151" s="1111"/>
      <c r="K151" s="1033"/>
    </row>
    <row r="152" spans="1:11">
      <c r="A152" s="1037"/>
      <c r="B152" s="1038"/>
      <c r="C152" s="1025"/>
      <c r="D152" s="1026"/>
      <c r="E152" s="1026"/>
      <c r="F152" s="1061"/>
      <c r="G152" s="1054"/>
      <c r="H152" s="1055"/>
      <c r="I152" s="1056"/>
      <c r="J152" s="1111"/>
      <c r="K152" s="1033"/>
    </row>
    <row r="153" spans="1:11">
      <c r="A153" s="1037"/>
      <c r="B153" s="1038"/>
      <c r="C153" s="1026"/>
      <c r="D153" s="1026"/>
      <c r="E153" s="1026"/>
      <c r="F153" s="1059"/>
      <c r="G153" s="1054"/>
      <c r="H153" s="1269"/>
      <c r="I153" s="1056"/>
      <c r="J153" s="1111"/>
      <c r="K153" s="1033"/>
    </row>
    <row r="154" spans="1:11">
      <c r="A154" s="1037"/>
      <c r="B154" s="1038"/>
      <c r="C154" s="1026"/>
      <c r="D154" s="1026"/>
      <c r="E154" s="1026"/>
      <c r="F154" s="1059"/>
      <c r="G154" s="1054"/>
      <c r="H154" s="1269"/>
      <c r="I154" s="1056"/>
      <c r="J154" s="1111"/>
      <c r="K154" s="1033"/>
    </row>
    <row r="155" spans="1:11">
      <c r="A155" s="1037"/>
      <c r="B155" s="1038"/>
      <c r="C155" s="1026"/>
      <c r="D155" s="1026"/>
      <c r="E155" s="1026"/>
      <c r="F155" s="1059"/>
      <c r="G155" s="1059"/>
      <c r="H155" s="1269"/>
      <c r="I155" s="1056"/>
      <c r="J155" s="1111"/>
      <c r="K155" s="1033"/>
    </row>
    <row r="156" spans="1:11">
      <c r="A156" s="1037"/>
      <c r="B156" s="1038"/>
      <c r="C156" s="1026"/>
      <c r="D156" s="1026"/>
      <c r="E156" s="1026"/>
      <c r="F156" s="1059"/>
      <c r="G156" s="1059"/>
      <c r="H156" s="1269"/>
      <c r="I156" s="1056"/>
      <c r="J156" s="1111"/>
      <c r="K156" s="1033"/>
    </row>
    <row r="157" spans="1:11" ht="15.75">
      <c r="A157" s="1037"/>
      <c r="B157" s="1038"/>
      <c r="C157" s="1026"/>
      <c r="D157" s="1026"/>
      <c r="E157" s="1026"/>
      <c r="F157" s="1059"/>
      <c r="G157" s="1054"/>
      <c r="H157" s="1269"/>
      <c r="I157" s="1056"/>
      <c r="J157" s="1111"/>
      <c r="K157" s="1116"/>
    </row>
    <row r="158" spans="1:11">
      <c r="A158" s="1037"/>
      <c r="B158" s="1038"/>
      <c r="C158" s="1026"/>
      <c r="D158" s="1026"/>
      <c r="E158" s="1026"/>
      <c r="F158" s="1059"/>
      <c r="G158" s="1054"/>
      <c r="H158" s="1269"/>
      <c r="I158" s="1056"/>
      <c r="J158" s="1111"/>
      <c r="K158" s="1033"/>
    </row>
    <row r="159" spans="1:11">
      <c r="A159" s="1037"/>
      <c r="B159" s="1038"/>
      <c r="C159" s="1026"/>
      <c r="D159" s="1026"/>
      <c r="E159" s="1026"/>
      <c r="F159" s="1059"/>
      <c r="G159" s="1059"/>
      <c r="H159" s="1269"/>
      <c r="I159" s="1056"/>
      <c r="J159" s="1111"/>
      <c r="K159" s="1033"/>
    </row>
    <row r="160" spans="1:11">
      <c r="A160" s="1037"/>
      <c r="B160" s="1038"/>
      <c r="C160" s="1026"/>
      <c r="D160" s="1026"/>
      <c r="E160" s="1026"/>
      <c r="F160" s="1059"/>
      <c r="G160" s="1059"/>
      <c r="H160" s="1269"/>
      <c r="I160" s="1056"/>
      <c r="J160" s="1111"/>
      <c r="K160" s="1033"/>
    </row>
    <row r="161" spans="1:11">
      <c r="A161" s="1037"/>
      <c r="B161" s="1038"/>
      <c r="C161" s="1026"/>
      <c r="D161" s="1026"/>
      <c r="E161" s="1026"/>
      <c r="F161" s="1059"/>
      <c r="G161" s="1054"/>
      <c r="H161" s="1269"/>
      <c r="I161" s="1056"/>
      <c r="J161" s="1111"/>
      <c r="K161" s="1033"/>
    </row>
    <row r="162" spans="1:11">
      <c r="A162" s="1037"/>
      <c r="B162" s="1038"/>
      <c r="C162" s="1026"/>
      <c r="D162" s="1026"/>
      <c r="E162" s="1026"/>
      <c r="F162" s="1059"/>
      <c r="G162" s="1054"/>
      <c r="H162" s="1269"/>
      <c r="I162" s="1056"/>
      <c r="J162" s="1111"/>
      <c r="K162" s="1033"/>
    </row>
    <row r="163" spans="1:11">
      <c r="A163" s="1037"/>
      <c r="B163" s="1038"/>
      <c r="C163" s="1026"/>
      <c r="D163" s="1026"/>
      <c r="E163" s="1026"/>
      <c r="F163" s="1059"/>
      <c r="G163" s="1054"/>
      <c r="H163" s="1269"/>
      <c r="I163" s="1056"/>
      <c r="J163" s="1111"/>
      <c r="K163" s="1033"/>
    </row>
    <row r="164" spans="1:11" ht="15.75">
      <c r="A164" s="1037"/>
      <c r="B164" s="1038"/>
      <c r="C164" s="1026"/>
      <c r="D164" s="1026"/>
      <c r="E164" s="1026"/>
      <c r="F164" s="1059"/>
      <c r="G164" s="1054"/>
      <c r="H164" s="1269"/>
      <c r="I164" s="1056"/>
      <c r="J164" s="1111"/>
      <c r="K164" s="1116"/>
    </row>
    <row r="165" spans="1:11">
      <c r="A165" s="1037"/>
      <c r="B165" s="1038"/>
      <c r="C165" s="1026"/>
      <c r="D165" s="1026"/>
      <c r="E165" s="1026"/>
      <c r="F165" s="1059"/>
      <c r="G165" s="1054"/>
      <c r="H165" s="1269"/>
      <c r="I165" s="1056"/>
      <c r="J165" s="1111"/>
      <c r="K165" s="1033"/>
    </row>
    <row r="166" spans="1:11">
      <c r="A166" s="1037"/>
      <c r="B166" s="1038"/>
      <c r="C166" s="346"/>
      <c r="D166" s="1026"/>
      <c r="E166" s="1026"/>
      <c r="F166" s="1059"/>
      <c r="G166" s="1054"/>
      <c r="H166" s="1269"/>
      <c r="I166" s="1056"/>
      <c r="J166" s="1111"/>
      <c r="K166" s="1033"/>
    </row>
    <row r="167" spans="1:11">
      <c r="A167" s="1037"/>
      <c r="B167" s="1038"/>
      <c r="C167" s="1026"/>
      <c r="D167" s="1026"/>
      <c r="E167" s="1026"/>
      <c r="F167" s="1059"/>
      <c r="G167" s="1054"/>
      <c r="H167" s="1269"/>
      <c r="I167" s="1056"/>
      <c r="J167" s="1111"/>
      <c r="K167" s="1033"/>
    </row>
    <row r="168" spans="1:11">
      <c r="A168" s="1037"/>
      <c r="B168" s="1038"/>
      <c r="C168" s="1026"/>
      <c r="D168" s="1026"/>
      <c r="E168" s="1026"/>
      <c r="F168" s="1059"/>
      <c r="G168" s="1054"/>
      <c r="H168" s="1269"/>
      <c r="I168" s="1056"/>
      <c r="J168" s="1111"/>
      <c r="K168" s="1033"/>
    </row>
    <row r="169" spans="1:11">
      <c r="A169" s="1037"/>
      <c r="B169" s="1038"/>
      <c r="C169" s="1026"/>
      <c r="D169" s="1026"/>
      <c r="E169" s="1026"/>
      <c r="F169" s="1059"/>
      <c r="G169" s="1054"/>
      <c r="H169" s="1269"/>
      <c r="I169" s="1056"/>
      <c r="J169" s="1111"/>
      <c r="K169" s="1033"/>
    </row>
    <row r="170" spans="1:11">
      <c r="A170" s="1037"/>
      <c r="B170" s="1038"/>
      <c r="C170" s="1026"/>
      <c r="D170" s="1026"/>
      <c r="E170" s="1026"/>
      <c r="F170" s="1059"/>
      <c r="G170" s="1054"/>
      <c r="H170" s="1269"/>
      <c r="I170" s="1056"/>
      <c r="J170" s="1111"/>
      <c r="K170" s="1033"/>
    </row>
    <row r="171" spans="1:11">
      <c r="A171" s="1037"/>
      <c r="B171" s="1038"/>
      <c r="C171" s="1026"/>
      <c r="D171" s="1026"/>
      <c r="E171" s="1026"/>
      <c r="F171" s="1059"/>
      <c r="G171" s="1054"/>
      <c r="H171" s="1269"/>
      <c r="I171" s="1056"/>
      <c r="J171" s="1111"/>
      <c r="K171" s="1033"/>
    </row>
    <row r="172" spans="1:11">
      <c r="A172" s="1037"/>
      <c r="B172" s="1038"/>
      <c r="C172" s="1026"/>
      <c r="D172" s="1026"/>
      <c r="E172" s="1026"/>
      <c r="F172" s="1059"/>
      <c r="G172" s="1054"/>
      <c r="H172" s="1269"/>
      <c r="I172" s="1056"/>
      <c r="J172" s="1111"/>
      <c r="K172" s="1033"/>
    </row>
    <row r="173" spans="1:11">
      <c r="A173" s="1037"/>
      <c r="B173" s="1038"/>
      <c r="C173" s="1026"/>
      <c r="D173" s="1026"/>
      <c r="E173" s="1026"/>
      <c r="F173" s="1059"/>
      <c r="G173" s="1054"/>
      <c r="H173" s="1269"/>
      <c r="I173" s="1056"/>
      <c r="J173" s="1111"/>
      <c r="K173" s="1033"/>
    </row>
    <row r="174" spans="1:11">
      <c r="A174" s="1037"/>
      <c r="B174" s="1038"/>
      <c r="C174" s="1026"/>
      <c r="D174" s="1026"/>
      <c r="E174" s="1026"/>
      <c r="F174" s="1059"/>
      <c r="G174" s="1054"/>
      <c r="H174" s="1269"/>
      <c r="I174" s="1056"/>
      <c r="J174" s="1111"/>
      <c r="K174" s="1033"/>
    </row>
    <row r="175" spans="1:11">
      <c r="A175" s="1037"/>
      <c r="B175" s="1038"/>
      <c r="C175" s="1026"/>
      <c r="D175" s="1026"/>
      <c r="E175" s="1026"/>
      <c r="F175" s="1059"/>
      <c r="G175" s="1059"/>
      <c r="H175" s="1269"/>
      <c r="I175" s="1056"/>
      <c r="J175" s="1111"/>
      <c r="K175" s="1033"/>
    </row>
    <row r="176" spans="1:11">
      <c r="A176" s="1037"/>
      <c r="B176" s="1038"/>
      <c r="C176" s="1026"/>
      <c r="D176" s="1026"/>
      <c r="E176" s="1026"/>
      <c r="F176" s="1059"/>
      <c r="G176" s="1059"/>
      <c r="H176" s="1269"/>
      <c r="I176" s="1056"/>
      <c r="J176" s="1111"/>
      <c r="K176" s="1033"/>
    </row>
    <row r="177" spans="1:11">
      <c r="A177" s="1037"/>
      <c r="B177" s="1038"/>
      <c r="C177" s="1026"/>
      <c r="D177" s="1026"/>
      <c r="E177" s="1026"/>
      <c r="F177" s="1059"/>
      <c r="G177" s="1054"/>
      <c r="H177" s="1269"/>
      <c r="I177" s="1056"/>
      <c r="J177" s="1111"/>
      <c r="K177" s="1033"/>
    </row>
    <row r="178" spans="1:11">
      <c r="A178" s="1037"/>
      <c r="B178" s="1038"/>
      <c r="C178" s="1026"/>
      <c r="D178" s="1026"/>
      <c r="E178" s="1026"/>
      <c r="F178" s="1059"/>
      <c r="G178" s="1054"/>
      <c r="H178" s="1269"/>
      <c r="I178" s="1056"/>
      <c r="J178" s="1111"/>
      <c r="K178" s="1033"/>
    </row>
    <row r="179" spans="1:11">
      <c r="A179" s="1037"/>
      <c r="B179" s="1038"/>
      <c r="C179" s="1026"/>
      <c r="D179" s="1026"/>
      <c r="E179" s="1026"/>
      <c r="F179" s="1059"/>
      <c r="G179" s="1054"/>
      <c r="H179" s="1269"/>
      <c r="I179" s="1056"/>
      <c r="J179" s="1111"/>
      <c r="K179" s="1033"/>
    </row>
    <row r="180" spans="1:11" ht="15.75">
      <c r="A180" s="1037"/>
      <c r="B180" s="1038"/>
      <c r="C180" s="1026"/>
      <c r="D180" s="1026"/>
      <c r="E180" s="1026"/>
      <c r="F180" s="1059"/>
      <c r="G180" s="1059"/>
      <c r="H180" s="1269"/>
      <c r="I180" s="1056"/>
      <c r="J180" s="1111"/>
      <c r="K180" s="1116"/>
    </row>
    <row r="181" spans="1:11">
      <c r="A181" s="1037"/>
      <c r="B181" s="1038"/>
      <c r="C181" s="1026"/>
      <c r="D181" s="1026"/>
      <c r="E181" s="1026"/>
      <c r="F181" s="1059"/>
      <c r="G181" s="1059"/>
      <c r="H181" s="1269"/>
      <c r="I181" s="1056"/>
      <c r="J181" s="1111"/>
      <c r="K181" s="1033"/>
    </row>
    <row r="182" spans="1:11" ht="15.75">
      <c r="A182" s="1037"/>
      <c r="B182" s="1038"/>
      <c r="C182" s="1026"/>
      <c r="D182" s="1026"/>
      <c r="E182" s="1026"/>
      <c r="F182" s="1059"/>
      <c r="G182" s="1054"/>
      <c r="H182" s="1269"/>
      <c r="I182" s="1056"/>
      <c r="J182" s="1111"/>
      <c r="K182" s="1116"/>
    </row>
    <row r="183" spans="1:11" ht="15.75">
      <c r="A183" s="1037"/>
      <c r="B183" s="1038"/>
      <c r="C183" s="1026"/>
      <c r="D183" s="1026"/>
      <c r="E183" s="1026"/>
      <c r="F183" s="1059"/>
      <c r="G183" s="1054"/>
      <c r="H183" s="1269"/>
      <c r="I183" s="1056"/>
      <c r="J183" s="1111"/>
      <c r="K183" s="1116"/>
    </row>
    <row r="184" spans="1:11" ht="15.75">
      <c r="A184" s="1037"/>
      <c r="B184" s="1038"/>
      <c r="C184" s="1026"/>
      <c r="D184" s="1026"/>
      <c r="E184" s="1026"/>
      <c r="F184" s="1059"/>
      <c r="G184" s="1054"/>
      <c r="H184" s="1269"/>
      <c r="I184" s="1056"/>
      <c r="J184" s="1111"/>
      <c r="K184" s="1116"/>
    </row>
    <row r="185" spans="1:11" ht="15.75">
      <c r="A185" s="1037"/>
      <c r="B185" s="1038"/>
      <c r="C185" s="1026"/>
      <c r="D185" s="1026"/>
      <c r="E185" s="1026"/>
      <c r="F185" s="1059"/>
      <c r="G185" s="1054"/>
      <c r="H185" s="1269"/>
      <c r="I185" s="1056"/>
      <c r="J185" s="1111"/>
      <c r="K185" s="1116"/>
    </row>
    <row r="186" spans="1:11" ht="15.75">
      <c r="A186" s="1037"/>
      <c r="B186" s="1038"/>
      <c r="C186" s="1026"/>
      <c r="D186" s="1026"/>
      <c r="E186" s="1026"/>
      <c r="F186" s="1059"/>
      <c r="G186" s="1059"/>
      <c r="H186" s="1269"/>
      <c r="I186" s="1056"/>
      <c r="J186" s="1111"/>
      <c r="K186" s="1116"/>
    </row>
    <row r="187" spans="1:11">
      <c r="A187" s="1037"/>
      <c r="B187" s="1038"/>
      <c r="C187" s="1026"/>
      <c r="D187" s="1026"/>
      <c r="E187" s="1026"/>
      <c r="F187" s="1059"/>
      <c r="G187" s="1059"/>
      <c r="H187" s="1269"/>
      <c r="I187" s="1056"/>
      <c r="J187" s="1111"/>
      <c r="K187" s="1033"/>
    </row>
    <row r="188" spans="1:11" ht="15.75">
      <c r="A188" s="1037"/>
      <c r="B188" s="1038"/>
      <c r="C188" s="1026"/>
      <c r="D188" s="1026"/>
      <c r="E188" s="1026"/>
      <c r="F188" s="1059"/>
      <c r="G188" s="1054"/>
      <c r="H188" s="1269"/>
      <c r="I188" s="1056"/>
      <c r="J188" s="1111"/>
      <c r="K188" s="1116"/>
    </row>
    <row r="189" spans="1:11">
      <c r="A189" s="1037"/>
      <c r="B189" s="1038"/>
      <c r="C189" s="1026"/>
      <c r="D189" s="1026"/>
      <c r="E189" s="1026"/>
      <c r="F189" s="1059"/>
      <c r="G189" s="1059"/>
      <c r="H189" s="1269"/>
      <c r="I189" s="1056"/>
      <c r="J189" s="1111"/>
      <c r="K189" s="1033"/>
    </row>
    <row r="190" spans="1:11">
      <c r="A190" s="1037"/>
      <c r="B190" s="1038"/>
      <c r="C190" s="1026"/>
      <c r="D190" s="1026"/>
      <c r="E190" s="1026"/>
      <c r="F190" s="1059"/>
      <c r="G190" s="1059"/>
      <c r="H190" s="1269"/>
      <c r="I190" s="1056"/>
      <c r="J190" s="1111"/>
      <c r="K190" s="1033"/>
    </row>
    <row r="191" spans="1:11">
      <c r="A191" s="1037"/>
      <c r="B191" s="1038"/>
      <c r="C191" s="1026"/>
      <c r="D191" s="1026"/>
      <c r="E191" s="1026"/>
      <c r="F191" s="1059"/>
      <c r="G191" s="1059"/>
      <c r="H191" s="1269"/>
      <c r="I191" s="1056"/>
      <c r="J191" s="1111"/>
      <c r="K191" s="1033"/>
    </row>
    <row r="192" spans="1:11">
      <c r="A192" s="1037"/>
      <c r="B192" s="1038"/>
      <c r="C192" s="1026"/>
      <c r="D192" s="1026"/>
      <c r="E192" s="1026"/>
      <c r="F192" s="1059"/>
      <c r="G192" s="1059"/>
      <c r="H192" s="1269"/>
      <c r="I192" s="1056"/>
      <c r="J192" s="1111"/>
      <c r="K192" s="1033"/>
    </row>
    <row r="193" spans="1:11">
      <c r="A193" s="1037"/>
      <c r="B193" s="1038"/>
      <c r="C193" s="1026"/>
      <c r="D193" s="1026"/>
      <c r="E193" s="1026"/>
      <c r="F193" s="1059"/>
      <c r="G193" s="1054"/>
      <c r="H193" s="1269"/>
      <c r="I193" s="1056"/>
      <c r="J193" s="1111"/>
      <c r="K193" s="1033"/>
    </row>
    <row r="194" spans="1:11">
      <c r="A194" s="1037"/>
      <c r="B194" s="1038"/>
      <c r="C194" s="1026"/>
      <c r="D194" s="1026"/>
      <c r="E194" s="1026"/>
      <c r="F194" s="1059"/>
      <c r="G194" s="1054"/>
      <c r="H194" s="1269"/>
      <c r="I194" s="1056"/>
      <c r="J194" s="1111"/>
      <c r="K194" s="1033"/>
    </row>
    <row r="195" spans="1:11">
      <c r="A195" s="1037"/>
      <c r="B195" s="1038"/>
      <c r="C195" s="1026"/>
      <c r="D195" s="1026"/>
      <c r="E195" s="1026"/>
      <c r="F195" s="1059"/>
      <c r="G195" s="1054"/>
      <c r="H195" s="1269"/>
      <c r="I195" s="1056"/>
      <c r="J195" s="1111"/>
      <c r="K195" s="1033"/>
    </row>
    <row r="196" spans="1:11">
      <c r="A196" s="1037"/>
      <c r="B196" s="1038"/>
      <c r="C196" s="1026"/>
      <c r="D196" s="1026"/>
      <c r="E196" s="1026"/>
      <c r="F196" s="1059"/>
      <c r="G196" s="1054"/>
      <c r="H196" s="1269"/>
      <c r="I196" s="1056"/>
      <c r="J196" s="1111"/>
      <c r="K196" s="1033"/>
    </row>
    <row r="197" spans="1:11">
      <c r="A197" s="1037"/>
      <c r="B197" s="1038"/>
      <c r="C197" s="1026"/>
      <c r="D197" s="1026"/>
      <c r="E197" s="1026"/>
      <c r="F197" s="1059"/>
      <c r="G197" s="1054"/>
      <c r="H197" s="1269"/>
      <c r="I197" s="1056"/>
      <c r="J197" s="1111"/>
      <c r="K197" s="1033"/>
    </row>
    <row r="198" spans="1:11">
      <c r="A198" s="1037"/>
      <c r="B198" s="1038"/>
      <c r="C198" s="1026"/>
      <c r="D198" s="1026"/>
      <c r="E198" s="1026"/>
      <c r="F198" s="1059"/>
      <c r="G198" s="1054"/>
      <c r="H198" s="1269"/>
      <c r="I198" s="1056"/>
      <c r="J198" s="1111"/>
      <c r="K198" s="1033"/>
    </row>
    <row r="199" spans="1:11">
      <c r="A199" s="1037"/>
      <c r="B199" s="1038"/>
      <c r="C199" s="1026"/>
      <c r="D199" s="1026"/>
      <c r="E199" s="1026"/>
      <c r="F199" s="1059"/>
      <c r="G199" s="1054"/>
      <c r="H199" s="1269"/>
      <c r="I199" s="1056"/>
      <c r="J199" s="1111"/>
      <c r="K199" s="1033"/>
    </row>
    <row r="200" spans="1:11">
      <c r="A200" s="1037"/>
      <c r="B200" s="1038"/>
      <c r="C200" s="1026"/>
      <c r="D200" s="1026"/>
      <c r="E200" s="1026"/>
      <c r="F200" s="1059"/>
      <c r="G200" s="1059"/>
      <c r="H200" s="1269"/>
      <c r="I200" s="1056"/>
      <c r="J200" s="1111"/>
      <c r="K200" s="1033"/>
    </row>
    <row r="201" spans="1:11">
      <c r="A201" s="1037"/>
      <c r="B201" s="1038"/>
      <c r="C201" s="1026"/>
      <c r="D201" s="1026"/>
      <c r="E201" s="1026"/>
      <c r="F201" s="1059"/>
      <c r="G201" s="1059"/>
      <c r="H201" s="1269"/>
      <c r="I201" s="1056"/>
      <c r="J201" s="1111"/>
      <c r="K201" s="1033"/>
    </row>
    <row r="202" spans="1:11" ht="15.75">
      <c r="A202" s="1037"/>
      <c r="B202" s="1038"/>
      <c r="C202" s="1026"/>
      <c r="D202" s="1026"/>
      <c r="E202" s="1026"/>
      <c r="F202" s="1059"/>
      <c r="G202" s="1054"/>
      <c r="H202" s="1269"/>
      <c r="I202" s="1056"/>
      <c r="J202" s="1111"/>
      <c r="K202" s="1116"/>
    </row>
    <row r="203" spans="1:11">
      <c r="A203" s="1037"/>
      <c r="B203" s="1038"/>
      <c r="C203" s="1026"/>
      <c r="D203" s="1026"/>
      <c r="E203" s="1026"/>
      <c r="F203" s="1059"/>
      <c r="G203" s="1054"/>
      <c r="H203" s="1269"/>
      <c r="I203" s="1056"/>
      <c r="J203" s="1111"/>
      <c r="K203" s="1033"/>
    </row>
    <row r="204" spans="1:11">
      <c r="A204" s="1037"/>
      <c r="B204" s="1038"/>
      <c r="C204" s="1025"/>
      <c r="D204" s="1025"/>
      <c r="E204" s="1025"/>
      <c r="F204" s="1061"/>
      <c r="G204" s="1054"/>
      <c r="H204" s="1269"/>
      <c r="I204" s="1056"/>
      <c r="J204" s="1111"/>
      <c r="K204" s="1033"/>
    </row>
    <row r="205" spans="1:11">
      <c r="A205" s="1037"/>
      <c r="B205" s="1038"/>
      <c r="C205" s="1026"/>
      <c r="D205" s="1026"/>
      <c r="E205" s="1026"/>
      <c r="F205" s="1061"/>
      <c r="G205" s="1054"/>
      <c r="H205" s="1269"/>
      <c r="I205" s="1056"/>
      <c r="J205" s="1111"/>
      <c r="K205" s="1033"/>
    </row>
    <row r="206" spans="1:11" ht="15.75">
      <c r="A206" s="1037"/>
      <c r="B206" s="1038"/>
      <c r="C206" s="1026"/>
      <c r="D206" s="1026"/>
      <c r="E206" s="1026"/>
      <c r="F206" s="1059"/>
      <c r="G206" s="1059"/>
      <c r="H206" s="1269"/>
      <c r="I206" s="1056"/>
      <c r="J206" s="1111"/>
      <c r="K206" s="1116"/>
    </row>
    <row r="207" spans="1:11">
      <c r="A207" s="1037"/>
      <c r="B207" s="1038"/>
      <c r="C207" s="1026"/>
      <c r="D207" s="1026"/>
      <c r="E207" s="1026"/>
      <c r="F207" s="1059"/>
      <c r="G207" s="1059"/>
      <c r="H207" s="1269"/>
      <c r="I207" s="1056"/>
      <c r="J207" s="1111"/>
      <c r="K207" s="1033"/>
    </row>
    <row r="208" spans="1:11" ht="15.75">
      <c r="A208" s="1037"/>
      <c r="B208" s="1038"/>
      <c r="C208" s="1026"/>
      <c r="D208" s="1026"/>
      <c r="E208" s="1026"/>
      <c r="F208" s="1059"/>
      <c r="G208" s="1054"/>
      <c r="H208" s="1269"/>
      <c r="I208" s="1056"/>
      <c r="J208" s="1111"/>
      <c r="K208" s="1116"/>
    </row>
    <row r="209" spans="1:11" ht="15.75">
      <c r="A209" s="1037"/>
      <c r="B209" s="1038"/>
      <c r="C209" s="1026"/>
      <c r="D209" s="1026"/>
      <c r="E209" s="1026"/>
      <c r="F209" s="1059"/>
      <c r="G209" s="1054"/>
      <c r="H209" s="1269"/>
      <c r="I209" s="1056"/>
      <c r="J209" s="1111"/>
      <c r="K209" s="1116"/>
    </row>
    <row r="210" spans="1:11" ht="15.75">
      <c r="A210" s="1037"/>
      <c r="B210" s="1038"/>
      <c r="C210" s="1026"/>
      <c r="D210" s="1026"/>
      <c r="E210" s="1026"/>
      <c r="F210" s="1059"/>
      <c r="G210" s="1054"/>
      <c r="H210" s="1269"/>
      <c r="I210" s="1056"/>
      <c r="J210" s="1111"/>
      <c r="K210" s="1116"/>
    </row>
    <row r="211" spans="1:11" ht="15.75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116"/>
    </row>
    <row r="212" spans="1:11" ht="15.75">
      <c r="A212" s="1037"/>
      <c r="B212" s="1038"/>
      <c r="C212" s="1026"/>
      <c r="D212" s="1026"/>
      <c r="E212" s="1026"/>
      <c r="F212" s="1059"/>
      <c r="G212" s="1054"/>
      <c r="H212" s="1269"/>
      <c r="I212" s="1056"/>
      <c r="J212" s="1111"/>
      <c r="K212" s="1116"/>
    </row>
    <row r="213" spans="1:11" ht="15.75">
      <c r="A213" s="1037"/>
      <c r="B213" s="1038"/>
      <c r="C213" s="1026"/>
      <c r="D213" s="1026"/>
      <c r="E213" s="1026"/>
      <c r="F213" s="1059"/>
      <c r="G213" s="1054"/>
      <c r="H213" s="1269"/>
      <c r="I213" s="1056"/>
      <c r="J213" s="1111"/>
      <c r="K213" s="1116"/>
    </row>
    <row r="214" spans="1:11" ht="15.75">
      <c r="A214" s="1037"/>
      <c r="B214" s="1038"/>
      <c r="C214" s="1026"/>
      <c r="D214" s="1026"/>
      <c r="E214" s="1026"/>
      <c r="F214" s="1059"/>
      <c r="G214" s="1054"/>
      <c r="H214" s="1269"/>
      <c r="I214" s="1056"/>
      <c r="J214" s="1111"/>
      <c r="K214" s="1116"/>
    </row>
    <row r="215" spans="1:11" ht="15.75">
      <c r="A215" s="1037"/>
      <c r="B215" s="1038"/>
      <c r="C215" s="1026"/>
      <c r="D215" s="1026"/>
      <c r="E215" s="1026"/>
      <c r="F215" s="1059"/>
      <c r="G215" s="1054"/>
      <c r="H215" s="1269"/>
      <c r="I215" s="1056"/>
      <c r="J215" s="1111"/>
      <c r="K215" s="1116"/>
    </row>
    <row r="216" spans="1:11" ht="15.75">
      <c r="A216" s="1037"/>
      <c r="B216" s="1038"/>
      <c r="C216" s="1026"/>
      <c r="D216" s="1026"/>
      <c r="E216" s="1032"/>
      <c r="F216" s="1059"/>
      <c r="G216" s="1054"/>
      <c r="H216" s="1269"/>
      <c r="I216" s="1056"/>
      <c r="J216" s="1111"/>
      <c r="K216" s="1116"/>
    </row>
    <row r="217" spans="1:11" ht="15.75">
      <c r="A217" s="1037"/>
      <c r="B217" s="1038"/>
      <c r="C217" s="1026"/>
      <c r="D217" s="1026"/>
      <c r="E217" s="1026"/>
      <c r="F217" s="1059"/>
      <c r="G217" s="1054"/>
      <c r="H217" s="1269"/>
      <c r="I217" s="1056"/>
      <c r="J217" s="1111"/>
      <c r="K217" s="1116"/>
    </row>
    <row r="218" spans="1:11" ht="15.75">
      <c r="A218" s="1037"/>
      <c r="B218" s="1038"/>
      <c r="C218" s="1026"/>
      <c r="D218" s="1026"/>
      <c r="E218" s="1026"/>
      <c r="F218" s="1059"/>
      <c r="G218" s="1054"/>
      <c r="H218" s="1269"/>
      <c r="I218" s="1056"/>
      <c r="J218" s="1111"/>
      <c r="K218" s="1116"/>
    </row>
    <row r="219" spans="1:11" ht="15.75">
      <c r="A219" s="1037"/>
      <c r="B219" s="1038"/>
      <c r="C219" s="1026"/>
      <c r="D219" s="1026"/>
      <c r="E219" s="1026"/>
      <c r="F219" s="1059"/>
      <c r="G219" s="1054"/>
      <c r="H219" s="1269"/>
      <c r="I219" s="1056"/>
      <c r="J219" s="1111"/>
      <c r="K219" s="1116"/>
    </row>
    <row r="220" spans="1:11" ht="15.75">
      <c r="A220" s="1037"/>
      <c r="B220" s="1038"/>
      <c r="C220" s="1026"/>
      <c r="D220" s="1026"/>
      <c r="E220" s="1026"/>
      <c r="F220" s="1059"/>
      <c r="G220" s="1054"/>
      <c r="H220" s="1269"/>
      <c r="I220" s="1056"/>
      <c r="J220" s="1111"/>
      <c r="K220" s="1116"/>
    </row>
    <row r="221" spans="1:11">
      <c r="A221" s="1037"/>
      <c r="B221" s="1038"/>
      <c r="C221" s="1026"/>
      <c r="D221" s="1026"/>
      <c r="E221" s="1026"/>
      <c r="F221" s="1059"/>
      <c r="G221" s="1054"/>
      <c r="H221" s="1269"/>
      <c r="I221" s="1056"/>
      <c r="J221" s="1111"/>
      <c r="K221" s="1033"/>
    </row>
    <row r="222" spans="1:11">
      <c r="A222" s="1039"/>
      <c r="B222" s="1039"/>
      <c r="C222" s="1025"/>
      <c r="D222" s="1025"/>
      <c r="E222" s="1025"/>
      <c r="F222" s="1061"/>
      <c r="G222" s="1062"/>
      <c r="H222" s="1269"/>
      <c r="I222" s="1056"/>
      <c r="J222" s="1111"/>
      <c r="K222" s="1033"/>
    </row>
    <row r="223" spans="1:11">
      <c r="A223" s="1039"/>
      <c r="B223" s="1039"/>
      <c r="C223" s="1025"/>
      <c r="D223" s="1025"/>
      <c r="E223" s="1025"/>
      <c r="F223" s="1061"/>
      <c r="G223" s="1062"/>
      <c r="H223" s="1269"/>
      <c r="I223" s="1056"/>
      <c r="J223" s="1111"/>
      <c r="K223" s="1033"/>
    </row>
    <row r="224" spans="1:11">
      <c r="A224" s="1039"/>
      <c r="B224" s="1039"/>
      <c r="C224" s="1025"/>
      <c r="D224" s="1025"/>
      <c r="E224" s="1025"/>
      <c r="F224" s="1061"/>
      <c r="G224" s="1062"/>
      <c r="H224" s="1269"/>
      <c r="I224" s="1056"/>
      <c r="J224" s="1111"/>
      <c r="K224" s="1033"/>
    </row>
    <row r="225" spans="1:11">
      <c r="A225" s="1039"/>
      <c r="B225" s="1039"/>
      <c r="C225" s="1025"/>
      <c r="D225" s="1025"/>
      <c r="E225" s="1025"/>
      <c r="F225" s="1061"/>
      <c r="G225" s="1062"/>
      <c r="H225" s="1269"/>
      <c r="I225" s="1056"/>
      <c r="J225" s="1111"/>
      <c r="K225" s="1033"/>
    </row>
    <row r="226" spans="1:11">
      <c r="A226" s="1039"/>
      <c r="B226" s="1039"/>
      <c r="C226" s="1025"/>
      <c r="D226" s="1025"/>
      <c r="E226" s="1025"/>
      <c r="F226" s="1061"/>
      <c r="G226" s="1062"/>
      <c r="H226" s="1269"/>
      <c r="I226" s="1056"/>
      <c r="J226" s="1111"/>
      <c r="K226" s="1033"/>
    </row>
    <row r="227" spans="1:11">
      <c r="A227" s="1039"/>
      <c r="B227" s="1039"/>
      <c r="C227" s="1025"/>
      <c r="D227" s="1025"/>
      <c r="E227" s="1025"/>
      <c r="F227" s="1061"/>
      <c r="G227" s="1062"/>
      <c r="H227" s="1269"/>
      <c r="I227" s="1056"/>
      <c r="J227" s="1111"/>
      <c r="K227" s="1033"/>
    </row>
    <row r="228" spans="1:11">
      <c r="A228" s="1039"/>
      <c r="B228" s="1039"/>
      <c r="C228" s="1025"/>
      <c r="D228" s="1025"/>
      <c r="E228" s="1025"/>
      <c r="F228" s="1061"/>
      <c r="G228" s="1062"/>
      <c r="H228" s="1269"/>
      <c r="I228" s="1056"/>
      <c r="J228" s="1111"/>
      <c r="K228" s="1033"/>
    </row>
    <row r="229" spans="1:11">
      <c r="A229" s="1039"/>
      <c r="B229" s="1039"/>
      <c r="C229" s="1025"/>
      <c r="D229" s="1025"/>
      <c r="E229" s="1025"/>
      <c r="F229" s="1061"/>
      <c r="G229" s="1062"/>
      <c r="H229" s="1269"/>
      <c r="I229" s="1056"/>
      <c r="J229" s="1111"/>
      <c r="K229" s="1033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1033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1033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1033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1033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1033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1033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1033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1033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1033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1033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1033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1033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1033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1033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1033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1033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1033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1033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1033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1033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1033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1033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1033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1033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1033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1033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1033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1033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1033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1033"/>
    </row>
    <row r="260" spans="1:11">
      <c r="A260" s="1039"/>
      <c r="B260" s="1039"/>
      <c r="C260" s="1025"/>
      <c r="D260" s="1025"/>
      <c r="E260" s="1025"/>
      <c r="F260" s="1061"/>
      <c r="G260" s="1062"/>
      <c r="H260" s="1269"/>
      <c r="I260" s="1056"/>
      <c r="J260" s="1111"/>
      <c r="K260" s="1033"/>
    </row>
    <row r="261" spans="1:11">
      <c r="A261" s="1039"/>
      <c r="B261" s="1039"/>
      <c r="C261" s="1025"/>
      <c r="D261" s="1025"/>
      <c r="E261" s="1025"/>
      <c r="F261" s="1061"/>
      <c r="G261" s="1062"/>
      <c r="H261" s="1269"/>
      <c r="I261" s="1056"/>
      <c r="J261" s="1111"/>
      <c r="K261" s="1033"/>
    </row>
    <row r="262" spans="1:11">
      <c r="A262" s="1039"/>
      <c r="B262" s="1039"/>
      <c r="C262" s="1025"/>
      <c r="D262" s="1025"/>
      <c r="E262" s="1025"/>
      <c r="F262" s="1061"/>
      <c r="G262" s="1062"/>
      <c r="H262" s="1269"/>
      <c r="I262" s="1056"/>
      <c r="J262" s="1111"/>
      <c r="K262" s="1033"/>
    </row>
    <row r="263" spans="1:11">
      <c r="A263" s="1039"/>
      <c r="B263" s="1039"/>
      <c r="C263" s="1025"/>
      <c r="D263" s="1025"/>
      <c r="E263" s="1025"/>
      <c r="F263" s="1061"/>
      <c r="G263" s="1062"/>
      <c r="H263" s="1269"/>
      <c r="I263" s="1056"/>
      <c r="J263" s="1111"/>
      <c r="K263" s="1033"/>
    </row>
    <row r="264" spans="1:11">
      <c r="A264" s="1039"/>
      <c r="B264" s="1039"/>
      <c r="C264" s="1025"/>
      <c r="D264" s="1025"/>
      <c r="E264" s="1025"/>
      <c r="F264" s="1061"/>
      <c r="G264" s="1062"/>
      <c r="H264" s="1269"/>
      <c r="I264" s="1056"/>
      <c r="J264" s="1111"/>
      <c r="K264" s="1033"/>
    </row>
    <row r="265" spans="1:11">
      <c r="A265" s="1039"/>
      <c r="B265" s="1039"/>
      <c r="C265" s="1025"/>
      <c r="D265" s="1025"/>
      <c r="E265" s="1025"/>
      <c r="F265" s="1061"/>
      <c r="G265" s="1062"/>
      <c r="H265" s="1269"/>
      <c r="I265" s="1056"/>
      <c r="J265" s="1111"/>
      <c r="K265" s="1033"/>
    </row>
    <row r="266" spans="1:11">
      <c r="A266" s="1039"/>
      <c r="B266" s="1039"/>
      <c r="C266" s="1025"/>
      <c r="D266" s="1025"/>
      <c r="E266" s="1025"/>
      <c r="F266" s="1061"/>
      <c r="G266" s="1062"/>
      <c r="H266" s="1269"/>
      <c r="I266" s="1056"/>
      <c r="J266" s="1111"/>
      <c r="K266" s="1033"/>
    </row>
    <row r="267" spans="1:11">
      <c r="A267" s="1039"/>
      <c r="B267" s="1039"/>
      <c r="C267" s="1025"/>
      <c r="D267" s="1025"/>
      <c r="E267" s="1025"/>
      <c r="F267" s="1061"/>
      <c r="G267" s="1062"/>
      <c r="H267" s="1269"/>
      <c r="I267" s="1056"/>
      <c r="J267" s="1111"/>
      <c r="K267" s="1033"/>
    </row>
    <row r="268" spans="1:11">
      <c r="A268" s="1039"/>
      <c r="B268" s="1039"/>
      <c r="C268" s="1025"/>
      <c r="D268" s="1025"/>
      <c r="E268" s="1025"/>
      <c r="F268" s="1061"/>
      <c r="G268" s="1062"/>
      <c r="H268" s="1269"/>
      <c r="I268" s="1056"/>
      <c r="J268" s="1111"/>
      <c r="K268" s="1033"/>
    </row>
    <row r="269" spans="1:11">
      <c r="A269" s="1033"/>
      <c r="B269" s="1033"/>
      <c r="C269" s="1033"/>
      <c r="D269" s="1033"/>
      <c r="E269" s="1033"/>
      <c r="F269" s="1033"/>
      <c r="G269" s="1033"/>
      <c r="H269" s="1269"/>
      <c r="I269" s="1056"/>
      <c r="J269" s="1111"/>
      <c r="K269" s="1033"/>
    </row>
    <row r="270" spans="1:11">
      <c r="A270" s="1033"/>
      <c r="B270" s="1033"/>
      <c r="C270" s="1033"/>
      <c r="D270" s="1033"/>
      <c r="E270" s="1033"/>
      <c r="F270" s="1033"/>
      <c r="G270" s="1033"/>
      <c r="H270" s="1269"/>
      <c r="I270" s="1056"/>
      <c r="J270" s="1111"/>
      <c r="K270" s="1033"/>
    </row>
    <row r="271" spans="1:11">
      <c r="A271" s="1033"/>
      <c r="B271" s="1033"/>
      <c r="C271" s="1033"/>
      <c r="D271" s="1033"/>
      <c r="E271" s="1033"/>
      <c r="F271" s="1033"/>
      <c r="G271" s="1033"/>
      <c r="H271" s="1269"/>
      <c r="I271" s="1056"/>
      <c r="J271" s="1111"/>
      <c r="K271" s="1033"/>
    </row>
    <row r="272" spans="1:11">
      <c r="A272" s="1033"/>
      <c r="B272" s="1033"/>
      <c r="C272" s="1033"/>
      <c r="D272" s="1033"/>
      <c r="E272" s="1033"/>
      <c r="F272" s="1033"/>
      <c r="G272" s="1033"/>
      <c r="H272" s="1269"/>
      <c r="I272" s="1056"/>
      <c r="J272" s="1111"/>
      <c r="K272" s="1033"/>
    </row>
    <row r="273" spans="1:11">
      <c r="A273" s="1033"/>
      <c r="B273" s="1033"/>
      <c r="C273" s="1033"/>
      <c r="D273" s="1033"/>
      <c r="E273" s="1033"/>
      <c r="F273" s="1033"/>
      <c r="G273" s="1033"/>
      <c r="H273" s="1269"/>
      <c r="I273" s="1056"/>
      <c r="J273" s="1111"/>
      <c r="K273" s="1033"/>
    </row>
    <row r="274" spans="1:11">
      <c r="A274" s="1033"/>
      <c r="B274" s="1033"/>
      <c r="C274" s="1033"/>
      <c r="D274" s="1033"/>
      <c r="E274" s="1033"/>
      <c r="F274" s="1033"/>
      <c r="G274" s="1033"/>
      <c r="H274" s="1269"/>
      <c r="I274" s="1056"/>
      <c r="J274" s="1111"/>
      <c r="K274" s="1033"/>
    </row>
    <row r="275" spans="1:11">
      <c r="A275" s="1033"/>
      <c r="B275" s="1033"/>
      <c r="C275" s="1033"/>
      <c r="D275" s="1033"/>
      <c r="E275" s="1033"/>
      <c r="F275" s="1033"/>
      <c r="G275" s="1033"/>
      <c r="H275" s="1269"/>
      <c r="I275" s="1056"/>
      <c r="J275" s="1111"/>
      <c r="K275" s="1033"/>
    </row>
    <row r="276" spans="1:11">
      <c r="A276" s="1033"/>
      <c r="B276" s="1033"/>
      <c r="C276" s="1033"/>
      <c r="D276" s="1033"/>
      <c r="E276" s="1033"/>
      <c r="F276" s="1033"/>
      <c r="G276" s="1033"/>
      <c r="H276" s="1269"/>
      <c r="I276" s="1056"/>
      <c r="J276" s="1111"/>
      <c r="K276" s="1033"/>
    </row>
    <row r="277" spans="1:11">
      <c r="A277" s="1033"/>
      <c r="B277" s="1033"/>
      <c r="C277" s="1033"/>
      <c r="D277" s="1033"/>
      <c r="E277" s="1033"/>
      <c r="F277" s="1033"/>
      <c r="G277" s="1033"/>
      <c r="H277" s="1269"/>
      <c r="I277" s="1056"/>
      <c r="J277" s="1111"/>
      <c r="K277" s="1033"/>
    </row>
    <row r="278" spans="1:11">
      <c r="A278" s="1033"/>
      <c r="B278" s="1033"/>
      <c r="C278" s="1033"/>
      <c r="D278" s="1033"/>
      <c r="E278" s="1033"/>
      <c r="F278" s="1033"/>
      <c r="G278" s="1033"/>
      <c r="H278" s="1269"/>
      <c r="I278" s="1056"/>
      <c r="J278" s="1111"/>
      <c r="K278" s="1033"/>
    </row>
    <row r="279" spans="1:11">
      <c r="A279" s="1033"/>
      <c r="B279" s="1033"/>
      <c r="C279" s="1033"/>
      <c r="D279" s="1033"/>
      <c r="E279" s="1033"/>
      <c r="F279" s="1033"/>
      <c r="G279" s="1033"/>
      <c r="H279" s="1269"/>
      <c r="I279" s="1056"/>
      <c r="J279" s="1111"/>
      <c r="K279" s="1033"/>
    </row>
    <row r="280" spans="1:11">
      <c r="A280" s="1033"/>
      <c r="B280" s="1033"/>
      <c r="C280" s="1033"/>
      <c r="D280" s="1033"/>
      <c r="E280" s="1033"/>
      <c r="F280" s="1033"/>
      <c r="G280" s="1033"/>
      <c r="H280" s="1269"/>
      <c r="I280" s="1056"/>
      <c r="J280" s="1111"/>
      <c r="K280" s="1033"/>
    </row>
    <row r="281" spans="1:11">
      <c r="A281" s="1033"/>
      <c r="B281" s="1033"/>
      <c r="C281" s="1033"/>
      <c r="D281" s="1033"/>
      <c r="E281" s="1033"/>
      <c r="F281" s="1033"/>
      <c r="G281" s="1033"/>
      <c r="H281" s="1269"/>
      <c r="I281" s="1056"/>
      <c r="J281" s="1111"/>
      <c r="K281" s="1033"/>
    </row>
    <row r="282" spans="1:11">
      <c r="A282" s="1033"/>
      <c r="B282" s="1033"/>
      <c r="C282" s="1033"/>
      <c r="D282" s="1033"/>
      <c r="E282" s="1033"/>
      <c r="F282" s="1033"/>
      <c r="G282" s="1033"/>
      <c r="H282" s="1269"/>
      <c r="I282" s="1056"/>
      <c r="J282" s="1111"/>
      <c r="K282" s="1033"/>
    </row>
    <row r="283" spans="1:11" ht="15.75" thickBot="1">
      <c r="A283" s="1037"/>
      <c r="B283" s="1038"/>
      <c r="C283" s="1026"/>
      <c r="D283" s="1026"/>
      <c r="E283" s="1026"/>
      <c r="F283" s="1059"/>
      <c r="G283" s="1054"/>
      <c r="H283" s="1269"/>
      <c r="I283" s="1056"/>
      <c r="J283" s="1111"/>
      <c r="K283" s="1033"/>
    </row>
    <row r="284" spans="1:11" ht="20.25" thickBot="1">
      <c r="A284" s="1158"/>
      <c r="B284" s="1159"/>
      <c r="C284" s="1159"/>
      <c r="D284" s="1159"/>
      <c r="E284" s="1159"/>
      <c r="F284" s="1160">
        <f>SUM(F163:F171,F173:F283)</f>
        <v>0</v>
      </c>
      <c r="G284" s="1159"/>
      <c r="H284" s="1293">
        <f>SUM(H63:H283)</f>
        <v>0</v>
      </c>
      <c r="I284" s="1160">
        <f>SUM(I163:I283)</f>
        <v>0</v>
      </c>
      <c r="J284" s="1193"/>
      <c r="K284" s="1116"/>
    </row>
  </sheetData>
  <autoFilter ref="A1:K47" xr:uid="{0EA2FD95-28D0-409E-8237-9AF25CBAF1A2}">
    <sortState xmlns:xlrd2="http://schemas.microsoft.com/office/spreadsheetml/2017/richdata2" ref="A2:K56">
      <sortCondition ref="J1:J47"/>
    </sortState>
  </autoFilter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7D65-70A4-490E-85D9-A3C9284604AF}">
  <dimension ref="A1:K284"/>
  <sheetViews>
    <sheetView zoomScale="85" zoomScaleNormal="85" workbookViewId="0">
      <pane ySplit="1" topLeftCell="A2" activePane="bottomLeft" state="frozen"/>
      <selection pane="bottomLeft" activeCell="C39" sqref="C39"/>
    </sheetView>
  </sheetViews>
  <sheetFormatPr defaultColWidth="9.140625" defaultRowHeight="15"/>
  <cols>
    <col min="1" max="1" width="15.140625" style="1190" bestFit="1" customWidth="1"/>
    <col min="2" max="2" width="13.5703125" style="1190" customWidth="1"/>
    <col min="3" max="3" width="44.5703125" style="1190" bestFit="1" customWidth="1"/>
    <col min="4" max="4" width="22.28515625" style="1190" bestFit="1" customWidth="1"/>
    <col min="5" max="5" width="11.5703125" style="1190" customWidth="1"/>
    <col min="6" max="6" width="22" style="1190" bestFit="1" customWidth="1"/>
    <col min="7" max="7" width="15" style="1190" customWidth="1"/>
    <col min="8" max="8" width="24.85546875" style="1190" bestFit="1" customWidth="1"/>
    <col min="9" max="9" width="23.28515625" style="1190" bestFit="1" customWidth="1"/>
    <col min="10" max="10" width="13.140625" style="1190" customWidth="1"/>
    <col min="11" max="11" width="16.5703125" style="1190" customWidth="1"/>
    <col min="12" max="16384" width="9.140625" style="1190"/>
  </cols>
  <sheetData>
    <row r="1" spans="1:11" ht="14.25" customHeight="1">
      <c r="A1" s="1235" t="s">
        <v>2519</v>
      </c>
      <c r="B1" s="1236" t="s">
        <v>2</v>
      </c>
      <c r="C1" s="1236" t="s">
        <v>3</v>
      </c>
      <c r="D1" s="1236" t="s">
        <v>4</v>
      </c>
      <c r="E1" s="1236" t="s">
        <v>5</v>
      </c>
      <c r="F1" s="1237" t="s">
        <v>644</v>
      </c>
      <c r="G1" s="1238" t="s">
        <v>555</v>
      </c>
      <c r="H1" s="1239" t="s">
        <v>7</v>
      </c>
      <c r="I1" s="1240" t="s">
        <v>307</v>
      </c>
      <c r="J1" s="1238" t="s">
        <v>370</v>
      </c>
      <c r="K1" s="1308" t="s">
        <v>442</v>
      </c>
    </row>
    <row r="2" spans="1:11" s="1222" customFormat="1" ht="15.75">
      <c r="A2" s="1041">
        <v>45601</v>
      </c>
      <c r="B2" s="1041">
        <v>45966</v>
      </c>
      <c r="C2" s="1027" t="s">
        <v>2718</v>
      </c>
      <c r="D2" s="1027" t="s">
        <v>14</v>
      </c>
      <c r="E2" s="1027" t="s">
        <v>19</v>
      </c>
      <c r="F2" s="1065">
        <v>6100.16</v>
      </c>
      <c r="G2" s="1066">
        <v>0.1</v>
      </c>
      <c r="H2" s="1067">
        <v>561.21</v>
      </c>
      <c r="I2" s="1243">
        <v>56.12</v>
      </c>
      <c r="J2" s="1027" t="s">
        <v>1470</v>
      </c>
      <c r="K2" s="1117" t="s">
        <v>2015</v>
      </c>
    </row>
    <row r="3" spans="1:11" s="1222" customFormat="1" ht="15.75">
      <c r="A3" s="1040">
        <v>45602</v>
      </c>
      <c r="B3" s="1042">
        <v>45967</v>
      </c>
      <c r="C3" s="1030" t="s">
        <v>2719</v>
      </c>
      <c r="D3" s="1030" t="s">
        <v>448</v>
      </c>
      <c r="E3" s="1030" t="s">
        <v>279</v>
      </c>
      <c r="F3" s="1072">
        <v>2549.63</v>
      </c>
      <c r="G3" s="1073">
        <v>0.1</v>
      </c>
      <c r="H3" s="1067">
        <v>234.56</v>
      </c>
      <c r="I3" s="1068">
        <v>23.45</v>
      </c>
      <c r="J3" s="1112" t="s">
        <v>1470</v>
      </c>
      <c r="K3" s="1117" t="s">
        <v>2015</v>
      </c>
    </row>
    <row r="4" spans="1:11" s="1222" customFormat="1" ht="15.75">
      <c r="A4" s="1040">
        <v>45602</v>
      </c>
      <c r="B4" s="1042">
        <v>45967</v>
      </c>
      <c r="C4" s="1030" t="s">
        <v>1596</v>
      </c>
      <c r="D4" s="1030" t="s">
        <v>448</v>
      </c>
      <c r="E4" s="1030" t="s">
        <v>19</v>
      </c>
      <c r="F4" s="1072">
        <v>1394.03</v>
      </c>
      <c r="G4" s="1073">
        <v>0.1</v>
      </c>
      <c r="H4" s="1067">
        <v>128.25</v>
      </c>
      <c r="I4" s="1068">
        <v>12.82</v>
      </c>
      <c r="J4" s="1112" t="s">
        <v>1470</v>
      </c>
      <c r="K4" s="1117" t="s">
        <v>2015</v>
      </c>
    </row>
    <row r="5" spans="1:11" s="1222" customFormat="1" ht="15.75">
      <c r="A5" s="1041">
        <v>45609</v>
      </c>
      <c r="B5" s="1041">
        <v>45978</v>
      </c>
      <c r="C5" s="1027" t="s">
        <v>2729</v>
      </c>
      <c r="D5" s="1027" t="s">
        <v>61</v>
      </c>
      <c r="E5" s="1027" t="s">
        <v>90</v>
      </c>
      <c r="F5" s="1090">
        <v>2721.21</v>
      </c>
      <c r="G5" s="1066">
        <v>0.1</v>
      </c>
      <c r="H5" s="1067">
        <v>250.35</v>
      </c>
      <c r="I5" s="1243">
        <v>25.03</v>
      </c>
      <c r="J5" s="1027" t="s">
        <v>1470</v>
      </c>
      <c r="K5" s="1117" t="s">
        <v>2015</v>
      </c>
    </row>
    <row r="6" spans="1:11" s="1222" customFormat="1" ht="15.75">
      <c r="A6" s="1040">
        <v>45602</v>
      </c>
      <c r="B6" s="1042">
        <v>45982</v>
      </c>
      <c r="C6" s="1027" t="s">
        <v>2730</v>
      </c>
      <c r="D6" s="1030" t="s">
        <v>2358</v>
      </c>
      <c r="E6" s="1030" t="s">
        <v>19</v>
      </c>
      <c r="F6" s="1072">
        <v>1163.31</v>
      </c>
      <c r="G6" s="1073">
        <v>0.1</v>
      </c>
      <c r="H6" s="1067">
        <v>107.02</v>
      </c>
      <c r="I6" s="1068">
        <v>10.7</v>
      </c>
      <c r="J6" s="1112" t="s">
        <v>1470</v>
      </c>
      <c r="K6" s="1117" t="s">
        <v>2450</v>
      </c>
    </row>
    <row r="7" spans="1:11" s="1230" customFormat="1" ht="15.75">
      <c r="A7" s="1037">
        <v>45621</v>
      </c>
      <c r="B7" s="1039">
        <v>45986</v>
      </c>
      <c r="C7" s="1025" t="s">
        <v>2732</v>
      </c>
      <c r="D7" s="1026" t="s">
        <v>448</v>
      </c>
      <c r="E7" s="1025" t="s">
        <v>948</v>
      </c>
      <c r="F7" s="1061">
        <v>3101.8</v>
      </c>
      <c r="G7" s="1062">
        <v>0.1</v>
      </c>
      <c r="H7" s="1055">
        <v>285.36</v>
      </c>
      <c r="I7" s="1056">
        <v>60</v>
      </c>
      <c r="J7" s="1111" t="s">
        <v>1470</v>
      </c>
      <c r="K7" s="1115" t="s">
        <v>2450</v>
      </c>
    </row>
    <row r="8" spans="1:11" s="1509" customFormat="1" ht="15.75">
      <c r="A8" s="1041">
        <v>45623</v>
      </c>
      <c r="B8" s="1041">
        <v>45988</v>
      </c>
      <c r="C8" s="1027" t="s">
        <v>2734</v>
      </c>
      <c r="D8" s="1027" t="s">
        <v>70</v>
      </c>
      <c r="E8" s="1027" t="s">
        <v>279</v>
      </c>
      <c r="F8" s="1065">
        <v>810.04</v>
      </c>
      <c r="G8" s="1066">
        <v>0.2</v>
      </c>
      <c r="H8" s="1067">
        <v>149.04</v>
      </c>
      <c r="I8" s="1243">
        <v>14.9</v>
      </c>
      <c r="J8" s="1027" t="s">
        <v>1470</v>
      </c>
      <c r="K8" s="1117" t="s">
        <v>2450</v>
      </c>
    </row>
    <row r="9" spans="1:11" s="1514" customFormat="1" ht="15.75">
      <c r="A9" s="1406">
        <v>45610</v>
      </c>
      <c r="B9" s="1406">
        <v>45980</v>
      </c>
      <c r="C9" s="1224" t="s">
        <v>1909</v>
      </c>
      <c r="D9" s="1224" t="s">
        <v>25</v>
      </c>
      <c r="E9" s="1224" t="s">
        <v>948</v>
      </c>
      <c r="F9" s="1232">
        <v>1573.2</v>
      </c>
      <c r="G9" s="1409">
        <v>0.14000000000000001</v>
      </c>
      <c r="H9" s="1232">
        <v>202.62</v>
      </c>
      <c r="I9" s="1439"/>
      <c r="J9" s="1224" t="s">
        <v>1577</v>
      </c>
      <c r="K9" s="1231" t="s">
        <v>2015</v>
      </c>
    </row>
    <row r="10" spans="1:11" s="1510" customFormat="1" ht="15.75">
      <c r="A10" s="1624">
        <v>45617</v>
      </c>
      <c r="B10" s="1625">
        <v>45987</v>
      </c>
      <c r="C10" s="1626" t="s">
        <v>1605</v>
      </c>
      <c r="D10" s="1626" t="s">
        <v>2358</v>
      </c>
      <c r="E10" s="1626" t="s">
        <v>19</v>
      </c>
      <c r="F10" s="1627">
        <v>1722.5</v>
      </c>
      <c r="G10" s="1628">
        <v>0.15</v>
      </c>
      <c r="H10" s="1629">
        <v>237.7</v>
      </c>
      <c r="I10" s="1630"/>
      <c r="J10" s="1631" t="s">
        <v>1577</v>
      </c>
      <c r="K10" s="1632" t="s">
        <v>2015</v>
      </c>
    </row>
    <row r="11" spans="1:11" s="1510" customFormat="1" ht="15.75">
      <c r="A11" s="1379">
        <v>45609</v>
      </c>
      <c r="B11" s="1379">
        <v>45974</v>
      </c>
      <c r="C11" s="1380" t="s">
        <v>1809</v>
      </c>
      <c r="D11" s="1380" t="s">
        <v>448</v>
      </c>
      <c r="E11" s="1380" t="s">
        <v>279</v>
      </c>
      <c r="F11" s="1381">
        <v>2272.15</v>
      </c>
      <c r="G11" s="1384">
        <v>0.1</v>
      </c>
      <c r="H11" s="1340">
        <v>209.03</v>
      </c>
      <c r="I11" s="1658">
        <v>104.51</v>
      </c>
      <c r="J11" s="1370" t="s">
        <v>1759</v>
      </c>
      <c r="K11" s="1341" t="s">
        <v>1472</v>
      </c>
    </row>
    <row r="12" spans="1:11" s="1515" customFormat="1" ht="15.75">
      <c r="A12" s="1344">
        <v>45622</v>
      </c>
      <c r="B12" s="1344">
        <v>45622</v>
      </c>
      <c r="C12" s="1345" t="s">
        <v>2717</v>
      </c>
      <c r="D12" s="1345" t="s">
        <v>61</v>
      </c>
      <c r="E12" s="1345" t="s">
        <v>1310</v>
      </c>
      <c r="F12" s="1346">
        <v>4691.1499999999996</v>
      </c>
      <c r="G12" s="1347">
        <v>0.1</v>
      </c>
      <c r="H12" s="1348">
        <v>431.58</v>
      </c>
      <c r="I12" s="1349">
        <v>215.79</v>
      </c>
      <c r="J12" s="1345" t="s">
        <v>1482</v>
      </c>
      <c r="K12" s="1350" t="s">
        <v>1472</v>
      </c>
    </row>
    <row r="13" spans="1:11" s="1404" customFormat="1" ht="15.75">
      <c r="A13" s="1358">
        <v>45607</v>
      </c>
      <c r="B13" s="1359">
        <v>45972</v>
      </c>
      <c r="C13" s="1360" t="s">
        <v>2721</v>
      </c>
      <c r="D13" s="1360" t="s">
        <v>448</v>
      </c>
      <c r="E13" s="1360" t="s">
        <v>948</v>
      </c>
      <c r="F13" s="1419">
        <v>2828.57</v>
      </c>
      <c r="G13" s="1361">
        <v>0.1</v>
      </c>
      <c r="H13" s="1348">
        <v>260.22000000000003</v>
      </c>
      <c r="I13" s="1362">
        <v>130.11000000000001</v>
      </c>
      <c r="J13" s="1363" t="s">
        <v>1482</v>
      </c>
      <c r="K13" s="1350" t="s">
        <v>2722</v>
      </c>
    </row>
    <row r="14" spans="1:11" s="1510" customFormat="1" ht="15.75">
      <c r="A14" s="1358">
        <v>45607</v>
      </c>
      <c r="B14" s="1359">
        <v>45972</v>
      </c>
      <c r="C14" s="1345" t="s">
        <v>2723</v>
      </c>
      <c r="D14" s="1345" t="s">
        <v>448</v>
      </c>
      <c r="E14" s="1345" t="s">
        <v>279</v>
      </c>
      <c r="F14" s="1346">
        <v>1379.7</v>
      </c>
      <c r="G14" s="1347">
        <v>0.16</v>
      </c>
      <c r="H14" s="1348">
        <v>203.09</v>
      </c>
      <c r="I14" s="1362">
        <v>101.54</v>
      </c>
      <c r="J14" s="1363" t="s">
        <v>1482</v>
      </c>
      <c r="K14" s="1350" t="s">
        <v>2450</v>
      </c>
    </row>
    <row r="15" spans="1:11" s="1510" customFormat="1" ht="15.75">
      <c r="A15" s="1358">
        <v>45607</v>
      </c>
      <c r="B15" s="1359">
        <v>45972</v>
      </c>
      <c r="C15" s="1345" t="s">
        <v>2724</v>
      </c>
      <c r="D15" s="1345" t="s">
        <v>448</v>
      </c>
      <c r="E15" s="1345" t="s">
        <v>19</v>
      </c>
      <c r="F15" s="1346">
        <v>1874.13</v>
      </c>
      <c r="G15" s="1347">
        <v>0.1</v>
      </c>
      <c r="H15" s="1348">
        <v>172.41</v>
      </c>
      <c r="I15" s="1362">
        <v>86.2</v>
      </c>
      <c r="J15" s="1363" t="s">
        <v>1482</v>
      </c>
      <c r="K15" s="1350" t="s">
        <v>2450</v>
      </c>
    </row>
    <row r="16" spans="1:11" ht="15.75">
      <c r="A16" s="1358">
        <v>45607</v>
      </c>
      <c r="B16" s="1359">
        <v>45972</v>
      </c>
      <c r="C16" s="1360" t="s">
        <v>1069</v>
      </c>
      <c r="D16" s="1360" t="s">
        <v>448</v>
      </c>
      <c r="E16" s="1345" t="s">
        <v>19</v>
      </c>
      <c r="F16" s="1346">
        <v>1978.4</v>
      </c>
      <c r="G16" s="1347">
        <v>0.1</v>
      </c>
      <c r="H16" s="1348">
        <v>182.01</v>
      </c>
      <c r="I16" s="1362">
        <v>91</v>
      </c>
      <c r="J16" s="1363" t="s">
        <v>1482</v>
      </c>
      <c r="K16" s="1350" t="s">
        <v>2450</v>
      </c>
    </row>
    <row r="17" spans="1:11" ht="15.75">
      <c r="A17" s="1358">
        <v>45609</v>
      </c>
      <c r="B17" s="1359">
        <v>45974</v>
      </c>
      <c r="C17" s="1345" t="s">
        <v>2727</v>
      </c>
      <c r="D17" s="1360" t="s">
        <v>448</v>
      </c>
      <c r="E17" s="1345" t="s">
        <v>545</v>
      </c>
      <c r="F17" s="1346">
        <v>4449</v>
      </c>
      <c r="G17" s="1347">
        <v>0.1</v>
      </c>
      <c r="H17" s="1348">
        <v>300</v>
      </c>
      <c r="I17" s="1362">
        <v>150</v>
      </c>
      <c r="J17" s="1363" t="s">
        <v>1482</v>
      </c>
      <c r="K17" s="1350" t="s">
        <v>1472</v>
      </c>
    </row>
    <row r="18" spans="1:11" ht="15.75">
      <c r="A18" s="1358">
        <v>45610</v>
      </c>
      <c r="B18" s="1359">
        <v>45982</v>
      </c>
      <c r="C18" s="1345" t="s">
        <v>2731</v>
      </c>
      <c r="D18" s="1360" t="s">
        <v>70</v>
      </c>
      <c r="E18" s="1345" t="s">
        <v>279</v>
      </c>
      <c r="F18" s="1346">
        <v>1109.96</v>
      </c>
      <c r="G18" s="1347">
        <v>0.1</v>
      </c>
      <c r="H18" s="1348">
        <v>102.11</v>
      </c>
      <c r="I18" s="1362">
        <v>51.05</v>
      </c>
      <c r="J18" s="1363" t="s">
        <v>1482</v>
      </c>
      <c r="K18" s="1350" t="s">
        <v>1472</v>
      </c>
    </row>
    <row r="19" spans="1:11" ht="15.75">
      <c r="A19" s="1358">
        <v>45623</v>
      </c>
      <c r="B19" s="1359">
        <v>45991</v>
      </c>
      <c r="C19" s="1345" t="s">
        <v>2737</v>
      </c>
      <c r="D19" s="1360" t="s">
        <v>9</v>
      </c>
      <c r="E19" s="1345" t="s">
        <v>29</v>
      </c>
      <c r="F19" s="1346">
        <v>2817.6</v>
      </c>
      <c r="G19" s="1347">
        <v>0.1</v>
      </c>
      <c r="H19" s="1348">
        <v>259.20999999999998</v>
      </c>
      <c r="I19" s="1362">
        <v>129.6</v>
      </c>
      <c r="J19" s="1363" t="s">
        <v>1482</v>
      </c>
      <c r="K19" s="1350" t="s">
        <v>2015</v>
      </c>
    </row>
    <row r="20" spans="1:11" ht="15.75">
      <c r="A20" s="1039">
        <v>45596</v>
      </c>
      <c r="B20" s="1039">
        <v>45962</v>
      </c>
      <c r="C20" s="1025" t="s">
        <v>616</v>
      </c>
      <c r="D20" s="1025" t="s">
        <v>9</v>
      </c>
      <c r="E20" s="1025" t="s">
        <v>90</v>
      </c>
      <c r="F20" s="1023">
        <v>1408.03</v>
      </c>
      <c r="G20" s="1062">
        <v>0.1</v>
      </c>
      <c r="H20" s="1023">
        <v>129.53</v>
      </c>
      <c r="I20" s="1056"/>
      <c r="J20" s="1111"/>
      <c r="K20" s="1115" t="s">
        <v>2015</v>
      </c>
    </row>
    <row r="21" spans="1:11" ht="15.75">
      <c r="A21" s="1039">
        <v>45597</v>
      </c>
      <c r="B21" s="1039">
        <v>45962</v>
      </c>
      <c r="C21" s="1025" t="s">
        <v>1580</v>
      </c>
      <c r="D21" s="1025" t="s">
        <v>9</v>
      </c>
      <c r="E21" s="1025" t="s">
        <v>948</v>
      </c>
      <c r="F21" s="1061">
        <v>1914.76</v>
      </c>
      <c r="G21" s="1062">
        <v>0.1</v>
      </c>
      <c r="H21" s="1055">
        <v>176.15</v>
      </c>
      <c r="I21" s="1056"/>
      <c r="J21" s="1111"/>
      <c r="K21" s="1115" t="s">
        <v>2015</v>
      </c>
    </row>
    <row r="22" spans="1:11" ht="15.75">
      <c r="A22" s="1037">
        <v>45593</v>
      </c>
      <c r="B22" s="1039">
        <v>45962</v>
      </c>
      <c r="C22" s="1025" t="s">
        <v>1126</v>
      </c>
      <c r="D22" s="1026" t="s">
        <v>9</v>
      </c>
      <c r="E22" s="1025" t="s">
        <v>22</v>
      </c>
      <c r="F22" s="1061">
        <v>1875.98</v>
      </c>
      <c r="G22" s="1062">
        <v>0.1</v>
      </c>
      <c r="H22" s="1055">
        <v>172.59</v>
      </c>
      <c r="I22" s="1056"/>
      <c r="J22" s="1111"/>
      <c r="K22" s="1115" t="s">
        <v>2015</v>
      </c>
    </row>
    <row r="23" spans="1:11" s="1032" customFormat="1" ht="15.75">
      <c r="A23" s="1037">
        <v>45601</v>
      </c>
      <c r="B23" s="1039">
        <v>45966</v>
      </c>
      <c r="C23" s="1025" t="s">
        <v>2136</v>
      </c>
      <c r="D23" s="1026" t="s">
        <v>9</v>
      </c>
      <c r="E23" s="1025" t="s">
        <v>90</v>
      </c>
      <c r="F23" s="1061">
        <v>1434.31</v>
      </c>
      <c r="G23" s="1062">
        <v>0.1</v>
      </c>
      <c r="H23" s="1055">
        <v>131.94999999999999</v>
      </c>
      <c r="I23" s="1056"/>
      <c r="J23" s="1111"/>
      <c r="K23" s="1115" t="s">
        <v>2015</v>
      </c>
    </row>
    <row r="24" spans="1:11" s="1252" customFormat="1" ht="15.75">
      <c r="A24" s="1037">
        <v>45601</v>
      </c>
      <c r="B24" s="1039">
        <v>45967</v>
      </c>
      <c r="C24" s="1025" t="s">
        <v>2138</v>
      </c>
      <c r="D24" s="1026" t="s">
        <v>9</v>
      </c>
      <c r="E24" s="1025" t="s">
        <v>90</v>
      </c>
      <c r="F24" s="1061">
        <v>1386.98</v>
      </c>
      <c r="G24" s="1062">
        <v>0.1</v>
      </c>
      <c r="H24" s="1055">
        <v>127.6</v>
      </c>
      <c r="I24" s="1056"/>
      <c r="J24" s="1111"/>
      <c r="K24" s="1115" t="s">
        <v>2015</v>
      </c>
    </row>
    <row r="25" spans="1:11" s="1032" customFormat="1" ht="15.75">
      <c r="A25" s="1039">
        <v>45602</v>
      </c>
      <c r="B25" s="1039">
        <v>45967</v>
      </c>
      <c r="C25" s="1025" t="s">
        <v>952</v>
      </c>
      <c r="D25" s="1025" t="s">
        <v>9</v>
      </c>
      <c r="E25" s="1025" t="s">
        <v>29</v>
      </c>
      <c r="F25" s="1061">
        <v>2278.89</v>
      </c>
      <c r="G25" s="1062">
        <v>0.1</v>
      </c>
      <c r="H25" s="1055">
        <v>209.65</v>
      </c>
      <c r="I25" s="1242"/>
      <c r="J25" s="1025"/>
      <c r="K25" s="1115" t="s">
        <v>2450</v>
      </c>
    </row>
    <row r="26" spans="1:11" s="1032" customFormat="1" ht="15.75">
      <c r="A26" s="1037">
        <v>45602</v>
      </c>
      <c r="B26" s="1039">
        <v>45967</v>
      </c>
      <c r="C26" s="1032" t="s">
        <v>1598</v>
      </c>
      <c r="D26" s="1026" t="s">
        <v>448</v>
      </c>
      <c r="E26" s="1026" t="s">
        <v>19</v>
      </c>
      <c r="F26" s="1071">
        <v>1499.65</v>
      </c>
      <c r="G26" s="1062">
        <v>0.2</v>
      </c>
      <c r="H26" s="1055">
        <v>275.93</v>
      </c>
      <c r="I26" s="1056"/>
      <c r="J26" s="1111"/>
      <c r="K26" s="1115" t="s">
        <v>2015</v>
      </c>
    </row>
    <row r="27" spans="1:11" s="1032" customFormat="1" ht="15.75">
      <c r="A27" s="1037">
        <v>45604</v>
      </c>
      <c r="B27" s="1038">
        <v>45969</v>
      </c>
      <c r="C27" s="1025" t="s">
        <v>1901</v>
      </c>
      <c r="D27" s="1026" t="s">
        <v>448</v>
      </c>
      <c r="E27" s="1026" t="s">
        <v>948</v>
      </c>
      <c r="F27" s="1059">
        <v>2514.84</v>
      </c>
      <c r="G27" s="1054">
        <v>0.1</v>
      </c>
      <c r="H27" s="1055">
        <v>231.36</v>
      </c>
      <c r="I27" s="1056"/>
      <c r="J27" s="1111"/>
      <c r="K27" s="1115" t="s">
        <v>2015</v>
      </c>
    </row>
    <row r="28" spans="1:11" ht="15.75">
      <c r="A28" s="1037">
        <v>45604</v>
      </c>
      <c r="B28" s="1038">
        <v>45970</v>
      </c>
      <c r="C28" s="1025" t="s">
        <v>2720</v>
      </c>
      <c r="D28" s="1026" t="s">
        <v>149</v>
      </c>
      <c r="E28" s="1026" t="s">
        <v>948</v>
      </c>
      <c r="F28" s="1059">
        <v>1746.58</v>
      </c>
      <c r="G28" s="1054">
        <v>0.15</v>
      </c>
      <c r="H28" s="1055">
        <v>241.02</v>
      </c>
      <c r="I28" s="1056"/>
      <c r="J28" s="1111"/>
      <c r="K28" s="1115" t="s">
        <v>2015</v>
      </c>
    </row>
    <row r="29" spans="1:11" ht="15.75">
      <c r="A29" s="1037">
        <v>45603</v>
      </c>
      <c r="B29" s="1038">
        <v>45971</v>
      </c>
      <c r="C29" s="1025" t="s">
        <v>2371</v>
      </c>
      <c r="D29" s="1026" t="s">
        <v>25</v>
      </c>
      <c r="E29" s="1026" t="s">
        <v>19</v>
      </c>
      <c r="F29" s="1053">
        <v>777.25</v>
      </c>
      <c r="G29" s="1054">
        <v>0.1</v>
      </c>
      <c r="H29" s="1055">
        <v>71.5</v>
      </c>
      <c r="I29" s="1056"/>
      <c r="J29" s="1111"/>
      <c r="K29" s="1115" t="s">
        <v>2015</v>
      </c>
    </row>
    <row r="30" spans="1:11" ht="15.75">
      <c r="A30" s="1039">
        <v>45600</v>
      </c>
      <c r="B30" s="1039">
        <v>45972</v>
      </c>
      <c r="C30" s="1025" t="s">
        <v>1130</v>
      </c>
      <c r="D30" s="1025" t="s">
        <v>448</v>
      </c>
      <c r="E30" s="1025" t="s">
        <v>948</v>
      </c>
      <c r="F30" s="1061">
        <v>985.98</v>
      </c>
      <c r="G30" s="1062">
        <v>0.15</v>
      </c>
      <c r="H30" s="1055">
        <v>136.06</v>
      </c>
      <c r="I30" s="1242"/>
      <c r="J30" s="1025"/>
      <c r="K30" s="1115" t="s">
        <v>2015</v>
      </c>
    </row>
    <row r="31" spans="1:11">
      <c r="A31" s="1037">
        <v>45608</v>
      </c>
      <c r="B31" s="1038">
        <v>45973</v>
      </c>
      <c r="C31" s="1039" t="s">
        <v>2725</v>
      </c>
      <c r="D31" s="1038" t="s">
        <v>848</v>
      </c>
      <c r="E31" s="1038" t="s">
        <v>1161</v>
      </c>
      <c r="F31" s="1053">
        <v>3298.69</v>
      </c>
      <c r="G31" s="1054">
        <v>0.1</v>
      </c>
      <c r="H31" s="1023">
        <v>303.47000000000003</v>
      </c>
      <c r="I31" s="1089"/>
      <c r="J31" s="1325"/>
      <c r="K31" s="1039" t="s">
        <v>2015</v>
      </c>
    </row>
    <row r="32" spans="1:11" ht="15.75">
      <c r="A32" s="1037">
        <v>45603</v>
      </c>
      <c r="B32" s="1038">
        <v>45973</v>
      </c>
      <c r="C32" s="1026" t="s">
        <v>1591</v>
      </c>
      <c r="D32" s="1026" t="s">
        <v>25</v>
      </c>
      <c r="E32" s="1026" t="s">
        <v>948</v>
      </c>
      <c r="F32" s="1053">
        <v>674.38</v>
      </c>
      <c r="G32" s="1054">
        <v>0.15</v>
      </c>
      <c r="H32" s="1055">
        <v>93.06</v>
      </c>
      <c r="I32" s="1056"/>
      <c r="J32" s="1111"/>
      <c r="K32" s="1115" t="s">
        <v>2015</v>
      </c>
    </row>
    <row r="33" spans="1:11" ht="15.75">
      <c r="A33" s="1037">
        <v>45603</v>
      </c>
      <c r="B33" s="1038">
        <v>45973</v>
      </c>
      <c r="C33" s="1026" t="s">
        <v>1142</v>
      </c>
      <c r="D33" s="1026" t="s">
        <v>2372</v>
      </c>
      <c r="E33" s="1026" t="s">
        <v>948</v>
      </c>
      <c r="F33" s="1059">
        <v>2966.45</v>
      </c>
      <c r="G33" s="1054">
        <v>0.1</v>
      </c>
      <c r="H33" s="1055">
        <v>271.89999999999998</v>
      </c>
      <c r="I33" s="1056"/>
      <c r="J33" s="1111"/>
      <c r="K33" s="1115" t="s">
        <v>2015</v>
      </c>
    </row>
    <row r="34" spans="1:11" ht="15.75">
      <c r="A34" s="1037">
        <v>45609</v>
      </c>
      <c r="B34" s="1038">
        <v>45973</v>
      </c>
      <c r="C34" s="1025" t="s">
        <v>2726</v>
      </c>
      <c r="D34" s="1026" t="s">
        <v>848</v>
      </c>
      <c r="E34" s="1026" t="s">
        <v>279</v>
      </c>
      <c r="F34" s="1059">
        <v>1820.55</v>
      </c>
      <c r="G34" s="1054">
        <v>0.1</v>
      </c>
      <c r="H34" s="1055">
        <v>167.49</v>
      </c>
      <c r="I34" s="1056"/>
      <c r="J34" s="1111"/>
      <c r="K34" s="1115" t="s">
        <v>2450</v>
      </c>
    </row>
    <row r="35" spans="1:11" ht="15.75">
      <c r="A35" s="1037">
        <v>45604</v>
      </c>
      <c r="B35" s="1038">
        <v>45974</v>
      </c>
      <c r="C35" s="1026" t="s">
        <v>1590</v>
      </c>
      <c r="D35" s="1026" t="s">
        <v>70</v>
      </c>
      <c r="E35" s="1025" t="s">
        <v>279</v>
      </c>
      <c r="F35" s="1061">
        <v>2895.81</v>
      </c>
      <c r="G35" s="1062">
        <v>0.1</v>
      </c>
      <c r="H35" s="1055">
        <v>266.41000000000003</v>
      </c>
      <c r="I35" s="1056"/>
      <c r="J35" s="1111"/>
      <c r="K35" s="1115" t="s">
        <v>2015</v>
      </c>
    </row>
    <row r="36" spans="1:11" ht="15.75">
      <c r="A36" s="1037">
        <v>45610</v>
      </c>
      <c r="B36" s="1038">
        <v>45975</v>
      </c>
      <c r="C36" s="290" t="s">
        <v>2728</v>
      </c>
      <c r="D36" s="1026" t="s">
        <v>21</v>
      </c>
      <c r="E36" s="1026" t="s">
        <v>19</v>
      </c>
      <c r="F36" s="1059">
        <v>6838.81</v>
      </c>
      <c r="G36" s="1054">
        <v>0.1</v>
      </c>
      <c r="H36" s="1055">
        <v>629.16999999999996</v>
      </c>
      <c r="I36" s="1056"/>
      <c r="J36" s="1111"/>
      <c r="K36" s="1115" t="s">
        <v>1472</v>
      </c>
    </row>
    <row r="37" spans="1:11" ht="15.75">
      <c r="A37" s="1037">
        <v>45604</v>
      </c>
      <c r="B37" s="1039">
        <v>45977</v>
      </c>
      <c r="C37" s="1025" t="s">
        <v>1906</v>
      </c>
      <c r="D37" s="1026" t="s">
        <v>9</v>
      </c>
      <c r="E37" s="1025" t="s">
        <v>90</v>
      </c>
      <c r="F37" s="1023">
        <v>2193.0300000000002</v>
      </c>
      <c r="G37" s="1062">
        <v>0.1</v>
      </c>
      <c r="H37" s="1055">
        <v>201.75</v>
      </c>
      <c r="I37" s="1056"/>
      <c r="J37" s="1111"/>
      <c r="K37" s="1115" t="s">
        <v>2015</v>
      </c>
    </row>
    <row r="38" spans="1:11" s="1252" customFormat="1" ht="15.75">
      <c r="A38" s="1037">
        <v>45607</v>
      </c>
      <c r="B38" s="1038">
        <v>45977</v>
      </c>
      <c r="C38" s="1026" t="s">
        <v>1589</v>
      </c>
      <c r="D38" s="1026" t="s">
        <v>25</v>
      </c>
      <c r="E38" s="1026" t="s">
        <v>90</v>
      </c>
      <c r="F38" s="1071">
        <v>1357.15</v>
      </c>
      <c r="G38" s="1054">
        <v>0.2</v>
      </c>
      <c r="H38" s="1055">
        <v>249.71</v>
      </c>
      <c r="I38" s="1056"/>
      <c r="J38" s="1111"/>
      <c r="K38" s="1115" t="s">
        <v>2015</v>
      </c>
    </row>
    <row r="39" spans="1:11" s="1032" customFormat="1" ht="15.75">
      <c r="A39" s="1037">
        <v>45610</v>
      </c>
      <c r="B39" s="1038">
        <v>45979</v>
      </c>
      <c r="C39" s="1026" t="s">
        <v>385</v>
      </c>
      <c r="D39" s="1026" t="s">
        <v>9</v>
      </c>
      <c r="E39" s="1026" t="s">
        <v>29</v>
      </c>
      <c r="F39" s="1059">
        <v>1892.21</v>
      </c>
      <c r="G39" s="1054">
        <v>0.1</v>
      </c>
      <c r="H39" s="1055">
        <v>174.08</v>
      </c>
      <c r="I39" s="1056"/>
      <c r="J39" s="1111"/>
      <c r="K39" s="1115" t="s">
        <v>2015</v>
      </c>
    </row>
    <row r="40" spans="1:11" ht="15.75">
      <c r="A40" s="1037">
        <v>45618</v>
      </c>
      <c r="B40" s="1038">
        <v>45983</v>
      </c>
      <c r="C40" s="1026" t="s">
        <v>626</v>
      </c>
      <c r="D40" s="1026" t="s">
        <v>448</v>
      </c>
      <c r="E40" s="1026" t="s">
        <v>948</v>
      </c>
      <c r="F40" s="1059">
        <v>1476.25</v>
      </c>
      <c r="G40" s="1054">
        <v>0.1</v>
      </c>
      <c r="H40" s="1055">
        <v>135.81</v>
      </c>
      <c r="I40" s="1056"/>
      <c r="J40" s="1111"/>
      <c r="K40" s="1115" t="s">
        <v>2015</v>
      </c>
    </row>
    <row r="41" spans="1:11" ht="15.75">
      <c r="A41" s="1037">
        <v>45615</v>
      </c>
      <c r="B41" s="1038">
        <v>45983</v>
      </c>
      <c r="C41" s="1026" t="s">
        <v>2017</v>
      </c>
      <c r="D41" s="1026" t="s">
        <v>70</v>
      </c>
      <c r="E41" s="1026" t="s">
        <v>279</v>
      </c>
      <c r="F41" s="1053">
        <v>1124.55</v>
      </c>
      <c r="G41" s="1054">
        <v>0.14000000000000001</v>
      </c>
      <c r="H41" s="1055">
        <v>144.84</v>
      </c>
      <c r="I41" s="1056"/>
      <c r="J41" s="1111"/>
      <c r="K41" s="1115" t="s">
        <v>2015</v>
      </c>
    </row>
    <row r="42" spans="1:11" s="1222" customFormat="1" ht="15.75">
      <c r="A42" s="1037">
        <v>45618</v>
      </c>
      <c r="B42" s="1038">
        <v>45983</v>
      </c>
      <c r="C42" s="1025" t="s">
        <v>1135</v>
      </c>
      <c r="D42" s="1026" t="s">
        <v>448</v>
      </c>
      <c r="E42" s="1026" t="s">
        <v>19</v>
      </c>
      <c r="F42" s="1059">
        <v>1735.31</v>
      </c>
      <c r="G42" s="1054">
        <v>0.1</v>
      </c>
      <c r="H42" s="1055">
        <v>159.63999999999999</v>
      </c>
      <c r="I42" s="1056"/>
      <c r="J42" s="1111"/>
      <c r="K42" s="1115" t="s">
        <v>2015</v>
      </c>
    </row>
    <row r="43" spans="1:11" s="1510" customFormat="1" ht="15.75">
      <c r="A43" s="1037">
        <v>45615</v>
      </c>
      <c r="B43" s="1038">
        <v>45987</v>
      </c>
      <c r="C43" s="1025" t="s">
        <v>2733</v>
      </c>
      <c r="D43" s="1026" t="s">
        <v>9</v>
      </c>
      <c r="E43" s="1026" t="s">
        <v>1310</v>
      </c>
      <c r="F43" s="1059">
        <v>2709.79</v>
      </c>
      <c r="G43" s="1054">
        <v>0.1</v>
      </c>
      <c r="H43" s="1055">
        <v>249.3</v>
      </c>
      <c r="I43" s="1056"/>
      <c r="J43" s="1111"/>
      <c r="K43" s="1115" t="s">
        <v>2015</v>
      </c>
    </row>
    <row r="44" spans="1:11" s="1510" customFormat="1" ht="15.75">
      <c r="A44" s="1037">
        <v>45625</v>
      </c>
      <c r="B44" s="1038">
        <v>45990</v>
      </c>
      <c r="C44" s="1026" t="s">
        <v>2735</v>
      </c>
      <c r="D44" s="1026" t="s">
        <v>9</v>
      </c>
      <c r="E44" s="1026" t="s">
        <v>143</v>
      </c>
      <c r="F44" s="1059">
        <v>2346.92</v>
      </c>
      <c r="G44" s="1054">
        <v>0.1</v>
      </c>
      <c r="H44" s="1055">
        <v>215.91</v>
      </c>
      <c r="I44" s="1056"/>
      <c r="J44" s="1111"/>
      <c r="K44" s="1115" t="s">
        <v>2015</v>
      </c>
    </row>
    <row r="45" spans="1:11" ht="15.75">
      <c r="A45" s="1037">
        <v>45625</v>
      </c>
      <c r="B45" s="1038">
        <v>45990</v>
      </c>
      <c r="C45" s="1026" t="s">
        <v>2736</v>
      </c>
      <c r="D45" s="1026" t="s">
        <v>448</v>
      </c>
      <c r="E45" s="1026" t="s">
        <v>945</v>
      </c>
      <c r="F45" s="1059">
        <v>2640.59</v>
      </c>
      <c r="G45" s="1054">
        <v>0.1</v>
      </c>
      <c r="H45" s="1088">
        <v>242.93</v>
      </c>
      <c r="I45" s="1089"/>
      <c r="J45" s="1111"/>
      <c r="K45" s="1115" t="s">
        <v>2015</v>
      </c>
    </row>
    <row r="46" spans="1:11" ht="15.75">
      <c r="A46" s="1037">
        <v>45618</v>
      </c>
      <c r="B46" s="1038">
        <v>45991</v>
      </c>
      <c r="C46" s="1026" t="s">
        <v>1918</v>
      </c>
      <c r="D46" s="1026" t="s">
        <v>448</v>
      </c>
      <c r="E46" s="1026" t="s">
        <v>19</v>
      </c>
      <c r="F46" s="1059">
        <v>1741.44</v>
      </c>
      <c r="G46" s="1054">
        <v>0.1</v>
      </c>
      <c r="H46" s="1055">
        <v>160.21</v>
      </c>
      <c r="I46" s="1056"/>
      <c r="J46" s="1111"/>
      <c r="K46" s="1115" t="s">
        <v>2015</v>
      </c>
    </row>
    <row r="47" spans="1:11" ht="15.75">
      <c r="A47" s="1037">
        <v>45625</v>
      </c>
      <c r="B47" s="1038">
        <v>45991</v>
      </c>
      <c r="C47" s="1026" t="s">
        <v>2738</v>
      </c>
      <c r="D47" s="1026" t="s">
        <v>448</v>
      </c>
      <c r="E47" s="1026" t="s">
        <v>19</v>
      </c>
      <c r="F47" s="1484">
        <v>3583.15</v>
      </c>
      <c r="G47" s="1054">
        <v>0.1</v>
      </c>
      <c r="H47" s="1055">
        <v>329.64</v>
      </c>
      <c r="I47" s="1056"/>
      <c r="J47" s="1111"/>
      <c r="K47" s="1115" t="s">
        <v>2015</v>
      </c>
    </row>
    <row r="48" spans="1:11" ht="15.75">
      <c r="A48" s="1037"/>
      <c r="B48" s="1038"/>
      <c r="C48" s="1026"/>
      <c r="D48" s="1026"/>
      <c r="E48" s="1026"/>
      <c r="F48" s="1059"/>
      <c r="G48" s="1054"/>
      <c r="H48" s="1055"/>
      <c r="I48" s="1056"/>
      <c r="J48" s="1111"/>
      <c r="K48" s="1115"/>
    </row>
    <row r="49" spans="1:11" ht="15.75">
      <c r="A49" s="1037"/>
      <c r="B49" s="1038"/>
      <c r="C49" s="1026"/>
      <c r="D49" s="1026"/>
      <c r="E49" s="1026"/>
      <c r="F49" s="1059"/>
      <c r="G49" s="1054"/>
      <c r="H49" s="1055"/>
      <c r="I49" s="1056"/>
      <c r="J49" s="1111"/>
      <c r="K49" s="1115"/>
    </row>
    <row r="50" spans="1:11" ht="15.75">
      <c r="A50" s="1037"/>
      <c r="B50" s="1038"/>
      <c r="C50" s="1026"/>
      <c r="D50" s="1026"/>
      <c r="E50" s="1026"/>
      <c r="F50" s="1059"/>
      <c r="G50" s="1054"/>
      <c r="H50" s="1055"/>
      <c r="I50" s="1056"/>
      <c r="J50" s="1111"/>
      <c r="K50" s="1115"/>
    </row>
    <row r="51" spans="1:11" ht="15.75">
      <c r="A51" s="1037"/>
      <c r="B51" s="1038"/>
      <c r="C51" s="1026"/>
      <c r="D51" s="1026"/>
      <c r="E51" s="1026"/>
      <c r="F51" s="1059"/>
      <c r="G51" s="1054"/>
      <c r="H51" s="1055"/>
      <c r="I51" s="1056"/>
      <c r="J51" s="1111"/>
      <c r="K51" s="1115"/>
    </row>
    <row r="52" spans="1:11" ht="15.75">
      <c r="A52" s="1037"/>
      <c r="B52" s="1038"/>
      <c r="C52" s="1026"/>
      <c r="D52" s="1026"/>
      <c r="E52" s="1026"/>
      <c r="F52" s="1059"/>
      <c r="G52" s="1054"/>
      <c r="H52" s="1055"/>
      <c r="I52" s="1056"/>
      <c r="J52" s="1111"/>
      <c r="K52" s="1115"/>
    </row>
    <row r="53" spans="1:11" ht="15.75">
      <c r="A53" s="1037"/>
      <c r="B53" s="1038"/>
      <c r="C53" s="1026"/>
      <c r="D53" s="1026"/>
      <c r="E53" s="1026"/>
      <c r="F53" s="1059"/>
      <c r="G53" s="1054"/>
      <c r="H53" s="1055"/>
      <c r="I53" s="1056"/>
      <c r="J53" s="1111"/>
      <c r="K53" s="1115"/>
    </row>
    <row r="54" spans="1:11" ht="15.75">
      <c r="A54" s="1037"/>
      <c r="B54" s="1038"/>
      <c r="C54" s="1026"/>
      <c r="D54" s="1026"/>
      <c r="E54" s="1026"/>
      <c r="F54" s="1059"/>
      <c r="G54" s="1054"/>
      <c r="H54" s="1055"/>
      <c r="I54" s="1056"/>
      <c r="J54" s="1111"/>
      <c r="K54" s="1115"/>
    </row>
    <row r="55" spans="1:11" ht="15.75">
      <c r="A55" s="1037"/>
      <c r="B55" s="1038"/>
      <c r="C55" s="1026"/>
      <c r="D55" s="1026"/>
      <c r="E55" s="1026"/>
      <c r="F55" s="1059"/>
      <c r="G55" s="1054"/>
      <c r="H55" s="1055"/>
      <c r="I55" s="1056"/>
      <c r="J55" s="1111"/>
      <c r="K55" s="1115"/>
    </row>
    <row r="56" spans="1:11" ht="15.75">
      <c r="A56" s="1037"/>
      <c r="B56" s="1038"/>
      <c r="C56" s="1026"/>
      <c r="D56" s="1026"/>
      <c r="E56" s="1026"/>
      <c r="F56" s="1059"/>
      <c r="G56" s="1054"/>
      <c r="H56" s="1055"/>
      <c r="I56" s="1056"/>
      <c r="J56" s="1111"/>
      <c r="K56" s="1115"/>
    </row>
    <row r="57" spans="1:11" ht="15.75">
      <c r="A57" s="1037"/>
      <c r="B57" s="1038"/>
      <c r="C57" s="1026"/>
      <c r="D57" s="1026"/>
      <c r="E57" s="1026"/>
      <c r="F57" s="1059"/>
      <c r="G57" s="1054"/>
      <c r="H57" s="1055"/>
      <c r="I57" s="1056"/>
      <c r="J57" s="1111"/>
      <c r="K57" s="1115"/>
    </row>
    <row r="58" spans="1:11" ht="15.75">
      <c r="A58" s="1037"/>
      <c r="B58" s="1038"/>
      <c r="C58" s="1026"/>
      <c r="D58" s="1026"/>
      <c r="E58" s="1026"/>
      <c r="F58" s="1059"/>
      <c r="G58" s="1054"/>
      <c r="H58" s="1055"/>
      <c r="I58" s="1056"/>
      <c r="J58" s="1111"/>
      <c r="K58" s="1115"/>
    </row>
    <row r="59" spans="1:11" ht="15.75">
      <c r="A59" s="1037"/>
      <c r="B59" s="1038"/>
      <c r="C59" s="1026"/>
      <c r="D59" s="1026"/>
      <c r="E59" s="1026"/>
      <c r="F59" s="1059"/>
      <c r="G59" s="1054"/>
      <c r="H59" s="1055"/>
      <c r="I59" s="1056"/>
      <c r="J59" s="1111"/>
      <c r="K59" s="1115"/>
    </row>
    <row r="60" spans="1:11" ht="15.75">
      <c r="A60" s="1037"/>
      <c r="B60" s="1038"/>
      <c r="C60" s="1026"/>
      <c r="D60" s="1026"/>
      <c r="E60" s="1026"/>
      <c r="F60" s="1059"/>
      <c r="G60" s="1054"/>
      <c r="H60" s="1055"/>
      <c r="I60" s="1056"/>
      <c r="J60" s="1111"/>
      <c r="K60" s="1115"/>
    </row>
    <row r="61" spans="1:11" ht="16.5" thickBot="1">
      <c r="A61" s="1037"/>
      <c r="B61" s="1038"/>
      <c r="C61" s="1026"/>
      <c r="D61" s="1026"/>
      <c r="E61" s="1026"/>
      <c r="F61" s="1059"/>
      <c r="G61" s="1054"/>
      <c r="H61" s="1055"/>
      <c r="I61" s="1056"/>
      <c r="J61" s="1111"/>
      <c r="K61" s="1115"/>
    </row>
    <row r="62" spans="1:11" ht="20.25" thickBot="1">
      <c r="A62" s="1158"/>
      <c r="B62" s="1159"/>
      <c r="C62" s="1159"/>
      <c r="D62" s="1159"/>
      <c r="E62" s="1159"/>
      <c r="F62" s="1160">
        <f>SUM(F2:F7,F8:F61)</f>
        <v>103654.87</v>
      </c>
      <c r="G62" s="1161"/>
      <c r="H62" s="1162">
        <f>SUM(H2:H61)</f>
        <v>10174.429999999997</v>
      </c>
      <c r="I62" s="1163">
        <f>SUM(I2:I61)</f>
        <v>1262.82</v>
      </c>
      <c r="J62" s="1193"/>
      <c r="K62" s="1116"/>
    </row>
    <row r="63" spans="1:11" ht="15.75" customHeight="1">
      <c r="A63" s="1037"/>
      <c r="B63" s="1038"/>
      <c r="C63" s="1026"/>
      <c r="D63" s="1026"/>
      <c r="E63" s="1026"/>
      <c r="F63" s="1059"/>
      <c r="G63" s="1054"/>
      <c r="H63" s="1269"/>
      <c r="I63" s="1056"/>
      <c r="J63" s="1111"/>
      <c r="K63" s="1116"/>
    </row>
    <row r="64" spans="1:11" ht="15.75" customHeight="1">
      <c r="A64" s="1037"/>
      <c r="B64" s="1037"/>
      <c r="C64" s="1026"/>
      <c r="D64" s="1026"/>
      <c r="E64" s="1026"/>
      <c r="F64" s="1059"/>
      <c r="G64" s="1054"/>
      <c r="H64" s="1269"/>
      <c r="I64" s="1056"/>
      <c r="J64" s="1111"/>
      <c r="K64" s="1116"/>
    </row>
    <row r="65" spans="1:11" ht="15.75" customHeight="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116"/>
    </row>
    <row r="66" spans="1:11" ht="15.75" customHeight="1">
      <c r="A66" s="1037"/>
      <c r="B66" s="1038"/>
      <c r="C66" s="1026"/>
      <c r="D66" s="1026"/>
      <c r="E66" s="1026"/>
      <c r="F66" s="1059"/>
      <c r="G66" s="1054"/>
      <c r="H66" s="1269"/>
      <c r="I66" s="1056"/>
      <c r="J66" s="1111"/>
      <c r="K66" s="1116"/>
    </row>
    <row r="67" spans="1:11" ht="15.75" customHeight="1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1116"/>
    </row>
    <row r="68" spans="1:11" ht="15.75" customHeight="1">
      <c r="A68" s="1037"/>
      <c r="B68" s="1038"/>
      <c r="C68" s="1026"/>
      <c r="D68" s="1026"/>
      <c r="E68" s="1026"/>
      <c r="F68" s="1059"/>
      <c r="G68" s="1054"/>
      <c r="H68" s="1269"/>
      <c r="I68" s="1056"/>
      <c r="J68" s="1111"/>
      <c r="K68" s="1116"/>
    </row>
    <row r="69" spans="1:11" ht="15.75" customHeight="1">
      <c r="A69" s="1037"/>
      <c r="B69" s="1038"/>
      <c r="C69" s="1026"/>
      <c r="D69" s="1026"/>
      <c r="E69" s="1026"/>
      <c r="F69" s="1059"/>
      <c r="G69" s="1054"/>
      <c r="H69" s="1269"/>
      <c r="I69" s="1056"/>
      <c r="J69" s="1111"/>
      <c r="K69" s="1116"/>
    </row>
    <row r="70" spans="1:11" ht="15.75" customHeight="1">
      <c r="A70" s="1037"/>
      <c r="B70" s="1038"/>
      <c r="C70" s="1026"/>
      <c r="D70" s="1026"/>
      <c r="E70" s="1026"/>
      <c r="F70" s="1059"/>
      <c r="G70" s="1054"/>
      <c r="H70" s="1269"/>
      <c r="I70" s="1056"/>
      <c r="J70" s="1111"/>
      <c r="K70" s="1116"/>
    </row>
    <row r="71" spans="1:11" ht="15.75" customHeight="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116"/>
    </row>
    <row r="72" spans="1:11" ht="15.75" customHeight="1">
      <c r="A72" s="1037"/>
      <c r="B72" s="1038"/>
      <c r="C72" s="1026"/>
      <c r="D72" s="1026"/>
      <c r="E72" s="1026"/>
      <c r="F72" s="1059"/>
      <c r="G72" s="1054"/>
      <c r="H72" s="1269"/>
      <c r="I72" s="1056"/>
      <c r="J72" s="1111"/>
      <c r="K72" s="1033"/>
    </row>
    <row r="73" spans="1:11" ht="15.75" customHeight="1">
      <c r="A73" s="1037"/>
      <c r="B73" s="1038"/>
      <c r="C73" s="1026"/>
      <c r="D73" s="1026"/>
      <c r="E73" s="1026"/>
      <c r="F73" s="1059"/>
      <c r="G73" s="1054"/>
      <c r="H73" s="1269"/>
      <c r="I73" s="1056"/>
      <c r="J73" s="1111"/>
      <c r="K73" s="1116"/>
    </row>
    <row r="74" spans="1:11" ht="15.75" customHeight="1">
      <c r="A74" s="1037"/>
      <c r="B74" s="1038"/>
      <c r="C74" s="1026"/>
      <c r="D74" s="1026"/>
      <c r="E74" s="1026"/>
      <c r="F74" s="1059"/>
      <c r="G74" s="1059"/>
      <c r="H74" s="1269"/>
      <c r="I74" s="1056"/>
      <c r="J74" s="1111"/>
      <c r="K74" s="1116"/>
    </row>
    <row r="75" spans="1:11" ht="15.75" customHeight="1">
      <c r="A75" s="1037"/>
      <c r="B75" s="1038"/>
      <c r="C75" s="1026"/>
      <c r="D75" s="1026"/>
      <c r="E75" s="1026"/>
      <c r="F75" s="1059"/>
      <c r="G75" s="1059"/>
      <c r="H75" s="1269"/>
      <c r="I75" s="1056"/>
      <c r="J75" s="1111"/>
      <c r="K75" s="1033"/>
    </row>
    <row r="76" spans="1:11" ht="15.75" customHeight="1">
      <c r="A76" s="1037"/>
      <c r="B76" s="1038"/>
      <c r="C76" s="1026"/>
      <c r="D76" s="1026"/>
      <c r="E76" s="1026"/>
      <c r="F76" s="1059"/>
      <c r="G76" s="1059"/>
      <c r="H76" s="1269"/>
      <c r="I76" s="1056"/>
      <c r="J76" s="1111"/>
      <c r="K76" s="1033"/>
    </row>
    <row r="77" spans="1:11" ht="15.75" customHeight="1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1116"/>
    </row>
    <row r="78" spans="1:11" ht="15.75" customHeight="1">
      <c r="A78" s="1037"/>
      <c r="B78" s="1038"/>
      <c r="C78" s="1026"/>
      <c r="D78" s="1026"/>
      <c r="E78" s="1026"/>
      <c r="F78" s="1059"/>
      <c r="G78" s="1054"/>
      <c r="H78" s="1269"/>
      <c r="I78" s="1056"/>
      <c r="J78" s="1111"/>
      <c r="K78" s="1116"/>
    </row>
    <row r="79" spans="1:11" ht="15.75" customHeight="1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1116"/>
    </row>
    <row r="80" spans="1:11" ht="15.75">
      <c r="A80" s="1037"/>
      <c r="B80" s="1038"/>
      <c r="C80" s="1026"/>
      <c r="D80" s="1026"/>
      <c r="E80" s="1026"/>
      <c r="F80" s="1059"/>
      <c r="G80" s="1054"/>
      <c r="H80" s="1269"/>
      <c r="I80" s="1056"/>
      <c r="J80" s="1111"/>
      <c r="K80" s="1116"/>
    </row>
    <row r="81" spans="1:11" ht="15.75">
      <c r="A81" s="1037"/>
      <c r="B81" s="1038"/>
      <c r="C81" s="1026"/>
      <c r="D81" s="1026"/>
      <c r="E81" s="1026"/>
      <c r="F81" s="1059"/>
      <c r="G81" s="1054"/>
      <c r="H81" s="1269"/>
      <c r="I81" s="1056"/>
      <c r="J81" s="1111"/>
      <c r="K81" s="1116"/>
    </row>
    <row r="82" spans="1:11" ht="15.75">
      <c r="A82" s="1037"/>
      <c r="B82" s="1038"/>
      <c r="C82" s="1025"/>
      <c r="D82" s="1025"/>
      <c r="E82" s="1025"/>
      <c r="F82" s="1059"/>
      <c r="G82" s="1062"/>
      <c r="H82" s="1055"/>
      <c r="I82" s="1056"/>
      <c r="J82" s="1111"/>
      <c r="K82" s="1116"/>
    </row>
    <row r="83" spans="1:11" ht="15.75">
      <c r="A83" s="1037"/>
      <c r="B83" s="1039"/>
      <c r="C83" s="1025"/>
      <c r="D83" s="1025"/>
      <c r="E83" s="1025"/>
      <c r="F83" s="1059"/>
      <c r="G83" s="1054"/>
      <c r="H83" s="1269"/>
      <c r="I83" s="1056"/>
      <c r="J83" s="1111"/>
      <c r="K83" s="1116"/>
    </row>
    <row r="84" spans="1:11" ht="15.75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116"/>
    </row>
    <row r="85" spans="1:11" ht="15.75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116"/>
    </row>
    <row r="86" spans="1:11" ht="15.75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116"/>
    </row>
    <row r="87" spans="1:11" ht="15.75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6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116"/>
    </row>
    <row r="89" spans="1:11" ht="15.75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116"/>
    </row>
    <row r="90" spans="1:11" ht="15.75">
      <c r="A90" s="1037"/>
      <c r="B90" s="1038"/>
      <c r="C90" s="1026"/>
      <c r="D90" s="1026"/>
      <c r="E90" s="1026"/>
      <c r="F90" s="1059"/>
      <c r="G90" s="1054"/>
      <c r="H90" s="1269"/>
      <c r="I90" s="1056"/>
      <c r="J90" s="1111"/>
      <c r="K90" s="1116"/>
    </row>
    <row r="91" spans="1:11" ht="15.75">
      <c r="A91" s="1037"/>
      <c r="B91" s="1038"/>
      <c r="C91" s="1026"/>
      <c r="D91" s="1026"/>
      <c r="E91" s="1026"/>
      <c r="F91" s="1059"/>
      <c r="G91" s="1054"/>
      <c r="H91" s="1269"/>
      <c r="I91" s="1056"/>
      <c r="J91" s="1111"/>
      <c r="K91" s="1116"/>
    </row>
    <row r="92" spans="1:11" ht="15.75">
      <c r="A92" s="1037"/>
      <c r="B92" s="1038"/>
      <c r="C92" s="1026"/>
      <c r="D92" s="1026"/>
      <c r="E92" s="1026"/>
      <c r="F92" s="1059"/>
      <c r="G92" s="1054"/>
      <c r="H92" s="1269"/>
      <c r="I92" s="1056"/>
      <c r="J92" s="1111"/>
      <c r="K92" s="1116"/>
    </row>
    <row r="93" spans="1:11" ht="15.75">
      <c r="A93" s="1037"/>
      <c r="B93" s="1038"/>
      <c r="C93" s="1026"/>
      <c r="D93" s="1026"/>
      <c r="E93" s="1026"/>
      <c r="F93" s="1059"/>
      <c r="G93" s="1054"/>
      <c r="H93" s="1269"/>
      <c r="I93" s="1056"/>
      <c r="J93" s="1111"/>
      <c r="K93" s="1116"/>
    </row>
    <row r="94" spans="1:11" ht="15.75">
      <c r="A94" s="1037"/>
      <c r="B94" s="1038"/>
      <c r="C94" s="1026"/>
      <c r="D94" s="1026"/>
      <c r="E94" s="1026"/>
      <c r="F94" s="1059"/>
      <c r="G94" s="1054"/>
      <c r="H94" s="1269"/>
      <c r="I94" s="1056"/>
      <c r="J94" s="1111"/>
      <c r="K94" s="1116"/>
    </row>
    <row r="95" spans="1:11" ht="15.75">
      <c r="A95" s="1037"/>
      <c r="B95" s="1038"/>
      <c r="C95" s="1026"/>
      <c r="D95" s="1026"/>
      <c r="E95" s="1026"/>
      <c r="F95" s="1059"/>
      <c r="G95" s="1054"/>
      <c r="H95" s="1269"/>
      <c r="I95" s="1056"/>
      <c r="J95" s="1111"/>
      <c r="K95" s="1116"/>
    </row>
    <row r="96" spans="1:11" ht="15.75">
      <c r="A96" s="1037"/>
      <c r="B96" s="1038"/>
      <c r="C96" s="1026"/>
      <c r="D96" s="1026"/>
      <c r="E96" s="1026"/>
      <c r="F96" s="1059"/>
      <c r="G96" s="1054"/>
      <c r="H96" s="1269"/>
      <c r="I96" s="1056"/>
      <c r="J96" s="1111"/>
      <c r="K96" s="1116"/>
    </row>
    <row r="97" spans="1:11">
      <c r="A97" s="1037"/>
      <c r="B97" s="1038"/>
      <c r="C97" s="1026"/>
      <c r="D97" s="1026"/>
      <c r="E97" s="1026"/>
      <c r="F97" s="1059"/>
      <c r="G97" s="1059"/>
      <c r="H97" s="1269"/>
      <c r="I97" s="1056"/>
      <c r="J97" s="1111"/>
      <c r="K97" s="1033"/>
    </row>
    <row r="98" spans="1:11">
      <c r="A98" s="1037"/>
      <c r="B98" s="1038"/>
      <c r="C98" s="1026"/>
      <c r="D98" s="1026"/>
      <c r="E98" s="1026"/>
      <c r="F98" s="1059"/>
      <c r="G98" s="1059"/>
      <c r="H98" s="1269"/>
      <c r="I98" s="1056"/>
      <c r="J98" s="1111"/>
      <c r="K98" s="1033"/>
    </row>
    <row r="99" spans="1:11">
      <c r="A99" s="1037"/>
      <c r="B99" s="1038"/>
      <c r="C99" s="1026"/>
      <c r="D99" s="1026"/>
      <c r="E99" s="1026"/>
      <c r="F99" s="1059"/>
      <c r="G99" s="1059"/>
      <c r="H99" s="1269"/>
      <c r="I99" s="1056"/>
      <c r="J99" s="1111"/>
      <c r="K99" s="1033"/>
    </row>
    <row r="100" spans="1:11" ht="15.75">
      <c r="A100" s="1037"/>
      <c r="B100" s="1038"/>
      <c r="C100" s="1026"/>
      <c r="D100" s="1026"/>
      <c r="E100" s="1026"/>
      <c r="F100" s="1059"/>
      <c r="G100" s="1054"/>
      <c r="H100" s="1269"/>
      <c r="I100" s="1056"/>
      <c r="J100" s="1111"/>
      <c r="K100" s="1116"/>
    </row>
    <row r="101" spans="1:11">
      <c r="A101" s="1037"/>
      <c r="B101" s="1038"/>
      <c r="C101" s="1026"/>
      <c r="D101" s="1026"/>
      <c r="E101" s="1026"/>
      <c r="F101" s="1059"/>
      <c r="G101" s="1059"/>
      <c r="H101" s="1269"/>
      <c r="I101" s="1056"/>
      <c r="J101" s="1111"/>
      <c r="K101" s="1033"/>
    </row>
    <row r="102" spans="1:11">
      <c r="A102" s="1037"/>
      <c r="B102" s="1038"/>
      <c r="C102" s="1026"/>
      <c r="D102" s="1026"/>
      <c r="E102" s="1026"/>
      <c r="F102" s="1059"/>
      <c r="G102" s="1059"/>
      <c r="H102" s="1269"/>
      <c r="I102" s="1056"/>
      <c r="J102" s="1111"/>
      <c r="K102" s="1033"/>
    </row>
    <row r="103" spans="1:11">
      <c r="A103" s="1037"/>
      <c r="B103" s="1038"/>
      <c r="C103" s="1026"/>
      <c r="D103" s="1026"/>
      <c r="E103" s="1026"/>
      <c r="F103" s="1059"/>
      <c r="G103" s="1059"/>
      <c r="H103" s="1269"/>
      <c r="I103" s="1056"/>
      <c r="J103" s="1111"/>
      <c r="K103" s="1033"/>
    </row>
    <row r="104" spans="1:11" ht="15.75">
      <c r="A104" s="1037"/>
      <c r="B104" s="1038"/>
      <c r="C104" s="1026"/>
      <c r="D104" s="1026"/>
      <c r="E104" s="1026"/>
      <c r="F104" s="1059"/>
      <c r="G104" s="1054"/>
      <c r="H104" s="1269"/>
      <c r="I104" s="1056"/>
      <c r="J104" s="1111"/>
      <c r="K104" s="1116"/>
    </row>
    <row r="105" spans="1:11" ht="15.75">
      <c r="A105" s="1037"/>
      <c r="B105" s="1038"/>
      <c r="C105" s="1026"/>
      <c r="D105" s="1026"/>
      <c r="E105" s="1026"/>
      <c r="F105" s="1059"/>
      <c r="G105" s="1054"/>
      <c r="H105" s="1269"/>
      <c r="I105" s="1056"/>
      <c r="J105" s="1111"/>
      <c r="K105" s="1116"/>
    </row>
    <row r="106" spans="1:11">
      <c r="A106" s="1037"/>
      <c r="B106" s="1038"/>
      <c r="C106" s="1026"/>
      <c r="D106" s="1026"/>
      <c r="E106" s="1026"/>
      <c r="F106" s="1059"/>
      <c r="G106" s="1059"/>
      <c r="H106" s="1269"/>
      <c r="I106" s="1056"/>
      <c r="J106" s="1111"/>
      <c r="K106" s="1033"/>
    </row>
    <row r="107" spans="1:11">
      <c r="A107" s="1037"/>
      <c r="B107" s="1038"/>
      <c r="C107" s="1026"/>
      <c r="D107" s="1026"/>
      <c r="E107" s="1026"/>
      <c r="F107" s="1059"/>
      <c r="G107" s="1059"/>
      <c r="H107" s="1269"/>
      <c r="I107" s="1056"/>
      <c r="J107" s="1111"/>
      <c r="K107" s="1033"/>
    </row>
    <row r="108" spans="1:11">
      <c r="A108" s="1037"/>
      <c r="B108" s="1038"/>
      <c r="C108" s="1026"/>
      <c r="D108" s="1026"/>
      <c r="E108" s="1026"/>
      <c r="F108" s="1059"/>
      <c r="G108" s="1059"/>
      <c r="H108" s="1269"/>
      <c r="I108" s="1056"/>
      <c r="J108" s="1111"/>
      <c r="K108" s="1033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1033"/>
    </row>
    <row r="110" spans="1:11">
      <c r="A110" s="1037"/>
      <c r="B110" s="1038"/>
      <c r="C110" s="1026"/>
      <c r="D110" s="1026"/>
      <c r="E110" s="1026"/>
      <c r="F110" s="1059"/>
      <c r="G110" s="1059"/>
      <c r="H110" s="1269"/>
      <c r="I110" s="1056"/>
      <c r="J110" s="1111"/>
      <c r="K110" s="1033"/>
    </row>
    <row r="111" spans="1:11">
      <c r="A111" s="1037"/>
      <c r="B111" s="1038"/>
      <c r="C111" s="1026"/>
      <c r="D111" s="1026"/>
      <c r="E111" s="1026"/>
      <c r="F111" s="1059"/>
      <c r="G111" s="1059"/>
      <c r="H111" s="1269"/>
      <c r="I111" s="1056"/>
      <c r="J111" s="1111"/>
      <c r="K111" s="1033"/>
    </row>
    <row r="112" spans="1:11" ht="15.75">
      <c r="A112" s="1037"/>
      <c r="B112" s="1038"/>
      <c r="C112" s="1026"/>
      <c r="D112" s="1026"/>
      <c r="E112" s="1026"/>
      <c r="F112" s="1059"/>
      <c r="G112" s="1054"/>
      <c r="H112" s="1269"/>
      <c r="I112" s="1056"/>
      <c r="J112" s="1111"/>
      <c r="K112" s="1116"/>
    </row>
    <row r="113" spans="1:11">
      <c r="A113" s="1037"/>
      <c r="B113" s="1038"/>
      <c r="C113" s="1026"/>
      <c r="D113" s="1026"/>
      <c r="E113" s="1026"/>
      <c r="F113" s="1059"/>
      <c r="G113" s="1059"/>
      <c r="H113" s="1269"/>
      <c r="I113" s="1056"/>
      <c r="J113" s="1111"/>
      <c r="K113" s="1033"/>
    </row>
    <row r="114" spans="1:11">
      <c r="A114" s="1037"/>
      <c r="B114" s="1038"/>
      <c r="C114" s="1026"/>
      <c r="D114" s="1026"/>
      <c r="E114" s="1026"/>
      <c r="F114" s="1059"/>
      <c r="G114" s="1059"/>
      <c r="H114" s="1269"/>
      <c r="I114" s="1056"/>
      <c r="J114" s="1111"/>
      <c r="K114" s="1033"/>
    </row>
    <row r="115" spans="1:11">
      <c r="A115" s="1037"/>
      <c r="B115" s="1038"/>
      <c r="C115" s="1026"/>
      <c r="D115" s="1026"/>
      <c r="E115" s="1026"/>
      <c r="F115" s="1059"/>
      <c r="G115" s="1059"/>
      <c r="H115" s="1269"/>
      <c r="I115" s="1056"/>
      <c r="J115" s="1111"/>
      <c r="K115" s="1033"/>
    </row>
    <row r="116" spans="1:11" ht="15.75">
      <c r="A116" s="1037"/>
      <c r="B116" s="1038"/>
      <c r="C116" s="1026"/>
      <c r="D116" s="1026"/>
      <c r="E116" s="1026"/>
      <c r="F116" s="1059"/>
      <c r="G116" s="1059"/>
      <c r="H116" s="1269"/>
      <c r="I116" s="1056"/>
      <c r="J116" s="1111"/>
      <c r="K116" s="1116"/>
    </row>
    <row r="117" spans="1:11">
      <c r="A117" s="1037"/>
      <c r="B117" s="1038"/>
      <c r="C117" s="1026"/>
      <c r="D117" s="1026"/>
      <c r="E117" s="1026"/>
      <c r="F117" s="1059"/>
      <c r="G117" s="1059"/>
      <c r="H117" s="1269"/>
      <c r="I117" s="1056"/>
      <c r="J117" s="1111"/>
      <c r="K117" s="1033"/>
    </row>
    <row r="118" spans="1:11">
      <c r="A118" s="1037"/>
      <c r="B118" s="1038"/>
      <c r="C118" s="1026"/>
      <c r="D118" s="1026"/>
      <c r="E118" s="1026"/>
      <c r="F118" s="1059"/>
      <c r="G118" s="1059"/>
      <c r="H118" s="1269"/>
      <c r="I118" s="1056"/>
      <c r="J118" s="1111"/>
      <c r="K118" s="1033"/>
    </row>
    <row r="119" spans="1:11">
      <c r="A119" s="1037"/>
      <c r="B119" s="1038"/>
      <c r="C119" s="1026"/>
      <c r="D119" s="1026"/>
      <c r="E119" s="1026"/>
      <c r="F119" s="1059"/>
      <c r="G119" s="1059"/>
      <c r="H119" s="1269"/>
      <c r="I119" s="1056"/>
      <c r="J119" s="1111"/>
      <c r="K119" s="1033"/>
    </row>
    <row r="120" spans="1:11">
      <c r="A120" s="1037"/>
      <c r="B120" s="1038"/>
      <c r="C120" s="1026"/>
      <c r="D120" s="1026"/>
      <c r="E120" s="1026"/>
      <c r="F120" s="1059"/>
      <c r="G120" s="1059"/>
      <c r="H120" s="1269"/>
      <c r="I120" s="1056"/>
      <c r="J120" s="1111"/>
      <c r="K120" s="1033"/>
    </row>
    <row r="121" spans="1:11">
      <c r="A121" s="1037"/>
      <c r="B121" s="1038"/>
      <c r="C121" s="1026"/>
      <c r="D121" s="1026"/>
      <c r="E121" s="1026"/>
      <c r="F121" s="1059"/>
      <c r="G121" s="1054"/>
      <c r="H121" s="1269"/>
      <c r="I121" s="1056"/>
      <c r="J121" s="1111"/>
      <c r="K121" s="1033"/>
    </row>
    <row r="122" spans="1:11" ht="15.75">
      <c r="A122" s="1037"/>
      <c r="B122" s="1038"/>
      <c r="C122" s="1025"/>
      <c r="D122" s="1026"/>
      <c r="E122" s="1026"/>
      <c r="F122" s="1059"/>
      <c r="G122" s="1054"/>
      <c r="H122" s="1269"/>
      <c r="I122" s="1056"/>
      <c r="J122" s="1111"/>
      <c r="K122" s="1116"/>
    </row>
    <row r="123" spans="1:11" ht="15.75">
      <c r="A123" s="1037"/>
      <c r="B123" s="1038"/>
      <c r="C123" s="1026"/>
      <c r="D123" s="1026"/>
      <c r="E123" s="1026"/>
      <c r="F123" s="1059"/>
      <c r="G123" s="1054"/>
      <c r="H123" s="1269"/>
      <c r="I123" s="1056"/>
      <c r="J123" s="1111"/>
      <c r="K123" s="1116"/>
    </row>
    <row r="124" spans="1:11" ht="15.75">
      <c r="A124" s="1037"/>
      <c r="B124" s="1038"/>
      <c r="C124" s="1026"/>
      <c r="D124" s="1026"/>
      <c r="E124" s="1026"/>
      <c r="F124" s="1059"/>
      <c r="G124" s="1054"/>
      <c r="H124" s="1269"/>
      <c r="I124" s="1056"/>
      <c r="J124" s="1111"/>
      <c r="K124" s="1116"/>
    </row>
    <row r="125" spans="1:11" ht="15.75">
      <c r="A125" s="1037"/>
      <c r="B125" s="1038"/>
      <c r="C125" s="1026"/>
      <c r="D125" s="1026"/>
      <c r="E125" s="1026"/>
      <c r="F125" s="1059"/>
      <c r="G125" s="1054"/>
      <c r="H125" s="1269"/>
      <c r="I125" s="1056"/>
      <c r="J125" s="1111"/>
      <c r="K125" s="1116"/>
    </row>
    <row r="126" spans="1:11" ht="15.75">
      <c r="A126" s="1037"/>
      <c r="B126" s="1038"/>
      <c r="C126" s="1026"/>
      <c r="D126" s="1026"/>
      <c r="E126" s="1026"/>
      <c r="F126" s="1059"/>
      <c r="G126" s="1054"/>
      <c r="H126" s="1269"/>
      <c r="I126" s="1056"/>
      <c r="J126" s="1111"/>
      <c r="K126" s="1116"/>
    </row>
    <row r="127" spans="1:11">
      <c r="A127" s="1037"/>
      <c r="B127" s="1038"/>
      <c r="C127" s="1026"/>
      <c r="D127" s="1026"/>
      <c r="E127" s="1026"/>
      <c r="F127" s="1059"/>
      <c r="G127" s="1059"/>
      <c r="H127" s="1269"/>
      <c r="I127" s="1056"/>
      <c r="J127" s="1111"/>
      <c r="K127" s="1033"/>
    </row>
    <row r="128" spans="1:11">
      <c r="A128" s="1037"/>
      <c r="B128" s="1038"/>
      <c r="C128" s="1026"/>
      <c r="D128" s="1026"/>
      <c r="E128" s="1026"/>
      <c r="F128" s="1059"/>
      <c r="G128" s="1059"/>
      <c r="H128" s="1269"/>
      <c r="I128" s="1056"/>
      <c r="J128" s="1111"/>
      <c r="K128" s="1033"/>
    </row>
    <row r="129" spans="1:11" ht="15.75">
      <c r="A129" s="1037"/>
      <c r="B129" s="1038"/>
      <c r="C129" s="1026"/>
      <c r="D129" s="1026"/>
      <c r="E129" s="1026"/>
      <c r="F129" s="1059"/>
      <c r="G129" s="1054"/>
      <c r="H129" s="1269"/>
      <c r="I129" s="1056"/>
      <c r="J129" s="1111"/>
      <c r="K129" s="1116"/>
    </row>
    <row r="130" spans="1:11" ht="15.75">
      <c r="A130" s="1037"/>
      <c r="B130" s="1038"/>
      <c r="C130" s="1026"/>
      <c r="D130" s="1026"/>
      <c r="E130" s="1026"/>
      <c r="F130" s="1059"/>
      <c r="G130" s="1054"/>
      <c r="H130" s="1269"/>
      <c r="I130" s="1056"/>
      <c r="J130" s="1111"/>
      <c r="K130" s="1116"/>
    </row>
    <row r="131" spans="1:11" ht="15.75">
      <c r="A131" s="1037"/>
      <c r="B131" s="1038"/>
      <c r="C131" s="1026"/>
      <c r="D131" s="1026"/>
      <c r="E131" s="1026"/>
      <c r="F131" s="1059"/>
      <c r="G131" s="1054"/>
      <c r="H131" s="1269"/>
      <c r="I131" s="1056"/>
      <c r="J131" s="1111"/>
      <c r="K131" s="1116"/>
    </row>
    <row r="132" spans="1:11">
      <c r="A132" s="1037"/>
      <c r="B132" s="1038"/>
      <c r="C132" s="1026"/>
      <c r="D132" s="1026"/>
      <c r="E132" s="1026"/>
      <c r="F132" s="1059"/>
      <c r="G132" s="1054"/>
      <c r="H132" s="1269"/>
      <c r="I132" s="1056"/>
      <c r="J132" s="1111"/>
      <c r="K132" s="1033"/>
    </row>
    <row r="133" spans="1:11">
      <c r="A133" s="1037"/>
      <c r="B133" s="1038"/>
      <c r="C133" s="1026"/>
      <c r="D133" s="1026"/>
      <c r="E133" s="1026"/>
      <c r="F133" s="1059"/>
      <c r="G133" s="1054"/>
      <c r="H133" s="1269"/>
      <c r="I133" s="1056"/>
      <c r="J133" s="1111"/>
      <c r="K133" s="1033"/>
    </row>
    <row r="134" spans="1:11">
      <c r="A134" s="1037"/>
      <c r="B134" s="1038"/>
      <c r="C134" s="1026"/>
      <c r="D134" s="1026"/>
      <c r="E134" s="1026"/>
      <c r="F134" s="1059"/>
      <c r="G134" s="1059"/>
      <c r="H134" s="1269"/>
      <c r="I134" s="1056"/>
      <c r="J134" s="1111"/>
      <c r="K134" s="1033"/>
    </row>
    <row r="135" spans="1:11">
      <c r="A135" s="1037"/>
      <c r="B135" s="1038"/>
      <c r="C135" s="1026"/>
      <c r="D135" s="1026"/>
      <c r="E135" s="1026"/>
      <c r="F135" s="1059"/>
      <c r="G135" s="1059"/>
      <c r="H135" s="1269"/>
      <c r="I135" s="1056"/>
      <c r="J135" s="1111"/>
      <c r="K135" s="1033"/>
    </row>
    <row r="136" spans="1:11">
      <c r="A136" s="1037"/>
      <c r="B136" s="1038"/>
      <c r="C136" s="1026"/>
      <c r="D136" s="1026"/>
      <c r="E136" s="1026"/>
      <c r="F136" s="1059"/>
      <c r="G136" s="1059"/>
      <c r="H136" s="1269"/>
      <c r="I136" s="1056"/>
      <c r="J136" s="1111"/>
      <c r="K136" s="1033"/>
    </row>
    <row r="137" spans="1:11">
      <c r="A137" s="1037"/>
      <c r="B137" s="1038"/>
      <c r="C137" s="1026"/>
      <c r="D137" s="1026"/>
      <c r="E137" s="1026"/>
      <c r="F137" s="1059"/>
      <c r="G137" s="1059"/>
      <c r="H137" s="1269"/>
      <c r="I137" s="1056"/>
      <c r="J137" s="1111"/>
      <c r="K137" s="1033"/>
    </row>
    <row r="138" spans="1:11" ht="15.75">
      <c r="A138" s="1037"/>
      <c r="B138" s="1038"/>
      <c r="C138" s="1026"/>
      <c r="D138" s="1026"/>
      <c r="E138" s="1026"/>
      <c r="F138" s="1059"/>
      <c r="G138" s="1054"/>
      <c r="H138" s="1269"/>
      <c r="I138" s="1056"/>
      <c r="J138" s="1111"/>
      <c r="K138" s="1116"/>
    </row>
    <row r="139" spans="1:11" ht="15.75">
      <c r="A139" s="1037"/>
      <c r="B139" s="1038"/>
      <c r="C139" s="1026"/>
      <c r="D139" s="1026"/>
      <c r="E139" s="1026"/>
      <c r="F139" s="1059"/>
      <c r="G139" s="1059"/>
      <c r="H139" s="1269"/>
      <c r="I139" s="1056"/>
      <c r="J139" s="1111"/>
      <c r="K139" s="1116"/>
    </row>
    <row r="140" spans="1:11">
      <c r="A140" s="1037"/>
      <c r="B140" s="1038"/>
      <c r="C140" s="1026"/>
      <c r="D140" s="1026"/>
      <c r="E140" s="1026"/>
      <c r="F140" s="1059"/>
      <c r="G140" s="1059"/>
      <c r="H140" s="1269"/>
      <c r="I140" s="1056"/>
      <c r="J140" s="1111"/>
      <c r="K140" s="1033"/>
    </row>
    <row r="141" spans="1:11">
      <c r="A141" s="1037"/>
      <c r="B141" s="1038"/>
      <c r="C141" s="1026"/>
      <c r="D141" s="1026"/>
      <c r="E141" s="1140"/>
      <c r="F141" s="1059"/>
      <c r="G141" s="1054"/>
      <c r="H141" s="1269"/>
      <c r="I141" s="1056"/>
      <c r="J141" s="1111"/>
      <c r="K141" s="1033"/>
    </row>
    <row r="142" spans="1:11" ht="15.75">
      <c r="A142" s="1037"/>
      <c r="B142" s="1038"/>
      <c r="C142" s="1026"/>
      <c r="D142" s="1026"/>
      <c r="E142" s="1026"/>
      <c r="F142" s="1059"/>
      <c r="G142" s="1054"/>
      <c r="H142" s="1269"/>
      <c r="I142" s="1056"/>
      <c r="J142" s="1111"/>
      <c r="K142" s="1116"/>
    </row>
    <row r="143" spans="1:11">
      <c r="A143" s="1037"/>
      <c r="B143" s="1038"/>
      <c r="C143" s="1026"/>
      <c r="D143" s="1026"/>
      <c r="E143" s="1026"/>
      <c r="F143" s="1059"/>
      <c r="G143" s="1054"/>
      <c r="H143" s="1269"/>
      <c r="I143" s="1056"/>
      <c r="J143" s="1111"/>
      <c r="K143" s="1033"/>
    </row>
    <row r="144" spans="1:11">
      <c r="A144" s="1037"/>
      <c r="B144" s="1038"/>
      <c r="C144" s="1026"/>
      <c r="D144" s="1026"/>
      <c r="E144" s="1026"/>
      <c r="F144" s="1059"/>
      <c r="G144" s="1059"/>
      <c r="H144" s="1269"/>
      <c r="I144" s="1056"/>
      <c r="J144" s="1111"/>
      <c r="K144" s="1033"/>
    </row>
    <row r="145" spans="1:11">
      <c r="A145" s="1037"/>
      <c r="B145" s="1038"/>
      <c r="C145" s="1026"/>
      <c r="D145" s="1026"/>
      <c r="E145" s="1026"/>
      <c r="F145" s="1059"/>
      <c r="G145" s="1059"/>
      <c r="H145" s="1269"/>
      <c r="I145" s="1056"/>
      <c r="J145" s="1111"/>
      <c r="K145" s="1033"/>
    </row>
    <row r="146" spans="1:11" ht="15.75">
      <c r="A146" s="1037"/>
      <c r="B146" s="1038"/>
      <c r="C146" s="1026"/>
      <c r="D146" s="1026"/>
      <c r="E146" s="1026"/>
      <c r="F146" s="1059"/>
      <c r="G146" s="1054"/>
      <c r="H146" s="1269"/>
      <c r="I146" s="1056"/>
      <c r="J146" s="1111"/>
      <c r="K146" s="1116"/>
    </row>
    <row r="147" spans="1:11" ht="15.75">
      <c r="A147" s="1037"/>
      <c r="B147" s="1038"/>
      <c r="C147" s="1026"/>
      <c r="D147" s="1026"/>
      <c r="E147" s="1026"/>
      <c r="F147" s="1059"/>
      <c r="G147" s="1054"/>
      <c r="H147" s="1269"/>
      <c r="I147" s="1056"/>
      <c r="J147" s="1111"/>
      <c r="K147" s="1116"/>
    </row>
    <row r="148" spans="1:11" ht="15.75">
      <c r="A148" s="1037"/>
      <c r="B148" s="1038"/>
      <c r="C148" s="1026"/>
      <c r="D148" s="1026"/>
      <c r="E148" s="1026"/>
      <c r="F148" s="1059"/>
      <c r="G148" s="1054"/>
      <c r="H148" s="1269"/>
      <c r="I148" s="1056"/>
      <c r="J148" s="1111"/>
      <c r="K148" s="1116"/>
    </row>
    <row r="149" spans="1:11" ht="15.75">
      <c r="A149" s="1037"/>
      <c r="B149" s="1038"/>
      <c r="C149" s="1026"/>
      <c r="D149" s="1026"/>
      <c r="E149" s="1026"/>
      <c r="F149" s="1059"/>
      <c r="G149" s="1054"/>
      <c r="H149" s="1269"/>
      <c r="I149" s="1056"/>
      <c r="J149" s="1111"/>
      <c r="K149" s="1116"/>
    </row>
    <row r="150" spans="1:11" ht="15.75">
      <c r="A150" s="1037"/>
      <c r="B150" s="1038"/>
      <c r="C150" s="1026"/>
      <c r="D150" s="1026"/>
      <c r="E150" s="1026"/>
      <c r="F150" s="1059"/>
      <c r="G150" s="1054"/>
      <c r="H150" s="1269"/>
      <c r="I150" s="1056"/>
      <c r="J150" s="1111"/>
      <c r="K150" s="1116"/>
    </row>
    <row r="151" spans="1:11">
      <c r="A151" s="1037"/>
      <c r="B151" s="1038"/>
      <c r="C151" s="1026"/>
      <c r="D151" s="1026"/>
      <c r="E151" s="1026"/>
      <c r="F151" s="1059"/>
      <c r="G151" s="1054"/>
      <c r="H151" s="1269"/>
      <c r="I151" s="1056"/>
      <c r="J151" s="1111"/>
      <c r="K151" s="1033"/>
    </row>
    <row r="152" spans="1:11">
      <c r="A152" s="1037"/>
      <c r="B152" s="1038"/>
      <c r="C152" s="1025"/>
      <c r="D152" s="1026"/>
      <c r="E152" s="1026"/>
      <c r="F152" s="1061"/>
      <c r="G152" s="1054"/>
      <c r="H152" s="1055"/>
      <c r="I152" s="1056"/>
      <c r="J152" s="1111"/>
      <c r="K152" s="1033"/>
    </row>
    <row r="153" spans="1:11">
      <c r="A153" s="1037"/>
      <c r="B153" s="1038"/>
      <c r="C153" s="1026"/>
      <c r="D153" s="1026"/>
      <c r="E153" s="1026"/>
      <c r="F153" s="1059"/>
      <c r="G153" s="1054"/>
      <c r="H153" s="1269"/>
      <c r="I153" s="1056"/>
      <c r="J153" s="1111"/>
      <c r="K153" s="1033"/>
    </row>
    <row r="154" spans="1:11">
      <c r="A154" s="1037"/>
      <c r="B154" s="1038"/>
      <c r="C154" s="1026"/>
      <c r="D154" s="1026"/>
      <c r="E154" s="1026"/>
      <c r="F154" s="1059"/>
      <c r="G154" s="1054"/>
      <c r="H154" s="1269"/>
      <c r="I154" s="1056"/>
      <c r="J154" s="1111"/>
      <c r="K154" s="1033"/>
    </row>
    <row r="155" spans="1:11">
      <c r="A155" s="1037"/>
      <c r="B155" s="1038"/>
      <c r="C155" s="1026"/>
      <c r="D155" s="1026"/>
      <c r="E155" s="1026"/>
      <c r="F155" s="1059"/>
      <c r="G155" s="1059"/>
      <c r="H155" s="1269"/>
      <c r="I155" s="1056"/>
      <c r="J155" s="1111"/>
      <c r="K155" s="1033"/>
    </row>
    <row r="156" spans="1:11">
      <c r="A156" s="1037"/>
      <c r="B156" s="1038"/>
      <c r="C156" s="1026"/>
      <c r="D156" s="1026"/>
      <c r="E156" s="1026"/>
      <c r="F156" s="1059"/>
      <c r="G156" s="1059"/>
      <c r="H156" s="1269"/>
      <c r="I156" s="1056"/>
      <c r="J156" s="1111"/>
      <c r="K156" s="1033"/>
    </row>
    <row r="157" spans="1:11" ht="15.75">
      <c r="A157" s="1037"/>
      <c r="B157" s="1038"/>
      <c r="C157" s="1026"/>
      <c r="D157" s="1026"/>
      <c r="E157" s="1026"/>
      <c r="F157" s="1059"/>
      <c r="G157" s="1054"/>
      <c r="H157" s="1269"/>
      <c r="I157" s="1056"/>
      <c r="J157" s="1111"/>
      <c r="K157" s="1116"/>
    </row>
    <row r="158" spans="1:11">
      <c r="A158" s="1037"/>
      <c r="B158" s="1038"/>
      <c r="C158" s="1026"/>
      <c r="D158" s="1026"/>
      <c r="E158" s="1026"/>
      <c r="F158" s="1059"/>
      <c r="G158" s="1054"/>
      <c r="H158" s="1269"/>
      <c r="I158" s="1056"/>
      <c r="J158" s="1111"/>
      <c r="K158" s="1033"/>
    </row>
    <row r="159" spans="1:11">
      <c r="A159" s="1037"/>
      <c r="B159" s="1038"/>
      <c r="C159" s="1026"/>
      <c r="D159" s="1026"/>
      <c r="E159" s="1026"/>
      <c r="F159" s="1059"/>
      <c r="G159" s="1059"/>
      <c r="H159" s="1269"/>
      <c r="I159" s="1056"/>
      <c r="J159" s="1111"/>
      <c r="K159" s="1033"/>
    </row>
    <row r="160" spans="1:11">
      <c r="A160" s="1037"/>
      <c r="B160" s="1038"/>
      <c r="C160" s="1026"/>
      <c r="D160" s="1026"/>
      <c r="E160" s="1026"/>
      <c r="F160" s="1059"/>
      <c r="G160" s="1059"/>
      <c r="H160" s="1269"/>
      <c r="I160" s="1056"/>
      <c r="J160" s="1111"/>
      <c r="K160" s="1033"/>
    </row>
    <row r="161" spans="1:11">
      <c r="A161" s="1037"/>
      <c r="B161" s="1038"/>
      <c r="C161" s="1026"/>
      <c r="D161" s="1026"/>
      <c r="E161" s="1026"/>
      <c r="F161" s="1059"/>
      <c r="G161" s="1054"/>
      <c r="H161" s="1269"/>
      <c r="I161" s="1056"/>
      <c r="J161" s="1111"/>
      <c r="K161" s="1033"/>
    </row>
    <row r="162" spans="1:11">
      <c r="A162" s="1037"/>
      <c r="B162" s="1038"/>
      <c r="C162" s="1026"/>
      <c r="D162" s="1026"/>
      <c r="E162" s="1026"/>
      <c r="F162" s="1059"/>
      <c r="G162" s="1054"/>
      <c r="H162" s="1269"/>
      <c r="I162" s="1056"/>
      <c r="J162" s="1111"/>
      <c r="K162" s="1033"/>
    </row>
    <row r="163" spans="1:11">
      <c r="A163" s="1037"/>
      <c r="B163" s="1038"/>
      <c r="C163" s="1026"/>
      <c r="D163" s="1026"/>
      <c r="E163" s="1026"/>
      <c r="F163" s="1059"/>
      <c r="G163" s="1054"/>
      <c r="H163" s="1269"/>
      <c r="I163" s="1056"/>
      <c r="J163" s="1111"/>
      <c r="K163" s="1033"/>
    </row>
    <row r="164" spans="1:11" ht="15.75">
      <c r="A164" s="1037"/>
      <c r="B164" s="1038"/>
      <c r="C164" s="1026"/>
      <c r="D164" s="1026"/>
      <c r="E164" s="1026"/>
      <c r="F164" s="1059"/>
      <c r="G164" s="1054"/>
      <c r="H164" s="1269"/>
      <c r="I164" s="1056"/>
      <c r="J164" s="1111"/>
      <c r="K164" s="1116"/>
    </row>
    <row r="165" spans="1:11">
      <c r="A165" s="1037"/>
      <c r="B165" s="1038"/>
      <c r="C165" s="1026"/>
      <c r="D165" s="1026"/>
      <c r="E165" s="1026"/>
      <c r="F165" s="1059"/>
      <c r="G165" s="1054"/>
      <c r="H165" s="1269"/>
      <c r="I165" s="1056"/>
      <c r="J165" s="1111"/>
      <c r="K165" s="1033"/>
    </row>
    <row r="166" spans="1:11">
      <c r="A166" s="1037"/>
      <c r="B166" s="1038"/>
      <c r="C166" s="346"/>
      <c r="D166" s="1026"/>
      <c r="E166" s="1026"/>
      <c r="F166" s="1059"/>
      <c r="G166" s="1054"/>
      <c r="H166" s="1269"/>
      <c r="I166" s="1056"/>
      <c r="J166" s="1111"/>
      <c r="K166" s="1033"/>
    </row>
    <row r="167" spans="1:11">
      <c r="A167" s="1037"/>
      <c r="B167" s="1038"/>
      <c r="C167" s="1026"/>
      <c r="D167" s="1026"/>
      <c r="E167" s="1026"/>
      <c r="F167" s="1059"/>
      <c r="G167" s="1054"/>
      <c r="H167" s="1269"/>
      <c r="I167" s="1056"/>
      <c r="J167" s="1111"/>
      <c r="K167" s="1033"/>
    </row>
    <row r="168" spans="1:11">
      <c r="A168" s="1037"/>
      <c r="B168" s="1038"/>
      <c r="C168" s="1026"/>
      <c r="D168" s="1026"/>
      <c r="E168" s="1026"/>
      <c r="F168" s="1059"/>
      <c r="G168" s="1054"/>
      <c r="H168" s="1269"/>
      <c r="I168" s="1056"/>
      <c r="J168" s="1111"/>
      <c r="K168" s="1033"/>
    </row>
    <row r="169" spans="1:11">
      <c r="A169" s="1037"/>
      <c r="B169" s="1038"/>
      <c r="C169" s="1026"/>
      <c r="D169" s="1026"/>
      <c r="E169" s="1026"/>
      <c r="F169" s="1059"/>
      <c r="G169" s="1054"/>
      <c r="H169" s="1269"/>
      <c r="I169" s="1056"/>
      <c r="J169" s="1111"/>
      <c r="K169" s="1033"/>
    </row>
    <row r="170" spans="1:11">
      <c r="A170" s="1037"/>
      <c r="B170" s="1038"/>
      <c r="C170" s="1026"/>
      <c r="D170" s="1026"/>
      <c r="E170" s="1026"/>
      <c r="F170" s="1059"/>
      <c r="G170" s="1054"/>
      <c r="H170" s="1269"/>
      <c r="I170" s="1056"/>
      <c r="J170" s="1111"/>
      <c r="K170" s="1033"/>
    </row>
    <row r="171" spans="1:11">
      <c r="A171" s="1037"/>
      <c r="B171" s="1038"/>
      <c r="C171" s="1026"/>
      <c r="D171" s="1026"/>
      <c r="E171" s="1026"/>
      <c r="F171" s="1059"/>
      <c r="G171" s="1054"/>
      <c r="H171" s="1269"/>
      <c r="I171" s="1056"/>
      <c r="J171" s="1111"/>
      <c r="K171" s="1033"/>
    </row>
    <row r="172" spans="1:11">
      <c r="A172" s="1037"/>
      <c r="B172" s="1038"/>
      <c r="C172" s="1026"/>
      <c r="D172" s="1026"/>
      <c r="E172" s="1026"/>
      <c r="F172" s="1059"/>
      <c r="G172" s="1054"/>
      <c r="H172" s="1269"/>
      <c r="I172" s="1056"/>
      <c r="J172" s="1111"/>
      <c r="K172" s="1033"/>
    </row>
    <row r="173" spans="1:11">
      <c r="A173" s="1037"/>
      <c r="B173" s="1038"/>
      <c r="C173" s="1026"/>
      <c r="D173" s="1026"/>
      <c r="E173" s="1026"/>
      <c r="F173" s="1059"/>
      <c r="G173" s="1054"/>
      <c r="H173" s="1269"/>
      <c r="I173" s="1056"/>
      <c r="J173" s="1111"/>
      <c r="K173" s="1033"/>
    </row>
    <row r="174" spans="1:11">
      <c r="A174" s="1037"/>
      <c r="B174" s="1038"/>
      <c r="C174" s="1026"/>
      <c r="D174" s="1026"/>
      <c r="E174" s="1026"/>
      <c r="F174" s="1059"/>
      <c r="G174" s="1054"/>
      <c r="H174" s="1269"/>
      <c r="I174" s="1056"/>
      <c r="J174" s="1111"/>
      <c r="K174" s="1033"/>
    </row>
    <row r="175" spans="1:11">
      <c r="A175" s="1037"/>
      <c r="B175" s="1038"/>
      <c r="C175" s="1026"/>
      <c r="D175" s="1026"/>
      <c r="E175" s="1026"/>
      <c r="F175" s="1059"/>
      <c r="G175" s="1059"/>
      <c r="H175" s="1269"/>
      <c r="I175" s="1056"/>
      <c r="J175" s="1111"/>
      <c r="K175" s="1033"/>
    </row>
    <row r="176" spans="1:11">
      <c r="A176" s="1037"/>
      <c r="B176" s="1038"/>
      <c r="C176" s="1026"/>
      <c r="D176" s="1026"/>
      <c r="E176" s="1026"/>
      <c r="F176" s="1059"/>
      <c r="G176" s="1059"/>
      <c r="H176" s="1269"/>
      <c r="I176" s="1056"/>
      <c r="J176" s="1111"/>
      <c r="K176" s="1033"/>
    </row>
    <row r="177" spans="1:11">
      <c r="A177" s="1037"/>
      <c r="B177" s="1038"/>
      <c r="C177" s="1026"/>
      <c r="D177" s="1026"/>
      <c r="E177" s="1026"/>
      <c r="F177" s="1059"/>
      <c r="G177" s="1054"/>
      <c r="H177" s="1269"/>
      <c r="I177" s="1056"/>
      <c r="J177" s="1111"/>
      <c r="K177" s="1033"/>
    </row>
    <row r="178" spans="1:11">
      <c r="A178" s="1037"/>
      <c r="B178" s="1038"/>
      <c r="C178" s="1026"/>
      <c r="D178" s="1026"/>
      <c r="E178" s="1026"/>
      <c r="F178" s="1059"/>
      <c r="G178" s="1054"/>
      <c r="H178" s="1269"/>
      <c r="I178" s="1056"/>
      <c r="J178" s="1111"/>
      <c r="K178" s="1033"/>
    </row>
    <row r="179" spans="1:11">
      <c r="A179" s="1037"/>
      <c r="B179" s="1038"/>
      <c r="C179" s="1026"/>
      <c r="D179" s="1026"/>
      <c r="E179" s="1026"/>
      <c r="F179" s="1059"/>
      <c r="G179" s="1054"/>
      <c r="H179" s="1269"/>
      <c r="I179" s="1056"/>
      <c r="J179" s="1111"/>
      <c r="K179" s="1033"/>
    </row>
    <row r="180" spans="1:11" ht="15.75">
      <c r="A180" s="1037"/>
      <c r="B180" s="1038"/>
      <c r="C180" s="1026"/>
      <c r="D180" s="1026"/>
      <c r="E180" s="1026"/>
      <c r="F180" s="1059"/>
      <c r="G180" s="1059"/>
      <c r="H180" s="1269"/>
      <c r="I180" s="1056"/>
      <c r="J180" s="1111"/>
      <c r="K180" s="1116"/>
    </row>
    <row r="181" spans="1:11">
      <c r="A181" s="1037"/>
      <c r="B181" s="1038"/>
      <c r="C181" s="1026"/>
      <c r="D181" s="1026"/>
      <c r="E181" s="1026"/>
      <c r="F181" s="1059"/>
      <c r="G181" s="1059"/>
      <c r="H181" s="1269"/>
      <c r="I181" s="1056"/>
      <c r="J181" s="1111"/>
      <c r="K181" s="1033"/>
    </row>
    <row r="182" spans="1:11" ht="15.75">
      <c r="A182" s="1037"/>
      <c r="B182" s="1038"/>
      <c r="C182" s="1026"/>
      <c r="D182" s="1026"/>
      <c r="E182" s="1026"/>
      <c r="F182" s="1059"/>
      <c r="G182" s="1054"/>
      <c r="H182" s="1269"/>
      <c r="I182" s="1056"/>
      <c r="J182" s="1111"/>
      <c r="K182" s="1116"/>
    </row>
    <row r="183" spans="1:11" ht="15.75">
      <c r="A183" s="1037"/>
      <c r="B183" s="1038"/>
      <c r="C183" s="1026"/>
      <c r="D183" s="1026"/>
      <c r="E183" s="1026"/>
      <c r="F183" s="1059"/>
      <c r="G183" s="1054"/>
      <c r="H183" s="1269"/>
      <c r="I183" s="1056"/>
      <c r="J183" s="1111"/>
      <c r="K183" s="1116"/>
    </row>
    <row r="184" spans="1:11" ht="15.75">
      <c r="A184" s="1037"/>
      <c r="B184" s="1038"/>
      <c r="C184" s="1026"/>
      <c r="D184" s="1026"/>
      <c r="E184" s="1026"/>
      <c r="F184" s="1059"/>
      <c r="G184" s="1054"/>
      <c r="H184" s="1269"/>
      <c r="I184" s="1056"/>
      <c r="J184" s="1111"/>
      <c r="K184" s="1116"/>
    </row>
    <row r="185" spans="1:11" ht="15.75">
      <c r="A185" s="1037"/>
      <c r="B185" s="1038"/>
      <c r="C185" s="1026"/>
      <c r="D185" s="1026"/>
      <c r="E185" s="1026"/>
      <c r="F185" s="1059"/>
      <c r="G185" s="1054"/>
      <c r="H185" s="1269"/>
      <c r="I185" s="1056"/>
      <c r="J185" s="1111"/>
      <c r="K185" s="1116"/>
    </row>
    <row r="186" spans="1:11" ht="15.75">
      <c r="A186" s="1037"/>
      <c r="B186" s="1038"/>
      <c r="C186" s="1026"/>
      <c r="D186" s="1026"/>
      <c r="E186" s="1026"/>
      <c r="F186" s="1059"/>
      <c r="G186" s="1059"/>
      <c r="H186" s="1269"/>
      <c r="I186" s="1056"/>
      <c r="J186" s="1111"/>
      <c r="K186" s="1116"/>
    </row>
    <row r="187" spans="1:11">
      <c r="A187" s="1037"/>
      <c r="B187" s="1038"/>
      <c r="C187" s="1026"/>
      <c r="D187" s="1026"/>
      <c r="E187" s="1026"/>
      <c r="F187" s="1059"/>
      <c r="G187" s="1059"/>
      <c r="H187" s="1269"/>
      <c r="I187" s="1056"/>
      <c r="J187" s="1111"/>
      <c r="K187" s="1033"/>
    </row>
    <row r="188" spans="1:11" ht="15.75">
      <c r="A188" s="1037"/>
      <c r="B188" s="1038"/>
      <c r="C188" s="1026"/>
      <c r="D188" s="1026"/>
      <c r="E188" s="1026"/>
      <c r="F188" s="1059"/>
      <c r="G188" s="1054"/>
      <c r="H188" s="1269"/>
      <c r="I188" s="1056"/>
      <c r="J188" s="1111"/>
      <c r="K188" s="1116"/>
    </row>
    <row r="189" spans="1:11">
      <c r="A189" s="1037"/>
      <c r="B189" s="1038"/>
      <c r="C189" s="1026"/>
      <c r="D189" s="1026"/>
      <c r="E189" s="1026"/>
      <c r="F189" s="1059"/>
      <c r="G189" s="1059"/>
      <c r="H189" s="1269"/>
      <c r="I189" s="1056"/>
      <c r="J189" s="1111"/>
      <c r="K189" s="1033"/>
    </row>
    <row r="190" spans="1:11">
      <c r="A190" s="1037"/>
      <c r="B190" s="1038"/>
      <c r="C190" s="1026"/>
      <c r="D190" s="1026"/>
      <c r="E190" s="1026"/>
      <c r="F190" s="1059"/>
      <c r="G190" s="1059"/>
      <c r="H190" s="1269"/>
      <c r="I190" s="1056"/>
      <c r="J190" s="1111"/>
      <c r="K190" s="1033"/>
    </row>
    <row r="191" spans="1:11">
      <c r="A191" s="1037"/>
      <c r="B191" s="1038"/>
      <c r="C191" s="1026"/>
      <c r="D191" s="1026"/>
      <c r="E191" s="1026"/>
      <c r="F191" s="1059"/>
      <c r="G191" s="1059"/>
      <c r="H191" s="1269"/>
      <c r="I191" s="1056"/>
      <c r="J191" s="1111"/>
      <c r="K191" s="1033"/>
    </row>
    <row r="192" spans="1:11">
      <c r="A192" s="1037"/>
      <c r="B192" s="1038"/>
      <c r="C192" s="1026"/>
      <c r="D192" s="1026"/>
      <c r="E192" s="1026"/>
      <c r="F192" s="1059"/>
      <c r="G192" s="1059"/>
      <c r="H192" s="1269"/>
      <c r="I192" s="1056"/>
      <c r="J192" s="1111"/>
      <c r="K192" s="1033"/>
    </row>
    <row r="193" spans="1:11">
      <c r="A193" s="1037"/>
      <c r="B193" s="1038"/>
      <c r="C193" s="1026"/>
      <c r="D193" s="1026"/>
      <c r="E193" s="1026"/>
      <c r="F193" s="1059"/>
      <c r="G193" s="1054"/>
      <c r="H193" s="1269"/>
      <c r="I193" s="1056"/>
      <c r="J193" s="1111"/>
      <c r="K193" s="1033"/>
    </row>
    <row r="194" spans="1:11">
      <c r="A194" s="1037"/>
      <c r="B194" s="1038"/>
      <c r="C194" s="1026"/>
      <c r="D194" s="1026"/>
      <c r="E194" s="1026"/>
      <c r="F194" s="1059"/>
      <c r="G194" s="1054"/>
      <c r="H194" s="1269"/>
      <c r="I194" s="1056"/>
      <c r="J194" s="1111"/>
      <c r="K194" s="1033"/>
    </row>
    <row r="195" spans="1:11">
      <c r="A195" s="1037"/>
      <c r="B195" s="1038"/>
      <c r="C195" s="1026"/>
      <c r="D195" s="1026"/>
      <c r="E195" s="1026"/>
      <c r="F195" s="1059"/>
      <c r="G195" s="1054"/>
      <c r="H195" s="1269"/>
      <c r="I195" s="1056"/>
      <c r="J195" s="1111"/>
      <c r="K195" s="1033"/>
    </row>
    <row r="196" spans="1:11">
      <c r="A196" s="1037"/>
      <c r="B196" s="1038"/>
      <c r="C196" s="1026"/>
      <c r="D196" s="1026"/>
      <c r="E196" s="1026"/>
      <c r="F196" s="1059"/>
      <c r="G196" s="1054"/>
      <c r="H196" s="1269"/>
      <c r="I196" s="1056"/>
      <c r="J196" s="1111"/>
      <c r="K196" s="1033"/>
    </row>
    <row r="197" spans="1:11">
      <c r="A197" s="1037"/>
      <c r="B197" s="1038"/>
      <c r="C197" s="1026"/>
      <c r="D197" s="1026"/>
      <c r="E197" s="1026"/>
      <c r="F197" s="1059"/>
      <c r="G197" s="1054"/>
      <c r="H197" s="1269"/>
      <c r="I197" s="1056"/>
      <c r="J197" s="1111"/>
      <c r="K197" s="1033"/>
    </row>
    <row r="198" spans="1:11">
      <c r="A198" s="1037"/>
      <c r="B198" s="1038"/>
      <c r="C198" s="1026"/>
      <c r="D198" s="1026"/>
      <c r="E198" s="1026"/>
      <c r="F198" s="1059"/>
      <c r="G198" s="1054"/>
      <c r="H198" s="1269"/>
      <c r="I198" s="1056"/>
      <c r="J198" s="1111"/>
      <c r="K198" s="1033"/>
    </row>
    <row r="199" spans="1:11">
      <c r="A199" s="1037"/>
      <c r="B199" s="1038"/>
      <c r="C199" s="1026"/>
      <c r="D199" s="1026"/>
      <c r="E199" s="1026"/>
      <c r="F199" s="1059"/>
      <c r="G199" s="1054"/>
      <c r="H199" s="1269"/>
      <c r="I199" s="1056"/>
      <c r="J199" s="1111"/>
      <c r="K199" s="1033"/>
    </row>
    <row r="200" spans="1:11">
      <c r="A200" s="1037"/>
      <c r="B200" s="1038"/>
      <c r="C200" s="1026"/>
      <c r="D200" s="1026"/>
      <c r="E200" s="1026"/>
      <c r="F200" s="1059"/>
      <c r="G200" s="1059"/>
      <c r="H200" s="1269"/>
      <c r="I200" s="1056"/>
      <c r="J200" s="1111"/>
      <c r="K200" s="1033"/>
    </row>
    <row r="201" spans="1:11">
      <c r="A201" s="1037"/>
      <c r="B201" s="1038"/>
      <c r="C201" s="1026"/>
      <c r="D201" s="1026"/>
      <c r="E201" s="1026"/>
      <c r="F201" s="1059"/>
      <c r="G201" s="1059"/>
      <c r="H201" s="1269"/>
      <c r="I201" s="1056"/>
      <c r="J201" s="1111"/>
      <c r="K201" s="1033"/>
    </row>
    <row r="202" spans="1:11" ht="15.75">
      <c r="A202" s="1037"/>
      <c r="B202" s="1038"/>
      <c r="C202" s="1026"/>
      <c r="D202" s="1026"/>
      <c r="E202" s="1026"/>
      <c r="F202" s="1059"/>
      <c r="G202" s="1054"/>
      <c r="H202" s="1269"/>
      <c r="I202" s="1056"/>
      <c r="J202" s="1111"/>
      <c r="K202" s="1116"/>
    </row>
    <row r="203" spans="1:11">
      <c r="A203" s="1037"/>
      <c r="B203" s="1038"/>
      <c r="C203" s="1026"/>
      <c r="D203" s="1026"/>
      <c r="E203" s="1026"/>
      <c r="F203" s="1059"/>
      <c r="G203" s="1054"/>
      <c r="H203" s="1269"/>
      <c r="I203" s="1056"/>
      <c r="J203" s="1111"/>
      <c r="K203" s="1033"/>
    </row>
    <row r="204" spans="1:11">
      <c r="A204" s="1037"/>
      <c r="B204" s="1038"/>
      <c r="C204" s="1025"/>
      <c r="D204" s="1025"/>
      <c r="E204" s="1025"/>
      <c r="F204" s="1061"/>
      <c r="G204" s="1054"/>
      <c r="H204" s="1269"/>
      <c r="I204" s="1056"/>
      <c r="J204" s="1111"/>
      <c r="K204" s="1033"/>
    </row>
    <row r="205" spans="1:11">
      <c r="A205" s="1037"/>
      <c r="B205" s="1038"/>
      <c r="C205" s="1026"/>
      <c r="D205" s="1026"/>
      <c r="E205" s="1026"/>
      <c r="F205" s="1061"/>
      <c r="G205" s="1054"/>
      <c r="H205" s="1269"/>
      <c r="I205" s="1056"/>
      <c r="J205" s="1111"/>
      <c r="K205" s="1033"/>
    </row>
    <row r="206" spans="1:11" ht="15.75">
      <c r="A206" s="1037"/>
      <c r="B206" s="1038"/>
      <c r="C206" s="1026"/>
      <c r="D206" s="1026"/>
      <c r="E206" s="1026"/>
      <c r="F206" s="1059"/>
      <c r="G206" s="1059"/>
      <c r="H206" s="1269"/>
      <c r="I206" s="1056"/>
      <c r="J206" s="1111"/>
      <c r="K206" s="1116"/>
    </row>
    <row r="207" spans="1:11">
      <c r="A207" s="1037"/>
      <c r="B207" s="1038"/>
      <c r="C207" s="1026"/>
      <c r="D207" s="1026"/>
      <c r="E207" s="1026"/>
      <c r="F207" s="1059"/>
      <c r="G207" s="1059"/>
      <c r="H207" s="1269"/>
      <c r="I207" s="1056"/>
      <c r="J207" s="1111"/>
      <c r="K207" s="1033"/>
    </row>
    <row r="208" spans="1:11" ht="15.75">
      <c r="A208" s="1037"/>
      <c r="B208" s="1038"/>
      <c r="C208" s="1026"/>
      <c r="D208" s="1026"/>
      <c r="E208" s="1026"/>
      <c r="F208" s="1059"/>
      <c r="G208" s="1054"/>
      <c r="H208" s="1269"/>
      <c r="I208" s="1056"/>
      <c r="J208" s="1111"/>
      <c r="K208" s="1116"/>
    </row>
    <row r="209" spans="1:11" ht="15.75">
      <c r="A209" s="1037"/>
      <c r="B209" s="1038"/>
      <c r="C209" s="1026"/>
      <c r="D209" s="1026"/>
      <c r="E209" s="1026"/>
      <c r="F209" s="1059"/>
      <c r="G209" s="1054"/>
      <c r="H209" s="1269"/>
      <c r="I209" s="1056"/>
      <c r="J209" s="1111"/>
      <c r="K209" s="1116"/>
    </row>
    <row r="210" spans="1:11" ht="15.75">
      <c r="A210" s="1037"/>
      <c r="B210" s="1038"/>
      <c r="C210" s="1026"/>
      <c r="D210" s="1026"/>
      <c r="E210" s="1026"/>
      <c r="F210" s="1059"/>
      <c r="G210" s="1054"/>
      <c r="H210" s="1269"/>
      <c r="I210" s="1056"/>
      <c r="J210" s="1111"/>
      <c r="K210" s="1116"/>
    </row>
    <row r="211" spans="1:11" ht="15.75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116"/>
    </row>
    <row r="212" spans="1:11" ht="15.75">
      <c r="A212" s="1037"/>
      <c r="B212" s="1038"/>
      <c r="C212" s="1026"/>
      <c r="D212" s="1026"/>
      <c r="E212" s="1026"/>
      <c r="F212" s="1059"/>
      <c r="G212" s="1054"/>
      <c r="H212" s="1269"/>
      <c r="I212" s="1056"/>
      <c r="J212" s="1111"/>
      <c r="K212" s="1116"/>
    </row>
    <row r="213" spans="1:11" ht="15.75">
      <c r="A213" s="1037"/>
      <c r="B213" s="1038"/>
      <c r="C213" s="1026"/>
      <c r="D213" s="1026"/>
      <c r="E213" s="1026"/>
      <c r="F213" s="1059"/>
      <c r="G213" s="1054"/>
      <c r="H213" s="1269"/>
      <c r="I213" s="1056"/>
      <c r="J213" s="1111"/>
      <c r="K213" s="1116"/>
    </row>
    <row r="214" spans="1:11" ht="15.75">
      <c r="A214" s="1037"/>
      <c r="B214" s="1038"/>
      <c r="C214" s="1026"/>
      <c r="D214" s="1026"/>
      <c r="E214" s="1026"/>
      <c r="F214" s="1059"/>
      <c r="G214" s="1054"/>
      <c r="H214" s="1269"/>
      <c r="I214" s="1056"/>
      <c r="J214" s="1111"/>
      <c r="K214" s="1116"/>
    </row>
    <row r="215" spans="1:11" ht="15.75">
      <c r="A215" s="1037"/>
      <c r="B215" s="1038"/>
      <c r="C215" s="1026"/>
      <c r="D215" s="1026"/>
      <c r="E215" s="1026"/>
      <c r="F215" s="1059"/>
      <c r="G215" s="1054"/>
      <c r="H215" s="1269"/>
      <c r="I215" s="1056"/>
      <c r="J215" s="1111"/>
      <c r="K215" s="1116"/>
    </row>
    <row r="216" spans="1:11" ht="15.75">
      <c r="A216" s="1037"/>
      <c r="B216" s="1038"/>
      <c r="C216" s="1026"/>
      <c r="D216" s="1026"/>
      <c r="E216" s="1032"/>
      <c r="F216" s="1059"/>
      <c r="G216" s="1054"/>
      <c r="H216" s="1269"/>
      <c r="I216" s="1056"/>
      <c r="J216" s="1111"/>
      <c r="K216" s="1116"/>
    </row>
    <row r="217" spans="1:11" ht="15.75">
      <c r="A217" s="1037"/>
      <c r="B217" s="1038"/>
      <c r="C217" s="1026"/>
      <c r="D217" s="1026"/>
      <c r="E217" s="1026"/>
      <c r="F217" s="1059"/>
      <c r="G217" s="1054"/>
      <c r="H217" s="1269"/>
      <c r="I217" s="1056"/>
      <c r="J217" s="1111"/>
      <c r="K217" s="1116"/>
    </row>
    <row r="218" spans="1:11" ht="15.75">
      <c r="A218" s="1037"/>
      <c r="B218" s="1038"/>
      <c r="C218" s="1026"/>
      <c r="D218" s="1026"/>
      <c r="E218" s="1026"/>
      <c r="F218" s="1059"/>
      <c r="G218" s="1054"/>
      <c r="H218" s="1269"/>
      <c r="I218" s="1056"/>
      <c r="J218" s="1111"/>
      <c r="K218" s="1116"/>
    </row>
    <row r="219" spans="1:11" ht="15.75">
      <c r="A219" s="1037"/>
      <c r="B219" s="1038"/>
      <c r="C219" s="1026"/>
      <c r="D219" s="1026"/>
      <c r="E219" s="1026"/>
      <c r="F219" s="1059"/>
      <c r="G219" s="1054"/>
      <c r="H219" s="1269"/>
      <c r="I219" s="1056"/>
      <c r="J219" s="1111"/>
      <c r="K219" s="1116"/>
    </row>
    <row r="220" spans="1:11" ht="15.75">
      <c r="A220" s="1037"/>
      <c r="B220" s="1038"/>
      <c r="C220" s="1026"/>
      <c r="D220" s="1026"/>
      <c r="E220" s="1026"/>
      <c r="F220" s="1059"/>
      <c r="G220" s="1054"/>
      <c r="H220" s="1269"/>
      <c r="I220" s="1056"/>
      <c r="J220" s="1111"/>
      <c r="K220" s="1116"/>
    </row>
    <row r="221" spans="1:11">
      <c r="A221" s="1037"/>
      <c r="B221" s="1038"/>
      <c r="C221" s="1026"/>
      <c r="D221" s="1026"/>
      <c r="E221" s="1026"/>
      <c r="F221" s="1059"/>
      <c r="G221" s="1054"/>
      <c r="H221" s="1269"/>
      <c r="I221" s="1056"/>
      <c r="J221" s="1111"/>
      <c r="K221" s="1033"/>
    </row>
    <row r="222" spans="1:11">
      <c r="A222" s="1039"/>
      <c r="B222" s="1039"/>
      <c r="C222" s="1025"/>
      <c r="D222" s="1025"/>
      <c r="E222" s="1025"/>
      <c r="F222" s="1061"/>
      <c r="G222" s="1062"/>
      <c r="H222" s="1269"/>
      <c r="I222" s="1056"/>
      <c r="J222" s="1111"/>
      <c r="K222" s="1033"/>
    </row>
    <row r="223" spans="1:11">
      <c r="A223" s="1039"/>
      <c r="B223" s="1039"/>
      <c r="C223" s="1025"/>
      <c r="D223" s="1025"/>
      <c r="E223" s="1025"/>
      <c r="F223" s="1061"/>
      <c r="G223" s="1062"/>
      <c r="H223" s="1269"/>
      <c r="I223" s="1056"/>
      <c r="J223" s="1111"/>
      <c r="K223" s="1033"/>
    </row>
    <row r="224" spans="1:11">
      <c r="A224" s="1039"/>
      <c r="B224" s="1039"/>
      <c r="C224" s="1025"/>
      <c r="D224" s="1025"/>
      <c r="E224" s="1025"/>
      <c r="F224" s="1061"/>
      <c r="G224" s="1062"/>
      <c r="H224" s="1269"/>
      <c r="I224" s="1056"/>
      <c r="J224" s="1111"/>
      <c r="K224" s="1033"/>
    </row>
    <row r="225" spans="1:11">
      <c r="A225" s="1039"/>
      <c r="B225" s="1039"/>
      <c r="C225" s="1025"/>
      <c r="D225" s="1025"/>
      <c r="E225" s="1025"/>
      <c r="F225" s="1061"/>
      <c r="G225" s="1062"/>
      <c r="H225" s="1269"/>
      <c r="I225" s="1056"/>
      <c r="J225" s="1111"/>
      <c r="K225" s="1033"/>
    </row>
    <row r="226" spans="1:11">
      <c r="A226" s="1039"/>
      <c r="B226" s="1039"/>
      <c r="C226" s="1025"/>
      <c r="D226" s="1025"/>
      <c r="E226" s="1025"/>
      <c r="F226" s="1061"/>
      <c r="G226" s="1062"/>
      <c r="H226" s="1269"/>
      <c r="I226" s="1056"/>
      <c r="J226" s="1111"/>
      <c r="K226" s="1033"/>
    </row>
    <row r="227" spans="1:11">
      <c r="A227" s="1039"/>
      <c r="B227" s="1039"/>
      <c r="C227" s="1025"/>
      <c r="D227" s="1025"/>
      <c r="E227" s="1025"/>
      <c r="F227" s="1061"/>
      <c r="G227" s="1062"/>
      <c r="H227" s="1269"/>
      <c r="I227" s="1056"/>
      <c r="J227" s="1111"/>
      <c r="K227" s="1033"/>
    </row>
    <row r="228" spans="1:11">
      <c r="A228" s="1039"/>
      <c r="B228" s="1039"/>
      <c r="C228" s="1025"/>
      <c r="D228" s="1025"/>
      <c r="E228" s="1025"/>
      <c r="F228" s="1061"/>
      <c r="G228" s="1062"/>
      <c r="H228" s="1269"/>
      <c r="I228" s="1056"/>
      <c r="J228" s="1111"/>
      <c r="K228" s="1033"/>
    </row>
    <row r="229" spans="1:11">
      <c r="A229" s="1039"/>
      <c r="B229" s="1039"/>
      <c r="C229" s="1025"/>
      <c r="D229" s="1025"/>
      <c r="E229" s="1025"/>
      <c r="F229" s="1061"/>
      <c r="G229" s="1062"/>
      <c r="H229" s="1269"/>
      <c r="I229" s="1056"/>
      <c r="J229" s="1111"/>
      <c r="K229" s="1033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1033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1033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1033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1033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1033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1033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1033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1033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1033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1033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1033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1033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1033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1033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1033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1033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1033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1033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1033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1033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1033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1033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1033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1033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1033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1033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1033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1033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1033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1033"/>
    </row>
    <row r="260" spans="1:11">
      <c r="A260" s="1039"/>
      <c r="B260" s="1039"/>
      <c r="C260" s="1025"/>
      <c r="D260" s="1025"/>
      <c r="E260" s="1025"/>
      <c r="F260" s="1061"/>
      <c r="G260" s="1062"/>
      <c r="H260" s="1269"/>
      <c r="I260" s="1056"/>
      <c r="J260" s="1111"/>
      <c r="K260" s="1033"/>
    </row>
    <row r="261" spans="1:11">
      <c r="A261" s="1039"/>
      <c r="B261" s="1039"/>
      <c r="C261" s="1025"/>
      <c r="D261" s="1025"/>
      <c r="E261" s="1025"/>
      <c r="F261" s="1061"/>
      <c r="G261" s="1062"/>
      <c r="H261" s="1269"/>
      <c r="I261" s="1056"/>
      <c r="J261" s="1111"/>
      <c r="K261" s="1033"/>
    </row>
    <row r="262" spans="1:11">
      <c r="A262" s="1039"/>
      <c r="B262" s="1039"/>
      <c r="C262" s="1025"/>
      <c r="D262" s="1025"/>
      <c r="E262" s="1025"/>
      <c r="F262" s="1061"/>
      <c r="G262" s="1062"/>
      <c r="H262" s="1269"/>
      <c r="I262" s="1056"/>
      <c r="J262" s="1111"/>
      <c r="K262" s="1033"/>
    </row>
    <row r="263" spans="1:11">
      <c r="A263" s="1039"/>
      <c r="B263" s="1039"/>
      <c r="C263" s="1025"/>
      <c r="D263" s="1025"/>
      <c r="E263" s="1025"/>
      <c r="F263" s="1061"/>
      <c r="G263" s="1062"/>
      <c r="H263" s="1269"/>
      <c r="I263" s="1056"/>
      <c r="J263" s="1111"/>
      <c r="K263" s="1033"/>
    </row>
    <row r="264" spans="1:11">
      <c r="A264" s="1039"/>
      <c r="B264" s="1039"/>
      <c r="C264" s="1025"/>
      <c r="D264" s="1025"/>
      <c r="E264" s="1025"/>
      <c r="F264" s="1061"/>
      <c r="G264" s="1062"/>
      <c r="H264" s="1269"/>
      <c r="I264" s="1056"/>
      <c r="J264" s="1111"/>
      <c r="K264" s="1033"/>
    </row>
    <row r="265" spans="1:11">
      <c r="A265" s="1039"/>
      <c r="B265" s="1039"/>
      <c r="C265" s="1025"/>
      <c r="D265" s="1025"/>
      <c r="E265" s="1025"/>
      <c r="F265" s="1061"/>
      <c r="G265" s="1062"/>
      <c r="H265" s="1269"/>
      <c r="I265" s="1056"/>
      <c r="J265" s="1111"/>
      <c r="K265" s="1033"/>
    </row>
    <row r="266" spans="1:11">
      <c r="A266" s="1039"/>
      <c r="B266" s="1039"/>
      <c r="C266" s="1025"/>
      <c r="D266" s="1025"/>
      <c r="E266" s="1025"/>
      <c r="F266" s="1061"/>
      <c r="G266" s="1062"/>
      <c r="H266" s="1269"/>
      <c r="I266" s="1056"/>
      <c r="J266" s="1111"/>
      <c r="K266" s="1033"/>
    </row>
    <row r="267" spans="1:11">
      <c r="A267" s="1039"/>
      <c r="B267" s="1039"/>
      <c r="C267" s="1025"/>
      <c r="D267" s="1025"/>
      <c r="E267" s="1025"/>
      <c r="F267" s="1061"/>
      <c r="G267" s="1062"/>
      <c r="H267" s="1269"/>
      <c r="I267" s="1056"/>
      <c r="J267" s="1111"/>
      <c r="K267" s="1033"/>
    </row>
    <row r="268" spans="1:11">
      <c r="A268" s="1039"/>
      <c r="B268" s="1039"/>
      <c r="C268" s="1025"/>
      <c r="D268" s="1025"/>
      <c r="E268" s="1025"/>
      <c r="F268" s="1061"/>
      <c r="G268" s="1062"/>
      <c r="H268" s="1269"/>
      <c r="I268" s="1056"/>
      <c r="J268" s="1111"/>
      <c r="K268" s="1033"/>
    </row>
    <row r="269" spans="1:11">
      <c r="A269" s="1033"/>
      <c r="B269" s="1033"/>
      <c r="C269" s="1033"/>
      <c r="D269" s="1033"/>
      <c r="E269" s="1033"/>
      <c r="F269" s="1033"/>
      <c r="G269" s="1033"/>
      <c r="H269" s="1269"/>
      <c r="I269" s="1056"/>
      <c r="J269" s="1111"/>
      <c r="K269" s="1033"/>
    </row>
    <row r="270" spans="1:11">
      <c r="A270" s="1033"/>
      <c r="B270" s="1033"/>
      <c r="C270" s="1033"/>
      <c r="D270" s="1033"/>
      <c r="E270" s="1033"/>
      <c r="F270" s="1033"/>
      <c r="G270" s="1033"/>
      <c r="H270" s="1269"/>
      <c r="I270" s="1056"/>
      <c r="J270" s="1111"/>
      <c r="K270" s="1033"/>
    </row>
    <row r="271" spans="1:11">
      <c r="A271" s="1033"/>
      <c r="B271" s="1033"/>
      <c r="C271" s="1033"/>
      <c r="D271" s="1033"/>
      <c r="E271" s="1033"/>
      <c r="F271" s="1033"/>
      <c r="G271" s="1033"/>
      <c r="H271" s="1269"/>
      <c r="I271" s="1056"/>
      <c r="J271" s="1111"/>
      <c r="K271" s="1033"/>
    </row>
    <row r="272" spans="1:11">
      <c r="A272" s="1033"/>
      <c r="B272" s="1033"/>
      <c r="C272" s="1033"/>
      <c r="D272" s="1033"/>
      <c r="E272" s="1033"/>
      <c r="F272" s="1033"/>
      <c r="G272" s="1033"/>
      <c r="H272" s="1269"/>
      <c r="I272" s="1056"/>
      <c r="J272" s="1111"/>
      <c r="K272" s="1033"/>
    </row>
    <row r="273" spans="1:11">
      <c r="A273" s="1033"/>
      <c r="B273" s="1033"/>
      <c r="C273" s="1033"/>
      <c r="D273" s="1033"/>
      <c r="E273" s="1033"/>
      <c r="F273" s="1033"/>
      <c r="G273" s="1033"/>
      <c r="H273" s="1269"/>
      <c r="I273" s="1056"/>
      <c r="J273" s="1111"/>
      <c r="K273" s="1033"/>
    </row>
    <row r="274" spans="1:11">
      <c r="A274" s="1033"/>
      <c r="B274" s="1033"/>
      <c r="C274" s="1033"/>
      <c r="D274" s="1033"/>
      <c r="E274" s="1033"/>
      <c r="F274" s="1033"/>
      <c r="G274" s="1033"/>
      <c r="H274" s="1269"/>
      <c r="I274" s="1056"/>
      <c r="J274" s="1111"/>
      <c r="K274" s="1033"/>
    </row>
    <row r="275" spans="1:11">
      <c r="A275" s="1033"/>
      <c r="B275" s="1033"/>
      <c r="C275" s="1033"/>
      <c r="D275" s="1033"/>
      <c r="E275" s="1033"/>
      <c r="F275" s="1033"/>
      <c r="G275" s="1033"/>
      <c r="H275" s="1269"/>
      <c r="I275" s="1056"/>
      <c r="J275" s="1111"/>
      <c r="K275" s="1033"/>
    </row>
    <row r="276" spans="1:11">
      <c r="A276" s="1033"/>
      <c r="B276" s="1033"/>
      <c r="C276" s="1033"/>
      <c r="D276" s="1033"/>
      <c r="E276" s="1033"/>
      <c r="F276" s="1033"/>
      <c r="G276" s="1033"/>
      <c r="H276" s="1269"/>
      <c r="I276" s="1056"/>
      <c r="J276" s="1111"/>
      <c r="K276" s="1033"/>
    </row>
    <row r="277" spans="1:11">
      <c r="A277" s="1033"/>
      <c r="B277" s="1033"/>
      <c r="C277" s="1033"/>
      <c r="D277" s="1033"/>
      <c r="E277" s="1033"/>
      <c r="F277" s="1033"/>
      <c r="G277" s="1033"/>
      <c r="H277" s="1269"/>
      <c r="I277" s="1056"/>
      <c r="J277" s="1111"/>
      <c r="K277" s="1033"/>
    </row>
    <row r="278" spans="1:11">
      <c r="A278" s="1033"/>
      <c r="B278" s="1033"/>
      <c r="C278" s="1033"/>
      <c r="D278" s="1033"/>
      <c r="E278" s="1033"/>
      <c r="F278" s="1033"/>
      <c r="G278" s="1033"/>
      <c r="H278" s="1269"/>
      <c r="I278" s="1056"/>
      <c r="J278" s="1111"/>
      <c r="K278" s="1033"/>
    </row>
    <row r="279" spans="1:11">
      <c r="A279" s="1033"/>
      <c r="B279" s="1033"/>
      <c r="C279" s="1033"/>
      <c r="D279" s="1033"/>
      <c r="E279" s="1033"/>
      <c r="F279" s="1033"/>
      <c r="G279" s="1033"/>
      <c r="H279" s="1269"/>
      <c r="I279" s="1056"/>
      <c r="J279" s="1111"/>
      <c r="K279" s="1033"/>
    </row>
    <row r="280" spans="1:11">
      <c r="A280" s="1033"/>
      <c r="B280" s="1033"/>
      <c r="C280" s="1033"/>
      <c r="D280" s="1033"/>
      <c r="E280" s="1033"/>
      <c r="F280" s="1033"/>
      <c r="G280" s="1033"/>
      <c r="H280" s="1269"/>
      <c r="I280" s="1056"/>
      <c r="J280" s="1111"/>
      <c r="K280" s="1033"/>
    </row>
    <row r="281" spans="1:11">
      <c r="A281" s="1033"/>
      <c r="B281" s="1033"/>
      <c r="C281" s="1033"/>
      <c r="D281" s="1033"/>
      <c r="E281" s="1033"/>
      <c r="F281" s="1033"/>
      <c r="G281" s="1033"/>
      <c r="H281" s="1269"/>
      <c r="I281" s="1056"/>
      <c r="J281" s="1111"/>
      <c r="K281" s="1033"/>
    </row>
    <row r="282" spans="1:11">
      <c r="A282" s="1033"/>
      <c r="B282" s="1033"/>
      <c r="C282" s="1033"/>
      <c r="D282" s="1033"/>
      <c r="E282" s="1033"/>
      <c r="F282" s="1033"/>
      <c r="G282" s="1033"/>
      <c r="H282" s="1269"/>
      <c r="I282" s="1056"/>
      <c r="J282" s="1111"/>
      <c r="K282" s="1033"/>
    </row>
    <row r="283" spans="1:11" ht="15.75" thickBot="1">
      <c r="A283" s="1037"/>
      <c r="B283" s="1038"/>
      <c r="C283" s="1026"/>
      <c r="D283" s="1026"/>
      <c r="E283" s="1026"/>
      <c r="F283" s="1059"/>
      <c r="G283" s="1054"/>
      <c r="H283" s="1269"/>
      <c r="I283" s="1056"/>
      <c r="J283" s="1111"/>
      <c r="K283" s="1033"/>
    </row>
    <row r="284" spans="1:11" ht="20.25" thickBot="1">
      <c r="A284" s="1158"/>
      <c r="B284" s="1159"/>
      <c r="C284" s="1159"/>
      <c r="D284" s="1159"/>
      <c r="E284" s="1159"/>
      <c r="F284" s="1160">
        <f>SUM(F163:F171,F173:F283)</f>
        <v>0</v>
      </c>
      <c r="G284" s="1159"/>
      <c r="H284" s="1293">
        <f>SUM(H63:H283)</f>
        <v>0</v>
      </c>
      <c r="I284" s="1160">
        <f>SUM(I163:I283)</f>
        <v>0</v>
      </c>
      <c r="J284" s="1193"/>
      <c r="K284" s="1116"/>
    </row>
  </sheetData>
  <autoFilter ref="A1:K44" xr:uid="{13F77D65-70A4-490E-85D9-A3C9284604AF}">
    <sortState xmlns:xlrd2="http://schemas.microsoft.com/office/spreadsheetml/2017/richdata2" ref="A2:K47">
      <sortCondition ref="J1:J44"/>
    </sortState>
  </autoFilter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C6D5-8C72-413B-B75A-8097CD510D7E}">
  <dimension ref="A1:K282"/>
  <sheetViews>
    <sheetView zoomScale="85" zoomScaleNormal="85" workbookViewId="0">
      <pane ySplit="1" topLeftCell="A41" activePane="bottomLeft" state="frozen"/>
      <selection pane="bottomLeft" activeCell="C47" sqref="C47"/>
    </sheetView>
  </sheetViews>
  <sheetFormatPr defaultColWidth="9.140625" defaultRowHeight="15"/>
  <cols>
    <col min="1" max="1" width="15.140625" style="1190" bestFit="1" customWidth="1"/>
    <col min="2" max="2" width="13.5703125" style="1190" customWidth="1"/>
    <col min="3" max="3" width="44.5703125" style="1190" bestFit="1" customWidth="1"/>
    <col min="4" max="4" width="22.28515625" style="1190" bestFit="1" customWidth="1"/>
    <col min="5" max="5" width="11.5703125" style="1190" customWidth="1"/>
    <col min="6" max="6" width="22" style="1190" bestFit="1" customWidth="1"/>
    <col min="7" max="7" width="15" style="1190" customWidth="1"/>
    <col min="8" max="8" width="24.85546875" style="1190" bestFit="1" customWidth="1"/>
    <col min="9" max="9" width="23.28515625" style="1190" bestFit="1" customWidth="1"/>
    <col min="10" max="10" width="13.140625" style="1190" customWidth="1"/>
    <col min="11" max="11" width="16.5703125" style="1190" customWidth="1"/>
    <col min="12" max="16384" width="9.140625" style="1190"/>
  </cols>
  <sheetData>
    <row r="1" spans="1:11" ht="14.25" customHeight="1">
      <c r="A1" s="1235" t="s">
        <v>2519</v>
      </c>
      <c r="B1" s="1236" t="s">
        <v>2</v>
      </c>
      <c r="C1" s="1236" t="s">
        <v>3</v>
      </c>
      <c r="D1" s="1236" t="s">
        <v>4</v>
      </c>
      <c r="E1" s="1236" t="s">
        <v>5</v>
      </c>
      <c r="F1" s="1237" t="s">
        <v>644</v>
      </c>
      <c r="G1" s="1238" t="s">
        <v>555</v>
      </c>
      <c r="H1" s="1239" t="s">
        <v>7</v>
      </c>
      <c r="I1" s="1240" t="s">
        <v>307</v>
      </c>
      <c r="J1" s="1238" t="s">
        <v>370</v>
      </c>
      <c r="K1" s="1308" t="s">
        <v>442</v>
      </c>
    </row>
    <row r="2" spans="1:11" s="1031" customFormat="1" ht="15.75">
      <c r="A2" s="1039">
        <v>45623</v>
      </c>
      <c r="B2" s="1039">
        <v>45992</v>
      </c>
      <c r="C2" s="1025" t="s">
        <v>1615</v>
      </c>
      <c r="D2" s="1025" t="s">
        <v>9</v>
      </c>
      <c r="E2" s="1025" t="s">
        <v>10</v>
      </c>
      <c r="F2" s="1061">
        <v>839.54</v>
      </c>
      <c r="G2" s="1062">
        <v>0.1</v>
      </c>
      <c r="H2" s="1055">
        <v>77.23</v>
      </c>
      <c r="I2" s="1242"/>
      <c r="J2" s="1025"/>
      <c r="K2" s="1115" t="s">
        <v>2015</v>
      </c>
    </row>
    <row r="3" spans="1:11" s="1031" customFormat="1" ht="15.75">
      <c r="A3" s="1037">
        <v>45623</v>
      </c>
      <c r="B3" s="1038">
        <v>45992</v>
      </c>
      <c r="C3" s="1026" t="s">
        <v>1920</v>
      </c>
      <c r="D3" s="1026" t="s">
        <v>9</v>
      </c>
      <c r="E3" s="1026" t="s">
        <v>1310</v>
      </c>
      <c r="F3" s="1053">
        <v>1803.87</v>
      </c>
      <c r="G3" s="1054">
        <v>0.1</v>
      </c>
      <c r="H3" s="1023">
        <v>165.95</v>
      </c>
      <c r="I3" s="1056"/>
      <c r="J3" s="1111"/>
      <c r="K3" s="1115" t="s">
        <v>2015</v>
      </c>
    </row>
    <row r="4" spans="1:11" s="1031" customFormat="1" ht="15.75">
      <c r="A4" s="1037" t="s">
        <v>2739</v>
      </c>
      <c r="B4" s="1038">
        <v>45992</v>
      </c>
      <c r="C4" s="1026" t="s">
        <v>2740</v>
      </c>
      <c r="D4" s="1026" t="s">
        <v>25</v>
      </c>
      <c r="E4" s="1026" t="s">
        <v>22</v>
      </c>
      <c r="F4" s="1059">
        <v>784.99</v>
      </c>
      <c r="G4" s="1054">
        <v>0.1</v>
      </c>
      <c r="H4" s="1055">
        <v>72.209999999999994</v>
      </c>
      <c r="I4" s="1056"/>
      <c r="J4" s="1111"/>
      <c r="K4" s="1115" t="s">
        <v>2015</v>
      </c>
    </row>
    <row r="5" spans="1:11" s="1464" customFormat="1" ht="15.75">
      <c r="A5" s="1039">
        <v>45628</v>
      </c>
      <c r="B5" s="1039">
        <v>45992</v>
      </c>
      <c r="C5" s="1025" t="s">
        <v>1609</v>
      </c>
      <c r="D5" s="1025" t="s">
        <v>14</v>
      </c>
      <c r="E5" s="1025" t="s">
        <v>279</v>
      </c>
      <c r="F5" s="1061">
        <v>1588.59</v>
      </c>
      <c r="G5" s="1062">
        <v>0.1</v>
      </c>
      <c r="H5" s="1055">
        <v>146.15</v>
      </c>
      <c r="I5" s="1242"/>
      <c r="J5" s="1025"/>
      <c r="K5" s="1115" t="s">
        <v>2015</v>
      </c>
    </row>
    <row r="6" spans="1:11" s="1464" customFormat="1" ht="15.75">
      <c r="A6" s="1037">
        <v>45628</v>
      </c>
      <c r="B6" s="1038">
        <v>45993</v>
      </c>
      <c r="C6" s="1025" t="s">
        <v>2741</v>
      </c>
      <c r="D6" s="1026" t="s">
        <v>9</v>
      </c>
      <c r="E6" s="1026" t="s">
        <v>1593</v>
      </c>
      <c r="F6" s="1059">
        <v>2293.16</v>
      </c>
      <c r="G6" s="1054">
        <v>0.1</v>
      </c>
      <c r="H6" s="1055">
        <v>210.97</v>
      </c>
      <c r="I6" s="1056"/>
      <c r="J6" s="1111"/>
      <c r="K6" s="1115" t="s">
        <v>2010</v>
      </c>
    </row>
    <row r="7" spans="1:11" s="1224" customFormat="1" ht="15.75">
      <c r="A7" s="1039">
        <v>45629</v>
      </c>
      <c r="B7" s="1039">
        <v>45995</v>
      </c>
      <c r="C7" s="1025" t="s">
        <v>2742</v>
      </c>
      <c r="D7" s="1025" t="s">
        <v>70</v>
      </c>
      <c r="E7" s="1025" t="s">
        <v>1552</v>
      </c>
      <c r="F7" s="1061">
        <v>4696.58</v>
      </c>
      <c r="G7" s="1062">
        <v>0.1</v>
      </c>
      <c r="H7" s="1055">
        <v>432.08</v>
      </c>
      <c r="I7" s="1242">
        <v>216.04</v>
      </c>
      <c r="J7" s="1025" t="s">
        <v>1482</v>
      </c>
      <c r="K7" s="1115" t="s">
        <v>2015</v>
      </c>
    </row>
    <row r="8" spans="1:11" s="1224" customFormat="1" ht="15.75">
      <c r="A8" s="1039">
        <v>45630</v>
      </c>
      <c r="B8" s="1039">
        <v>45995</v>
      </c>
      <c r="C8" s="1025" t="s">
        <v>2389</v>
      </c>
      <c r="D8" s="1025" t="s">
        <v>9</v>
      </c>
      <c r="E8" s="1025" t="s">
        <v>29</v>
      </c>
      <c r="F8" s="1061">
        <v>1504.02</v>
      </c>
      <c r="G8" s="1062">
        <v>0.1</v>
      </c>
      <c r="H8" s="1055">
        <v>138.36000000000001</v>
      </c>
      <c r="I8" s="1242"/>
      <c r="J8" s="1025"/>
      <c r="K8" s="1115" t="s">
        <v>2015</v>
      </c>
    </row>
    <row r="9" spans="1:11" s="1032" customFormat="1" ht="15.75">
      <c r="A9" s="1043">
        <v>45630</v>
      </c>
      <c r="B9" s="1045">
        <v>45995</v>
      </c>
      <c r="C9" s="1075" t="s">
        <v>1180</v>
      </c>
      <c r="D9" s="1075" t="s">
        <v>448</v>
      </c>
      <c r="E9" s="1075" t="s">
        <v>19</v>
      </c>
      <c r="F9" s="1102">
        <v>1065.73</v>
      </c>
      <c r="G9" s="1076">
        <v>0.1</v>
      </c>
      <c r="H9" s="1260">
        <v>98.04</v>
      </c>
      <c r="I9" s="1077"/>
      <c r="J9" s="1261"/>
      <c r="K9" s="1291" t="s">
        <v>2015</v>
      </c>
    </row>
    <row r="10" spans="1:11" ht="15.75">
      <c r="A10" s="1037">
        <v>45631</v>
      </c>
      <c r="B10" s="1038">
        <v>45997</v>
      </c>
      <c r="C10" s="1026" t="s">
        <v>1930</v>
      </c>
      <c r="D10" s="1026" t="s">
        <v>9</v>
      </c>
      <c r="E10" s="1026" t="s">
        <v>1593</v>
      </c>
      <c r="F10" s="1059">
        <v>1769.95</v>
      </c>
      <c r="G10" s="1054">
        <v>0.1</v>
      </c>
      <c r="H10" s="1055">
        <v>162.83000000000001</v>
      </c>
      <c r="I10" s="1056"/>
      <c r="J10" s="1111"/>
      <c r="K10" s="1115" t="s">
        <v>2015</v>
      </c>
    </row>
    <row r="11" spans="1:11" ht="15" customHeight="1">
      <c r="A11" s="1037">
        <v>45632</v>
      </c>
      <c r="B11" s="1038">
        <v>45997</v>
      </c>
      <c r="C11" s="1026" t="s">
        <v>1173</v>
      </c>
      <c r="D11" s="1026" t="s">
        <v>9</v>
      </c>
      <c r="E11" s="1026" t="s">
        <v>279</v>
      </c>
      <c r="F11" s="1059">
        <v>3429.16</v>
      </c>
      <c r="G11" s="1054">
        <v>0.1</v>
      </c>
      <c r="H11" s="1055">
        <v>315.48</v>
      </c>
      <c r="I11" s="1056"/>
      <c r="J11" s="1111"/>
      <c r="K11" s="1115" t="s">
        <v>2015</v>
      </c>
    </row>
    <row r="12" spans="1:11" s="1032" customFormat="1" ht="15.75">
      <c r="A12" s="1037">
        <v>45631</v>
      </c>
      <c r="B12" s="1038">
        <v>45998</v>
      </c>
      <c r="C12" s="1025" t="s">
        <v>1162</v>
      </c>
      <c r="D12" s="1025" t="s">
        <v>70</v>
      </c>
      <c r="E12" s="1025" t="s">
        <v>279</v>
      </c>
      <c r="F12" s="1061">
        <v>2010.84</v>
      </c>
      <c r="G12" s="1062">
        <v>0.1</v>
      </c>
      <c r="H12" s="1055">
        <v>184.99</v>
      </c>
      <c r="I12" s="1056"/>
      <c r="J12" s="1111"/>
      <c r="K12" s="1115" t="s">
        <v>2015</v>
      </c>
    </row>
    <row r="13" spans="1:11" s="1032" customFormat="1" ht="15.75">
      <c r="A13" s="1223">
        <v>45637</v>
      </c>
      <c r="B13" s="1472">
        <v>46000</v>
      </c>
      <c r="C13" s="1224" t="s">
        <v>2243</v>
      </c>
      <c r="D13" s="1224" t="s">
        <v>448</v>
      </c>
      <c r="E13" s="1224" t="s">
        <v>19</v>
      </c>
      <c r="F13" s="1407">
        <v>4600.9399999999996</v>
      </c>
      <c r="G13" s="1409">
        <v>0.1</v>
      </c>
      <c r="H13" s="1226">
        <v>423.28</v>
      </c>
      <c r="I13" s="1227">
        <v>211.64</v>
      </c>
      <c r="J13" s="1228" t="s">
        <v>1996</v>
      </c>
      <c r="K13" s="1231" t="s">
        <v>2015</v>
      </c>
    </row>
    <row r="14" spans="1:11" s="1032" customFormat="1" ht="15.75">
      <c r="A14" s="1037">
        <v>45635</v>
      </c>
      <c r="B14" s="1038">
        <v>46000</v>
      </c>
      <c r="C14" s="1026" t="s">
        <v>1624</v>
      </c>
      <c r="D14" s="1026" t="s">
        <v>25</v>
      </c>
      <c r="E14" s="1025" t="s">
        <v>10</v>
      </c>
      <c r="F14" s="1023">
        <v>746.98</v>
      </c>
      <c r="G14" s="1062">
        <v>0.15</v>
      </c>
      <c r="H14" s="1055">
        <v>112.04</v>
      </c>
      <c r="I14" s="1056"/>
      <c r="J14" s="1111"/>
      <c r="K14" s="1115" t="s">
        <v>2015</v>
      </c>
    </row>
    <row r="15" spans="1:11" s="1032" customFormat="1" ht="15.75">
      <c r="A15" s="1037">
        <v>45636</v>
      </c>
      <c r="B15" s="1038">
        <v>46001</v>
      </c>
      <c r="C15" s="1025" t="s">
        <v>1929</v>
      </c>
      <c r="D15" s="1026" t="s">
        <v>9</v>
      </c>
      <c r="E15" s="1025" t="s">
        <v>1310</v>
      </c>
      <c r="F15" s="1061">
        <v>2571.38</v>
      </c>
      <c r="G15" s="1062">
        <v>0.1</v>
      </c>
      <c r="H15" s="1055">
        <v>236.56</v>
      </c>
      <c r="I15" s="1056"/>
      <c r="J15" s="1111"/>
      <c r="K15" s="1115" t="s">
        <v>2015</v>
      </c>
    </row>
    <row r="16" spans="1:11" s="1032" customFormat="1" ht="15.75">
      <c r="A16" s="1037">
        <v>45636</v>
      </c>
      <c r="B16" s="1038">
        <v>46001</v>
      </c>
      <c r="C16" s="1025" t="s">
        <v>2743</v>
      </c>
      <c r="D16" s="1026" t="s">
        <v>448</v>
      </c>
      <c r="E16" s="1025" t="s">
        <v>279</v>
      </c>
      <c r="F16" s="1061">
        <v>3083.17</v>
      </c>
      <c r="G16" s="1062">
        <v>0.1</v>
      </c>
      <c r="H16" s="1055">
        <v>283.64999999999998</v>
      </c>
      <c r="I16" s="1056"/>
      <c r="J16" s="1111"/>
      <c r="K16" s="1115" t="s">
        <v>2010</v>
      </c>
    </row>
    <row r="17" spans="1:11" s="1032" customFormat="1" ht="15.75">
      <c r="A17" s="1037">
        <v>45636</v>
      </c>
      <c r="B17" s="1038">
        <v>46001</v>
      </c>
      <c r="C17" s="1025" t="s">
        <v>1926</v>
      </c>
      <c r="D17" s="1026" t="s">
        <v>448</v>
      </c>
      <c r="E17" s="1025" t="s">
        <v>19</v>
      </c>
      <c r="F17" s="1061">
        <v>1005.5</v>
      </c>
      <c r="G17" s="1062">
        <v>0.25</v>
      </c>
      <c r="H17" s="1055">
        <v>231.26</v>
      </c>
      <c r="I17" s="1056"/>
      <c r="J17" s="1111"/>
      <c r="K17" s="1115" t="s">
        <v>2015</v>
      </c>
    </row>
    <row r="18" spans="1:11" s="1032" customFormat="1">
      <c r="A18" s="1039">
        <v>45637</v>
      </c>
      <c r="B18" s="1039">
        <v>46003</v>
      </c>
      <c r="C18" s="1039" t="s">
        <v>1640</v>
      </c>
      <c r="D18" s="1039" t="s">
        <v>61</v>
      </c>
      <c r="E18" s="1039" t="s">
        <v>29</v>
      </c>
      <c r="F18" s="1023">
        <v>4282.5</v>
      </c>
      <c r="G18" s="1062">
        <v>0.1</v>
      </c>
      <c r="H18" s="1023">
        <v>393.99</v>
      </c>
      <c r="I18" s="1089"/>
      <c r="J18" s="1325"/>
      <c r="K18" s="1039" t="s">
        <v>2015</v>
      </c>
    </row>
    <row r="19" spans="1:11" s="1032" customFormat="1" ht="15.75">
      <c r="A19" s="1039">
        <v>45637</v>
      </c>
      <c r="B19" s="1039">
        <v>46004</v>
      </c>
      <c r="C19" s="1025" t="s">
        <v>966</v>
      </c>
      <c r="D19" s="1025" t="s">
        <v>9</v>
      </c>
      <c r="E19" s="1025" t="s">
        <v>948</v>
      </c>
      <c r="F19" s="1061">
        <v>1024.31</v>
      </c>
      <c r="G19" s="1062">
        <v>0.15</v>
      </c>
      <c r="H19" s="1055">
        <v>141.35</v>
      </c>
      <c r="I19" s="1056"/>
      <c r="J19" s="1111"/>
      <c r="K19" s="1115" t="s">
        <v>2015</v>
      </c>
    </row>
    <row r="20" spans="1:11" s="1032" customFormat="1" ht="15.75">
      <c r="A20" s="1037">
        <v>45637</v>
      </c>
      <c r="B20" s="1039">
        <v>46005</v>
      </c>
      <c r="C20" s="1025" t="s">
        <v>1155</v>
      </c>
      <c r="D20" s="1026" t="s">
        <v>61</v>
      </c>
      <c r="E20" s="1025" t="s">
        <v>29</v>
      </c>
      <c r="F20" s="1061">
        <v>1985.84</v>
      </c>
      <c r="G20" s="1062">
        <v>0.25</v>
      </c>
      <c r="H20" s="1055">
        <v>456.74</v>
      </c>
      <c r="I20" s="1056"/>
      <c r="J20" s="1111"/>
      <c r="K20" s="1115" t="s">
        <v>2015</v>
      </c>
    </row>
    <row r="21" spans="1:11" s="1032" customFormat="1" ht="15.75">
      <c r="A21" s="1037">
        <v>45638</v>
      </c>
      <c r="B21" s="1039">
        <v>46006</v>
      </c>
      <c r="C21" s="1025" t="s">
        <v>1933</v>
      </c>
      <c r="D21" s="1026" t="s">
        <v>9</v>
      </c>
      <c r="E21" s="1025" t="s">
        <v>1552</v>
      </c>
      <c r="F21" s="1061">
        <v>1844.71</v>
      </c>
      <c r="G21" s="1062">
        <v>0.1</v>
      </c>
      <c r="H21" s="1055">
        <v>169.71</v>
      </c>
      <c r="I21" s="1056"/>
      <c r="J21" s="1111"/>
      <c r="K21" s="1115" t="s">
        <v>2015</v>
      </c>
    </row>
    <row r="22" spans="1:11" s="1032" customFormat="1" ht="15.75">
      <c r="A22" s="1037">
        <v>45639</v>
      </c>
      <c r="B22" s="1039">
        <v>46006</v>
      </c>
      <c r="C22" s="1025" t="s">
        <v>2744</v>
      </c>
      <c r="D22" s="1026" t="s">
        <v>25</v>
      </c>
      <c r="E22" s="1025" t="s">
        <v>948</v>
      </c>
      <c r="F22" s="1023">
        <v>2768.51</v>
      </c>
      <c r="G22" s="1062">
        <v>0.1</v>
      </c>
      <c r="H22" s="1055">
        <v>254.7</v>
      </c>
      <c r="I22" s="1056"/>
      <c r="J22" s="1111"/>
      <c r="K22" s="1115" t="s">
        <v>2015</v>
      </c>
    </row>
    <row r="23" spans="1:11" s="1032" customFormat="1" ht="15.75">
      <c r="A23" s="1039">
        <v>45637</v>
      </c>
      <c r="B23" s="1039">
        <v>46006</v>
      </c>
      <c r="C23" s="1025" t="s">
        <v>2392</v>
      </c>
      <c r="D23" s="1025" t="s">
        <v>448</v>
      </c>
      <c r="E23" s="1025" t="s">
        <v>2682</v>
      </c>
      <c r="F23" s="1061">
        <v>3115.83</v>
      </c>
      <c r="G23" s="1062">
        <v>0.1</v>
      </c>
      <c r="H23" s="1055">
        <v>286.64999999999998</v>
      </c>
      <c r="I23" s="1242"/>
      <c r="J23" s="1025"/>
      <c r="K23" s="1115" t="s">
        <v>2015</v>
      </c>
    </row>
    <row r="24" spans="1:11" s="1032" customFormat="1" ht="15.75">
      <c r="A24" s="1223">
        <v>45637</v>
      </c>
      <c r="B24" s="1406">
        <v>46007</v>
      </c>
      <c r="C24" s="1464" t="s">
        <v>1934</v>
      </c>
      <c r="D24" s="1225" t="s">
        <v>149</v>
      </c>
      <c r="E24" s="1225" t="s">
        <v>279</v>
      </c>
      <c r="F24" s="1408">
        <v>553.11</v>
      </c>
      <c r="G24" s="1409">
        <v>0.1</v>
      </c>
      <c r="H24" s="1226">
        <v>50.88</v>
      </c>
      <c r="I24" s="1227">
        <v>25.44</v>
      </c>
      <c r="J24" s="1228" t="s">
        <v>1996</v>
      </c>
      <c r="K24" s="1231" t="s">
        <v>2015</v>
      </c>
    </row>
    <row r="25" spans="1:11" s="1313" customFormat="1" ht="15.75">
      <c r="A25" s="1037">
        <v>45637</v>
      </c>
      <c r="B25" s="1038">
        <v>46007</v>
      </c>
      <c r="C25" s="1025" t="s">
        <v>2745</v>
      </c>
      <c r="D25" s="1026" t="s">
        <v>25</v>
      </c>
      <c r="E25" s="1026" t="s">
        <v>279</v>
      </c>
      <c r="F25" s="1053">
        <v>489.91</v>
      </c>
      <c r="G25" s="1054">
        <v>0.1</v>
      </c>
      <c r="H25" s="1055">
        <v>45.07</v>
      </c>
      <c r="I25" s="1056"/>
      <c r="J25" s="1111"/>
      <c r="K25" s="1115" t="s">
        <v>2015</v>
      </c>
    </row>
    <row r="26" spans="1:11" s="1032" customFormat="1" ht="15.75">
      <c r="A26" s="1037">
        <v>45642</v>
      </c>
      <c r="B26" s="1038">
        <v>46007</v>
      </c>
      <c r="C26" s="1025" t="s">
        <v>2746</v>
      </c>
      <c r="D26" s="1026" t="s">
        <v>2472</v>
      </c>
      <c r="E26" s="1026" t="s">
        <v>19</v>
      </c>
      <c r="F26" s="1053">
        <v>7109.93</v>
      </c>
      <c r="G26" s="1054">
        <v>0.1</v>
      </c>
      <c r="H26" s="1023">
        <v>654.11</v>
      </c>
      <c r="I26" s="1056"/>
      <c r="J26" s="1111"/>
      <c r="K26" s="1115" t="s">
        <v>2010</v>
      </c>
    </row>
    <row r="27" spans="1:11" s="1032" customFormat="1" ht="15.75">
      <c r="A27" s="1037">
        <v>45643</v>
      </c>
      <c r="B27" s="1038">
        <v>46008</v>
      </c>
      <c r="C27" s="1025" t="s">
        <v>2157</v>
      </c>
      <c r="D27" s="1026" t="s">
        <v>9</v>
      </c>
      <c r="E27" s="1026" t="s">
        <v>1552</v>
      </c>
      <c r="F27" s="1059">
        <v>2973.12</v>
      </c>
      <c r="G27" s="1054">
        <v>0.1</v>
      </c>
      <c r="H27" s="1055">
        <v>273.52</v>
      </c>
      <c r="I27" s="1056"/>
      <c r="J27" s="1111"/>
      <c r="K27" s="1115" t="s">
        <v>2015</v>
      </c>
    </row>
    <row r="28" spans="1:11" s="1032" customFormat="1" ht="15.75">
      <c r="A28" s="1041">
        <v>45639</v>
      </c>
      <c r="B28" s="1041">
        <v>46009</v>
      </c>
      <c r="C28" s="1027" t="s">
        <v>1200</v>
      </c>
      <c r="D28" s="1027" t="s">
        <v>9</v>
      </c>
      <c r="E28" s="1027" t="s">
        <v>458</v>
      </c>
      <c r="F28" s="1090">
        <v>2997.67</v>
      </c>
      <c r="G28" s="1066">
        <v>0.1</v>
      </c>
      <c r="H28" s="1067">
        <v>275.77999999999997</v>
      </c>
      <c r="I28" s="1243"/>
      <c r="J28" s="1027" t="s">
        <v>1470</v>
      </c>
      <c r="K28" s="1117" t="s">
        <v>2015</v>
      </c>
    </row>
    <row r="29" spans="1:11" s="1032" customFormat="1" ht="15.75">
      <c r="A29" s="1223">
        <v>45638</v>
      </c>
      <c r="B29" s="1472">
        <v>46009</v>
      </c>
      <c r="C29" s="1224" t="s">
        <v>2386</v>
      </c>
      <c r="D29" s="1225" t="s">
        <v>448</v>
      </c>
      <c r="E29" s="1225" t="s">
        <v>19</v>
      </c>
      <c r="F29" s="1477">
        <v>2965.29</v>
      </c>
      <c r="G29" s="1480">
        <v>0.1</v>
      </c>
      <c r="H29" s="1226">
        <v>272.8</v>
      </c>
      <c r="I29" s="1227">
        <v>136.4</v>
      </c>
      <c r="J29" s="1228" t="s">
        <v>1577</v>
      </c>
      <c r="K29" s="1231" t="s">
        <v>2015</v>
      </c>
    </row>
    <row r="30" spans="1:11" s="1032" customFormat="1" ht="15.75">
      <c r="A30" s="1037">
        <v>45638</v>
      </c>
      <c r="B30" s="1038">
        <v>46009</v>
      </c>
      <c r="C30" s="1026" t="s">
        <v>826</v>
      </c>
      <c r="D30" s="1026" t="s">
        <v>448</v>
      </c>
      <c r="E30" s="1026" t="s">
        <v>22</v>
      </c>
      <c r="F30" s="1059">
        <v>4324.0200000000004</v>
      </c>
      <c r="G30" s="1054">
        <v>0.1</v>
      </c>
      <c r="H30" s="1055">
        <v>397.8</v>
      </c>
      <c r="I30" s="1056"/>
      <c r="J30" s="1111"/>
      <c r="K30" s="1115" t="s">
        <v>2015</v>
      </c>
    </row>
    <row r="31" spans="1:11" s="1032" customFormat="1" ht="15.75">
      <c r="A31" s="1037">
        <v>45644</v>
      </c>
      <c r="B31" s="1038">
        <v>46009</v>
      </c>
      <c r="C31" s="1026" t="s">
        <v>2747</v>
      </c>
      <c r="D31" s="1026" t="s">
        <v>9</v>
      </c>
      <c r="E31" s="1026" t="s">
        <v>1593</v>
      </c>
      <c r="F31" s="1053">
        <v>2354.6799999999998</v>
      </c>
      <c r="G31" s="1054">
        <v>0.1</v>
      </c>
      <c r="H31" s="1055">
        <v>216.63</v>
      </c>
      <c r="I31" s="1056"/>
      <c r="J31" s="1111"/>
      <c r="K31" s="1115" t="s">
        <v>2010</v>
      </c>
    </row>
    <row r="32" spans="1:11" s="1032" customFormat="1" ht="15.75">
      <c r="A32" s="1223">
        <v>45645</v>
      </c>
      <c r="B32" s="1472">
        <v>46010</v>
      </c>
      <c r="C32" s="1224" t="s">
        <v>2151</v>
      </c>
      <c r="D32" s="1225" t="s">
        <v>448</v>
      </c>
      <c r="E32" s="1225" t="s">
        <v>19</v>
      </c>
      <c r="F32" s="1477">
        <v>2057.25</v>
      </c>
      <c r="G32" s="1480">
        <v>0.1</v>
      </c>
      <c r="H32" s="1226">
        <v>189.26</v>
      </c>
      <c r="I32" s="1227">
        <v>94.63</v>
      </c>
      <c r="J32" s="1228" t="s">
        <v>1996</v>
      </c>
      <c r="K32" s="1231" t="s">
        <v>2015</v>
      </c>
    </row>
    <row r="33" spans="1:11" s="1032" customFormat="1" ht="15.75">
      <c r="A33" s="1037">
        <v>45644</v>
      </c>
      <c r="B33" s="1038">
        <v>46010</v>
      </c>
      <c r="C33" s="1026" t="s">
        <v>2748</v>
      </c>
      <c r="D33" s="1026" t="s">
        <v>21</v>
      </c>
      <c r="E33" s="1025" t="s">
        <v>945</v>
      </c>
      <c r="F33" s="1061">
        <v>2228.2399999999998</v>
      </c>
      <c r="G33" s="1062">
        <v>0.15</v>
      </c>
      <c r="H33" s="1055">
        <v>307.49</v>
      </c>
      <c r="I33" s="1056"/>
      <c r="J33" s="1111"/>
      <c r="K33" s="1115" t="s">
        <v>2015</v>
      </c>
    </row>
    <row r="34" spans="1:11" s="1032" customFormat="1" ht="15.75">
      <c r="A34" s="1037">
        <v>45639</v>
      </c>
      <c r="B34" s="1038">
        <v>46011</v>
      </c>
      <c r="C34" s="1026" t="s">
        <v>2158</v>
      </c>
      <c r="D34" s="1026" t="s">
        <v>25</v>
      </c>
      <c r="E34" s="1026" t="s">
        <v>948</v>
      </c>
      <c r="F34" s="1059">
        <v>2228.75</v>
      </c>
      <c r="G34" s="1054">
        <v>0.1</v>
      </c>
      <c r="H34" s="1055">
        <v>250.04</v>
      </c>
      <c r="I34" s="1056"/>
      <c r="J34" s="1111"/>
      <c r="K34" s="1115" t="s">
        <v>2015</v>
      </c>
    </row>
    <row r="35" spans="1:11" s="1032" customFormat="1" ht="15.75">
      <c r="A35" s="1037">
        <v>45643</v>
      </c>
      <c r="B35" s="1039">
        <v>46012</v>
      </c>
      <c r="C35" s="1025" t="s">
        <v>1637</v>
      </c>
      <c r="D35" s="1026" t="s">
        <v>9</v>
      </c>
      <c r="E35" s="1025" t="s">
        <v>19</v>
      </c>
      <c r="F35" s="1061">
        <v>1305.7</v>
      </c>
      <c r="G35" s="1062">
        <v>0.15</v>
      </c>
      <c r="H35" s="1055">
        <v>180.18</v>
      </c>
      <c r="I35" s="1056"/>
      <c r="J35" s="1111"/>
      <c r="K35" s="1115" t="s">
        <v>2015</v>
      </c>
    </row>
    <row r="36" spans="1:11" s="1032" customFormat="1" ht="15.75">
      <c r="A36" s="1037">
        <v>45646</v>
      </c>
      <c r="B36" s="1038">
        <v>46012</v>
      </c>
      <c r="C36" s="1026" t="s">
        <v>2749</v>
      </c>
      <c r="D36" s="1026" t="s">
        <v>9</v>
      </c>
      <c r="E36" s="1026" t="s">
        <v>458</v>
      </c>
      <c r="F36" s="1071">
        <v>4401.43</v>
      </c>
      <c r="G36" s="1054">
        <v>0.1</v>
      </c>
      <c r="H36" s="1055">
        <v>404.89</v>
      </c>
      <c r="I36" s="1056"/>
      <c r="J36" s="1111"/>
      <c r="K36" s="1115" t="s">
        <v>2015</v>
      </c>
    </row>
    <row r="37" spans="1:11" s="1032" customFormat="1" ht="15.75">
      <c r="A37" s="1037">
        <v>45642</v>
      </c>
      <c r="B37" s="1038">
        <v>46014</v>
      </c>
      <c r="C37" s="1026" t="s">
        <v>140</v>
      </c>
      <c r="D37" s="1026" t="s">
        <v>9</v>
      </c>
      <c r="E37" s="1026" t="s">
        <v>1310</v>
      </c>
      <c r="F37" s="1059">
        <v>1727.46</v>
      </c>
      <c r="G37" s="1054">
        <v>0.2</v>
      </c>
      <c r="H37" s="1055">
        <v>317.85000000000002</v>
      </c>
      <c r="I37" s="1056"/>
      <c r="J37" s="1111"/>
      <c r="K37" s="1115" t="s">
        <v>2015</v>
      </c>
    </row>
    <row r="38" spans="1:11" s="1032" customFormat="1" ht="15.75">
      <c r="A38" s="1037">
        <v>45646</v>
      </c>
      <c r="B38" s="1038">
        <v>46014</v>
      </c>
      <c r="C38" s="1026" t="s">
        <v>2750</v>
      </c>
      <c r="D38" s="1026" t="s">
        <v>448</v>
      </c>
      <c r="E38" s="1026" t="s">
        <v>10</v>
      </c>
      <c r="F38" s="1059">
        <v>2391.06</v>
      </c>
      <c r="G38" s="1054">
        <v>0.1</v>
      </c>
      <c r="H38" s="1055">
        <v>219.97</v>
      </c>
      <c r="I38" s="1056"/>
      <c r="J38" s="1111"/>
      <c r="K38" s="1115" t="s">
        <v>2015</v>
      </c>
    </row>
    <row r="39" spans="1:11" s="1032" customFormat="1" ht="15.75">
      <c r="A39" s="1037">
        <v>45649</v>
      </c>
      <c r="B39" s="1038">
        <v>46014</v>
      </c>
      <c r="C39" s="1026" t="s">
        <v>1197</v>
      </c>
      <c r="D39" s="1026" t="s">
        <v>422</v>
      </c>
      <c r="E39" s="1026" t="s">
        <v>19</v>
      </c>
      <c r="F39" s="1059">
        <v>1997.45</v>
      </c>
      <c r="G39" s="1054">
        <v>0.1</v>
      </c>
      <c r="H39" s="1055">
        <v>183.76</v>
      </c>
      <c r="I39" s="1056"/>
      <c r="J39" s="1111"/>
      <c r="K39" s="1115" t="s">
        <v>2015</v>
      </c>
    </row>
    <row r="40" spans="1:11" s="1032" customFormat="1" ht="15.75">
      <c r="A40" s="1040">
        <v>45652</v>
      </c>
      <c r="B40" s="1042">
        <v>46017</v>
      </c>
      <c r="C40" s="1027" t="s">
        <v>1938</v>
      </c>
      <c r="D40" s="1030" t="s">
        <v>9</v>
      </c>
      <c r="E40" s="1030" t="s">
        <v>19</v>
      </c>
      <c r="F40" s="1072">
        <v>2953.69</v>
      </c>
      <c r="G40" s="1073">
        <v>0.1</v>
      </c>
      <c r="H40" s="1067">
        <v>271.73</v>
      </c>
      <c r="I40" s="1068"/>
      <c r="J40" s="1112" t="s">
        <v>1470</v>
      </c>
      <c r="K40" s="1117" t="s">
        <v>2015</v>
      </c>
    </row>
    <row r="41" spans="1:11" s="1032" customFormat="1" ht="15.75">
      <c r="A41" s="1037">
        <v>45645</v>
      </c>
      <c r="B41" s="1038">
        <v>46017</v>
      </c>
      <c r="C41" s="1025" t="s">
        <v>1202</v>
      </c>
      <c r="D41" s="1026" t="s">
        <v>25</v>
      </c>
      <c r="E41" s="1026" t="s">
        <v>29</v>
      </c>
      <c r="F41" s="1059">
        <f>760.89+59.12</f>
        <v>820.01</v>
      </c>
      <c r="G41" s="1054">
        <v>0.1</v>
      </c>
      <c r="H41" s="1055">
        <v>75.44</v>
      </c>
      <c r="I41" s="1056"/>
      <c r="J41" s="1111"/>
      <c r="K41" s="1115" t="s">
        <v>2015</v>
      </c>
    </row>
    <row r="42" spans="1:11" s="1032" customFormat="1" ht="15.75">
      <c r="A42" s="1037">
        <v>45652</v>
      </c>
      <c r="B42" s="1038">
        <v>46017</v>
      </c>
      <c r="C42" s="1026" t="s">
        <v>2751</v>
      </c>
      <c r="D42" s="1026" t="s">
        <v>70</v>
      </c>
      <c r="E42" s="1026" t="s">
        <v>279</v>
      </c>
      <c r="F42" s="1059">
        <v>573.89</v>
      </c>
      <c r="G42" s="1054">
        <v>0.15</v>
      </c>
      <c r="H42" s="1055">
        <v>79.19</v>
      </c>
      <c r="I42" s="1056"/>
      <c r="J42" s="1111"/>
      <c r="K42" s="1115" t="s">
        <v>2015</v>
      </c>
    </row>
    <row r="43" spans="1:11" s="1032" customFormat="1" ht="15.75">
      <c r="A43" s="1037">
        <v>45652</v>
      </c>
      <c r="B43" s="1038">
        <v>46017</v>
      </c>
      <c r="C43" s="1026" t="s">
        <v>2752</v>
      </c>
      <c r="D43" s="1026" t="s">
        <v>448</v>
      </c>
      <c r="E43" s="1026" t="s">
        <v>10</v>
      </c>
      <c r="F43" s="1059">
        <v>3627.94</v>
      </c>
      <c r="G43" s="1054">
        <v>0.1</v>
      </c>
      <c r="H43" s="1055">
        <v>333.77</v>
      </c>
      <c r="I43" s="1056"/>
      <c r="J43" s="1111"/>
      <c r="K43" s="1115" t="s">
        <v>2015</v>
      </c>
    </row>
    <row r="44" spans="1:11" s="1032" customFormat="1" ht="15.75">
      <c r="A44" s="1040">
        <v>45649</v>
      </c>
      <c r="B44" s="1042">
        <v>46019</v>
      </c>
      <c r="C44" s="1030" t="s">
        <v>2379</v>
      </c>
      <c r="D44" s="1030" t="s">
        <v>21</v>
      </c>
      <c r="E44" s="1030" t="s">
        <v>22</v>
      </c>
      <c r="F44" s="1072">
        <v>1660.6</v>
      </c>
      <c r="G44" s="1073">
        <v>0.1</v>
      </c>
      <c r="H44" s="1067">
        <v>152.77000000000001</v>
      </c>
      <c r="I44" s="1068"/>
      <c r="J44" s="1112" t="s">
        <v>1470</v>
      </c>
      <c r="K44" s="1117" t="s">
        <v>2015</v>
      </c>
    </row>
    <row r="45" spans="1:11" s="1032" customFormat="1" ht="15.75">
      <c r="A45" s="1037">
        <v>45645</v>
      </c>
      <c r="B45" s="1038">
        <v>46019</v>
      </c>
      <c r="C45" s="1026" t="s">
        <v>2753</v>
      </c>
      <c r="D45" s="1026" t="s">
        <v>61</v>
      </c>
      <c r="E45" s="1026" t="s">
        <v>279</v>
      </c>
      <c r="F45" s="1059">
        <v>2903.73</v>
      </c>
      <c r="G45" s="1054">
        <v>0.15</v>
      </c>
      <c r="H45" s="1055">
        <v>400.71</v>
      </c>
      <c r="I45" s="1056"/>
      <c r="J45" s="1111"/>
      <c r="K45" s="1115" t="s">
        <v>2015</v>
      </c>
    </row>
    <row r="46" spans="1:11" s="1032" customFormat="1" ht="15.75">
      <c r="A46" s="1037">
        <v>45649</v>
      </c>
      <c r="B46" s="1038">
        <v>46019</v>
      </c>
      <c r="C46" s="1026" t="s">
        <v>1367</v>
      </c>
      <c r="D46" s="1026" t="s">
        <v>33</v>
      </c>
      <c r="E46" s="1026" t="s">
        <v>1593</v>
      </c>
      <c r="F46" s="1059">
        <v>1152.27</v>
      </c>
      <c r="G46" s="1054">
        <v>0.1</v>
      </c>
      <c r="H46" s="1055">
        <v>106</v>
      </c>
      <c r="I46" s="1056"/>
      <c r="J46" s="1111"/>
      <c r="K46" s="1115" t="s">
        <v>2015</v>
      </c>
    </row>
    <row r="47" spans="1:11" s="1032" customFormat="1" ht="15.75">
      <c r="A47" s="1037">
        <v>45649</v>
      </c>
      <c r="B47" s="1038">
        <v>46019</v>
      </c>
      <c r="C47" s="1026" t="s">
        <v>2401</v>
      </c>
      <c r="D47" s="1026" t="s">
        <v>422</v>
      </c>
      <c r="E47" s="1026" t="s">
        <v>1552</v>
      </c>
      <c r="F47" s="1059">
        <v>2590.56</v>
      </c>
      <c r="G47" s="1054">
        <v>0.1</v>
      </c>
      <c r="H47" s="1088">
        <v>238.33</v>
      </c>
      <c r="I47" s="1089"/>
      <c r="J47" s="1111"/>
      <c r="K47" s="1115" t="s">
        <v>2015</v>
      </c>
    </row>
    <row r="48" spans="1:11" s="1032" customFormat="1" ht="15.75">
      <c r="A48" s="1037">
        <v>45649</v>
      </c>
      <c r="B48" s="1038">
        <v>46019</v>
      </c>
      <c r="C48" s="1026" t="s">
        <v>2754</v>
      </c>
      <c r="D48" s="1026" t="s">
        <v>422</v>
      </c>
      <c r="E48" s="1026" t="s">
        <v>458</v>
      </c>
      <c r="F48" s="1484">
        <v>1628.17</v>
      </c>
      <c r="G48" s="1054">
        <v>0.1</v>
      </c>
      <c r="H48" s="1055">
        <v>149.79</v>
      </c>
      <c r="I48" s="1056"/>
      <c r="J48" s="1111"/>
      <c r="K48" s="1115" t="s">
        <v>2015</v>
      </c>
    </row>
    <row r="49" spans="1:11" s="1032" customFormat="1" ht="15.75">
      <c r="A49" s="1037">
        <v>45649</v>
      </c>
      <c r="B49" s="1038">
        <v>46019</v>
      </c>
      <c r="C49" s="1026" t="s">
        <v>2755</v>
      </c>
      <c r="D49" s="1026" t="s">
        <v>848</v>
      </c>
      <c r="E49" s="1026" t="s">
        <v>10</v>
      </c>
      <c r="F49" s="1059">
        <v>2254.27</v>
      </c>
      <c r="G49" s="1054">
        <v>0.1</v>
      </c>
      <c r="H49" s="1055">
        <v>207.39</v>
      </c>
      <c r="I49" s="1056"/>
      <c r="J49" s="1111"/>
      <c r="K49" s="1115" t="s">
        <v>2015</v>
      </c>
    </row>
    <row r="50" spans="1:11" s="1032" customFormat="1" ht="15.75">
      <c r="A50" s="1037">
        <v>45646</v>
      </c>
      <c r="B50" s="1038" t="s">
        <v>1805</v>
      </c>
      <c r="C50" s="1026" t="s">
        <v>1192</v>
      </c>
      <c r="D50" s="1026" t="s">
        <v>14</v>
      </c>
      <c r="E50" s="1026" t="s">
        <v>19</v>
      </c>
      <c r="F50" s="1059">
        <v>152.25</v>
      </c>
      <c r="G50" s="1054">
        <v>0.15</v>
      </c>
      <c r="H50" s="1055">
        <v>21.01</v>
      </c>
      <c r="I50" s="1056"/>
      <c r="J50" s="1111"/>
      <c r="K50" s="1115" t="s">
        <v>1805</v>
      </c>
    </row>
    <row r="51" spans="1:11" s="1032" customFormat="1" ht="15.75">
      <c r="A51" s="1037"/>
      <c r="B51" s="1038"/>
      <c r="C51" s="1026"/>
      <c r="D51" s="1026" t="s">
        <v>442</v>
      </c>
      <c r="E51" s="1026"/>
      <c r="F51" s="1059"/>
      <c r="G51" s="1054"/>
      <c r="H51" s="1055"/>
      <c r="I51" s="1056"/>
      <c r="J51" s="1111"/>
      <c r="K51" s="1115"/>
    </row>
    <row r="52" spans="1:11" s="1032" customFormat="1" ht="15.75">
      <c r="A52" s="1037"/>
      <c r="B52" s="1038"/>
      <c r="C52" s="1026"/>
      <c r="D52" s="1026"/>
      <c r="E52" s="1026"/>
      <c r="F52" s="1059"/>
      <c r="G52" s="1054"/>
      <c r="H52" s="1055"/>
      <c r="I52" s="1056"/>
      <c r="J52" s="1111"/>
      <c r="K52" s="1115"/>
    </row>
    <row r="53" spans="1:11" s="1032" customFormat="1" ht="15.75">
      <c r="A53" s="1037"/>
      <c r="B53" s="1038"/>
      <c r="C53" s="1026"/>
      <c r="D53" s="1026"/>
      <c r="E53" s="1026" t="s">
        <v>442</v>
      </c>
      <c r="F53" s="1059"/>
      <c r="G53" s="1054"/>
      <c r="H53" s="1055"/>
      <c r="I53" s="1056"/>
      <c r="J53" s="1111"/>
      <c r="K53" s="1115"/>
    </row>
    <row r="54" spans="1:11" s="1032" customFormat="1" ht="15.75">
      <c r="A54" s="1037"/>
      <c r="B54" s="1038"/>
      <c r="C54" s="1026"/>
      <c r="D54" s="1026"/>
      <c r="E54" s="1026"/>
      <c r="F54" s="1059"/>
      <c r="G54" s="1054"/>
      <c r="H54" s="1055"/>
      <c r="I54" s="1056"/>
      <c r="J54" s="1111"/>
      <c r="K54" s="1115"/>
    </row>
    <row r="55" spans="1:11" s="1032" customFormat="1" ht="15.75">
      <c r="A55" s="1037"/>
      <c r="B55" s="1038"/>
      <c r="C55" s="1026"/>
      <c r="D55" s="1026"/>
      <c r="E55" s="1026"/>
      <c r="F55" s="1059"/>
      <c r="G55" s="1054"/>
      <c r="H55" s="1055"/>
      <c r="I55" s="1056"/>
      <c r="J55" s="1111"/>
      <c r="K55" s="1115"/>
    </row>
    <row r="56" spans="1:11" s="1032" customFormat="1" ht="15.75">
      <c r="A56" s="1037"/>
      <c r="B56" s="1038"/>
      <c r="C56" s="1026"/>
      <c r="D56" s="1026"/>
      <c r="E56" s="1026"/>
      <c r="F56" s="1059"/>
      <c r="G56" s="1054"/>
      <c r="H56" s="1055"/>
      <c r="I56" s="1056"/>
      <c r="J56" s="1111"/>
      <c r="K56" s="1115"/>
    </row>
    <row r="57" spans="1:11" s="1032" customFormat="1" ht="15.75">
      <c r="A57" s="1037"/>
      <c r="B57" s="1038"/>
      <c r="C57" s="1026"/>
      <c r="D57" s="1026"/>
      <c r="E57" s="1026"/>
      <c r="F57" s="1059"/>
      <c r="G57" s="1054"/>
      <c r="H57" s="1055"/>
      <c r="I57" s="1056"/>
      <c r="J57" s="1111"/>
      <c r="K57" s="1115"/>
    </row>
    <row r="58" spans="1:11" s="1032" customFormat="1" ht="15.75">
      <c r="A58" s="1037"/>
      <c r="B58" s="1038"/>
      <c r="C58" s="1026"/>
      <c r="D58" s="1026"/>
      <c r="E58" s="1026"/>
      <c r="F58" s="1059"/>
      <c r="G58" s="1054"/>
      <c r="H58" s="1055"/>
      <c r="I58" s="1056"/>
      <c r="J58" s="1111"/>
      <c r="K58" s="1115"/>
    </row>
    <row r="59" spans="1:11" s="1032" customFormat="1" ht="16.5" thickBot="1">
      <c r="A59" s="1037"/>
      <c r="B59" s="1038"/>
      <c r="C59" s="1026"/>
      <c r="D59" s="1026"/>
      <c r="E59" s="1026"/>
      <c r="F59" s="1059"/>
      <c r="G59" s="1054"/>
      <c r="H59" s="1055"/>
      <c r="I59" s="1056"/>
      <c r="J59" s="1111"/>
      <c r="K59" s="1115"/>
    </row>
    <row r="60" spans="1:11" ht="20.25" thickBot="1">
      <c r="A60" s="1158"/>
      <c r="B60" s="1159"/>
      <c r="C60" s="1159"/>
      <c r="D60" s="1159"/>
      <c r="E60" s="1159"/>
      <c r="F60" s="1160">
        <f>SUM(F2:F6,F7:F59)</f>
        <v>111238.55000000002</v>
      </c>
      <c r="G60" s="1161"/>
      <c r="H60" s="1162">
        <f>SUM(H2:H59)</f>
        <v>11270.380000000001</v>
      </c>
      <c r="I60" s="1163">
        <f>SUM(I2:I59)</f>
        <v>684.15</v>
      </c>
      <c r="J60" s="1193"/>
      <c r="K60" s="1116"/>
    </row>
    <row r="61" spans="1:11" ht="15.75" customHeight="1">
      <c r="A61" s="1037"/>
      <c r="B61" s="1038"/>
      <c r="C61" s="1026"/>
      <c r="D61" s="1026"/>
      <c r="E61" s="1026"/>
      <c r="F61" s="1059"/>
      <c r="G61" s="1054"/>
      <c r="H61" s="1269"/>
      <c r="I61" s="1056"/>
      <c r="J61" s="1111"/>
      <c r="K61" s="1116"/>
    </row>
    <row r="62" spans="1:11" ht="15.75" customHeight="1">
      <c r="A62" s="1037"/>
      <c r="B62" s="1037"/>
      <c r="C62" s="1026"/>
      <c r="D62" s="1026"/>
      <c r="E62" s="1026"/>
      <c r="F62" s="1059"/>
      <c r="G62" s="1054"/>
      <c r="H62" s="1269"/>
      <c r="I62" s="1056"/>
      <c r="J62" s="1111"/>
      <c r="K62" s="1116"/>
    </row>
    <row r="63" spans="1:11" ht="15.75" customHeight="1">
      <c r="A63" s="1037"/>
      <c r="B63" s="1038"/>
      <c r="C63" s="1026"/>
      <c r="D63" s="1026"/>
      <c r="E63" s="1026"/>
      <c r="F63" s="1059"/>
      <c r="G63" s="1054"/>
      <c r="H63" s="1269"/>
      <c r="I63" s="1056"/>
      <c r="J63" s="1111"/>
      <c r="K63" s="1116"/>
    </row>
    <row r="64" spans="1:11" ht="15.75" customHeight="1">
      <c r="A64" s="1037"/>
      <c r="B64" s="1038"/>
      <c r="C64" s="1026"/>
      <c r="D64" s="1026"/>
      <c r="E64" s="1026"/>
      <c r="F64" s="1059"/>
      <c r="G64" s="1054"/>
      <c r="H64" s="1269"/>
      <c r="I64" s="1056"/>
      <c r="J64" s="1111"/>
      <c r="K64" s="1116"/>
    </row>
    <row r="65" spans="1:11" ht="15.75" customHeight="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116"/>
    </row>
    <row r="66" spans="1:11" ht="15.75" customHeight="1">
      <c r="A66" s="1037"/>
      <c r="B66" s="1038"/>
      <c r="C66" s="1026"/>
      <c r="D66" s="1026"/>
      <c r="E66" s="1026"/>
      <c r="F66" s="1059"/>
      <c r="G66" s="1054"/>
      <c r="H66" s="1269"/>
      <c r="I66" s="1056"/>
      <c r="J66" s="1111"/>
      <c r="K66" s="1116"/>
    </row>
    <row r="67" spans="1:11" ht="15.75" customHeight="1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1116"/>
    </row>
    <row r="68" spans="1:11" ht="15.75" customHeight="1">
      <c r="A68" s="1037"/>
      <c r="B68" s="1038"/>
      <c r="C68" s="1026"/>
      <c r="D68" s="1026"/>
      <c r="E68" s="1026"/>
      <c r="F68" s="1059"/>
      <c r="G68" s="1054"/>
      <c r="H68" s="1269"/>
      <c r="I68" s="1056"/>
      <c r="J68" s="1111"/>
      <c r="K68" s="1116"/>
    </row>
    <row r="69" spans="1:11" ht="15.75" customHeight="1">
      <c r="A69" s="1037"/>
      <c r="B69" s="1038"/>
      <c r="C69" s="1026"/>
      <c r="D69" s="1026"/>
      <c r="E69" s="1026"/>
      <c r="F69" s="1059"/>
      <c r="G69" s="1054"/>
      <c r="H69" s="1269"/>
      <c r="I69" s="1056"/>
      <c r="J69" s="1111"/>
      <c r="K69" s="1116"/>
    </row>
    <row r="70" spans="1:11" ht="15.75" customHeight="1">
      <c r="A70" s="1037"/>
      <c r="B70" s="1038"/>
      <c r="C70" s="1026"/>
      <c r="D70" s="1026"/>
      <c r="E70" s="1026"/>
      <c r="F70" s="1059"/>
      <c r="G70" s="1054"/>
      <c r="H70" s="1269"/>
      <c r="I70" s="1056"/>
      <c r="J70" s="1111"/>
      <c r="K70" s="1033"/>
    </row>
    <row r="71" spans="1:11" ht="15.75" customHeight="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116"/>
    </row>
    <row r="72" spans="1:11" ht="15.75" customHeight="1">
      <c r="A72" s="1037"/>
      <c r="B72" s="1038"/>
      <c r="C72" s="1026"/>
      <c r="D72" s="1026"/>
      <c r="E72" s="1026"/>
      <c r="F72" s="1059"/>
      <c r="G72" s="1059"/>
      <c r="H72" s="1269"/>
      <c r="I72" s="1056"/>
      <c r="J72" s="1111"/>
      <c r="K72" s="1116"/>
    </row>
    <row r="73" spans="1:11" ht="15.75" customHeight="1">
      <c r="A73" s="1037"/>
      <c r="B73" s="1038"/>
      <c r="C73" s="1026"/>
      <c r="D73" s="1026"/>
      <c r="E73" s="1026"/>
      <c r="F73" s="1059"/>
      <c r="G73" s="1059"/>
      <c r="H73" s="1269"/>
      <c r="I73" s="1056"/>
      <c r="J73" s="1111"/>
      <c r="K73" s="1033"/>
    </row>
    <row r="74" spans="1:11" ht="15.75" customHeight="1">
      <c r="A74" s="1037"/>
      <c r="B74" s="1038"/>
      <c r="C74" s="1026"/>
      <c r="D74" s="1026"/>
      <c r="E74" s="1026"/>
      <c r="F74" s="1059"/>
      <c r="G74" s="1059"/>
      <c r="H74" s="1269"/>
      <c r="I74" s="1056"/>
      <c r="J74" s="1111"/>
      <c r="K74" s="1033"/>
    </row>
    <row r="75" spans="1:11" ht="15.75" customHeight="1">
      <c r="A75" s="1037"/>
      <c r="B75" s="1038"/>
      <c r="C75" s="1026"/>
      <c r="D75" s="1026"/>
      <c r="E75" s="1026"/>
      <c r="F75" s="1059"/>
      <c r="G75" s="1054"/>
      <c r="H75" s="1269"/>
      <c r="I75" s="1056"/>
      <c r="J75" s="1111"/>
      <c r="K75" s="1116"/>
    </row>
    <row r="76" spans="1:11" ht="15.75" customHeight="1">
      <c r="A76" s="1037"/>
      <c r="B76" s="1038"/>
      <c r="C76" s="1026"/>
      <c r="D76" s="1026"/>
      <c r="E76" s="1026"/>
      <c r="F76" s="1059"/>
      <c r="G76" s="1054"/>
      <c r="H76" s="1269"/>
      <c r="I76" s="1056"/>
      <c r="J76" s="1111"/>
      <c r="K76" s="1116"/>
    </row>
    <row r="77" spans="1:11" ht="15.75" customHeight="1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1116"/>
    </row>
    <row r="78" spans="1:11" ht="15.75">
      <c r="A78" s="1037"/>
      <c r="B78" s="1038"/>
      <c r="C78" s="1026"/>
      <c r="D78" s="1026"/>
      <c r="E78" s="1026"/>
      <c r="F78" s="1059"/>
      <c r="G78" s="1054"/>
      <c r="H78" s="1269"/>
      <c r="I78" s="1056"/>
      <c r="J78" s="1111"/>
      <c r="K78" s="1116"/>
    </row>
    <row r="79" spans="1:11" ht="15.75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1116"/>
    </row>
    <row r="80" spans="1:11" ht="15.75">
      <c r="A80" s="1037"/>
      <c r="B80" s="1038"/>
      <c r="C80" s="1025"/>
      <c r="D80" s="1025"/>
      <c r="E80" s="1025"/>
      <c r="F80" s="1059"/>
      <c r="G80" s="1062"/>
      <c r="H80" s="1055"/>
      <c r="I80" s="1056"/>
      <c r="J80" s="1111"/>
      <c r="K80" s="1116"/>
    </row>
    <row r="81" spans="1:11" ht="15.75">
      <c r="A81" s="1037"/>
      <c r="B81" s="1039"/>
      <c r="C81" s="1025"/>
      <c r="D81" s="1025"/>
      <c r="E81" s="1025"/>
      <c r="F81" s="1059"/>
      <c r="G81" s="1054"/>
      <c r="H81" s="1269"/>
      <c r="I81" s="1056"/>
      <c r="J81" s="1111"/>
      <c r="K81" s="1116"/>
    </row>
    <row r="82" spans="1:11" ht="15.75">
      <c r="A82" s="1037"/>
      <c r="B82" s="1038"/>
      <c r="C82" s="1026"/>
      <c r="D82" s="1026"/>
      <c r="E82" s="1026"/>
      <c r="F82" s="1059"/>
      <c r="G82" s="1054"/>
      <c r="H82" s="1269"/>
      <c r="I82" s="1056"/>
      <c r="J82" s="1111"/>
      <c r="K82" s="1116"/>
    </row>
    <row r="83" spans="1:11" ht="15.75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1116"/>
    </row>
    <row r="84" spans="1:11" ht="15.75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116"/>
    </row>
    <row r="85" spans="1:11" ht="15.75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116"/>
    </row>
    <row r="86" spans="1:11" ht="15.75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116"/>
    </row>
    <row r="87" spans="1:11" ht="15.75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6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116"/>
    </row>
    <row r="89" spans="1:11" ht="15.75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116"/>
    </row>
    <row r="90" spans="1:11" ht="15.75">
      <c r="A90" s="1037"/>
      <c r="B90" s="1038"/>
      <c r="C90" s="1026"/>
      <c r="D90" s="1026"/>
      <c r="E90" s="1026"/>
      <c r="F90" s="1059"/>
      <c r="G90" s="1054"/>
      <c r="H90" s="1269"/>
      <c r="I90" s="1056"/>
      <c r="J90" s="1111"/>
      <c r="K90" s="1116"/>
    </row>
    <row r="91" spans="1:11" ht="15.75">
      <c r="A91" s="1037"/>
      <c r="B91" s="1038"/>
      <c r="C91" s="1026"/>
      <c r="D91" s="1026"/>
      <c r="E91" s="1026"/>
      <c r="F91" s="1059"/>
      <c r="G91" s="1054"/>
      <c r="H91" s="1269"/>
      <c r="I91" s="1056"/>
      <c r="J91" s="1111"/>
      <c r="K91" s="1116"/>
    </row>
    <row r="92" spans="1:11" ht="15.75">
      <c r="A92" s="1037"/>
      <c r="B92" s="1038"/>
      <c r="C92" s="1026"/>
      <c r="D92" s="1026"/>
      <c r="E92" s="1026"/>
      <c r="F92" s="1059"/>
      <c r="G92" s="1054"/>
      <c r="H92" s="1269"/>
      <c r="I92" s="1056"/>
      <c r="J92" s="1111"/>
      <c r="K92" s="1116"/>
    </row>
    <row r="93" spans="1:11" ht="15.75">
      <c r="A93" s="1037"/>
      <c r="B93" s="1038"/>
      <c r="C93" s="1026"/>
      <c r="D93" s="1026"/>
      <c r="E93" s="1026"/>
      <c r="F93" s="1059"/>
      <c r="G93" s="1054"/>
      <c r="H93" s="1269"/>
      <c r="I93" s="1056"/>
      <c r="J93" s="1111"/>
      <c r="K93" s="1116"/>
    </row>
    <row r="94" spans="1:11" ht="15.75">
      <c r="A94" s="1037"/>
      <c r="B94" s="1038"/>
      <c r="C94" s="1026"/>
      <c r="D94" s="1026"/>
      <c r="E94" s="1026"/>
      <c r="F94" s="1059"/>
      <c r="G94" s="1054"/>
      <c r="H94" s="1269"/>
      <c r="I94" s="1056"/>
      <c r="J94" s="1111"/>
      <c r="K94" s="1116"/>
    </row>
    <row r="95" spans="1:11">
      <c r="A95" s="1037"/>
      <c r="B95" s="1038"/>
      <c r="C95" s="1026"/>
      <c r="D95" s="1026"/>
      <c r="E95" s="1026"/>
      <c r="F95" s="1059"/>
      <c r="G95" s="1059"/>
      <c r="H95" s="1269"/>
      <c r="I95" s="1056"/>
      <c r="J95" s="1111"/>
      <c r="K95" s="1033"/>
    </row>
    <row r="96" spans="1:11">
      <c r="A96" s="1037"/>
      <c r="B96" s="1038"/>
      <c r="C96" s="1026"/>
      <c r="D96" s="1026"/>
      <c r="E96" s="1026"/>
      <c r="F96" s="1059"/>
      <c r="G96" s="1059"/>
      <c r="H96" s="1269"/>
      <c r="I96" s="1056"/>
      <c r="J96" s="1111"/>
      <c r="K96" s="1033"/>
    </row>
    <row r="97" spans="1:11">
      <c r="A97" s="1037"/>
      <c r="B97" s="1038"/>
      <c r="C97" s="1026"/>
      <c r="D97" s="1026"/>
      <c r="E97" s="1026"/>
      <c r="F97" s="1059"/>
      <c r="G97" s="1059"/>
      <c r="H97" s="1269"/>
      <c r="I97" s="1056"/>
      <c r="J97" s="1111"/>
      <c r="K97" s="1033"/>
    </row>
    <row r="98" spans="1:11" ht="15.75">
      <c r="A98" s="1037"/>
      <c r="B98" s="1038"/>
      <c r="C98" s="1026"/>
      <c r="D98" s="1026"/>
      <c r="E98" s="1026"/>
      <c r="F98" s="1059"/>
      <c r="G98" s="1054"/>
      <c r="H98" s="1269"/>
      <c r="I98" s="1056"/>
      <c r="J98" s="1111"/>
      <c r="K98" s="1116"/>
    </row>
    <row r="99" spans="1:11">
      <c r="A99" s="1037"/>
      <c r="B99" s="1038"/>
      <c r="C99" s="1026"/>
      <c r="D99" s="1026"/>
      <c r="E99" s="1026"/>
      <c r="F99" s="1059"/>
      <c r="G99" s="1059"/>
      <c r="H99" s="1269"/>
      <c r="I99" s="1056"/>
      <c r="J99" s="1111"/>
      <c r="K99" s="1033"/>
    </row>
    <row r="100" spans="1:11">
      <c r="A100" s="1037"/>
      <c r="B100" s="1038"/>
      <c r="C100" s="1026"/>
      <c r="D100" s="1026"/>
      <c r="E100" s="1026"/>
      <c r="F100" s="1059"/>
      <c r="G100" s="1059"/>
      <c r="H100" s="1269"/>
      <c r="I100" s="1056"/>
      <c r="J100" s="1111"/>
      <c r="K100" s="1033"/>
    </row>
    <row r="101" spans="1:11">
      <c r="A101" s="1037"/>
      <c r="B101" s="1038"/>
      <c r="C101" s="1026"/>
      <c r="D101" s="1026"/>
      <c r="E101" s="1026"/>
      <c r="F101" s="1059"/>
      <c r="G101" s="1059"/>
      <c r="H101" s="1269"/>
      <c r="I101" s="1056"/>
      <c r="J101" s="1111"/>
      <c r="K101" s="1033"/>
    </row>
    <row r="102" spans="1:11" ht="15.75">
      <c r="A102" s="1037"/>
      <c r="B102" s="1038"/>
      <c r="C102" s="1026"/>
      <c r="D102" s="1026"/>
      <c r="E102" s="1026"/>
      <c r="F102" s="1059"/>
      <c r="G102" s="1054"/>
      <c r="H102" s="1269"/>
      <c r="I102" s="1056"/>
      <c r="J102" s="1111"/>
      <c r="K102" s="1116"/>
    </row>
    <row r="103" spans="1:11" ht="15.75">
      <c r="A103" s="1037"/>
      <c r="B103" s="1038"/>
      <c r="C103" s="1026"/>
      <c r="D103" s="1026"/>
      <c r="E103" s="1026"/>
      <c r="F103" s="1059"/>
      <c r="G103" s="1054"/>
      <c r="H103" s="1269"/>
      <c r="I103" s="1056"/>
      <c r="J103" s="1111"/>
      <c r="K103" s="1116"/>
    </row>
    <row r="104" spans="1:11">
      <c r="A104" s="1037"/>
      <c r="B104" s="1038"/>
      <c r="C104" s="1026"/>
      <c r="D104" s="1026"/>
      <c r="E104" s="1026"/>
      <c r="F104" s="1059"/>
      <c r="G104" s="1059"/>
      <c r="H104" s="1269"/>
      <c r="I104" s="1056"/>
      <c r="J104" s="1111"/>
      <c r="K104" s="1033"/>
    </row>
    <row r="105" spans="1:11">
      <c r="A105" s="1037"/>
      <c r="B105" s="1038"/>
      <c r="C105" s="1026"/>
      <c r="D105" s="1026"/>
      <c r="E105" s="1026"/>
      <c r="F105" s="1059"/>
      <c r="G105" s="1059"/>
      <c r="H105" s="1269"/>
      <c r="I105" s="1056"/>
      <c r="J105" s="1111"/>
      <c r="K105" s="1033"/>
    </row>
    <row r="106" spans="1:11">
      <c r="A106" s="1037"/>
      <c r="B106" s="1038"/>
      <c r="C106" s="1026"/>
      <c r="D106" s="1026"/>
      <c r="E106" s="1026"/>
      <c r="F106" s="1059"/>
      <c r="G106" s="1059"/>
      <c r="H106" s="1269"/>
      <c r="I106" s="1056"/>
      <c r="J106" s="1111"/>
      <c r="K106" s="1033"/>
    </row>
    <row r="107" spans="1:11">
      <c r="A107" s="1037"/>
      <c r="B107" s="1038"/>
      <c r="C107" s="1026"/>
      <c r="D107" s="1026"/>
      <c r="E107" s="1026"/>
      <c r="F107" s="1059"/>
      <c r="G107" s="1059"/>
      <c r="H107" s="1269"/>
      <c r="I107" s="1056"/>
      <c r="J107" s="1111"/>
      <c r="K107" s="1033"/>
    </row>
    <row r="108" spans="1:11">
      <c r="A108" s="1037"/>
      <c r="B108" s="1038"/>
      <c r="C108" s="1026"/>
      <c r="D108" s="1026"/>
      <c r="E108" s="1026"/>
      <c r="F108" s="1059"/>
      <c r="G108" s="1059"/>
      <c r="H108" s="1269"/>
      <c r="I108" s="1056"/>
      <c r="J108" s="1111"/>
      <c r="K108" s="1033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1033"/>
    </row>
    <row r="110" spans="1:11" ht="15.75">
      <c r="A110" s="1037"/>
      <c r="B110" s="1038"/>
      <c r="C110" s="1026"/>
      <c r="D110" s="1026"/>
      <c r="E110" s="1026"/>
      <c r="F110" s="1059"/>
      <c r="G110" s="1054"/>
      <c r="H110" s="1269"/>
      <c r="I110" s="1056"/>
      <c r="J110" s="1111"/>
      <c r="K110" s="1116"/>
    </row>
    <row r="111" spans="1:11">
      <c r="A111" s="1037"/>
      <c r="B111" s="1038"/>
      <c r="C111" s="1026"/>
      <c r="D111" s="1026"/>
      <c r="E111" s="1026"/>
      <c r="F111" s="1059"/>
      <c r="G111" s="1059"/>
      <c r="H111" s="1269"/>
      <c r="I111" s="1056"/>
      <c r="J111" s="1111"/>
      <c r="K111" s="1033"/>
    </row>
    <row r="112" spans="1:11">
      <c r="A112" s="1037"/>
      <c r="B112" s="1038"/>
      <c r="C112" s="1026"/>
      <c r="D112" s="1026"/>
      <c r="E112" s="1026"/>
      <c r="F112" s="1059"/>
      <c r="G112" s="1059"/>
      <c r="H112" s="1269"/>
      <c r="I112" s="1056"/>
      <c r="J112" s="1111"/>
      <c r="K112" s="1033"/>
    </row>
    <row r="113" spans="1:11">
      <c r="A113" s="1037"/>
      <c r="B113" s="1038"/>
      <c r="C113" s="1026"/>
      <c r="D113" s="1026"/>
      <c r="E113" s="1026"/>
      <c r="F113" s="1059"/>
      <c r="G113" s="1059"/>
      <c r="H113" s="1269"/>
      <c r="I113" s="1056"/>
      <c r="J113" s="1111"/>
      <c r="K113" s="1033"/>
    </row>
    <row r="114" spans="1:11" ht="15.75">
      <c r="A114" s="1037"/>
      <c r="B114" s="1038"/>
      <c r="C114" s="1026"/>
      <c r="D114" s="1026"/>
      <c r="E114" s="1026"/>
      <c r="F114" s="1059"/>
      <c r="G114" s="1059"/>
      <c r="H114" s="1269"/>
      <c r="I114" s="1056"/>
      <c r="J114" s="1111"/>
      <c r="K114" s="1116"/>
    </row>
    <row r="115" spans="1:11">
      <c r="A115" s="1037"/>
      <c r="B115" s="1038"/>
      <c r="C115" s="1026"/>
      <c r="D115" s="1026"/>
      <c r="E115" s="1026"/>
      <c r="F115" s="1059"/>
      <c r="G115" s="1059"/>
      <c r="H115" s="1269"/>
      <c r="I115" s="1056"/>
      <c r="J115" s="1111"/>
      <c r="K115" s="1033"/>
    </row>
    <row r="116" spans="1:11">
      <c r="A116" s="1037"/>
      <c r="B116" s="1038"/>
      <c r="C116" s="1026"/>
      <c r="D116" s="1026"/>
      <c r="E116" s="1026"/>
      <c r="F116" s="1059"/>
      <c r="G116" s="1059"/>
      <c r="H116" s="1269"/>
      <c r="I116" s="1056"/>
      <c r="J116" s="1111"/>
      <c r="K116" s="1033"/>
    </row>
    <row r="117" spans="1:11">
      <c r="A117" s="1037"/>
      <c r="B117" s="1038"/>
      <c r="C117" s="1026"/>
      <c r="D117" s="1026"/>
      <c r="E117" s="1026"/>
      <c r="F117" s="1059"/>
      <c r="G117" s="1059"/>
      <c r="H117" s="1269"/>
      <c r="I117" s="1056"/>
      <c r="J117" s="1111"/>
      <c r="K117" s="1033"/>
    </row>
    <row r="118" spans="1:11">
      <c r="A118" s="1037"/>
      <c r="B118" s="1038"/>
      <c r="C118" s="1026"/>
      <c r="D118" s="1026"/>
      <c r="E118" s="1026"/>
      <c r="F118" s="1059"/>
      <c r="G118" s="1059"/>
      <c r="H118" s="1269"/>
      <c r="I118" s="1056"/>
      <c r="J118" s="1111"/>
      <c r="K118" s="1033"/>
    </row>
    <row r="119" spans="1:11">
      <c r="A119" s="1037"/>
      <c r="B119" s="1038"/>
      <c r="C119" s="1026"/>
      <c r="D119" s="1026"/>
      <c r="E119" s="1026"/>
      <c r="F119" s="1059"/>
      <c r="G119" s="1054"/>
      <c r="H119" s="1269"/>
      <c r="I119" s="1056"/>
      <c r="J119" s="1111"/>
      <c r="K119" s="1033"/>
    </row>
    <row r="120" spans="1:11" ht="15.75">
      <c r="A120" s="1037"/>
      <c r="B120" s="1038"/>
      <c r="C120" s="1025"/>
      <c r="D120" s="1026"/>
      <c r="E120" s="1026"/>
      <c r="F120" s="1059"/>
      <c r="G120" s="1054"/>
      <c r="H120" s="1269"/>
      <c r="I120" s="1056"/>
      <c r="J120" s="1111"/>
      <c r="K120" s="1116"/>
    </row>
    <row r="121" spans="1:11" ht="15.75">
      <c r="A121" s="1037"/>
      <c r="B121" s="1038"/>
      <c r="C121" s="1026"/>
      <c r="D121" s="1026"/>
      <c r="E121" s="1026"/>
      <c r="F121" s="1059"/>
      <c r="G121" s="1054"/>
      <c r="H121" s="1269"/>
      <c r="I121" s="1056"/>
      <c r="J121" s="1111"/>
      <c r="K121" s="1116"/>
    </row>
    <row r="122" spans="1:11" ht="15.75">
      <c r="A122" s="1037"/>
      <c r="B122" s="1038"/>
      <c r="C122" s="1026"/>
      <c r="D122" s="1026"/>
      <c r="E122" s="1026"/>
      <c r="F122" s="1059"/>
      <c r="G122" s="1054"/>
      <c r="H122" s="1269"/>
      <c r="I122" s="1056"/>
      <c r="J122" s="1111"/>
      <c r="K122" s="1116"/>
    </row>
    <row r="123" spans="1:11" ht="15.75">
      <c r="A123" s="1037"/>
      <c r="B123" s="1038"/>
      <c r="C123" s="1026"/>
      <c r="D123" s="1026"/>
      <c r="E123" s="1026"/>
      <c r="F123" s="1059"/>
      <c r="G123" s="1054"/>
      <c r="H123" s="1269"/>
      <c r="I123" s="1056"/>
      <c r="J123" s="1111"/>
      <c r="K123" s="1116"/>
    </row>
    <row r="124" spans="1:11" ht="15.75">
      <c r="A124" s="1037"/>
      <c r="B124" s="1038"/>
      <c r="C124" s="1026"/>
      <c r="D124" s="1026"/>
      <c r="E124" s="1026"/>
      <c r="F124" s="1059"/>
      <c r="G124" s="1054"/>
      <c r="H124" s="1269"/>
      <c r="I124" s="1056"/>
      <c r="J124" s="1111"/>
      <c r="K124" s="1116"/>
    </row>
    <row r="125" spans="1:11">
      <c r="A125" s="1037"/>
      <c r="B125" s="1038"/>
      <c r="C125" s="1026"/>
      <c r="D125" s="1026"/>
      <c r="E125" s="1026"/>
      <c r="F125" s="1059"/>
      <c r="G125" s="1059"/>
      <c r="H125" s="1269"/>
      <c r="I125" s="1056"/>
      <c r="J125" s="1111"/>
      <c r="K125" s="1033"/>
    </row>
    <row r="126" spans="1:11">
      <c r="A126" s="1037"/>
      <c r="B126" s="1038"/>
      <c r="C126" s="1026"/>
      <c r="D126" s="1026"/>
      <c r="E126" s="1026"/>
      <c r="F126" s="1059"/>
      <c r="G126" s="1059"/>
      <c r="H126" s="1269"/>
      <c r="I126" s="1056"/>
      <c r="J126" s="1111"/>
      <c r="K126" s="1033"/>
    </row>
    <row r="127" spans="1:11" ht="15.75">
      <c r="A127" s="1037"/>
      <c r="B127" s="1038"/>
      <c r="C127" s="1026"/>
      <c r="D127" s="1026"/>
      <c r="E127" s="1026"/>
      <c r="F127" s="1059"/>
      <c r="G127" s="1054"/>
      <c r="H127" s="1269"/>
      <c r="I127" s="1056"/>
      <c r="J127" s="1111"/>
      <c r="K127" s="1116"/>
    </row>
    <row r="128" spans="1:11" ht="15.75">
      <c r="A128" s="1037"/>
      <c r="B128" s="1038"/>
      <c r="C128" s="1026"/>
      <c r="D128" s="1026"/>
      <c r="E128" s="1026"/>
      <c r="F128" s="1059"/>
      <c r="G128" s="1054"/>
      <c r="H128" s="1269"/>
      <c r="I128" s="1056"/>
      <c r="J128" s="1111"/>
      <c r="K128" s="1116"/>
    </row>
    <row r="129" spans="1:11" ht="15.75">
      <c r="A129" s="1037"/>
      <c r="B129" s="1038"/>
      <c r="C129" s="1026"/>
      <c r="D129" s="1026"/>
      <c r="E129" s="1026"/>
      <c r="F129" s="1059"/>
      <c r="G129" s="1054"/>
      <c r="H129" s="1269"/>
      <c r="I129" s="1056"/>
      <c r="J129" s="1111"/>
      <c r="K129" s="1116"/>
    </row>
    <row r="130" spans="1:11">
      <c r="A130" s="1037"/>
      <c r="B130" s="1038"/>
      <c r="C130" s="1026"/>
      <c r="D130" s="1026"/>
      <c r="E130" s="1026"/>
      <c r="F130" s="1059"/>
      <c r="G130" s="1054"/>
      <c r="H130" s="1269"/>
      <c r="I130" s="1056"/>
      <c r="J130" s="1111"/>
      <c r="K130" s="1033"/>
    </row>
    <row r="131" spans="1:11">
      <c r="A131" s="1037"/>
      <c r="B131" s="1038"/>
      <c r="C131" s="1026"/>
      <c r="D131" s="1026"/>
      <c r="E131" s="1026"/>
      <c r="F131" s="1059"/>
      <c r="G131" s="1054"/>
      <c r="H131" s="1269"/>
      <c r="I131" s="1056"/>
      <c r="J131" s="1111"/>
      <c r="K131" s="1033"/>
    </row>
    <row r="132" spans="1:11">
      <c r="A132" s="1037"/>
      <c r="B132" s="1038"/>
      <c r="C132" s="1026"/>
      <c r="D132" s="1026"/>
      <c r="E132" s="1026"/>
      <c r="F132" s="1059"/>
      <c r="G132" s="1059"/>
      <c r="H132" s="1269"/>
      <c r="I132" s="1056"/>
      <c r="J132" s="1111"/>
      <c r="K132" s="1033"/>
    </row>
    <row r="133" spans="1:11">
      <c r="A133" s="1037"/>
      <c r="B133" s="1038"/>
      <c r="C133" s="1026"/>
      <c r="D133" s="1026"/>
      <c r="E133" s="1026"/>
      <c r="F133" s="1059"/>
      <c r="G133" s="1059"/>
      <c r="H133" s="1269"/>
      <c r="I133" s="1056"/>
      <c r="J133" s="1111"/>
      <c r="K133" s="1033"/>
    </row>
    <row r="134" spans="1:11">
      <c r="A134" s="1037"/>
      <c r="B134" s="1038"/>
      <c r="C134" s="1026"/>
      <c r="D134" s="1026"/>
      <c r="E134" s="1026"/>
      <c r="F134" s="1059"/>
      <c r="G134" s="1059"/>
      <c r="H134" s="1269"/>
      <c r="I134" s="1056"/>
      <c r="J134" s="1111"/>
      <c r="K134" s="1033"/>
    </row>
    <row r="135" spans="1:11">
      <c r="A135" s="1037"/>
      <c r="B135" s="1038"/>
      <c r="C135" s="1026"/>
      <c r="D135" s="1026"/>
      <c r="E135" s="1026"/>
      <c r="F135" s="1059"/>
      <c r="G135" s="1059"/>
      <c r="H135" s="1269"/>
      <c r="I135" s="1056"/>
      <c r="J135" s="1111"/>
      <c r="K135" s="1033"/>
    </row>
    <row r="136" spans="1:11" ht="15.75">
      <c r="A136" s="1037"/>
      <c r="B136" s="1038"/>
      <c r="C136" s="1026"/>
      <c r="D136" s="1026"/>
      <c r="E136" s="1026"/>
      <c r="F136" s="1059"/>
      <c r="G136" s="1054"/>
      <c r="H136" s="1269"/>
      <c r="I136" s="1056"/>
      <c r="J136" s="1111"/>
      <c r="K136" s="1116"/>
    </row>
    <row r="137" spans="1:11" ht="15.75">
      <c r="A137" s="1037"/>
      <c r="B137" s="1038"/>
      <c r="C137" s="1026"/>
      <c r="D137" s="1026"/>
      <c r="E137" s="1026"/>
      <c r="F137" s="1059"/>
      <c r="G137" s="1059"/>
      <c r="H137" s="1269"/>
      <c r="I137" s="1056"/>
      <c r="J137" s="1111"/>
      <c r="K137" s="1116"/>
    </row>
    <row r="138" spans="1:11">
      <c r="A138" s="1037"/>
      <c r="B138" s="1038"/>
      <c r="C138" s="1026"/>
      <c r="D138" s="1026"/>
      <c r="E138" s="1026"/>
      <c r="F138" s="1059"/>
      <c r="G138" s="1059"/>
      <c r="H138" s="1269"/>
      <c r="I138" s="1056"/>
      <c r="J138" s="1111"/>
      <c r="K138" s="1033"/>
    </row>
    <row r="139" spans="1:11">
      <c r="A139" s="1037"/>
      <c r="B139" s="1038"/>
      <c r="C139" s="1026"/>
      <c r="D139" s="1026"/>
      <c r="E139" s="1140"/>
      <c r="F139" s="1059"/>
      <c r="G139" s="1054"/>
      <c r="H139" s="1269"/>
      <c r="I139" s="1056"/>
      <c r="J139" s="1111"/>
      <c r="K139" s="1033"/>
    </row>
    <row r="140" spans="1:11" ht="15.75">
      <c r="A140" s="1037"/>
      <c r="B140" s="1038"/>
      <c r="C140" s="1026"/>
      <c r="D140" s="1026"/>
      <c r="E140" s="1026"/>
      <c r="F140" s="1059"/>
      <c r="G140" s="1054"/>
      <c r="H140" s="1269"/>
      <c r="I140" s="1056"/>
      <c r="J140" s="1111"/>
      <c r="K140" s="1116"/>
    </row>
    <row r="141" spans="1:11">
      <c r="A141" s="1037"/>
      <c r="B141" s="1038"/>
      <c r="C141" s="1026"/>
      <c r="D141" s="1026"/>
      <c r="E141" s="1026"/>
      <c r="F141" s="1059"/>
      <c r="G141" s="1054"/>
      <c r="H141" s="1269"/>
      <c r="I141" s="1056"/>
      <c r="J141" s="1111"/>
      <c r="K141" s="1033"/>
    </row>
    <row r="142" spans="1:11">
      <c r="A142" s="1037"/>
      <c r="B142" s="1038"/>
      <c r="C142" s="1026"/>
      <c r="D142" s="1026"/>
      <c r="E142" s="1026"/>
      <c r="F142" s="1059"/>
      <c r="G142" s="1059"/>
      <c r="H142" s="1269"/>
      <c r="I142" s="1056"/>
      <c r="J142" s="1111"/>
      <c r="K142" s="1033"/>
    </row>
    <row r="143" spans="1:11">
      <c r="A143" s="1037"/>
      <c r="B143" s="1038"/>
      <c r="C143" s="1026"/>
      <c r="D143" s="1026"/>
      <c r="E143" s="1026"/>
      <c r="F143" s="1059"/>
      <c r="G143" s="1059"/>
      <c r="H143" s="1269"/>
      <c r="I143" s="1056"/>
      <c r="J143" s="1111"/>
      <c r="K143" s="1033"/>
    </row>
    <row r="144" spans="1:11" ht="15.75">
      <c r="A144" s="1037"/>
      <c r="B144" s="1038"/>
      <c r="C144" s="1026"/>
      <c r="D144" s="1026"/>
      <c r="E144" s="1026"/>
      <c r="F144" s="1059"/>
      <c r="G144" s="1054"/>
      <c r="H144" s="1269"/>
      <c r="I144" s="1056"/>
      <c r="J144" s="1111"/>
      <c r="K144" s="1116"/>
    </row>
    <row r="145" spans="1:11" ht="15.75">
      <c r="A145" s="1037"/>
      <c r="B145" s="1038"/>
      <c r="C145" s="1026"/>
      <c r="D145" s="1026"/>
      <c r="E145" s="1026"/>
      <c r="F145" s="1059"/>
      <c r="G145" s="1054"/>
      <c r="H145" s="1269"/>
      <c r="I145" s="1056"/>
      <c r="J145" s="1111"/>
      <c r="K145" s="1116"/>
    </row>
    <row r="146" spans="1:11" ht="15.75">
      <c r="A146" s="1037"/>
      <c r="B146" s="1038"/>
      <c r="C146" s="1026"/>
      <c r="D146" s="1026"/>
      <c r="E146" s="1026"/>
      <c r="F146" s="1059"/>
      <c r="G146" s="1054"/>
      <c r="H146" s="1269"/>
      <c r="I146" s="1056"/>
      <c r="J146" s="1111"/>
      <c r="K146" s="1116"/>
    </row>
    <row r="147" spans="1:11" ht="15.75">
      <c r="A147" s="1037"/>
      <c r="B147" s="1038"/>
      <c r="C147" s="1026"/>
      <c r="D147" s="1026"/>
      <c r="E147" s="1026"/>
      <c r="F147" s="1059"/>
      <c r="G147" s="1054"/>
      <c r="H147" s="1269"/>
      <c r="I147" s="1056"/>
      <c r="J147" s="1111"/>
      <c r="K147" s="1116"/>
    </row>
    <row r="148" spans="1:11" ht="15.75">
      <c r="A148" s="1037"/>
      <c r="B148" s="1038"/>
      <c r="C148" s="1026"/>
      <c r="D148" s="1026"/>
      <c r="E148" s="1026"/>
      <c r="F148" s="1059"/>
      <c r="G148" s="1054"/>
      <c r="H148" s="1269"/>
      <c r="I148" s="1056"/>
      <c r="J148" s="1111"/>
      <c r="K148" s="1116"/>
    </row>
    <row r="149" spans="1:11">
      <c r="A149" s="1037"/>
      <c r="B149" s="1038"/>
      <c r="C149" s="1026"/>
      <c r="D149" s="1026"/>
      <c r="E149" s="1026"/>
      <c r="F149" s="1059"/>
      <c r="G149" s="1054"/>
      <c r="H149" s="1269"/>
      <c r="I149" s="1056"/>
      <c r="J149" s="1111"/>
      <c r="K149" s="1033"/>
    </row>
    <row r="150" spans="1:11">
      <c r="A150" s="1037"/>
      <c r="B150" s="1038"/>
      <c r="C150" s="1025"/>
      <c r="D150" s="1026"/>
      <c r="E150" s="1026"/>
      <c r="F150" s="1061"/>
      <c r="G150" s="1054"/>
      <c r="H150" s="1055"/>
      <c r="I150" s="1056"/>
      <c r="J150" s="1111"/>
      <c r="K150" s="1033"/>
    </row>
    <row r="151" spans="1:11">
      <c r="A151" s="1037"/>
      <c r="B151" s="1038"/>
      <c r="C151" s="1026"/>
      <c r="D151" s="1026"/>
      <c r="E151" s="1026"/>
      <c r="F151" s="1059"/>
      <c r="G151" s="1054"/>
      <c r="H151" s="1269"/>
      <c r="I151" s="1056"/>
      <c r="J151" s="1111"/>
      <c r="K151" s="1033"/>
    </row>
    <row r="152" spans="1:11">
      <c r="A152" s="1037"/>
      <c r="B152" s="1038"/>
      <c r="C152" s="1026"/>
      <c r="D152" s="1026"/>
      <c r="E152" s="1026"/>
      <c r="F152" s="1059"/>
      <c r="G152" s="1054"/>
      <c r="H152" s="1269"/>
      <c r="I152" s="1056"/>
      <c r="J152" s="1111"/>
      <c r="K152" s="1033"/>
    </row>
    <row r="153" spans="1:11">
      <c r="A153" s="1037"/>
      <c r="B153" s="1038"/>
      <c r="C153" s="1026"/>
      <c r="D153" s="1026"/>
      <c r="E153" s="1026"/>
      <c r="F153" s="1059"/>
      <c r="G153" s="1059"/>
      <c r="H153" s="1269"/>
      <c r="I153" s="1056"/>
      <c r="J153" s="1111"/>
      <c r="K153" s="1033"/>
    </row>
    <row r="154" spans="1:11">
      <c r="A154" s="1037"/>
      <c r="B154" s="1038"/>
      <c r="C154" s="1026"/>
      <c r="D154" s="1026"/>
      <c r="E154" s="1026"/>
      <c r="F154" s="1059"/>
      <c r="G154" s="1059"/>
      <c r="H154" s="1269"/>
      <c r="I154" s="1056"/>
      <c r="J154" s="1111"/>
      <c r="K154" s="1033"/>
    </row>
    <row r="155" spans="1:11" ht="15.75">
      <c r="A155" s="1037"/>
      <c r="B155" s="1038"/>
      <c r="C155" s="1026"/>
      <c r="D155" s="1026"/>
      <c r="E155" s="1026"/>
      <c r="F155" s="1059"/>
      <c r="G155" s="1054"/>
      <c r="H155" s="1269"/>
      <c r="I155" s="1056"/>
      <c r="J155" s="1111"/>
      <c r="K155" s="1116"/>
    </row>
    <row r="156" spans="1:11">
      <c r="A156" s="1037"/>
      <c r="B156" s="1038"/>
      <c r="C156" s="1026"/>
      <c r="D156" s="1026"/>
      <c r="E156" s="1026"/>
      <c r="F156" s="1059"/>
      <c r="G156" s="1054"/>
      <c r="H156" s="1269"/>
      <c r="I156" s="1056"/>
      <c r="J156" s="1111"/>
      <c r="K156" s="1033"/>
    </row>
    <row r="157" spans="1:11">
      <c r="A157" s="1037"/>
      <c r="B157" s="1038"/>
      <c r="C157" s="1026"/>
      <c r="D157" s="1026"/>
      <c r="E157" s="1026"/>
      <c r="F157" s="1059"/>
      <c r="G157" s="1059"/>
      <c r="H157" s="1269"/>
      <c r="I157" s="1056"/>
      <c r="J157" s="1111"/>
      <c r="K157" s="1033"/>
    </row>
    <row r="158" spans="1:11">
      <c r="A158" s="1037"/>
      <c r="B158" s="1038"/>
      <c r="C158" s="1026"/>
      <c r="D158" s="1026"/>
      <c r="E158" s="1026"/>
      <c r="F158" s="1059"/>
      <c r="G158" s="1059"/>
      <c r="H158" s="1269"/>
      <c r="I158" s="1056"/>
      <c r="J158" s="1111"/>
      <c r="K158" s="1033"/>
    </row>
    <row r="159" spans="1:11">
      <c r="A159" s="1037"/>
      <c r="B159" s="1038"/>
      <c r="C159" s="1026"/>
      <c r="D159" s="1026"/>
      <c r="E159" s="1026"/>
      <c r="F159" s="1059"/>
      <c r="G159" s="1054"/>
      <c r="H159" s="1269"/>
      <c r="I159" s="1056"/>
      <c r="J159" s="1111"/>
      <c r="K159" s="1033"/>
    </row>
    <row r="160" spans="1:11">
      <c r="A160" s="1037"/>
      <c r="B160" s="1038"/>
      <c r="C160" s="1026"/>
      <c r="D160" s="1026"/>
      <c r="E160" s="1026"/>
      <c r="F160" s="1059"/>
      <c r="G160" s="1054"/>
      <c r="H160" s="1269"/>
      <c r="I160" s="1056"/>
      <c r="J160" s="1111"/>
      <c r="K160" s="1033"/>
    </row>
    <row r="161" spans="1:11">
      <c r="A161" s="1037"/>
      <c r="B161" s="1038"/>
      <c r="C161" s="1026"/>
      <c r="D161" s="1026"/>
      <c r="E161" s="1026"/>
      <c r="F161" s="1059"/>
      <c r="G161" s="1054"/>
      <c r="H161" s="1269"/>
      <c r="I161" s="1056"/>
      <c r="J161" s="1111"/>
      <c r="K161" s="1033"/>
    </row>
    <row r="162" spans="1:11" ht="15.75">
      <c r="A162" s="1037"/>
      <c r="B162" s="1038"/>
      <c r="C162" s="1026"/>
      <c r="D162" s="1026"/>
      <c r="E162" s="1026"/>
      <c r="F162" s="1059"/>
      <c r="G162" s="1054"/>
      <c r="H162" s="1269"/>
      <c r="I162" s="1056"/>
      <c r="J162" s="1111"/>
      <c r="K162" s="1116"/>
    </row>
    <row r="163" spans="1:11">
      <c r="A163" s="1037"/>
      <c r="B163" s="1038"/>
      <c r="C163" s="1026"/>
      <c r="D163" s="1026"/>
      <c r="E163" s="1026"/>
      <c r="F163" s="1059"/>
      <c r="G163" s="1054"/>
      <c r="H163" s="1269"/>
      <c r="I163" s="1056"/>
      <c r="J163" s="1111"/>
      <c r="K163" s="1033"/>
    </row>
    <row r="164" spans="1:11">
      <c r="A164" s="1037"/>
      <c r="B164" s="1038"/>
      <c r="C164" s="346"/>
      <c r="D164" s="1026"/>
      <c r="E164" s="1026"/>
      <c r="F164" s="1059"/>
      <c r="G164" s="1054"/>
      <c r="H164" s="1269"/>
      <c r="I164" s="1056"/>
      <c r="J164" s="1111"/>
      <c r="K164" s="1033"/>
    </row>
    <row r="165" spans="1:11">
      <c r="A165" s="1037"/>
      <c r="B165" s="1038"/>
      <c r="C165" s="1026"/>
      <c r="D165" s="1026"/>
      <c r="E165" s="1026"/>
      <c r="F165" s="1059"/>
      <c r="G165" s="1054"/>
      <c r="H165" s="1269"/>
      <c r="I165" s="1056"/>
      <c r="J165" s="1111"/>
      <c r="K165" s="1033"/>
    </row>
    <row r="166" spans="1:11">
      <c r="A166" s="1037"/>
      <c r="B166" s="1038"/>
      <c r="C166" s="1026"/>
      <c r="D166" s="1026"/>
      <c r="E166" s="1026"/>
      <c r="F166" s="1059"/>
      <c r="G166" s="1054"/>
      <c r="H166" s="1269"/>
      <c r="I166" s="1056"/>
      <c r="J166" s="1111"/>
      <c r="K166" s="1033"/>
    </row>
    <row r="167" spans="1:11">
      <c r="A167" s="1037"/>
      <c r="B167" s="1038"/>
      <c r="C167" s="1026"/>
      <c r="D167" s="1026"/>
      <c r="E167" s="1026"/>
      <c r="F167" s="1059"/>
      <c r="G167" s="1054"/>
      <c r="H167" s="1269"/>
      <c r="I167" s="1056"/>
      <c r="J167" s="1111"/>
      <c r="K167" s="1033"/>
    </row>
    <row r="168" spans="1:11">
      <c r="A168" s="1037"/>
      <c r="B168" s="1038"/>
      <c r="C168" s="1026"/>
      <c r="D168" s="1026"/>
      <c r="E168" s="1026"/>
      <c r="F168" s="1059"/>
      <c r="G168" s="1054"/>
      <c r="H168" s="1269"/>
      <c r="I168" s="1056"/>
      <c r="J168" s="1111"/>
      <c r="K168" s="1033"/>
    </row>
    <row r="169" spans="1:11">
      <c r="A169" s="1037"/>
      <c r="B169" s="1038"/>
      <c r="C169" s="1026"/>
      <c r="D169" s="1026"/>
      <c r="E169" s="1026"/>
      <c r="F169" s="1059"/>
      <c r="G169" s="1054"/>
      <c r="H169" s="1269"/>
      <c r="I169" s="1056"/>
      <c r="J169" s="1111"/>
      <c r="K169" s="1033"/>
    </row>
    <row r="170" spans="1:11">
      <c r="A170" s="1037"/>
      <c r="B170" s="1038"/>
      <c r="C170" s="1026"/>
      <c r="D170" s="1026"/>
      <c r="E170" s="1026"/>
      <c r="F170" s="1059"/>
      <c r="G170" s="1054"/>
      <c r="H170" s="1269"/>
      <c r="I170" s="1056"/>
      <c r="J170" s="1111"/>
      <c r="K170" s="1033"/>
    </row>
    <row r="171" spans="1:11">
      <c r="A171" s="1037"/>
      <c r="B171" s="1038"/>
      <c r="C171" s="1026"/>
      <c r="D171" s="1026"/>
      <c r="E171" s="1026"/>
      <c r="F171" s="1059"/>
      <c r="G171" s="1054"/>
      <c r="H171" s="1269"/>
      <c r="I171" s="1056"/>
      <c r="J171" s="1111"/>
      <c r="K171" s="1033"/>
    </row>
    <row r="172" spans="1:11">
      <c r="A172" s="1037"/>
      <c r="B172" s="1038"/>
      <c r="C172" s="1026"/>
      <c r="D172" s="1026"/>
      <c r="E172" s="1026"/>
      <c r="F172" s="1059"/>
      <c r="G172" s="1054"/>
      <c r="H172" s="1269"/>
      <c r="I172" s="1056"/>
      <c r="J172" s="1111"/>
      <c r="K172" s="1033"/>
    </row>
    <row r="173" spans="1:11">
      <c r="A173" s="1037"/>
      <c r="B173" s="1038"/>
      <c r="C173" s="1026"/>
      <c r="D173" s="1026"/>
      <c r="E173" s="1026"/>
      <c r="F173" s="1059"/>
      <c r="G173" s="1059"/>
      <c r="H173" s="1269"/>
      <c r="I173" s="1056"/>
      <c r="J173" s="1111"/>
      <c r="K173" s="1033"/>
    </row>
    <row r="174" spans="1:11">
      <c r="A174" s="1037"/>
      <c r="B174" s="1038"/>
      <c r="C174" s="1026"/>
      <c r="D174" s="1026"/>
      <c r="E174" s="1026"/>
      <c r="F174" s="1059"/>
      <c r="G174" s="1059"/>
      <c r="H174" s="1269"/>
      <c r="I174" s="1056"/>
      <c r="J174" s="1111"/>
      <c r="K174" s="1033"/>
    </row>
    <row r="175" spans="1:11">
      <c r="A175" s="1037"/>
      <c r="B175" s="1038"/>
      <c r="C175" s="1026"/>
      <c r="D175" s="1026"/>
      <c r="E175" s="1026"/>
      <c r="F175" s="1059"/>
      <c r="G175" s="1054"/>
      <c r="H175" s="1269"/>
      <c r="I175" s="1056"/>
      <c r="J175" s="1111"/>
      <c r="K175" s="1033"/>
    </row>
    <row r="176" spans="1:11">
      <c r="A176" s="1037"/>
      <c r="B176" s="1038"/>
      <c r="C176" s="1026"/>
      <c r="D176" s="1026"/>
      <c r="E176" s="1026"/>
      <c r="F176" s="1059"/>
      <c r="G176" s="1054"/>
      <c r="H176" s="1269"/>
      <c r="I176" s="1056"/>
      <c r="J176" s="1111"/>
      <c r="K176" s="1033"/>
    </row>
    <row r="177" spans="1:11">
      <c r="A177" s="1037"/>
      <c r="B177" s="1038"/>
      <c r="C177" s="1026"/>
      <c r="D177" s="1026"/>
      <c r="E177" s="1026"/>
      <c r="F177" s="1059"/>
      <c r="G177" s="1054"/>
      <c r="H177" s="1269"/>
      <c r="I177" s="1056"/>
      <c r="J177" s="1111"/>
      <c r="K177" s="1033"/>
    </row>
    <row r="178" spans="1:11" ht="15.75">
      <c r="A178" s="1037"/>
      <c r="B178" s="1038"/>
      <c r="C178" s="1026"/>
      <c r="D178" s="1026"/>
      <c r="E178" s="1026"/>
      <c r="F178" s="1059"/>
      <c r="G178" s="1059"/>
      <c r="H178" s="1269"/>
      <c r="I178" s="1056"/>
      <c r="J178" s="1111"/>
      <c r="K178" s="1116"/>
    </row>
    <row r="179" spans="1:11">
      <c r="A179" s="1037"/>
      <c r="B179" s="1038"/>
      <c r="C179" s="1026"/>
      <c r="D179" s="1026"/>
      <c r="E179" s="1026"/>
      <c r="F179" s="1059"/>
      <c r="G179" s="1059"/>
      <c r="H179" s="1269"/>
      <c r="I179" s="1056"/>
      <c r="J179" s="1111"/>
      <c r="K179" s="1033"/>
    </row>
    <row r="180" spans="1:11" ht="15.75">
      <c r="A180" s="1037"/>
      <c r="B180" s="1038"/>
      <c r="C180" s="1026"/>
      <c r="D180" s="1026"/>
      <c r="E180" s="1026"/>
      <c r="F180" s="1059"/>
      <c r="G180" s="1054"/>
      <c r="H180" s="1269"/>
      <c r="I180" s="1056"/>
      <c r="J180" s="1111"/>
      <c r="K180" s="1116"/>
    </row>
    <row r="181" spans="1:11" ht="15.75">
      <c r="A181" s="1037"/>
      <c r="B181" s="1038"/>
      <c r="C181" s="1026"/>
      <c r="D181" s="1026"/>
      <c r="E181" s="1026"/>
      <c r="F181" s="1059"/>
      <c r="G181" s="1054"/>
      <c r="H181" s="1269"/>
      <c r="I181" s="1056"/>
      <c r="J181" s="1111"/>
      <c r="K181" s="1116"/>
    </row>
    <row r="182" spans="1:11" ht="15.75">
      <c r="A182" s="1037"/>
      <c r="B182" s="1038"/>
      <c r="C182" s="1026"/>
      <c r="D182" s="1026"/>
      <c r="E182" s="1026"/>
      <c r="F182" s="1059"/>
      <c r="G182" s="1054"/>
      <c r="H182" s="1269"/>
      <c r="I182" s="1056"/>
      <c r="J182" s="1111"/>
      <c r="K182" s="1116"/>
    </row>
    <row r="183" spans="1:11" ht="15.75">
      <c r="A183" s="1037"/>
      <c r="B183" s="1038"/>
      <c r="C183" s="1026"/>
      <c r="D183" s="1026"/>
      <c r="E183" s="1026"/>
      <c r="F183" s="1059"/>
      <c r="G183" s="1054"/>
      <c r="H183" s="1269"/>
      <c r="I183" s="1056"/>
      <c r="J183" s="1111"/>
      <c r="K183" s="1116"/>
    </row>
    <row r="184" spans="1:11" ht="15.75">
      <c r="A184" s="1037"/>
      <c r="B184" s="1038"/>
      <c r="C184" s="1026"/>
      <c r="D184" s="1026"/>
      <c r="E184" s="1026"/>
      <c r="F184" s="1059"/>
      <c r="G184" s="1059"/>
      <c r="H184" s="1269"/>
      <c r="I184" s="1056"/>
      <c r="J184" s="1111"/>
      <c r="K184" s="1116"/>
    </row>
    <row r="185" spans="1:11">
      <c r="A185" s="1037"/>
      <c r="B185" s="1038"/>
      <c r="C185" s="1026"/>
      <c r="D185" s="1026"/>
      <c r="E185" s="1026"/>
      <c r="F185" s="1059"/>
      <c r="G185" s="1059"/>
      <c r="H185" s="1269"/>
      <c r="I185" s="1056"/>
      <c r="J185" s="1111"/>
      <c r="K185" s="1033"/>
    </row>
    <row r="186" spans="1:11" ht="15.75">
      <c r="A186" s="1037"/>
      <c r="B186" s="1038"/>
      <c r="C186" s="1026"/>
      <c r="D186" s="1026"/>
      <c r="E186" s="1026"/>
      <c r="F186" s="1059"/>
      <c r="G186" s="1054"/>
      <c r="H186" s="1269"/>
      <c r="I186" s="1056"/>
      <c r="J186" s="1111"/>
      <c r="K186" s="1116"/>
    </row>
    <row r="187" spans="1:11">
      <c r="A187" s="1037"/>
      <c r="B187" s="1038"/>
      <c r="C187" s="1026"/>
      <c r="D187" s="1026"/>
      <c r="E187" s="1026"/>
      <c r="F187" s="1059"/>
      <c r="G187" s="1059"/>
      <c r="H187" s="1269"/>
      <c r="I187" s="1056"/>
      <c r="J187" s="1111"/>
      <c r="K187" s="1033"/>
    </row>
    <row r="188" spans="1:11">
      <c r="A188" s="1037"/>
      <c r="B188" s="1038"/>
      <c r="C188" s="1026"/>
      <c r="D188" s="1026"/>
      <c r="E188" s="1026"/>
      <c r="F188" s="1059"/>
      <c r="G188" s="1059"/>
      <c r="H188" s="1269"/>
      <c r="I188" s="1056"/>
      <c r="J188" s="1111"/>
      <c r="K188" s="1033"/>
    </row>
    <row r="189" spans="1:11">
      <c r="A189" s="1037"/>
      <c r="B189" s="1038"/>
      <c r="C189" s="1026"/>
      <c r="D189" s="1026"/>
      <c r="E189" s="1026"/>
      <c r="F189" s="1059"/>
      <c r="G189" s="1059"/>
      <c r="H189" s="1269"/>
      <c r="I189" s="1056"/>
      <c r="J189" s="1111"/>
      <c r="K189" s="1033"/>
    </row>
    <row r="190" spans="1:11">
      <c r="A190" s="1037"/>
      <c r="B190" s="1038"/>
      <c r="C190" s="1026"/>
      <c r="D190" s="1026"/>
      <c r="E190" s="1026"/>
      <c r="F190" s="1059"/>
      <c r="G190" s="1059"/>
      <c r="H190" s="1269"/>
      <c r="I190" s="1056"/>
      <c r="J190" s="1111"/>
      <c r="K190" s="1033"/>
    </row>
    <row r="191" spans="1:11">
      <c r="A191" s="1037"/>
      <c r="B191" s="1038"/>
      <c r="C191" s="1026"/>
      <c r="D191" s="1026"/>
      <c r="E191" s="1026"/>
      <c r="F191" s="1059"/>
      <c r="G191" s="1054"/>
      <c r="H191" s="1269"/>
      <c r="I191" s="1056"/>
      <c r="J191" s="1111"/>
      <c r="K191" s="1033"/>
    </row>
    <row r="192" spans="1:11">
      <c r="A192" s="1037"/>
      <c r="B192" s="1038"/>
      <c r="C192" s="1026"/>
      <c r="D192" s="1026"/>
      <c r="E192" s="1026"/>
      <c r="F192" s="1059"/>
      <c r="G192" s="1054"/>
      <c r="H192" s="1269"/>
      <c r="I192" s="1056"/>
      <c r="J192" s="1111"/>
      <c r="K192" s="1033"/>
    </row>
    <row r="193" spans="1:11">
      <c r="A193" s="1037"/>
      <c r="B193" s="1038"/>
      <c r="C193" s="1026"/>
      <c r="D193" s="1026"/>
      <c r="E193" s="1026"/>
      <c r="F193" s="1059"/>
      <c r="G193" s="1054"/>
      <c r="H193" s="1269"/>
      <c r="I193" s="1056"/>
      <c r="J193" s="1111"/>
      <c r="K193" s="1033"/>
    </row>
    <row r="194" spans="1:11">
      <c r="A194" s="1037"/>
      <c r="B194" s="1038"/>
      <c r="C194" s="1026"/>
      <c r="D194" s="1026"/>
      <c r="E194" s="1026"/>
      <c r="F194" s="1059"/>
      <c r="G194" s="1054"/>
      <c r="H194" s="1269"/>
      <c r="I194" s="1056"/>
      <c r="J194" s="1111"/>
      <c r="K194" s="1033"/>
    </row>
    <row r="195" spans="1:11">
      <c r="A195" s="1037"/>
      <c r="B195" s="1038"/>
      <c r="C195" s="1026"/>
      <c r="D195" s="1026"/>
      <c r="E195" s="1026"/>
      <c r="F195" s="1059"/>
      <c r="G195" s="1054"/>
      <c r="H195" s="1269"/>
      <c r="I195" s="1056"/>
      <c r="J195" s="1111"/>
      <c r="K195" s="1033"/>
    </row>
    <row r="196" spans="1:11">
      <c r="A196" s="1037"/>
      <c r="B196" s="1038"/>
      <c r="C196" s="1026"/>
      <c r="D196" s="1026"/>
      <c r="E196" s="1026"/>
      <c r="F196" s="1059"/>
      <c r="G196" s="1054"/>
      <c r="H196" s="1269"/>
      <c r="I196" s="1056"/>
      <c r="J196" s="1111"/>
      <c r="K196" s="1033"/>
    </row>
    <row r="197" spans="1:11">
      <c r="A197" s="1037"/>
      <c r="B197" s="1038"/>
      <c r="C197" s="1026"/>
      <c r="D197" s="1026"/>
      <c r="E197" s="1026"/>
      <c r="F197" s="1059"/>
      <c r="G197" s="1054"/>
      <c r="H197" s="1269"/>
      <c r="I197" s="1056"/>
      <c r="J197" s="1111"/>
      <c r="K197" s="1033"/>
    </row>
    <row r="198" spans="1:11">
      <c r="A198" s="1037"/>
      <c r="B198" s="1038"/>
      <c r="C198" s="1026"/>
      <c r="D198" s="1026"/>
      <c r="E198" s="1026"/>
      <c r="F198" s="1059"/>
      <c r="G198" s="1059"/>
      <c r="H198" s="1269"/>
      <c r="I198" s="1056"/>
      <c r="J198" s="1111"/>
      <c r="K198" s="1033"/>
    </row>
    <row r="199" spans="1:11">
      <c r="A199" s="1037"/>
      <c r="B199" s="1038"/>
      <c r="C199" s="1026"/>
      <c r="D199" s="1026"/>
      <c r="E199" s="1026"/>
      <c r="F199" s="1059"/>
      <c r="G199" s="1059"/>
      <c r="H199" s="1269"/>
      <c r="I199" s="1056"/>
      <c r="J199" s="1111"/>
      <c r="K199" s="1033"/>
    </row>
    <row r="200" spans="1:11" ht="15.75">
      <c r="A200" s="1037"/>
      <c r="B200" s="1038"/>
      <c r="C200" s="1026"/>
      <c r="D200" s="1026"/>
      <c r="E200" s="1026"/>
      <c r="F200" s="1059"/>
      <c r="G200" s="1054"/>
      <c r="H200" s="1269"/>
      <c r="I200" s="1056"/>
      <c r="J200" s="1111"/>
      <c r="K200" s="1116"/>
    </row>
    <row r="201" spans="1:11">
      <c r="A201" s="1037"/>
      <c r="B201" s="1038"/>
      <c r="C201" s="1026"/>
      <c r="D201" s="1026"/>
      <c r="E201" s="1026"/>
      <c r="F201" s="1059"/>
      <c r="G201" s="1054"/>
      <c r="H201" s="1269"/>
      <c r="I201" s="1056"/>
      <c r="J201" s="1111"/>
      <c r="K201" s="1033"/>
    </row>
    <row r="202" spans="1:11">
      <c r="A202" s="1037"/>
      <c r="B202" s="1038"/>
      <c r="C202" s="1025"/>
      <c r="D202" s="1025"/>
      <c r="E202" s="1025"/>
      <c r="F202" s="1061"/>
      <c r="G202" s="1054"/>
      <c r="H202" s="1269"/>
      <c r="I202" s="1056"/>
      <c r="J202" s="1111"/>
      <c r="K202" s="1033"/>
    </row>
    <row r="203" spans="1:11">
      <c r="A203" s="1037"/>
      <c r="B203" s="1038"/>
      <c r="C203" s="1026"/>
      <c r="D203" s="1026"/>
      <c r="E203" s="1026"/>
      <c r="F203" s="1061"/>
      <c r="G203" s="1054"/>
      <c r="H203" s="1269"/>
      <c r="I203" s="1056"/>
      <c r="J203" s="1111"/>
      <c r="K203" s="1033"/>
    </row>
    <row r="204" spans="1:11" ht="15.75">
      <c r="A204" s="1037"/>
      <c r="B204" s="1038"/>
      <c r="C204" s="1026"/>
      <c r="D204" s="1026"/>
      <c r="E204" s="1026"/>
      <c r="F204" s="1059"/>
      <c r="G204" s="1059"/>
      <c r="H204" s="1269"/>
      <c r="I204" s="1056"/>
      <c r="J204" s="1111"/>
      <c r="K204" s="1116"/>
    </row>
    <row r="205" spans="1:11">
      <c r="A205" s="1037"/>
      <c r="B205" s="1038"/>
      <c r="C205" s="1026"/>
      <c r="D205" s="1026"/>
      <c r="E205" s="1026"/>
      <c r="F205" s="1059"/>
      <c r="G205" s="1059"/>
      <c r="H205" s="1269"/>
      <c r="I205" s="1056"/>
      <c r="J205" s="1111"/>
      <c r="K205" s="1033"/>
    </row>
    <row r="206" spans="1:11" ht="15.75">
      <c r="A206" s="1037"/>
      <c r="B206" s="1038"/>
      <c r="C206" s="1026"/>
      <c r="D206" s="1026"/>
      <c r="E206" s="1026"/>
      <c r="F206" s="1059"/>
      <c r="G206" s="1054"/>
      <c r="H206" s="1269"/>
      <c r="I206" s="1056"/>
      <c r="J206" s="1111"/>
      <c r="K206" s="1116"/>
    </row>
    <row r="207" spans="1:11" ht="15.75">
      <c r="A207" s="1037"/>
      <c r="B207" s="1038"/>
      <c r="C207" s="1026"/>
      <c r="D207" s="1026"/>
      <c r="E207" s="1026"/>
      <c r="F207" s="1059"/>
      <c r="G207" s="1054"/>
      <c r="H207" s="1269"/>
      <c r="I207" s="1056"/>
      <c r="J207" s="1111"/>
      <c r="K207" s="1116"/>
    </row>
    <row r="208" spans="1:11" ht="15.75">
      <c r="A208" s="1037"/>
      <c r="B208" s="1038"/>
      <c r="C208" s="1026"/>
      <c r="D208" s="1026"/>
      <c r="E208" s="1026"/>
      <c r="F208" s="1059"/>
      <c r="G208" s="1054"/>
      <c r="H208" s="1269"/>
      <c r="I208" s="1056"/>
      <c r="J208" s="1111"/>
      <c r="K208" s="1116"/>
    </row>
    <row r="209" spans="1:11" ht="15.75">
      <c r="A209" s="1037"/>
      <c r="B209" s="1038"/>
      <c r="C209" s="1026"/>
      <c r="D209" s="1026"/>
      <c r="E209" s="1026"/>
      <c r="F209" s="1059"/>
      <c r="G209" s="1054"/>
      <c r="H209" s="1269"/>
      <c r="I209" s="1056"/>
      <c r="J209" s="1111"/>
      <c r="K209" s="1116"/>
    </row>
    <row r="210" spans="1:11" ht="15.75">
      <c r="A210" s="1037"/>
      <c r="B210" s="1038"/>
      <c r="C210" s="1026"/>
      <c r="D210" s="1026"/>
      <c r="E210" s="1026"/>
      <c r="F210" s="1059"/>
      <c r="G210" s="1054"/>
      <c r="H210" s="1269"/>
      <c r="I210" s="1056"/>
      <c r="J210" s="1111"/>
      <c r="K210" s="1116"/>
    </row>
    <row r="211" spans="1:11" ht="15.75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116"/>
    </row>
    <row r="212" spans="1:11" ht="15.75">
      <c r="A212" s="1037"/>
      <c r="B212" s="1038"/>
      <c r="C212" s="1026"/>
      <c r="D212" s="1026"/>
      <c r="E212" s="1026"/>
      <c r="F212" s="1059"/>
      <c r="G212" s="1054"/>
      <c r="H212" s="1269"/>
      <c r="I212" s="1056"/>
      <c r="J212" s="1111"/>
      <c r="K212" s="1116"/>
    </row>
    <row r="213" spans="1:11" ht="15.75">
      <c r="A213" s="1037"/>
      <c r="B213" s="1038"/>
      <c r="C213" s="1026"/>
      <c r="D213" s="1026"/>
      <c r="E213" s="1026"/>
      <c r="F213" s="1059"/>
      <c r="G213" s="1054"/>
      <c r="H213" s="1269"/>
      <c r="I213" s="1056"/>
      <c r="J213" s="1111"/>
      <c r="K213" s="1116"/>
    </row>
    <row r="214" spans="1:11" ht="15.75">
      <c r="A214" s="1037"/>
      <c r="B214" s="1038"/>
      <c r="C214" s="1026"/>
      <c r="D214" s="1026"/>
      <c r="E214" s="1032"/>
      <c r="F214" s="1059"/>
      <c r="G214" s="1054"/>
      <c r="H214" s="1269"/>
      <c r="I214" s="1056"/>
      <c r="J214" s="1111"/>
      <c r="K214" s="1116"/>
    </row>
    <row r="215" spans="1:11" ht="15.75">
      <c r="A215" s="1037"/>
      <c r="B215" s="1038"/>
      <c r="C215" s="1026"/>
      <c r="D215" s="1026"/>
      <c r="E215" s="1026"/>
      <c r="F215" s="1059"/>
      <c r="G215" s="1054"/>
      <c r="H215" s="1269"/>
      <c r="I215" s="1056"/>
      <c r="J215" s="1111"/>
      <c r="K215" s="1116"/>
    </row>
    <row r="216" spans="1:11" ht="15.75">
      <c r="A216" s="1037"/>
      <c r="B216" s="1038"/>
      <c r="C216" s="1026"/>
      <c r="D216" s="1026"/>
      <c r="E216" s="1026"/>
      <c r="F216" s="1059"/>
      <c r="G216" s="1054"/>
      <c r="H216" s="1269"/>
      <c r="I216" s="1056"/>
      <c r="J216" s="1111"/>
      <c r="K216" s="1116"/>
    </row>
    <row r="217" spans="1:11" ht="15.75">
      <c r="A217" s="1037"/>
      <c r="B217" s="1038"/>
      <c r="C217" s="1026"/>
      <c r="D217" s="1026"/>
      <c r="E217" s="1026"/>
      <c r="F217" s="1059"/>
      <c r="G217" s="1054"/>
      <c r="H217" s="1269"/>
      <c r="I217" s="1056"/>
      <c r="J217" s="1111"/>
      <c r="K217" s="1116"/>
    </row>
    <row r="218" spans="1:11" ht="15.75">
      <c r="A218" s="1037"/>
      <c r="B218" s="1038"/>
      <c r="C218" s="1026"/>
      <c r="D218" s="1026"/>
      <c r="E218" s="1026"/>
      <c r="F218" s="1059"/>
      <c r="G218" s="1054"/>
      <c r="H218" s="1269"/>
      <c r="I218" s="1056"/>
      <c r="J218" s="1111"/>
      <c r="K218" s="1116"/>
    </row>
    <row r="219" spans="1:11">
      <c r="A219" s="1037"/>
      <c r="B219" s="1038"/>
      <c r="C219" s="1026"/>
      <c r="D219" s="1026"/>
      <c r="E219" s="1026"/>
      <c r="F219" s="1059"/>
      <c r="G219" s="1054"/>
      <c r="H219" s="1269"/>
      <c r="I219" s="1056"/>
      <c r="J219" s="1111"/>
      <c r="K219" s="1033"/>
    </row>
    <row r="220" spans="1:11">
      <c r="A220" s="1039"/>
      <c r="B220" s="1039"/>
      <c r="C220" s="1025"/>
      <c r="D220" s="1025"/>
      <c r="E220" s="1025"/>
      <c r="F220" s="1061"/>
      <c r="G220" s="1062"/>
      <c r="H220" s="1269"/>
      <c r="I220" s="1056"/>
      <c r="J220" s="1111"/>
      <c r="K220" s="1033"/>
    </row>
    <row r="221" spans="1:11">
      <c r="A221" s="1039"/>
      <c r="B221" s="1039"/>
      <c r="C221" s="1025"/>
      <c r="D221" s="1025"/>
      <c r="E221" s="1025"/>
      <c r="F221" s="1061"/>
      <c r="G221" s="1062"/>
      <c r="H221" s="1269"/>
      <c r="I221" s="1056"/>
      <c r="J221" s="1111"/>
      <c r="K221" s="1033"/>
    </row>
    <row r="222" spans="1:11">
      <c r="A222" s="1039"/>
      <c r="B222" s="1039"/>
      <c r="C222" s="1025"/>
      <c r="D222" s="1025"/>
      <c r="E222" s="1025"/>
      <c r="F222" s="1061"/>
      <c r="G222" s="1062"/>
      <c r="H222" s="1269"/>
      <c r="I222" s="1056"/>
      <c r="J222" s="1111"/>
      <c r="K222" s="1033"/>
    </row>
    <row r="223" spans="1:11">
      <c r="A223" s="1039"/>
      <c r="B223" s="1039"/>
      <c r="C223" s="1025"/>
      <c r="D223" s="1025"/>
      <c r="E223" s="1025"/>
      <c r="F223" s="1061"/>
      <c r="G223" s="1062"/>
      <c r="H223" s="1269"/>
      <c r="I223" s="1056"/>
      <c r="J223" s="1111"/>
      <c r="K223" s="1033"/>
    </row>
    <row r="224" spans="1:11">
      <c r="A224" s="1039"/>
      <c r="B224" s="1039"/>
      <c r="C224" s="1025"/>
      <c r="D224" s="1025"/>
      <c r="E224" s="1025"/>
      <c r="F224" s="1061"/>
      <c r="G224" s="1062"/>
      <c r="H224" s="1269"/>
      <c r="I224" s="1056"/>
      <c r="J224" s="1111"/>
      <c r="K224" s="1033"/>
    </row>
    <row r="225" spans="1:11">
      <c r="A225" s="1039"/>
      <c r="B225" s="1039"/>
      <c r="C225" s="1025"/>
      <c r="D225" s="1025"/>
      <c r="E225" s="1025"/>
      <c r="F225" s="1061"/>
      <c r="G225" s="1062"/>
      <c r="H225" s="1269"/>
      <c r="I225" s="1056"/>
      <c r="J225" s="1111"/>
      <c r="K225" s="1033"/>
    </row>
    <row r="226" spans="1:11">
      <c r="A226" s="1039"/>
      <c r="B226" s="1039"/>
      <c r="C226" s="1025"/>
      <c r="D226" s="1025"/>
      <c r="E226" s="1025"/>
      <c r="F226" s="1061"/>
      <c r="G226" s="1062"/>
      <c r="H226" s="1269"/>
      <c r="I226" s="1056"/>
      <c r="J226" s="1111"/>
      <c r="K226" s="1033"/>
    </row>
    <row r="227" spans="1:11">
      <c r="A227" s="1039"/>
      <c r="B227" s="1039"/>
      <c r="C227" s="1025"/>
      <c r="D227" s="1025"/>
      <c r="E227" s="1025"/>
      <c r="F227" s="1061"/>
      <c r="G227" s="1062"/>
      <c r="H227" s="1269"/>
      <c r="I227" s="1056"/>
      <c r="J227" s="1111"/>
      <c r="K227" s="1033"/>
    </row>
    <row r="228" spans="1:11">
      <c r="A228" s="1039"/>
      <c r="B228" s="1039"/>
      <c r="C228" s="1025"/>
      <c r="D228" s="1025"/>
      <c r="E228" s="1025"/>
      <c r="F228" s="1061"/>
      <c r="G228" s="1062"/>
      <c r="H228" s="1269"/>
      <c r="I228" s="1056"/>
      <c r="J228" s="1111"/>
      <c r="K228" s="1033"/>
    </row>
    <row r="229" spans="1:11">
      <c r="A229" s="1039"/>
      <c r="B229" s="1039"/>
      <c r="C229" s="1025"/>
      <c r="D229" s="1025"/>
      <c r="E229" s="1025"/>
      <c r="F229" s="1061"/>
      <c r="G229" s="1062"/>
      <c r="H229" s="1269"/>
      <c r="I229" s="1056"/>
      <c r="J229" s="1111"/>
      <c r="K229" s="1033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1033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1033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1033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1033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1033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1033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1033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1033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1033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1033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1033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1033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1033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1033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1033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1033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1033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1033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1033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1033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1033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1033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1033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1033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1033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1033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1033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1033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1033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1033"/>
    </row>
    <row r="260" spans="1:11">
      <c r="A260" s="1039"/>
      <c r="B260" s="1039"/>
      <c r="C260" s="1025"/>
      <c r="D260" s="1025"/>
      <c r="E260" s="1025"/>
      <c r="F260" s="1061"/>
      <c r="G260" s="1062"/>
      <c r="H260" s="1269"/>
      <c r="I260" s="1056"/>
      <c r="J260" s="1111"/>
      <c r="K260" s="1033"/>
    </row>
    <row r="261" spans="1:11">
      <c r="A261" s="1039"/>
      <c r="B261" s="1039"/>
      <c r="C261" s="1025"/>
      <c r="D261" s="1025"/>
      <c r="E261" s="1025"/>
      <c r="F261" s="1061"/>
      <c r="G261" s="1062"/>
      <c r="H261" s="1269"/>
      <c r="I261" s="1056"/>
      <c r="J261" s="1111"/>
      <c r="K261" s="1033"/>
    </row>
    <row r="262" spans="1:11">
      <c r="A262" s="1039"/>
      <c r="B262" s="1039"/>
      <c r="C262" s="1025"/>
      <c r="D262" s="1025"/>
      <c r="E262" s="1025"/>
      <c r="F262" s="1061"/>
      <c r="G262" s="1062"/>
      <c r="H262" s="1269"/>
      <c r="I262" s="1056"/>
      <c r="J262" s="1111"/>
      <c r="K262" s="1033"/>
    </row>
    <row r="263" spans="1:11">
      <c r="A263" s="1039"/>
      <c r="B263" s="1039"/>
      <c r="C263" s="1025"/>
      <c r="D263" s="1025"/>
      <c r="E263" s="1025"/>
      <c r="F263" s="1061"/>
      <c r="G263" s="1062"/>
      <c r="H263" s="1269"/>
      <c r="I263" s="1056"/>
      <c r="J263" s="1111"/>
      <c r="K263" s="1033"/>
    </row>
    <row r="264" spans="1:11">
      <c r="A264" s="1039"/>
      <c r="B264" s="1039"/>
      <c r="C264" s="1025"/>
      <c r="D264" s="1025"/>
      <c r="E264" s="1025"/>
      <c r="F264" s="1061"/>
      <c r="G264" s="1062"/>
      <c r="H264" s="1269"/>
      <c r="I264" s="1056"/>
      <c r="J264" s="1111"/>
      <c r="K264" s="1033"/>
    </row>
    <row r="265" spans="1:11">
      <c r="A265" s="1039"/>
      <c r="B265" s="1039"/>
      <c r="C265" s="1025"/>
      <c r="D265" s="1025"/>
      <c r="E265" s="1025"/>
      <c r="F265" s="1061"/>
      <c r="G265" s="1062"/>
      <c r="H265" s="1269"/>
      <c r="I265" s="1056"/>
      <c r="J265" s="1111"/>
      <c r="K265" s="1033"/>
    </row>
    <row r="266" spans="1:11">
      <c r="A266" s="1039"/>
      <c r="B266" s="1039"/>
      <c r="C266" s="1025"/>
      <c r="D266" s="1025"/>
      <c r="E266" s="1025"/>
      <c r="F266" s="1061"/>
      <c r="G266" s="1062"/>
      <c r="H266" s="1269"/>
      <c r="I266" s="1056"/>
      <c r="J266" s="1111"/>
      <c r="K266" s="1033"/>
    </row>
    <row r="267" spans="1:11">
      <c r="A267" s="1033"/>
      <c r="B267" s="1033"/>
      <c r="C267" s="1033"/>
      <c r="D267" s="1033"/>
      <c r="E267" s="1033"/>
      <c r="F267" s="1033"/>
      <c r="G267" s="1033"/>
      <c r="H267" s="1269"/>
      <c r="I267" s="1056"/>
      <c r="J267" s="1111"/>
      <c r="K267" s="1033"/>
    </row>
    <row r="268" spans="1:11">
      <c r="A268" s="1033"/>
      <c r="B268" s="1033"/>
      <c r="C268" s="1033"/>
      <c r="D268" s="1033"/>
      <c r="E268" s="1033"/>
      <c r="F268" s="1033"/>
      <c r="G268" s="1033"/>
      <c r="H268" s="1269"/>
      <c r="I268" s="1056"/>
      <c r="J268" s="1111"/>
      <c r="K268" s="1033"/>
    </row>
    <row r="269" spans="1:11">
      <c r="A269" s="1033"/>
      <c r="B269" s="1033"/>
      <c r="C269" s="1033"/>
      <c r="D269" s="1033"/>
      <c r="E269" s="1033"/>
      <c r="F269" s="1033"/>
      <c r="G269" s="1033"/>
      <c r="H269" s="1269"/>
      <c r="I269" s="1056"/>
      <c r="J269" s="1111"/>
      <c r="K269" s="1033"/>
    </row>
    <row r="270" spans="1:11">
      <c r="A270" s="1033"/>
      <c r="B270" s="1033"/>
      <c r="C270" s="1033"/>
      <c r="D270" s="1033"/>
      <c r="E270" s="1033"/>
      <c r="F270" s="1033"/>
      <c r="G270" s="1033"/>
      <c r="H270" s="1269"/>
      <c r="I270" s="1056"/>
      <c r="J270" s="1111"/>
      <c r="K270" s="1033"/>
    </row>
    <row r="271" spans="1:11">
      <c r="A271" s="1033"/>
      <c r="B271" s="1033"/>
      <c r="C271" s="1033"/>
      <c r="D271" s="1033"/>
      <c r="E271" s="1033"/>
      <c r="F271" s="1033"/>
      <c r="G271" s="1033"/>
      <c r="H271" s="1269"/>
      <c r="I271" s="1056"/>
      <c r="J271" s="1111"/>
      <c r="K271" s="1033"/>
    </row>
    <row r="272" spans="1:11">
      <c r="A272" s="1033"/>
      <c r="B272" s="1033"/>
      <c r="C272" s="1033"/>
      <c r="D272" s="1033"/>
      <c r="E272" s="1033"/>
      <c r="F272" s="1033"/>
      <c r="G272" s="1033"/>
      <c r="H272" s="1269"/>
      <c r="I272" s="1056"/>
      <c r="J272" s="1111"/>
      <c r="K272" s="1033"/>
    </row>
    <row r="273" spans="1:11">
      <c r="A273" s="1033"/>
      <c r="B273" s="1033"/>
      <c r="C273" s="1033"/>
      <c r="D273" s="1033"/>
      <c r="E273" s="1033"/>
      <c r="F273" s="1033"/>
      <c r="G273" s="1033"/>
      <c r="H273" s="1269"/>
      <c r="I273" s="1056"/>
      <c r="J273" s="1111"/>
      <c r="K273" s="1033"/>
    </row>
    <row r="274" spans="1:11">
      <c r="A274" s="1033"/>
      <c r="B274" s="1033"/>
      <c r="C274" s="1033"/>
      <c r="D274" s="1033"/>
      <c r="E274" s="1033"/>
      <c r="F274" s="1033"/>
      <c r="G274" s="1033"/>
      <c r="H274" s="1269"/>
      <c r="I274" s="1056"/>
      <c r="J274" s="1111"/>
      <c r="K274" s="1033"/>
    </row>
    <row r="275" spans="1:11">
      <c r="A275" s="1033"/>
      <c r="B275" s="1033"/>
      <c r="C275" s="1033"/>
      <c r="D275" s="1033"/>
      <c r="E275" s="1033"/>
      <c r="F275" s="1033"/>
      <c r="G275" s="1033"/>
      <c r="H275" s="1269"/>
      <c r="I275" s="1056"/>
      <c r="J275" s="1111"/>
      <c r="K275" s="1033"/>
    </row>
    <row r="276" spans="1:11">
      <c r="A276" s="1033"/>
      <c r="B276" s="1033"/>
      <c r="C276" s="1033"/>
      <c r="D276" s="1033"/>
      <c r="E276" s="1033"/>
      <c r="F276" s="1033"/>
      <c r="G276" s="1033"/>
      <c r="H276" s="1269"/>
      <c r="I276" s="1056"/>
      <c r="J276" s="1111"/>
      <c r="K276" s="1033"/>
    </row>
    <row r="277" spans="1:11">
      <c r="A277" s="1033"/>
      <c r="B277" s="1033"/>
      <c r="C277" s="1033"/>
      <c r="D277" s="1033"/>
      <c r="E277" s="1033"/>
      <c r="F277" s="1033"/>
      <c r="G277" s="1033"/>
      <c r="H277" s="1269"/>
      <c r="I277" s="1056"/>
      <c r="J277" s="1111"/>
      <c r="K277" s="1033"/>
    </row>
    <row r="278" spans="1:11">
      <c r="A278" s="1033"/>
      <c r="B278" s="1033"/>
      <c r="C278" s="1033"/>
      <c r="D278" s="1033"/>
      <c r="E278" s="1033"/>
      <c r="F278" s="1033"/>
      <c r="G278" s="1033"/>
      <c r="H278" s="1269"/>
      <c r="I278" s="1056"/>
      <c r="J278" s="1111"/>
      <c r="K278" s="1033"/>
    </row>
    <row r="279" spans="1:11">
      <c r="A279" s="1033"/>
      <c r="B279" s="1033"/>
      <c r="C279" s="1033"/>
      <c r="D279" s="1033"/>
      <c r="E279" s="1033"/>
      <c r="F279" s="1033"/>
      <c r="G279" s="1033"/>
      <c r="H279" s="1269"/>
      <c r="I279" s="1056"/>
      <c r="J279" s="1111"/>
      <c r="K279" s="1033"/>
    </row>
    <row r="280" spans="1:11">
      <c r="A280" s="1033"/>
      <c r="B280" s="1033"/>
      <c r="C280" s="1033"/>
      <c r="D280" s="1033"/>
      <c r="E280" s="1033"/>
      <c r="F280" s="1033"/>
      <c r="G280" s="1033"/>
      <c r="H280" s="1269"/>
      <c r="I280" s="1056"/>
      <c r="J280" s="1111"/>
      <c r="K280" s="1033"/>
    </row>
    <row r="281" spans="1:11" ht="15.75" thickBot="1">
      <c r="A281" s="1037"/>
      <c r="B281" s="1038"/>
      <c r="C281" s="1026"/>
      <c r="D281" s="1026"/>
      <c r="E281" s="1026"/>
      <c r="F281" s="1059"/>
      <c r="G281" s="1054"/>
      <c r="H281" s="1269"/>
      <c r="I281" s="1056"/>
      <c r="J281" s="1111"/>
      <c r="K281" s="1033"/>
    </row>
    <row r="282" spans="1:11" ht="20.25" thickBot="1">
      <c r="A282" s="1158"/>
      <c r="B282" s="1159"/>
      <c r="C282" s="1159"/>
      <c r="D282" s="1159"/>
      <c r="E282" s="1159"/>
      <c r="F282" s="1160">
        <f>SUM(F161:F169,F171:F281)</f>
        <v>0</v>
      </c>
      <c r="G282" s="1159"/>
      <c r="H282" s="1293">
        <f>SUM(H61:H281)</f>
        <v>0</v>
      </c>
      <c r="I282" s="1160">
        <f>SUM(I161:I281)</f>
        <v>0</v>
      </c>
      <c r="J282" s="1193"/>
      <c r="K282" s="1116"/>
    </row>
  </sheetData>
  <autoFilter ref="A1:K51" xr:uid="{3D0FC6D5-8C72-413B-B75A-8097CD510D7E}">
    <sortState xmlns:xlrd2="http://schemas.microsoft.com/office/spreadsheetml/2017/richdata2" ref="A2:K51">
      <sortCondition ref="B1:B51"/>
    </sortState>
  </autoFilter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9C016-419A-465D-9675-050BEE19BBB5}">
  <dimension ref="A1:L283"/>
  <sheetViews>
    <sheetView topLeftCell="B1" zoomScale="85" zoomScaleNormal="85" workbookViewId="0">
      <pane ySplit="1" topLeftCell="A2" activePane="bottomLeft" state="frozen"/>
      <selection pane="bottomLeft" activeCell="A2" sqref="A2:K53"/>
    </sheetView>
  </sheetViews>
  <sheetFormatPr defaultColWidth="9.140625" defaultRowHeight="15"/>
  <cols>
    <col min="1" max="1" width="15.140625" style="1032" bestFit="1" customWidth="1"/>
    <col min="2" max="2" width="13.5703125" style="1032" customWidth="1"/>
    <col min="3" max="3" width="44.5703125" style="1032" bestFit="1" customWidth="1"/>
    <col min="4" max="4" width="22.28515625" style="1032" bestFit="1" customWidth="1"/>
    <col min="5" max="5" width="11.5703125" style="1032" customWidth="1"/>
    <col min="6" max="6" width="22" style="1032" bestFit="1" customWidth="1"/>
    <col min="7" max="7" width="15" style="1032" customWidth="1"/>
    <col min="8" max="8" width="24.85546875" style="1032" bestFit="1" customWidth="1"/>
    <col min="9" max="9" width="23.28515625" style="1032" bestFit="1" customWidth="1"/>
    <col min="10" max="10" width="13.140625" style="1032" customWidth="1"/>
    <col min="11" max="11" width="16.5703125" style="1032" customWidth="1"/>
    <col min="12" max="16384" width="9.140625" style="1032"/>
  </cols>
  <sheetData>
    <row r="1" spans="1:12" ht="14.25" customHeight="1">
      <c r="A1" s="1575" t="s">
        <v>2519</v>
      </c>
      <c r="B1" s="1576" t="s">
        <v>2</v>
      </c>
      <c r="C1" s="1576" t="s">
        <v>3</v>
      </c>
      <c r="D1" s="1576" t="s">
        <v>4</v>
      </c>
      <c r="E1" s="1576" t="s">
        <v>5</v>
      </c>
      <c r="F1" s="1577" t="s">
        <v>644</v>
      </c>
      <c r="G1" s="1578" t="s">
        <v>555</v>
      </c>
      <c r="H1" s="1579" t="s">
        <v>7</v>
      </c>
      <c r="I1" s="1580" t="s">
        <v>307</v>
      </c>
      <c r="J1" s="1578" t="s">
        <v>370</v>
      </c>
      <c r="K1" s="1290" t="s">
        <v>442</v>
      </c>
    </row>
    <row r="2" spans="1:12" s="1031" customFormat="1" ht="15.75">
      <c r="A2" s="1041">
        <v>45652</v>
      </c>
      <c r="B2" s="1041">
        <v>46024</v>
      </c>
      <c r="C2" s="1027" t="s">
        <v>2160</v>
      </c>
      <c r="D2" s="1027" t="s">
        <v>21</v>
      </c>
      <c r="E2" s="1027" t="s">
        <v>10</v>
      </c>
      <c r="F2" s="1065">
        <v>1857.47</v>
      </c>
      <c r="G2" s="1066">
        <v>0.13</v>
      </c>
      <c r="H2" s="1067">
        <v>217.32</v>
      </c>
      <c r="I2" s="1243">
        <v>21.73</v>
      </c>
      <c r="J2" s="1027" t="s">
        <v>1470</v>
      </c>
      <c r="K2" s="1117" t="s">
        <v>2012</v>
      </c>
    </row>
    <row r="3" spans="1:12" s="1031" customFormat="1" ht="15.75">
      <c r="A3" s="1040">
        <v>45659</v>
      </c>
      <c r="B3" s="1042">
        <v>46031</v>
      </c>
      <c r="C3" s="1030" t="s">
        <v>1653</v>
      </c>
      <c r="D3" s="1030" t="s">
        <v>25</v>
      </c>
      <c r="E3" s="1030" t="s">
        <v>10</v>
      </c>
      <c r="F3" s="1072">
        <v>1829.49</v>
      </c>
      <c r="G3" s="1073">
        <v>0.1</v>
      </c>
      <c r="H3" s="1067">
        <v>164.65</v>
      </c>
      <c r="I3" s="1068">
        <v>16.46</v>
      </c>
      <c r="J3" s="1112" t="s">
        <v>1470</v>
      </c>
      <c r="K3" s="1117" t="s">
        <v>2015</v>
      </c>
    </row>
    <row r="4" spans="1:12" s="1031" customFormat="1" ht="15.75">
      <c r="A4" s="1040">
        <v>45670</v>
      </c>
      <c r="B4" s="1042">
        <v>46040</v>
      </c>
      <c r="C4" s="1030" t="s">
        <v>2756</v>
      </c>
      <c r="D4" s="1030" t="s">
        <v>61</v>
      </c>
      <c r="E4" s="1030" t="s">
        <v>10</v>
      </c>
      <c r="F4" s="1120">
        <v>1408.52</v>
      </c>
      <c r="G4" s="1073">
        <v>0.1</v>
      </c>
      <c r="H4" s="1090">
        <v>126.76</v>
      </c>
      <c r="I4" s="1068">
        <v>12.67</v>
      </c>
      <c r="J4" s="1112" t="s">
        <v>1470</v>
      </c>
      <c r="K4" s="1117" t="s">
        <v>2012</v>
      </c>
    </row>
    <row r="5" spans="1:12" s="1031" customFormat="1" ht="15.75">
      <c r="A5" s="1041">
        <v>45672</v>
      </c>
      <c r="B5" s="1041">
        <v>46042</v>
      </c>
      <c r="C5" s="1027" t="s">
        <v>1236</v>
      </c>
      <c r="D5" s="1027" t="s">
        <v>25</v>
      </c>
      <c r="E5" s="1027" t="s">
        <v>458</v>
      </c>
      <c r="F5" s="1065">
        <v>1120.01</v>
      </c>
      <c r="G5" s="1066">
        <v>0.15</v>
      </c>
      <c r="H5" s="1067">
        <v>151.19999999999999</v>
      </c>
      <c r="I5" s="1243">
        <v>15.12</v>
      </c>
      <c r="J5" s="1027" t="s">
        <v>1470</v>
      </c>
      <c r="K5" s="1117" t="s">
        <v>2012</v>
      </c>
    </row>
    <row r="6" spans="1:12" s="1031" customFormat="1" ht="15.75">
      <c r="A6" s="1040">
        <v>45686</v>
      </c>
      <c r="B6" s="1042">
        <v>46051</v>
      </c>
      <c r="C6" s="1027" t="s">
        <v>2757</v>
      </c>
      <c r="D6" s="1030" t="s">
        <v>448</v>
      </c>
      <c r="E6" s="1030" t="s">
        <v>279</v>
      </c>
      <c r="F6" s="1072">
        <v>709.93</v>
      </c>
      <c r="G6" s="1073">
        <v>0.1</v>
      </c>
      <c r="H6" s="1067">
        <v>63.89</v>
      </c>
      <c r="I6" s="1068">
        <v>6.38</v>
      </c>
      <c r="J6" s="1112" t="s">
        <v>1470</v>
      </c>
      <c r="K6" s="1117" t="s">
        <v>2010</v>
      </c>
    </row>
    <row r="7" spans="1:12" s="1025" customFormat="1" ht="15.75">
      <c r="A7" s="1039">
        <v>45652</v>
      </c>
      <c r="B7" s="1039">
        <v>46027</v>
      </c>
      <c r="C7" s="1025" t="s">
        <v>2758</v>
      </c>
      <c r="D7" s="1025" t="s">
        <v>9</v>
      </c>
      <c r="E7" s="1025" t="s">
        <v>458</v>
      </c>
      <c r="F7" s="1061">
        <v>1950.14</v>
      </c>
      <c r="G7" s="1062">
        <v>0.2</v>
      </c>
      <c r="H7" s="1055">
        <v>351.02</v>
      </c>
      <c r="I7" s="1242">
        <v>175.51</v>
      </c>
      <c r="J7" s="1025" t="s">
        <v>371</v>
      </c>
      <c r="K7" s="1115" t="s">
        <v>2015</v>
      </c>
    </row>
    <row r="8" spans="1:12" s="1411" customFormat="1" ht="15.75">
      <c r="A8" s="1417">
        <v>45652</v>
      </c>
      <c r="B8" s="1417">
        <v>46025</v>
      </c>
      <c r="C8" s="1411" t="s">
        <v>2163</v>
      </c>
      <c r="D8" s="1411" t="s">
        <v>448</v>
      </c>
      <c r="E8" s="1411" t="s">
        <v>10</v>
      </c>
      <c r="F8" s="1636">
        <v>1721.44</v>
      </c>
      <c r="G8" s="1413">
        <v>0.1</v>
      </c>
      <c r="H8" s="1636">
        <v>154.91999999999999</v>
      </c>
      <c r="I8" s="1574">
        <v>77.459999999999994</v>
      </c>
      <c r="J8" s="1411" t="s">
        <v>2408</v>
      </c>
      <c r="K8" s="1415" t="s">
        <v>2012</v>
      </c>
    </row>
    <row r="9" spans="1:12" s="1637" customFormat="1" ht="15.75">
      <c r="A9" s="1822">
        <v>45674</v>
      </c>
      <c r="B9" s="1823">
        <v>46046</v>
      </c>
      <c r="C9" s="1824" t="s">
        <v>2164</v>
      </c>
      <c r="D9" s="1824" t="s">
        <v>448</v>
      </c>
      <c r="E9" s="1824" t="s">
        <v>10</v>
      </c>
      <c r="F9" s="1825">
        <v>1906.73</v>
      </c>
      <c r="G9" s="1826">
        <v>0.1</v>
      </c>
      <c r="H9" s="1827">
        <v>171.6</v>
      </c>
      <c r="I9" s="1828">
        <v>85.8</v>
      </c>
      <c r="J9" s="1829" t="s">
        <v>2408</v>
      </c>
      <c r="K9" s="1830" t="s">
        <v>2012</v>
      </c>
    </row>
    <row r="10" spans="1:12" s="1464" customFormat="1" ht="15.75">
      <c r="A10" s="1223">
        <v>45677</v>
      </c>
      <c r="B10" s="1472">
        <v>46042</v>
      </c>
      <c r="C10" s="1225" t="s">
        <v>2759</v>
      </c>
      <c r="D10" s="1225" t="s">
        <v>448</v>
      </c>
      <c r="E10" s="1225" t="s">
        <v>948</v>
      </c>
      <c r="F10" s="1477">
        <v>2123.0700000000002</v>
      </c>
      <c r="G10" s="1480">
        <v>0.2</v>
      </c>
      <c r="H10" s="1226">
        <v>382.15</v>
      </c>
      <c r="I10" s="1227">
        <v>191.07</v>
      </c>
      <c r="J10" s="1228" t="s">
        <v>1577</v>
      </c>
      <c r="K10" s="1231" t="s">
        <v>2015</v>
      </c>
    </row>
    <row r="11" spans="1:12" s="1464" customFormat="1" ht="15" customHeight="1">
      <c r="A11" s="1223">
        <v>45679</v>
      </c>
      <c r="B11" s="1472">
        <v>46044</v>
      </c>
      <c r="C11" s="1225" t="s">
        <v>2760</v>
      </c>
      <c r="D11" s="1225" t="s">
        <v>9</v>
      </c>
      <c r="E11" s="1225" t="s">
        <v>29</v>
      </c>
      <c r="F11" s="1477">
        <v>6925.23</v>
      </c>
      <c r="G11" s="1480">
        <v>0.1</v>
      </c>
      <c r="H11" s="1226">
        <v>623.27</v>
      </c>
      <c r="I11" s="1227">
        <v>311.63</v>
      </c>
      <c r="J11" s="1228" t="s">
        <v>1577</v>
      </c>
      <c r="K11" s="1231" t="s">
        <v>2010</v>
      </c>
    </row>
    <row r="12" spans="1:12" s="1313" customFormat="1" ht="15.75">
      <c r="A12" s="1037">
        <v>45682</v>
      </c>
      <c r="B12" s="1038">
        <v>46047</v>
      </c>
      <c r="C12" s="1026" t="s">
        <v>2761</v>
      </c>
      <c r="D12" s="1026" t="s">
        <v>70</v>
      </c>
      <c r="E12" s="1026" t="s">
        <v>279</v>
      </c>
      <c r="F12" s="1059">
        <v>2057.5300000000002</v>
      </c>
      <c r="G12" s="1054">
        <v>0.1</v>
      </c>
      <c r="H12" s="1055">
        <v>185.17</v>
      </c>
      <c r="I12" s="1056">
        <v>18.510000000000002</v>
      </c>
      <c r="J12" s="1111" t="s">
        <v>1743</v>
      </c>
      <c r="K12" s="1115" t="s">
        <v>2015</v>
      </c>
      <c r="L12" s="1032"/>
    </row>
    <row r="13" spans="1:12" ht="15.75">
      <c r="A13" s="1037">
        <v>45652</v>
      </c>
      <c r="B13" s="1038">
        <v>46025</v>
      </c>
      <c r="C13" s="1025" t="s">
        <v>2170</v>
      </c>
      <c r="D13" s="1025" t="s">
        <v>25</v>
      </c>
      <c r="E13" s="1025" t="s">
        <v>10</v>
      </c>
      <c r="F13" s="1061">
        <v>2511.96</v>
      </c>
      <c r="G13" s="1062">
        <v>0.15</v>
      </c>
      <c r="H13" s="1055">
        <v>339.11</v>
      </c>
      <c r="I13" s="1056"/>
      <c r="J13" s="1111"/>
      <c r="K13" s="1115" t="s">
        <v>2012</v>
      </c>
    </row>
    <row r="14" spans="1:12" ht="15.75">
      <c r="A14" s="1037">
        <v>45660</v>
      </c>
      <c r="B14" s="1038">
        <v>46025</v>
      </c>
      <c r="C14" s="1025" t="s">
        <v>2762</v>
      </c>
      <c r="D14" s="1025" t="s">
        <v>9</v>
      </c>
      <c r="E14" s="1025" t="s">
        <v>29</v>
      </c>
      <c r="F14" s="1061">
        <v>4385.29</v>
      </c>
      <c r="G14" s="1062">
        <v>0.1</v>
      </c>
      <c r="H14" s="1055">
        <v>394.4</v>
      </c>
      <c r="I14" s="1056"/>
      <c r="J14" s="1111"/>
      <c r="K14" s="1115" t="s">
        <v>2015</v>
      </c>
    </row>
    <row r="15" spans="1:12" ht="15.75">
      <c r="A15" s="1037">
        <v>45659</v>
      </c>
      <c r="B15" s="1038">
        <v>46027</v>
      </c>
      <c r="C15" s="1026" t="s">
        <v>2763</v>
      </c>
      <c r="D15" s="1026" t="s">
        <v>9</v>
      </c>
      <c r="E15" s="1025" t="s">
        <v>19</v>
      </c>
      <c r="F15" s="1061">
        <v>1709.81</v>
      </c>
      <c r="G15" s="1062">
        <v>0.1</v>
      </c>
      <c r="H15" s="1055">
        <v>153.88</v>
      </c>
      <c r="I15" s="1056"/>
      <c r="J15" s="1111"/>
      <c r="K15" s="1115" t="s">
        <v>2015</v>
      </c>
    </row>
    <row r="16" spans="1:12" ht="15.75">
      <c r="A16" s="1037">
        <v>45667</v>
      </c>
      <c r="B16" s="1038">
        <v>46028</v>
      </c>
      <c r="C16" s="1025" t="s">
        <v>1655</v>
      </c>
      <c r="D16" s="1026" t="s">
        <v>9</v>
      </c>
      <c r="E16" s="1025" t="s">
        <v>948</v>
      </c>
      <c r="F16" s="1061">
        <v>1408.38</v>
      </c>
      <c r="G16" s="1062">
        <v>0.1</v>
      </c>
      <c r="H16" s="1055">
        <v>126.75</v>
      </c>
      <c r="I16" s="1056"/>
      <c r="J16" s="1111"/>
      <c r="K16" s="1115" t="s">
        <v>2012</v>
      </c>
      <c r="L16" s="1032" t="s">
        <v>2764</v>
      </c>
    </row>
    <row r="17" spans="1:12" ht="15.75">
      <c r="A17" s="1037">
        <v>45653</v>
      </c>
      <c r="B17" s="1038">
        <v>46028</v>
      </c>
      <c r="C17" s="1025" t="s">
        <v>1232</v>
      </c>
      <c r="D17" s="1026" t="s">
        <v>21</v>
      </c>
      <c r="E17" s="1025" t="s">
        <v>458</v>
      </c>
      <c r="F17" s="1061">
        <v>1519.28</v>
      </c>
      <c r="G17" s="1062">
        <v>0.25</v>
      </c>
      <c r="H17" s="1055">
        <v>341.83</v>
      </c>
      <c r="I17" s="1056"/>
      <c r="J17" s="1111"/>
      <c r="K17" s="1115" t="s">
        <v>2015</v>
      </c>
    </row>
    <row r="18" spans="1:12" ht="15.75">
      <c r="A18" s="1037">
        <v>45663</v>
      </c>
      <c r="B18" s="1038">
        <v>46028</v>
      </c>
      <c r="C18" s="1025" t="s">
        <v>2765</v>
      </c>
      <c r="D18" s="1026" t="s">
        <v>448</v>
      </c>
      <c r="E18" s="1025" t="s">
        <v>19</v>
      </c>
      <c r="F18" s="1061">
        <v>1741.25</v>
      </c>
      <c r="G18" s="1062">
        <v>0.1</v>
      </c>
      <c r="H18" s="1055">
        <v>156.71</v>
      </c>
      <c r="I18" s="1056"/>
      <c r="J18" s="1111"/>
      <c r="K18" s="1115" t="s">
        <v>2015</v>
      </c>
    </row>
    <row r="19" spans="1:12" ht="15.75">
      <c r="A19" s="1039">
        <v>45664</v>
      </c>
      <c r="B19" s="1039">
        <v>46028</v>
      </c>
      <c r="C19" s="1025" t="s">
        <v>1551</v>
      </c>
      <c r="D19" s="1025" t="s">
        <v>9</v>
      </c>
      <c r="E19" s="1025" t="s">
        <v>1582</v>
      </c>
      <c r="F19" s="1061">
        <v>2537.4699999999998</v>
      </c>
      <c r="G19" s="1062">
        <v>0.1</v>
      </c>
      <c r="H19" s="1055">
        <v>228.37</v>
      </c>
      <c r="I19" s="1056"/>
      <c r="J19" s="1111"/>
      <c r="K19" s="1115" t="s">
        <v>2015</v>
      </c>
    </row>
    <row r="20" spans="1:12" ht="15.75">
      <c r="A20" s="1039">
        <v>45666</v>
      </c>
      <c r="B20" s="1039">
        <v>46029</v>
      </c>
      <c r="C20" s="1025" t="s">
        <v>2137</v>
      </c>
      <c r="D20" s="1025" t="s">
        <v>9</v>
      </c>
      <c r="E20" s="1025" t="s">
        <v>1582</v>
      </c>
      <c r="F20" s="1023">
        <v>2847.83</v>
      </c>
      <c r="G20" s="1062">
        <v>0.1</v>
      </c>
      <c r="H20" s="1055">
        <v>256.3</v>
      </c>
      <c r="I20" s="1056"/>
      <c r="J20" s="1111"/>
      <c r="K20" s="1115" t="s">
        <v>2010</v>
      </c>
    </row>
    <row r="21" spans="1:12" ht="15.75">
      <c r="A21" s="1037">
        <v>45656</v>
      </c>
      <c r="B21" s="1039">
        <v>46030</v>
      </c>
      <c r="C21" s="1025" t="s">
        <v>1217</v>
      </c>
      <c r="D21" s="1026" t="s">
        <v>25</v>
      </c>
      <c r="E21" s="1025" t="s">
        <v>10</v>
      </c>
      <c r="F21" s="1061">
        <v>740.31</v>
      </c>
      <c r="G21" s="1062">
        <v>0.15</v>
      </c>
      <c r="H21" s="1055">
        <v>99.94</v>
      </c>
      <c r="I21" s="1056"/>
      <c r="J21" s="1111"/>
      <c r="K21" s="1115" t="s">
        <v>2015</v>
      </c>
    </row>
    <row r="22" spans="1:12" ht="15.75">
      <c r="A22" s="1037">
        <v>45659</v>
      </c>
      <c r="B22" s="1039">
        <v>46030</v>
      </c>
      <c r="C22" s="1025" t="s">
        <v>2766</v>
      </c>
      <c r="D22" s="1026" t="s">
        <v>9</v>
      </c>
      <c r="E22" s="1025" t="s">
        <v>10</v>
      </c>
      <c r="F22" s="1061">
        <v>3434.81</v>
      </c>
      <c r="G22" s="1062">
        <v>0.1</v>
      </c>
      <c r="H22" s="1055">
        <v>309.13</v>
      </c>
      <c r="I22" s="1056"/>
      <c r="J22" s="1111"/>
      <c r="K22" s="1115" t="s">
        <v>2012</v>
      </c>
      <c r="L22" s="1313"/>
    </row>
    <row r="23" spans="1:12" ht="15.75">
      <c r="A23" s="1037">
        <v>45663</v>
      </c>
      <c r="B23" s="1039">
        <v>46030</v>
      </c>
      <c r="C23" s="1025" t="s">
        <v>1355</v>
      </c>
      <c r="D23" s="1026" t="s">
        <v>25</v>
      </c>
      <c r="E23" s="1025" t="s">
        <v>1310</v>
      </c>
      <c r="F23" s="1023">
        <v>2121.7800000000002</v>
      </c>
      <c r="G23" s="1062">
        <v>0.1</v>
      </c>
      <c r="H23" s="1055">
        <v>190.96</v>
      </c>
      <c r="I23" s="1056"/>
      <c r="J23" s="1111"/>
      <c r="K23" s="1115" t="s">
        <v>2015</v>
      </c>
    </row>
    <row r="24" spans="1:12" ht="15.75">
      <c r="A24" s="1039">
        <v>45663</v>
      </c>
      <c r="B24" s="1039">
        <v>46030</v>
      </c>
      <c r="C24" s="1025" t="s">
        <v>220</v>
      </c>
      <c r="D24" s="1025" t="s">
        <v>9</v>
      </c>
      <c r="E24" s="1025" t="s">
        <v>458</v>
      </c>
      <c r="F24" s="1061">
        <v>1558.46</v>
      </c>
      <c r="G24" s="1062">
        <v>0.1</v>
      </c>
      <c r="H24" s="1055">
        <v>143.37</v>
      </c>
      <c r="I24" s="1242"/>
      <c r="J24" s="1025"/>
      <c r="K24" s="1115" t="s">
        <v>2012</v>
      </c>
    </row>
    <row r="25" spans="1:12" ht="15.75">
      <c r="A25" s="1037">
        <v>45659</v>
      </c>
      <c r="B25" s="1039">
        <v>46031</v>
      </c>
      <c r="C25" s="1032" t="s">
        <v>784</v>
      </c>
      <c r="D25" s="1026" t="s">
        <v>61</v>
      </c>
      <c r="E25" s="1026" t="s">
        <v>90</v>
      </c>
      <c r="F25" s="1071">
        <v>4434.2</v>
      </c>
      <c r="G25" s="1062">
        <v>0.1</v>
      </c>
      <c r="H25" s="1055">
        <v>399.07</v>
      </c>
      <c r="I25" s="1056"/>
      <c r="J25" s="1111"/>
      <c r="K25" s="1115" t="s">
        <v>2015</v>
      </c>
    </row>
    <row r="26" spans="1:12" s="1313" customFormat="1" ht="15.75">
      <c r="A26" s="1037">
        <v>45666</v>
      </c>
      <c r="B26" s="1038">
        <v>46031</v>
      </c>
      <c r="C26" s="1025" t="s">
        <v>2767</v>
      </c>
      <c r="D26" s="1026" t="s">
        <v>448</v>
      </c>
      <c r="E26" s="1026" t="s">
        <v>279</v>
      </c>
      <c r="F26" s="1059">
        <v>1662.76</v>
      </c>
      <c r="G26" s="1054">
        <v>0.1</v>
      </c>
      <c r="H26" s="1055">
        <v>149.63999999999999</v>
      </c>
      <c r="I26" s="1056"/>
      <c r="J26" s="1111"/>
      <c r="K26" s="1115" t="s">
        <v>2012</v>
      </c>
      <c r="L26" s="1032"/>
    </row>
    <row r="27" spans="1:12" ht="15.75">
      <c r="A27" s="1037">
        <v>45665</v>
      </c>
      <c r="B27" s="1038">
        <v>46033</v>
      </c>
      <c r="C27" s="1025" t="s">
        <v>1950</v>
      </c>
      <c r="D27" s="1026" t="s">
        <v>9</v>
      </c>
      <c r="E27" s="1026" t="s">
        <v>10</v>
      </c>
      <c r="F27" s="1059">
        <v>1578.32</v>
      </c>
      <c r="G27" s="1054">
        <v>0.15</v>
      </c>
      <c r="H27" s="1055">
        <v>213.07</v>
      </c>
      <c r="I27" s="1056"/>
      <c r="J27" s="1111"/>
      <c r="K27" s="1115" t="s">
        <v>2015</v>
      </c>
    </row>
    <row r="28" spans="1:12" s="1313" customFormat="1" ht="15.75">
      <c r="A28" s="1037">
        <v>45674</v>
      </c>
      <c r="B28" s="1038">
        <v>46033</v>
      </c>
      <c r="C28" s="1025" t="s">
        <v>1229</v>
      </c>
      <c r="D28" s="1026" t="s">
        <v>848</v>
      </c>
      <c r="E28" s="1026" t="s">
        <v>458</v>
      </c>
      <c r="F28" s="1053">
        <v>1978.64</v>
      </c>
      <c r="G28" s="1054">
        <v>0.1</v>
      </c>
      <c r="H28" s="1055">
        <v>178.07</v>
      </c>
      <c r="I28" s="1056"/>
      <c r="J28" s="1111"/>
      <c r="K28" s="1115" t="s">
        <v>2015</v>
      </c>
      <c r="L28" s="1032"/>
    </row>
    <row r="29" spans="1:12" ht="15.75">
      <c r="A29" s="1039">
        <v>45666</v>
      </c>
      <c r="B29" s="1039">
        <v>46035</v>
      </c>
      <c r="C29" s="1025" t="s">
        <v>1131</v>
      </c>
      <c r="D29" s="1025" t="s">
        <v>448</v>
      </c>
      <c r="E29" s="1025" t="s">
        <v>19</v>
      </c>
      <c r="F29" s="1061">
        <v>2104.4699999999998</v>
      </c>
      <c r="G29" s="1062">
        <v>0.1</v>
      </c>
      <c r="H29" s="1055">
        <v>189.4</v>
      </c>
      <c r="I29" s="1242"/>
      <c r="J29" s="1025"/>
      <c r="K29" s="1115" t="s">
        <v>2012</v>
      </c>
    </row>
    <row r="30" spans="1:12" ht="15.75">
      <c r="A30" s="1037">
        <v>45670</v>
      </c>
      <c r="B30" s="1038">
        <v>46035</v>
      </c>
      <c r="C30" s="1025" t="s">
        <v>2768</v>
      </c>
      <c r="D30" s="1026" t="s">
        <v>448</v>
      </c>
      <c r="E30" s="1026" t="s">
        <v>362</v>
      </c>
      <c r="F30" s="1059">
        <v>576.04</v>
      </c>
      <c r="G30" s="1054">
        <v>0.1</v>
      </c>
      <c r="H30" s="1055">
        <v>51.84</v>
      </c>
      <c r="I30" s="1056"/>
      <c r="J30" s="1111"/>
      <c r="K30" s="1115" t="s">
        <v>2010</v>
      </c>
    </row>
    <row r="31" spans="1:12" ht="15.75">
      <c r="A31" s="1037">
        <v>45666</v>
      </c>
      <c r="B31" s="1038">
        <v>46037</v>
      </c>
      <c r="C31" s="1026" t="s">
        <v>2769</v>
      </c>
      <c r="D31" s="1026" t="s">
        <v>14</v>
      </c>
      <c r="E31" s="1026" t="s">
        <v>10</v>
      </c>
      <c r="F31" s="1059">
        <v>2174.41</v>
      </c>
      <c r="G31" s="1054">
        <v>0.2</v>
      </c>
      <c r="H31" s="1055">
        <v>391.39</v>
      </c>
      <c r="I31" s="1056"/>
      <c r="J31" s="1111"/>
      <c r="K31" s="1115" t="s">
        <v>2015</v>
      </c>
    </row>
    <row r="32" spans="1:12" ht="15.75">
      <c r="A32" s="1037">
        <v>45672</v>
      </c>
      <c r="B32" s="1038">
        <v>46037</v>
      </c>
      <c r="C32" s="1026" t="s">
        <v>1471</v>
      </c>
      <c r="D32" s="1026" t="s">
        <v>448</v>
      </c>
      <c r="E32" s="1026" t="s">
        <v>458</v>
      </c>
      <c r="F32" s="1053">
        <v>1341.8</v>
      </c>
      <c r="G32" s="1054">
        <v>0.2</v>
      </c>
      <c r="H32" s="1055">
        <v>241.52</v>
      </c>
      <c r="I32" s="1056"/>
      <c r="J32" s="1111"/>
      <c r="K32" s="1115" t="s">
        <v>2012</v>
      </c>
    </row>
    <row r="33" spans="1:12">
      <c r="A33" s="1037">
        <v>45666</v>
      </c>
      <c r="B33" s="1038">
        <v>46040</v>
      </c>
      <c r="C33" s="1039" t="s">
        <v>1954</v>
      </c>
      <c r="D33" s="1038" t="s">
        <v>70</v>
      </c>
      <c r="E33" s="1038" t="s">
        <v>279</v>
      </c>
      <c r="F33" s="1053">
        <v>460.55</v>
      </c>
      <c r="G33" s="1054">
        <v>0.1</v>
      </c>
      <c r="H33" s="1023">
        <v>41.44</v>
      </c>
      <c r="I33" s="1089"/>
      <c r="J33" s="1325"/>
      <c r="K33" s="1039" t="s">
        <v>2015</v>
      </c>
    </row>
    <row r="34" spans="1:12" ht="15.75">
      <c r="A34" s="1046">
        <v>45666</v>
      </c>
      <c r="B34" s="1047">
        <v>46040</v>
      </c>
      <c r="C34" s="1080" t="s">
        <v>2770</v>
      </c>
      <c r="D34" s="1080" t="s">
        <v>448</v>
      </c>
      <c r="E34" s="1085" t="s">
        <v>19</v>
      </c>
      <c r="F34" s="1296">
        <v>1104.6400000000001</v>
      </c>
      <c r="G34" s="1101">
        <v>0.1</v>
      </c>
      <c r="H34" s="1083">
        <v>99.41</v>
      </c>
      <c r="I34" s="1084"/>
      <c r="J34" s="1184"/>
      <c r="K34" s="1173" t="s">
        <v>2015</v>
      </c>
      <c r="L34" s="1313"/>
    </row>
    <row r="35" spans="1:12" ht="15.75">
      <c r="A35" s="1037">
        <v>45670</v>
      </c>
      <c r="B35" s="1038">
        <v>46041</v>
      </c>
      <c r="C35" s="1026" t="s">
        <v>1672</v>
      </c>
      <c r="D35" s="1026" t="s">
        <v>70</v>
      </c>
      <c r="E35" s="1026" t="s">
        <v>279</v>
      </c>
      <c r="F35" s="1053">
        <v>1016.23</v>
      </c>
      <c r="G35" s="1054">
        <v>0.1</v>
      </c>
      <c r="H35" s="1055">
        <v>91.46</v>
      </c>
      <c r="I35" s="1056"/>
      <c r="J35" s="1111"/>
      <c r="K35" s="1115" t="s">
        <v>2012</v>
      </c>
      <c r="L35" s="1313"/>
    </row>
    <row r="36" spans="1:12" ht="15.75">
      <c r="A36" s="1037">
        <v>45674</v>
      </c>
      <c r="B36" s="1039">
        <v>46041</v>
      </c>
      <c r="C36" s="1025" t="s">
        <v>2173</v>
      </c>
      <c r="D36" s="1026" t="s">
        <v>25</v>
      </c>
      <c r="E36" s="1025" t="s">
        <v>1552</v>
      </c>
      <c r="F36" s="1061">
        <v>1385.64</v>
      </c>
      <c r="G36" s="1062">
        <v>0.1</v>
      </c>
      <c r="H36" s="1055">
        <v>124.7</v>
      </c>
      <c r="I36" s="1056"/>
      <c r="J36" s="1111"/>
      <c r="K36" s="1115" t="s">
        <v>2015</v>
      </c>
    </row>
    <row r="37" spans="1:12" ht="15.75">
      <c r="A37" s="1037">
        <v>45673</v>
      </c>
      <c r="B37" s="1038">
        <v>46042</v>
      </c>
      <c r="C37" s="1026" t="s">
        <v>2771</v>
      </c>
      <c r="D37" s="1026" t="s">
        <v>422</v>
      </c>
      <c r="E37" s="1026" t="s">
        <v>10</v>
      </c>
      <c r="F37" s="1071">
        <v>2784.07</v>
      </c>
      <c r="G37" s="1054">
        <v>0.1</v>
      </c>
      <c r="H37" s="1055">
        <v>250.56</v>
      </c>
      <c r="I37" s="1056"/>
      <c r="J37" s="1111"/>
      <c r="K37" s="1115" t="s">
        <v>2012</v>
      </c>
    </row>
    <row r="38" spans="1:12" ht="15.75">
      <c r="A38" s="1037">
        <v>45677</v>
      </c>
      <c r="B38" s="1038">
        <v>46042</v>
      </c>
      <c r="C38" s="1026" t="s">
        <v>2772</v>
      </c>
      <c r="D38" s="1026" t="s">
        <v>448</v>
      </c>
      <c r="E38" s="1026" t="s">
        <v>19</v>
      </c>
      <c r="F38" s="1484">
        <v>1745.83</v>
      </c>
      <c r="G38" s="1054">
        <v>0.1</v>
      </c>
      <c r="H38" s="1055">
        <v>157.12</v>
      </c>
      <c r="I38" s="1056"/>
      <c r="J38" s="1111"/>
      <c r="K38" s="1115" t="s">
        <v>2010</v>
      </c>
    </row>
    <row r="39" spans="1:12" ht="15.75">
      <c r="A39" s="1037">
        <v>45678</v>
      </c>
      <c r="B39" s="1038">
        <v>46044</v>
      </c>
      <c r="C39" s="1026" t="s">
        <v>374</v>
      </c>
      <c r="D39" s="1026" t="s">
        <v>61</v>
      </c>
      <c r="E39" s="1026" t="s">
        <v>1582</v>
      </c>
      <c r="F39" s="1059">
        <v>1354.87</v>
      </c>
      <c r="G39" s="1054">
        <v>0.1</v>
      </c>
      <c r="H39" s="1055">
        <v>121.93</v>
      </c>
      <c r="I39" s="1056"/>
      <c r="J39" s="1111"/>
      <c r="K39" s="1115" t="s">
        <v>2015</v>
      </c>
    </row>
    <row r="40" spans="1:12" ht="15.75">
      <c r="A40" s="1037">
        <v>45680</v>
      </c>
      <c r="B40" s="1038">
        <v>46046</v>
      </c>
      <c r="C40" s="1026" t="s">
        <v>1943</v>
      </c>
      <c r="D40" s="1026" t="s">
        <v>9</v>
      </c>
      <c r="E40" s="1026" t="s">
        <v>948</v>
      </c>
      <c r="F40" s="1059">
        <v>1510.5</v>
      </c>
      <c r="G40" s="1054">
        <v>0.1</v>
      </c>
      <c r="H40" s="1055">
        <v>135.94</v>
      </c>
      <c r="I40" s="1056"/>
      <c r="J40" s="1111"/>
      <c r="K40" s="1115" t="s">
        <v>2012</v>
      </c>
    </row>
    <row r="41" spans="1:12" ht="15.75">
      <c r="A41" s="1037">
        <v>45680</v>
      </c>
      <c r="B41" s="1038">
        <v>46047</v>
      </c>
      <c r="C41" s="1025" t="s">
        <v>2176</v>
      </c>
      <c r="D41" s="1026" t="s">
        <v>70</v>
      </c>
      <c r="E41" s="1026" t="s">
        <v>1080</v>
      </c>
      <c r="F41" s="1059">
        <v>2827.2</v>
      </c>
      <c r="G41" s="1054">
        <v>0.1</v>
      </c>
      <c r="H41" s="1055">
        <v>254.44</v>
      </c>
      <c r="I41" s="1056"/>
      <c r="J41" s="1111"/>
      <c r="K41" s="1115" t="s">
        <v>2012</v>
      </c>
    </row>
    <row r="42" spans="1:12" ht="15.75">
      <c r="A42" s="1037">
        <v>45681</v>
      </c>
      <c r="B42" s="1038">
        <v>46047</v>
      </c>
      <c r="C42" s="1025" t="s">
        <v>2773</v>
      </c>
      <c r="D42" s="1026" t="s">
        <v>9</v>
      </c>
      <c r="E42" s="1026" t="s">
        <v>29</v>
      </c>
      <c r="F42" s="1059">
        <v>3904.94</v>
      </c>
      <c r="G42" s="1054">
        <v>0.1</v>
      </c>
      <c r="H42" s="1055">
        <v>351.44</v>
      </c>
      <c r="I42" s="1056"/>
      <c r="J42" s="1111"/>
      <c r="K42" s="1115" t="s">
        <v>2015</v>
      </c>
    </row>
    <row r="43" spans="1:12" ht="15.75">
      <c r="A43" s="1037">
        <v>45674</v>
      </c>
      <c r="B43" s="1038">
        <v>46048</v>
      </c>
      <c r="C43" s="1026" t="s">
        <v>1084</v>
      </c>
      <c r="D43" s="1026" t="s">
        <v>9</v>
      </c>
      <c r="E43" s="1026" t="s">
        <v>1310</v>
      </c>
      <c r="F43" s="1059">
        <v>1775.18</v>
      </c>
      <c r="G43" s="1054">
        <v>0.1</v>
      </c>
      <c r="H43" s="1055">
        <v>159.76</v>
      </c>
      <c r="I43" s="1056"/>
      <c r="J43" s="1111"/>
      <c r="K43" s="1115" t="s">
        <v>2015</v>
      </c>
    </row>
    <row r="44" spans="1:12" ht="15.75">
      <c r="A44" s="1037">
        <v>45678</v>
      </c>
      <c r="B44" s="1038">
        <v>46048</v>
      </c>
      <c r="C44" s="1026" t="s">
        <v>1501</v>
      </c>
      <c r="D44" s="1026" t="s">
        <v>448</v>
      </c>
      <c r="E44" s="1026" t="s">
        <v>19</v>
      </c>
      <c r="F44" s="1059">
        <v>1904.99</v>
      </c>
      <c r="G44" s="1054">
        <v>0.2</v>
      </c>
      <c r="H44" s="1055">
        <v>342.89</v>
      </c>
      <c r="I44" s="1056"/>
      <c r="J44" s="1111"/>
      <c r="K44" s="1115" t="s">
        <v>2015</v>
      </c>
    </row>
    <row r="45" spans="1:12" ht="15.75">
      <c r="A45" s="1037">
        <v>45680</v>
      </c>
      <c r="B45" s="1038">
        <v>46048</v>
      </c>
      <c r="C45" s="1026" t="s">
        <v>1676</v>
      </c>
      <c r="D45" s="1026" t="s">
        <v>448</v>
      </c>
      <c r="E45" s="1026" t="s">
        <v>948</v>
      </c>
      <c r="F45" s="1059">
        <v>4268.3</v>
      </c>
      <c r="G45" s="1054">
        <v>0.1</v>
      </c>
      <c r="H45" s="1055">
        <v>384.14</v>
      </c>
      <c r="I45" s="1056"/>
      <c r="J45" s="1111"/>
      <c r="K45" s="1115" t="s">
        <v>2012</v>
      </c>
    </row>
    <row r="46" spans="1:12" ht="15.75">
      <c r="A46" s="1037">
        <v>45681</v>
      </c>
      <c r="B46" s="1038">
        <v>46048</v>
      </c>
      <c r="C46" s="1026" t="s">
        <v>2435</v>
      </c>
      <c r="D46" s="1026" t="s">
        <v>61</v>
      </c>
      <c r="E46" s="1026" t="s">
        <v>1310</v>
      </c>
      <c r="F46" s="1059">
        <v>1570.21</v>
      </c>
      <c r="G46" s="1054">
        <v>0.1</v>
      </c>
      <c r="H46" s="1088">
        <v>141.31</v>
      </c>
      <c r="I46" s="1089"/>
      <c r="J46" s="1111"/>
      <c r="K46" s="1115" t="s">
        <v>2015</v>
      </c>
    </row>
    <row r="47" spans="1:12" ht="15.75">
      <c r="A47" s="1037">
        <v>45685</v>
      </c>
      <c r="B47" s="1038">
        <v>46050</v>
      </c>
      <c r="C47" s="1026" t="s">
        <v>2178</v>
      </c>
      <c r="D47" s="1026" t="s">
        <v>448</v>
      </c>
      <c r="E47" s="1026" t="s">
        <v>19</v>
      </c>
      <c r="F47" s="1059">
        <v>1842.94</v>
      </c>
      <c r="G47" s="1054">
        <v>0.1</v>
      </c>
      <c r="H47" s="1055">
        <v>165.86</v>
      </c>
      <c r="I47" s="1056"/>
      <c r="J47" s="1111"/>
      <c r="K47" s="1115" t="s">
        <v>2015</v>
      </c>
    </row>
    <row r="48" spans="1:12" ht="15.75">
      <c r="A48" s="1037">
        <v>45684</v>
      </c>
      <c r="B48" s="1038">
        <v>46052</v>
      </c>
      <c r="C48" s="1026" t="s">
        <v>2774</v>
      </c>
      <c r="D48" s="1026" t="s">
        <v>14</v>
      </c>
      <c r="E48" s="1026" t="s">
        <v>1310</v>
      </c>
      <c r="F48" s="1059">
        <v>2116.64</v>
      </c>
      <c r="G48" s="1054">
        <v>0.1</v>
      </c>
      <c r="H48" s="1055">
        <v>190.49</v>
      </c>
      <c r="I48" s="1056"/>
      <c r="J48" s="1111"/>
      <c r="K48" s="1115" t="s">
        <v>2015</v>
      </c>
    </row>
    <row r="49" spans="1:11" ht="15.75">
      <c r="A49" s="1037">
        <v>45687</v>
      </c>
      <c r="B49" s="1038">
        <v>46052</v>
      </c>
      <c r="C49" s="1026" t="s">
        <v>2443</v>
      </c>
      <c r="D49" s="1026" t="s">
        <v>14</v>
      </c>
      <c r="E49" s="1026" t="s">
        <v>1310</v>
      </c>
      <c r="F49" s="1059">
        <v>2060.94</v>
      </c>
      <c r="G49" s="1054">
        <v>0.1</v>
      </c>
      <c r="H49" s="1055">
        <v>185.48</v>
      </c>
      <c r="I49" s="1056"/>
      <c r="J49" s="1111"/>
      <c r="K49" s="1115" t="s">
        <v>2012</v>
      </c>
    </row>
    <row r="50" spans="1:11" ht="15.75">
      <c r="A50" s="1037">
        <v>45684</v>
      </c>
      <c r="B50" s="1038">
        <v>46053</v>
      </c>
      <c r="C50" s="1026" t="s">
        <v>1728</v>
      </c>
      <c r="D50" s="1026" t="s">
        <v>9</v>
      </c>
      <c r="E50" s="1026" t="s">
        <v>90</v>
      </c>
      <c r="F50" s="1059">
        <v>2518.3200000000002</v>
      </c>
      <c r="G50" s="1054">
        <v>0.25</v>
      </c>
      <c r="H50" s="1055">
        <v>566.22</v>
      </c>
      <c r="I50" s="1056"/>
      <c r="J50" s="1111"/>
      <c r="K50" s="1115" t="s">
        <v>2015</v>
      </c>
    </row>
    <row r="51" spans="1:11" ht="15.75">
      <c r="A51" s="1037">
        <v>45687</v>
      </c>
      <c r="B51" s="1038">
        <v>46053</v>
      </c>
      <c r="C51" s="1026" t="s">
        <v>2444</v>
      </c>
      <c r="D51" s="1026" t="s">
        <v>448</v>
      </c>
      <c r="E51" s="1026" t="s">
        <v>10</v>
      </c>
      <c r="F51" s="1059">
        <v>2989.27</v>
      </c>
      <c r="G51" s="1054">
        <v>0.1</v>
      </c>
      <c r="H51" s="1055">
        <v>269.02999999999997</v>
      </c>
      <c r="I51" s="1056"/>
      <c r="J51" s="1111"/>
      <c r="K51" s="1115" t="s">
        <v>2012</v>
      </c>
    </row>
    <row r="52" spans="1:11" ht="15.75">
      <c r="A52" s="1037">
        <v>45659</v>
      </c>
      <c r="B52" s="1038" t="s">
        <v>1805</v>
      </c>
      <c r="C52" s="1026" t="s">
        <v>2051</v>
      </c>
      <c r="D52" s="1026" t="s">
        <v>70</v>
      </c>
      <c r="E52" s="1026" t="s">
        <v>279</v>
      </c>
      <c r="F52" s="1059">
        <v>303.5</v>
      </c>
      <c r="G52" s="1054">
        <v>0.1</v>
      </c>
      <c r="H52" s="1055">
        <v>27.92</v>
      </c>
      <c r="I52" s="1056"/>
      <c r="J52" s="1111"/>
      <c r="K52" s="1115" t="s">
        <v>1805</v>
      </c>
    </row>
    <row r="53" spans="1:11" ht="15.75">
      <c r="A53" s="1037">
        <v>45685</v>
      </c>
      <c r="B53" s="1038" t="s">
        <v>1805</v>
      </c>
      <c r="C53" s="1026" t="s">
        <v>2775</v>
      </c>
      <c r="D53" s="1026" t="s">
        <v>14</v>
      </c>
      <c r="E53" s="1026" t="s">
        <v>10</v>
      </c>
      <c r="F53" s="1059">
        <v>1091.22</v>
      </c>
      <c r="G53" s="1054">
        <v>0.1</v>
      </c>
      <c r="H53" s="1055">
        <v>98.2</v>
      </c>
      <c r="I53" s="1056"/>
      <c r="J53" s="1111"/>
      <c r="K53" s="1115" t="s">
        <v>1805</v>
      </c>
    </row>
    <row r="54" spans="1:11" ht="15.75">
      <c r="A54" s="1037"/>
      <c r="B54" s="1038"/>
      <c r="C54" s="1026"/>
      <c r="D54" s="1026"/>
      <c r="E54" s="1026"/>
      <c r="F54" s="1059"/>
      <c r="G54" s="1054"/>
      <c r="H54" s="1055"/>
      <c r="I54" s="1056"/>
      <c r="J54" s="1111"/>
      <c r="K54" s="1115"/>
    </row>
    <row r="55" spans="1:11" ht="15.75">
      <c r="A55" s="1037"/>
      <c r="B55" s="1038"/>
      <c r="C55" s="1026"/>
      <c r="D55" s="1026"/>
      <c r="E55" s="1026"/>
      <c r="F55" s="1059"/>
      <c r="G55" s="1054"/>
      <c r="H55" s="1055"/>
      <c r="I55" s="1056"/>
      <c r="J55" s="1111"/>
      <c r="K55" s="1115"/>
    </row>
    <row r="56" spans="1:11" ht="15.75">
      <c r="A56" s="1037"/>
      <c r="B56" s="1038"/>
      <c r="C56" s="1026"/>
      <c r="D56" s="1026"/>
      <c r="E56" s="1026"/>
      <c r="F56" s="1059"/>
      <c r="G56" s="1054"/>
      <c r="H56" s="1055"/>
      <c r="I56" s="1056"/>
      <c r="J56" s="1111"/>
      <c r="K56" s="1115"/>
    </row>
    <row r="57" spans="1:11" ht="15.75">
      <c r="A57" s="1037"/>
      <c r="B57" s="1038"/>
      <c r="C57" s="1026"/>
      <c r="D57" s="1026"/>
      <c r="E57" s="1026"/>
      <c r="F57" s="1059"/>
      <c r="G57" s="1054"/>
      <c r="H57" s="1055"/>
      <c r="I57" s="1056"/>
      <c r="J57" s="1111"/>
      <c r="K57" s="1115"/>
    </row>
    <row r="58" spans="1:11" ht="15.75">
      <c r="A58" s="1037"/>
      <c r="B58" s="1038"/>
      <c r="C58" s="1026"/>
      <c r="D58" s="1026"/>
      <c r="E58" s="1026"/>
      <c r="F58" s="1059"/>
      <c r="G58" s="1054"/>
      <c r="H58" s="1055"/>
      <c r="I58" s="1056"/>
      <c r="J58" s="1111"/>
      <c r="K58" s="1115"/>
    </row>
    <row r="59" spans="1:11" ht="15.75">
      <c r="A59" s="1037"/>
      <c r="B59" s="1038"/>
      <c r="C59" s="1026"/>
      <c r="D59" s="1026"/>
      <c r="E59" s="1026"/>
      <c r="F59" s="1059"/>
      <c r="G59" s="1054"/>
      <c r="H59" s="1055"/>
      <c r="I59" s="1056"/>
      <c r="J59" s="1111"/>
      <c r="K59" s="1115"/>
    </row>
    <row r="60" spans="1:11" ht="16.5" thickBot="1">
      <c r="A60" s="1037"/>
      <c r="B60" s="1038"/>
      <c r="C60" s="1026"/>
      <c r="D60" s="1026"/>
      <c r="E60" s="1026"/>
      <c r="F60" s="1059"/>
      <c r="G60" s="1054"/>
      <c r="H60" s="1055"/>
      <c r="I60" s="1056"/>
      <c r="J60" s="1111"/>
      <c r="K60" s="1115"/>
    </row>
    <row r="61" spans="1:11" ht="20.25" thickBot="1">
      <c r="A61" s="1552"/>
      <c r="B61" s="1553"/>
      <c r="C61" s="1553"/>
      <c r="D61" s="1553"/>
      <c r="E61" s="1553"/>
      <c r="F61" s="1554">
        <f>SUM(F2:F6,F7:F60)</f>
        <v>106512.81000000003</v>
      </c>
      <c r="G61" s="1555"/>
      <c r="H61" s="1556">
        <f>SUM(H2:H60)</f>
        <v>11306.439999999999</v>
      </c>
      <c r="I61" s="1557">
        <f>SUM(I2:I60)</f>
        <v>932.34</v>
      </c>
      <c r="J61" s="1111"/>
      <c r="K61" s="1115"/>
    </row>
    <row r="62" spans="1:11" ht="15.75" customHeight="1">
      <c r="A62" s="1833" t="s">
        <v>3137</v>
      </c>
      <c r="B62" s="1038"/>
      <c r="C62" s="1026"/>
      <c r="D62" s="1026"/>
      <c r="E62" s="1026"/>
      <c r="F62" s="1059"/>
      <c r="G62" s="1054"/>
      <c r="H62" s="1269"/>
      <c r="I62" s="1056"/>
      <c r="J62" s="1111"/>
      <c r="K62" s="1115"/>
    </row>
    <row r="63" spans="1:11" ht="15.75" customHeight="1">
      <c r="A63" s="1037"/>
      <c r="B63" s="1037"/>
      <c r="C63" s="1026"/>
      <c r="D63" s="1026"/>
      <c r="E63" s="1026"/>
      <c r="F63" s="1059"/>
      <c r="G63" s="1054"/>
      <c r="H63" s="1269"/>
      <c r="I63" s="1056"/>
      <c r="J63" s="1111"/>
      <c r="K63" s="1115"/>
    </row>
    <row r="64" spans="1:11" ht="15.75" customHeight="1">
      <c r="A64" s="1037"/>
      <c r="B64" s="1038"/>
      <c r="C64" s="1026"/>
      <c r="D64" s="1026"/>
      <c r="E64" s="1026"/>
      <c r="F64" s="1059"/>
      <c r="G64" s="1054"/>
      <c r="H64" s="1269"/>
      <c r="I64" s="1056"/>
      <c r="J64" s="1111"/>
      <c r="K64" s="1115"/>
    </row>
    <row r="65" spans="1:11" ht="15.75" customHeight="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115"/>
    </row>
    <row r="66" spans="1:11" ht="15.75" customHeight="1">
      <c r="A66" s="1037"/>
      <c r="B66" s="1038"/>
      <c r="C66" s="1026"/>
      <c r="D66" s="1026"/>
      <c r="E66" s="1026"/>
      <c r="F66" s="1059"/>
      <c r="G66" s="1054"/>
      <c r="H66" s="1269"/>
      <c r="I66" s="1056"/>
      <c r="J66" s="1111"/>
      <c r="K66" s="1115"/>
    </row>
    <row r="67" spans="1:11" ht="15.75" customHeight="1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1115"/>
    </row>
    <row r="68" spans="1:11" ht="15.75" customHeight="1">
      <c r="A68" s="1037"/>
      <c r="B68" s="1038"/>
      <c r="C68" s="1026"/>
      <c r="D68" s="1026"/>
      <c r="E68" s="1026"/>
      <c r="F68" s="1059"/>
      <c r="G68" s="1054"/>
      <c r="H68" s="1269"/>
      <c r="I68" s="1056"/>
      <c r="J68" s="1111"/>
      <c r="K68" s="1115"/>
    </row>
    <row r="69" spans="1:11" ht="15.75" customHeight="1">
      <c r="A69" s="1037"/>
      <c r="B69" s="1038"/>
      <c r="C69" s="1026"/>
      <c r="D69" s="1026"/>
      <c r="E69" s="1026"/>
      <c r="F69" s="1059"/>
      <c r="G69" s="1054"/>
      <c r="H69" s="1269"/>
      <c r="I69" s="1056"/>
      <c r="J69" s="1111"/>
      <c r="K69" s="1115"/>
    </row>
    <row r="70" spans="1:11" ht="15.75" customHeight="1">
      <c r="A70" s="1037"/>
      <c r="B70" s="1038"/>
      <c r="C70" s="1026"/>
      <c r="D70" s="1026"/>
      <c r="E70" s="1026"/>
      <c r="F70" s="1059"/>
      <c r="G70" s="1054"/>
      <c r="H70" s="1269"/>
      <c r="I70" s="1056"/>
      <c r="J70" s="1111"/>
      <c r="K70" s="1115"/>
    </row>
    <row r="71" spans="1:11" ht="15.75" customHeight="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025"/>
    </row>
    <row r="72" spans="1:11" ht="15.75" customHeight="1">
      <c r="A72" s="1037"/>
      <c r="B72" s="1038"/>
      <c r="C72" s="1026"/>
      <c r="D72" s="1026"/>
      <c r="E72" s="1026"/>
      <c r="F72" s="1059"/>
      <c r="G72" s="1054"/>
      <c r="H72" s="1269"/>
      <c r="I72" s="1056"/>
      <c r="J72" s="1111"/>
      <c r="K72" s="1115"/>
    </row>
    <row r="73" spans="1:11" ht="15.75" customHeight="1">
      <c r="A73" s="1037"/>
      <c r="B73" s="1038"/>
      <c r="C73" s="1026"/>
      <c r="D73" s="1026"/>
      <c r="E73" s="1026"/>
      <c r="F73" s="1059"/>
      <c r="G73" s="1059"/>
      <c r="H73" s="1269"/>
      <c r="I73" s="1056"/>
      <c r="J73" s="1111"/>
      <c r="K73" s="1115"/>
    </row>
    <row r="74" spans="1:11" ht="15.75" customHeight="1">
      <c r="A74" s="1037"/>
      <c r="B74" s="1038"/>
      <c r="C74" s="1026"/>
      <c r="D74" s="1026"/>
      <c r="E74" s="1026"/>
      <c r="F74" s="1059"/>
      <c r="G74" s="1059"/>
      <c r="H74" s="1269"/>
      <c r="I74" s="1056"/>
      <c r="J74" s="1111"/>
      <c r="K74" s="1025"/>
    </row>
    <row r="75" spans="1:11" ht="15.75" customHeight="1">
      <c r="A75" s="1037"/>
      <c r="B75" s="1038"/>
      <c r="C75" s="1026"/>
      <c r="D75" s="1026"/>
      <c r="E75" s="1026"/>
      <c r="F75" s="1059"/>
      <c r="G75" s="1059"/>
      <c r="H75" s="1269"/>
      <c r="I75" s="1056"/>
      <c r="J75" s="1111"/>
      <c r="K75" s="1025"/>
    </row>
    <row r="76" spans="1:11" ht="15.75" customHeight="1">
      <c r="A76" s="1037"/>
      <c r="B76" s="1038"/>
      <c r="C76" s="1026"/>
      <c r="D76" s="1026"/>
      <c r="E76" s="1026"/>
      <c r="F76" s="1059"/>
      <c r="G76" s="1054"/>
      <c r="H76" s="1269"/>
      <c r="I76" s="1056"/>
      <c r="J76" s="1111"/>
      <c r="K76" s="1115"/>
    </row>
    <row r="77" spans="1:11" ht="15.75" customHeight="1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1115"/>
    </row>
    <row r="78" spans="1:11" ht="15.75" customHeight="1">
      <c r="A78" s="1037"/>
      <c r="B78" s="1038"/>
      <c r="C78" s="1026"/>
      <c r="D78" s="1026"/>
      <c r="E78" s="1026"/>
      <c r="F78" s="1059"/>
      <c r="G78" s="1054"/>
      <c r="H78" s="1269"/>
      <c r="I78" s="1056"/>
      <c r="J78" s="1111"/>
      <c r="K78" s="1115"/>
    </row>
    <row r="79" spans="1:11" ht="15.75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1115"/>
    </row>
    <row r="80" spans="1:11" ht="15.75">
      <c r="A80" s="1037"/>
      <c r="B80" s="1038"/>
      <c r="C80" s="1026"/>
      <c r="D80" s="1026"/>
      <c r="E80" s="1026"/>
      <c r="F80" s="1059"/>
      <c r="G80" s="1054"/>
      <c r="H80" s="1269"/>
      <c r="I80" s="1056"/>
      <c r="J80" s="1111"/>
      <c r="K80" s="1115"/>
    </row>
    <row r="81" spans="1:11" ht="15.75">
      <c r="A81" s="1037"/>
      <c r="B81" s="1038"/>
      <c r="C81" s="1025"/>
      <c r="D81" s="1025"/>
      <c r="E81" s="1025"/>
      <c r="F81" s="1059"/>
      <c r="G81" s="1062"/>
      <c r="H81" s="1055"/>
      <c r="I81" s="1056"/>
      <c r="J81" s="1111"/>
      <c r="K81" s="1115"/>
    </row>
    <row r="82" spans="1:11" ht="15.75">
      <c r="A82" s="1037"/>
      <c r="B82" s="1039"/>
      <c r="C82" s="1025"/>
      <c r="D82" s="1025"/>
      <c r="E82" s="1025"/>
      <c r="F82" s="1059"/>
      <c r="G82" s="1054"/>
      <c r="H82" s="1269"/>
      <c r="I82" s="1056"/>
      <c r="J82" s="1111"/>
      <c r="K82" s="1115"/>
    </row>
    <row r="83" spans="1:11" ht="15.75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1115"/>
    </row>
    <row r="84" spans="1:11" ht="15.75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115"/>
    </row>
    <row r="85" spans="1:11" ht="15.75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115"/>
    </row>
    <row r="86" spans="1:11" ht="15.75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115"/>
    </row>
    <row r="87" spans="1:11" ht="15.75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5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115"/>
    </row>
    <row r="89" spans="1:11" ht="15.75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115"/>
    </row>
    <row r="90" spans="1:11" ht="15.75">
      <c r="A90" s="1037"/>
      <c r="B90" s="1038"/>
      <c r="C90" s="1026"/>
      <c r="D90" s="1026"/>
      <c r="E90" s="1026"/>
      <c r="F90" s="1059"/>
      <c r="G90" s="1054"/>
      <c r="H90" s="1269"/>
      <c r="I90" s="1056"/>
      <c r="J90" s="1111"/>
      <c r="K90" s="1115"/>
    </row>
    <row r="91" spans="1:11" ht="15.75">
      <c r="A91" s="1037"/>
      <c r="B91" s="1038"/>
      <c r="C91" s="1026"/>
      <c r="D91" s="1026"/>
      <c r="E91" s="1026"/>
      <c r="F91" s="1059"/>
      <c r="G91" s="1054"/>
      <c r="H91" s="1269"/>
      <c r="I91" s="1056"/>
      <c r="J91" s="1111"/>
      <c r="K91" s="1115"/>
    </row>
    <row r="92" spans="1:11" ht="15.75">
      <c r="A92" s="1037"/>
      <c r="B92" s="1038"/>
      <c r="C92" s="1026"/>
      <c r="D92" s="1026"/>
      <c r="E92" s="1026"/>
      <c r="F92" s="1059"/>
      <c r="G92" s="1054"/>
      <c r="H92" s="1269"/>
      <c r="I92" s="1056"/>
      <c r="J92" s="1111"/>
      <c r="K92" s="1115"/>
    </row>
    <row r="93" spans="1:11" ht="15.75">
      <c r="A93" s="1037"/>
      <c r="B93" s="1038"/>
      <c r="C93" s="1026"/>
      <c r="D93" s="1026"/>
      <c r="E93" s="1026"/>
      <c r="F93" s="1059"/>
      <c r="G93" s="1054"/>
      <c r="H93" s="1269"/>
      <c r="I93" s="1056"/>
      <c r="J93" s="1111"/>
      <c r="K93" s="1115"/>
    </row>
    <row r="94" spans="1:11" ht="15.75">
      <c r="A94" s="1037"/>
      <c r="B94" s="1038"/>
      <c r="C94" s="1026"/>
      <c r="D94" s="1026"/>
      <c r="E94" s="1026"/>
      <c r="F94" s="1059"/>
      <c r="G94" s="1054"/>
      <c r="H94" s="1269"/>
      <c r="I94" s="1056"/>
      <c r="J94" s="1111"/>
      <c r="K94" s="1115"/>
    </row>
    <row r="95" spans="1:11" ht="15.75">
      <c r="A95" s="1037"/>
      <c r="B95" s="1038"/>
      <c r="C95" s="1026"/>
      <c r="D95" s="1026"/>
      <c r="E95" s="1026"/>
      <c r="F95" s="1059"/>
      <c r="G95" s="1054"/>
      <c r="H95" s="1269"/>
      <c r="I95" s="1056"/>
      <c r="J95" s="1111"/>
      <c r="K95" s="1115"/>
    </row>
    <row r="96" spans="1:11">
      <c r="A96" s="1037"/>
      <c r="B96" s="1038"/>
      <c r="C96" s="1026"/>
      <c r="D96" s="1026"/>
      <c r="E96" s="1026"/>
      <c r="F96" s="1059"/>
      <c r="G96" s="1059"/>
      <c r="H96" s="1269"/>
      <c r="I96" s="1056"/>
      <c r="J96" s="1111"/>
      <c r="K96" s="1025"/>
    </row>
    <row r="97" spans="1:11">
      <c r="A97" s="1037"/>
      <c r="B97" s="1038"/>
      <c r="C97" s="1026"/>
      <c r="D97" s="1026"/>
      <c r="E97" s="1026"/>
      <c r="F97" s="1059"/>
      <c r="G97" s="1059"/>
      <c r="H97" s="1269"/>
      <c r="I97" s="1056"/>
      <c r="J97" s="1111"/>
      <c r="K97" s="1025"/>
    </row>
    <row r="98" spans="1:11">
      <c r="A98" s="1037"/>
      <c r="B98" s="1038"/>
      <c r="C98" s="1026"/>
      <c r="D98" s="1026"/>
      <c r="E98" s="1026"/>
      <c r="F98" s="1059"/>
      <c r="G98" s="1059"/>
      <c r="H98" s="1269"/>
      <c r="I98" s="1056"/>
      <c r="J98" s="1111"/>
      <c r="K98" s="1025"/>
    </row>
    <row r="99" spans="1:11" ht="15.75">
      <c r="A99" s="1037"/>
      <c r="B99" s="1038"/>
      <c r="C99" s="1026"/>
      <c r="D99" s="1026"/>
      <c r="E99" s="1026"/>
      <c r="F99" s="1059"/>
      <c r="G99" s="1054"/>
      <c r="H99" s="1269"/>
      <c r="I99" s="1056"/>
      <c r="J99" s="1111"/>
      <c r="K99" s="1115"/>
    </row>
    <row r="100" spans="1:11">
      <c r="A100" s="1037"/>
      <c r="B100" s="1038"/>
      <c r="C100" s="1026"/>
      <c r="D100" s="1026"/>
      <c r="E100" s="1026"/>
      <c r="F100" s="1059"/>
      <c r="G100" s="1059"/>
      <c r="H100" s="1269"/>
      <c r="I100" s="1056"/>
      <c r="J100" s="1111"/>
      <c r="K100" s="1025"/>
    </row>
    <row r="101" spans="1:11">
      <c r="A101" s="1037"/>
      <c r="B101" s="1038"/>
      <c r="C101" s="1026"/>
      <c r="D101" s="1026"/>
      <c r="E101" s="1026"/>
      <c r="F101" s="1059"/>
      <c r="G101" s="1059"/>
      <c r="H101" s="1269"/>
      <c r="I101" s="1056"/>
      <c r="J101" s="1111"/>
      <c r="K101" s="1025"/>
    </row>
    <row r="102" spans="1:11">
      <c r="A102" s="1037"/>
      <c r="B102" s="1038"/>
      <c r="C102" s="1026"/>
      <c r="D102" s="1026"/>
      <c r="E102" s="1026"/>
      <c r="F102" s="1059"/>
      <c r="G102" s="1059"/>
      <c r="H102" s="1269"/>
      <c r="I102" s="1056"/>
      <c r="J102" s="1111"/>
      <c r="K102" s="1025"/>
    </row>
    <row r="103" spans="1:11" ht="15.75">
      <c r="A103" s="1037"/>
      <c r="B103" s="1038"/>
      <c r="C103" s="1026"/>
      <c r="D103" s="1026"/>
      <c r="E103" s="1026"/>
      <c r="F103" s="1059"/>
      <c r="G103" s="1054"/>
      <c r="H103" s="1269"/>
      <c r="I103" s="1056"/>
      <c r="J103" s="1111"/>
      <c r="K103" s="1115"/>
    </row>
    <row r="104" spans="1:11" ht="15.75">
      <c r="A104" s="1037"/>
      <c r="B104" s="1038"/>
      <c r="C104" s="1026"/>
      <c r="D104" s="1026"/>
      <c r="E104" s="1026"/>
      <c r="F104" s="1059"/>
      <c r="G104" s="1054"/>
      <c r="H104" s="1269"/>
      <c r="I104" s="1056"/>
      <c r="J104" s="1111"/>
      <c r="K104" s="1115"/>
    </row>
    <row r="105" spans="1:11">
      <c r="A105" s="1037"/>
      <c r="B105" s="1038"/>
      <c r="C105" s="1026"/>
      <c r="D105" s="1026"/>
      <c r="E105" s="1026"/>
      <c r="F105" s="1059"/>
      <c r="G105" s="1059"/>
      <c r="H105" s="1269"/>
      <c r="I105" s="1056"/>
      <c r="J105" s="1111"/>
      <c r="K105" s="1025"/>
    </row>
    <row r="106" spans="1:11">
      <c r="A106" s="1037"/>
      <c r="B106" s="1038"/>
      <c r="C106" s="1026"/>
      <c r="D106" s="1026"/>
      <c r="E106" s="1026"/>
      <c r="F106" s="1059"/>
      <c r="G106" s="1059"/>
      <c r="H106" s="1269"/>
      <c r="I106" s="1056"/>
      <c r="J106" s="1111"/>
      <c r="K106" s="1025"/>
    </row>
    <row r="107" spans="1:11">
      <c r="A107" s="1037"/>
      <c r="B107" s="1038"/>
      <c r="C107" s="1026"/>
      <c r="D107" s="1026"/>
      <c r="E107" s="1026"/>
      <c r="F107" s="1059"/>
      <c r="G107" s="1059"/>
      <c r="H107" s="1269"/>
      <c r="I107" s="1056"/>
      <c r="J107" s="1111"/>
      <c r="K107" s="1025"/>
    </row>
    <row r="108" spans="1:11">
      <c r="A108" s="1037"/>
      <c r="B108" s="1038"/>
      <c r="C108" s="1026"/>
      <c r="D108" s="1026"/>
      <c r="E108" s="1026"/>
      <c r="F108" s="1059"/>
      <c r="G108" s="1059"/>
      <c r="H108" s="1269"/>
      <c r="I108" s="1056"/>
      <c r="J108" s="1111"/>
      <c r="K108" s="1025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1025"/>
    </row>
    <row r="110" spans="1:11">
      <c r="A110" s="1037"/>
      <c r="B110" s="1038"/>
      <c r="C110" s="1026"/>
      <c r="D110" s="1026"/>
      <c r="E110" s="1026"/>
      <c r="F110" s="1059"/>
      <c r="G110" s="1059"/>
      <c r="H110" s="1269"/>
      <c r="I110" s="1056"/>
      <c r="J110" s="1111"/>
      <c r="K110" s="1025"/>
    </row>
    <row r="111" spans="1:11" ht="15.75">
      <c r="A111" s="1037"/>
      <c r="B111" s="1038"/>
      <c r="C111" s="1026"/>
      <c r="D111" s="1026"/>
      <c r="E111" s="1026"/>
      <c r="F111" s="1059"/>
      <c r="G111" s="1054"/>
      <c r="H111" s="1269"/>
      <c r="I111" s="1056"/>
      <c r="J111" s="1111"/>
      <c r="K111" s="1115"/>
    </row>
    <row r="112" spans="1:11">
      <c r="A112" s="1037"/>
      <c r="B112" s="1038"/>
      <c r="C112" s="1026"/>
      <c r="D112" s="1026"/>
      <c r="E112" s="1026"/>
      <c r="F112" s="1059"/>
      <c r="G112" s="1059"/>
      <c r="H112" s="1269"/>
      <c r="I112" s="1056"/>
      <c r="J112" s="1111"/>
      <c r="K112" s="1025"/>
    </row>
    <row r="113" spans="1:11">
      <c r="A113" s="1037"/>
      <c r="B113" s="1038"/>
      <c r="C113" s="1026"/>
      <c r="D113" s="1026"/>
      <c r="E113" s="1026"/>
      <c r="F113" s="1059"/>
      <c r="G113" s="1059"/>
      <c r="H113" s="1269"/>
      <c r="I113" s="1056"/>
      <c r="J113" s="1111"/>
      <c r="K113" s="1025"/>
    </row>
    <row r="114" spans="1:11">
      <c r="A114" s="1037"/>
      <c r="B114" s="1038"/>
      <c r="C114" s="1026"/>
      <c r="D114" s="1026"/>
      <c r="E114" s="1026"/>
      <c r="F114" s="1059"/>
      <c r="G114" s="1059"/>
      <c r="H114" s="1269"/>
      <c r="I114" s="1056"/>
      <c r="J114" s="1111"/>
      <c r="K114" s="1025"/>
    </row>
    <row r="115" spans="1:11" ht="15.75">
      <c r="A115" s="1037"/>
      <c r="B115" s="1038"/>
      <c r="C115" s="1026"/>
      <c r="D115" s="1026"/>
      <c r="E115" s="1026"/>
      <c r="F115" s="1059"/>
      <c r="G115" s="1059"/>
      <c r="H115" s="1269"/>
      <c r="I115" s="1056"/>
      <c r="J115" s="1111"/>
      <c r="K115" s="1115"/>
    </row>
    <row r="116" spans="1:11">
      <c r="A116" s="1037"/>
      <c r="B116" s="1038"/>
      <c r="C116" s="1026"/>
      <c r="D116" s="1026"/>
      <c r="E116" s="1026"/>
      <c r="F116" s="1059"/>
      <c r="G116" s="1059"/>
      <c r="H116" s="1269"/>
      <c r="I116" s="1056"/>
      <c r="J116" s="1111"/>
      <c r="K116" s="1025"/>
    </row>
    <row r="117" spans="1:11">
      <c r="A117" s="1037"/>
      <c r="B117" s="1038"/>
      <c r="C117" s="1026"/>
      <c r="D117" s="1026"/>
      <c r="E117" s="1026"/>
      <c r="F117" s="1059"/>
      <c r="G117" s="1059"/>
      <c r="H117" s="1269"/>
      <c r="I117" s="1056"/>
      <c r="J117" s="1111"/>
      <c r="K117" s="1025"/>
    </row>
    <row r="118" spans="1:11">
      <c r="A118" s="1037"/>
      <c r="B118" s="1038"/>
      <c r="C118" s="1026"/>
      <c r="D118" s="1026"/>
      <c r="E118" s="1026"/>
      <c r="F118" s="1059"/>
      <c r="G118" s="1059"/>
      <c r="H118" s="1269"/>
      <c r="I118" s="1056"/>
      <c r="J118" s="1111"/>
      <c r="K118" s="1025"/>
    </row>
    <row r="119" spans="1:11">
      <c r="A119" s="1037"/>
      <c r="B119" s="1038"/>
      <c r="C119" s="1026"/>
      <c r="D119" s="1026"/>
      <c r="E119" s="1026"/>
      <c r="F119" s="1059"/>
      <c r="G119" s="1059"/>
      <c r="H119" s="1269"/>
      <c r="I119" s="1056"/>
      <c r="J119" s="1111"/>
      <c r="K119" s="1025"/>
    </row>
    <row r="120" spans="1:11">
      <c r="A120" s="1037"/>
      <c r="B120" s="1038"/>
      <c r="C120" s="1026"/>
      <c r="D120" s="1026"/>
      <c r="E120" s="1026"/>
      <c r="F120" s="1059"/>
      <c r="G120" s="1054"/>
      <c r="H120" s="1269"/>
      <c r="I120" s="1056"/>
      <c r="J120" s="1111"/>
      <c r="K120" s="1025"/>
    </row>
    <row r="121" spans="1:11" ht="15.75">
      <c r="A121" s="1037"/>
      <c r="B121" s="1038"/>
      <c r="C121" s="1025"/>
      <c r="D121" s="1026"/>
      <c r="E121" s="1026"/>
      <c r="F121" s="1059"/>
      <c r="G121" s="1054"/>
      <c r="H121" s="1269"/>
      <c r="I121" s="1056"/>
      <c r="J121" s="1111"/>
      <c r="K121" s="1115"/>
    </row>
    <row r="122" spans="1:11" ht="15.75">
      <c r="A122" s="1037"/>
      <c r="B122" s="1038"/>
      <c r="C122" s="1026"/>
      <c r="D122" s="1026"/>
      <c r="E122" s="1026"/>
      <c r="F122" s="1059"/>
      <c r="G122" s="1054"/>
      <c r="H122" s="1269"/>
      <c r="I122" s="1056"/>
      <c r="J122" s="1111"/>
      <c r="K122" s="1115"/>
    </row>
    <row r="123" spans="1:11" ht="15.75">
      <c r="A123" s="1037"/>
      <c r="B123" s="1038"/>
      <c r="C123" s="1026"/>
      <c r="D123" s="1026"/>
      <c r="E123" s="1026"/>
      <c r="F123" s="1059"/>
      <c r="G123" s="1054"/>
      <c r="H123" s="1269"/>
      <c r="I123" s="1056"/>
      <c r="J123" s="1111"/>
      <c r="K123" s="1115"/>
    </row>
    <row r="124" spans="1:11" ht="15.75">
      <c r="A124" s="1037"/>
      <c r="B124" s="1038"/>
      <c r="C124" s="1026"/>
      <c r="D124" s="1026"/>
      <c r="E124" s="1026"/>
      <c r="F124" s="1059"/>
      <c r="G124" s="1054"/>
      <c r="H124" s="1269"/>
      <c r="I124" s="1056"/>
      <c r="J124" s="1111"/>
      <c r="K124" s="1115"/>
    </row>
    <row r="125" spans="1:11" ht="15.75">
      <c r="A125" s="1037"/>
      <c r="B125" s="1038"/>
      <c r="C125" s="1026"/>
      <c r="D125" s="1026"/>
      <c r="E125" s="1026"/>
      <c r="F125" s="1059"/>
      <c r="G125" s="1054"/>
      <c r="H125" s="1269"/>
      <c r="I125" s="1056"/>
      <c r="J125" s="1111"/>
      <c r="K125" s="1115"/>
    </row>
    <row r="126" spans="1:11">
      <c r="A126" s="1037"/>
      <c r="B126" s="1038"/>
      <c r="C126" s="1026"/>
      <c r="D126" s="1026"/>
      <c r="E126" s="1026"/>
      <c r="F126" s="1059"/>
      <c r="G126" s="1059"/>
      <c r="H126" s="1269"/>
      <c r="I126" s="1056"/>
      <c r="J126" s="1111"/>
      <c r="K126" s="1025"/>
    </row>
    <row r="127" spans="1:11">
      <c r="A127" s="1037"/>
      <c r="B127" s="1038"/>
      <c r="C127" s="1026"/>
      <c r="D127" s="1026"/>
      <c r="E127" s="1026"/>
      <c r="F127" s="1059"/>
      <c r="G127" s="1059"/>
      <c r="H127" s="1269"/>
      <c r="I127" s="1056"/>
      <c r="J127" s="1111"/>
      <c r="K127" s="1025"/>
    </row>
    <row r="128" spans="1:11" ht="15.75">
      <c r="A128" s="1037"/>
      <c r="B128" s="1038"/>
      <c r="C128" s="1026"/>
      <c r="D128" s="1026"/>
      <c r="E128" s="1026"/>
      <c r="F128" s="1059"/>
      <c r="G128" s="1054"/>
      <c r="H128" s="1269"/>
      <c r="I128" s="1056"/>
      <c r="J128" s="1111"/>
      <c r="K128" s="1115"/>
    </row>
    <row r="129" spans="1:11" ht="15.75">
      <c r="A129" s="1037"/>
      <c r="B129" s="1038"/>
      <c r="C129" s="1026"/>
      <c r="D129" s="1026"/>
      <c r="E129" s="1026"/>
      <c r="F129" s="1059"/>
      <c r="G129" s="1054"/>
      <c r="H129" s="1269"/>
      <c r="I129" s="1056"/>
      <c r="J129" s="1111"/>
      <c r="K129" s="1115"/>
    </row>
    <row r="130" spans="1:11" ht="15.75">
      <c r="A130" s="1037"/>
      <c r="B130" s="1038"/>
      <c r="C130" s="1026"/>
      <c r="D130" s="1026"/>
      <c r="E130" s="1026"/>
      <c r="F130" s="1059"/>
      <c r="G130" s="1054"/>
      <c r="H130" s="1269"/>
      <c r="I130" s="1056"/>
      <c r="J130" s="1111"/>
      <c r="K130" s="1115"/>
    </row>
    <row r="131" spans="1:11">
      <c r="A131" s="1037"/>
      <c r="B131" s="1038"/>
      <c r="C131" s="1026"/>
      <c r="D131" s="1026"/>
      <c r="E131" s="1026"/>
      <c r="F131" s="1059"/>
      <c r="G131" s="1054"/>
      <c r="H131" s="1269"/>
      <c r="I131" s="1056"/>
      <c r="J131" s="1111"/>
      <c r="K131" s="1025"/>
    </row>
    <row r="132" spans="1:11">
      <c r="A132" s="1037"/>
      <c r="B132" s="1038"/>
      <c r="C132" s="1026"/>
      <c r="D132" s="1026"/>
      <c r="E132" s="1026"/>
      <c r="F132" s="1059"/>
      <c r="G132" s="1054"/>
      <c r="H132" s="1269"/>
      <c r="I132" s="1056"/>
      <c r="J132" s="1111"/>
      <c r="K132" s="1025"/>
    </row>
    <row r="133" spans="1:11">
      <c r="A133" s="1037"/>
      <c r="B133" s="1038"/>
      <c r="C133" s="1026"/>
      <c r="D133" s="1026"/>
      <c r="E133" s="1026"/>
      <c r="F133" s="1059"/>
      <c r="G133" s="1059"/>
      <c r="H133" s="1269"/>
      <c r="I133" s="1056"/>
      <c r="J133" s="1111"/>
      <c r="K133" s="1025"/>
    </row>
    <row r="134" spans="1:11">
      <c r="A134" s="1037"/>
      <c r="B134" s="1038"/>
      <c r="C134" s="1026"/>
      <c r="D134" s="1026"/>
      <c r="E134" s="1026"/>
      <c r="F134" s="1059"/>
      <c r="G134" s="1059"/>
      <c r="H134" s="1269"/>
      <c r="I134" s="1056"/>
      <c r="J134" s="1111"/>
      <c r="K134" s="1025"/>
    </row>
    <row r="135" spans="1:11">
      <c r="A135" s="1037"/>
      <c r="B135" s="1038"/>
      <c r="C135" s="1026"/>
      <c r="D135" s="1026"/>
      <c r="E135" s="1026"/>
      <c r="F135" s="1059"/>
      <c r="G135" s="1059"/>
      <c r="H135" s="1269"/>
      <c r="I135" s="1056"/>
      <c r="J135" s="1111"/>
      <c r="K135" s="1025"/>
    </row>
    <row r="136" spans="1:11">
      <c r="A136" s="1037"/>
      <c r="B136" s="1038"/>
      <c r="C136" s="1026"/>
      <c r="D136" s="1026"/>
      <c r="E136" s="1026"/>
      <c r="F136" s="1059"/>
      <c r="G136" s="1059"/>
      <c r="H136" s="1269"/>
      <c r="I136" s="1056"/>
      <c r="J136" s="1111"/>
      <c r="K136" s="1025"/>
    </row>
    <row r="137" spans="1:11" ht="15.75">
      <c r="A137" s="1037"/>
      <c r="B137" s="1038"/>
      <c r="C137" s="1026"/>
      <c r="D137" s="1026"/>
      <c r="E137" s="1026"/>
      <c r="F137" s="1059"/>
      <c r="G137" s="1054"/>
      <c r="H137" s="1269"/>
      <c r="I137" s="1056"/>
      <c r="J137" s="1111"/>
      <c r="K137" s="1115"/>
    </row>
    <row r="138" spans="1:11" ht="15.75">
      <c r="A138" s="1037"/>
      <c r="B138" s="1038"/>
      <c r="C138" s="1026"/>
      <c r="D138" s="1026"/>
      <c r="E138" s="1026"/>
      <c r="F138" s="1059"/>
      <c r="G138" s="1059"/>
      <c r="H138" s="1269"/>
      <c r="I138" s="1056"/>
      <c r="J138" s="1111"/>
      <c r="K138" s="1115"/>
    </row>
    <row r="139" spans="1:11">
      <c r="A139" s="1037"/>
      <c r="B139" s="1038"/>
      <c r="C139" s="1026"/>
      <c r="D139" s="1026"/>
      <c r="E139" s="1026"/>
      <c r="F139" s="1059"/>
      <c r="G139" s="1059"/>
      <c r="H139" s="1269"/>
      <c r="I139" s="1056"/>
      <c r="J139" s="1111"/>
      <c r="K139" s="1025"/>
    </row>
    <row r="140" spans="1:11">
      <c r="A140" s="1037"/>
      <c r="B140" s="1038"/>
      <c r="C140" s="1026"/>
      <c r="D140" s="1026"/>
      <c r="E140" s="1026"/>
      <c r="F140" s="1059"/>
      <c r="G140" s="1054"/>
      <c r="H140" s="1269"/>
      <c r="I140" s="1056"/>
      <c r="J140" s="1111"/>
      <c r="K140" s="1025"/>
    </row>
    <row r="141" spans="1:11" ht="15.75">
      <c r="A141" s="1037"/>
      <c r="B141" s="1038"/>
      <c r="C141" s="1026"/>
      <c r="D141" s="1026"/>
      <c r="E141" s="1026"/>
      <c r="F141" s="1059"/>
      <c r="G141" s="1054"/>
      <c r="H141" s="1269"/>
      <c r="I141" s="1056"/>
      <c r="J141" s="1111"/>
      <c r="K141" s="1115"/>
    </row>
    <row r="142" spans="1:11">
      <c r="A142" s="1037"/>
      <c r="B142" s="1038"/>
      <c r="C142" s="1026"/>
      <c r="D142" s="1026"/>
      <c r="E142" s="1026"/>
      <c r="F142" s="1059"/>
      <c r="G142" s="1054"/>
      <c r="H142" s="1269"/>
      <c r="I142" s="1056"/>
      <c r="J142" s="1111"/>
      <c r="K142" s="1025"/>
    </row>
    <row r="143" spans="1:11">
      <c r="A143" s="1037"/>
      <c r="B143" s="1038"/>
      <c r="C143" s="1026"/>
      <c r="D143" s="1026"/>
      <c r="E143" s="1026"/>
      <c r="F143" s="1059"/>
      <c r="G143" s="1059"/>
      <c r="H143" s="1269"/>
      <c r="I143" s="1056"/>
      <c r="J143" s="1111"/>
      <c r="K143" s="1025"/>
    </row>
    <row r="144" spans="1:11">
      <c r="A144" s="1037"/>
      <c r="B144" s="1038"/>
      <c r="C144" s="1026"/>
      <c r="D144" s="1026"/>
      <c r="E144" s="1026"/>
      <c r="F144" s="1059"/>
      <c r="G144" s="1059"/>
      <c r="H144" s="1269"/>
      <c r="I144" s="1056"/>
      <c r="J144" s="1111"/>
      <c r="K144" s="1025"/>
    </row>
    <row r="145" spans="1:11" ht="15.75">
      <c r="A145" s="1037"/>
      <c r="B145" s="1038"/>
      <c r="C145" s="1026"/>
      <c r="D145" s="1026"/>
      <c r="E145" s="1026"/>
      <c r="F145" s="1059"/>
      <c r="G145" s="1054"/>
      <c r="H145" s="1269"/>
      <c r="I145" s="1056"/>
      <c r="J145" s="1111"/>
      <c r="K145" s="1115"/>
    </row>
    <row r="146" spans="1:11" ht="15.75">
      <c r="A146" s="1037"/>
      <c r="B146" s="1038"/>
      <c r="C146" s="1026"/>
      <c r="D146" s="1026"/>
      <c r="E146" s="1026"/>
      <c r="F146" s="1059"/>
      <c r="G146" s="1054"/>
      <c r="H146" s="1269"/>
      <c r="I146" s="1056"/>
      <c r="J146" s="1111"/>
      <c r="K146" s="1115"/>
    </row>
    <row r="147" spans="1:11" ht="15.75">
      <c r="A147" s="1037"/>
      <c r="B147" s="1038"/>
      <c r="C147" s="1026"/>
      <c r="D147" s="1026"/>
      <c r="E147" s="1026"/>
      <c r="F147" s="1059"/>
      <c r="G147" s="1054"/>
      <c r="H147" s="1269"/>
      <c r="I147" s="1056"/>
      <c r="J147" s="1111"/>
      <c r="K147" s="1115"/>
    </row>
    <row r="148" spans="1:11" ht="15.75">
      <c r="A148" s="1037"/>
      <c r="B148" s="1038"/>
      <c r="C148" s="1026"/>
      <c r="D148" s="1026"/>
      <c r="E148" s="1026"/>
      <c r="F148" s="1059"/>
      <c r="G148" s="1054"/>
      <c r="H148" s="1269"/>
      <c r="I148" s="1056"/>
      <c r="J148" s="1111"/>
      <c r="K148" s="1115"/>
    </row>
    <row r="149" spans="1:11" ht="15.75">
      <c r="A149" s="1037"/>
      <c r="B149" s="1038"/>
      <c r="C149" s="1026"/>
      <c r="D149" s="1026"/>
      <c r="E149" s="1026"/>
      <c r="F149" s="1059"/>
      <c r="G149" s="1054"/>
      <c r="H149" s="1269"/>
      <c r="I149" s="1056"/>
      <c r="J149" s="1111"/>
      <c r="K149" s="1115"/>
    </row>
    <row r="150" spans="1:11">
      <c r="A150" s="1037"/>
      <c r="B150" s="1038"/>
      <c r="C150" s="1026"/>
      <c r="D150" s="1026"/>
      <c r="E150" s="1026"/>
      <c r="F150" s="1059"/>
      <c r="G150" s="1054"/>
      <c r="H150" s="1269"/>
      <c r="I150" s="1056"/>
      <c r="J150" s="1111"/>
      <c r="K150" s="1025"/>
    </row>
    <row r="151" spans="1:11">
      <c r="A151" s="1037"/>
      <c r="B151" s="1038"/>
      <c r="C151" s="1025"/>
      <c r="D151" s="1026"/>
      <c r="E151" s="1026"/>
      <c r="F151" s="1061"/>
      <c r="G151" s="1054"/>
      <c r="H151" s="1055"/>
      <c r="I151" s="1056"/>
      <c r="J151" s="1111"/>
      <c r="K151" s="1025"/>
    </row>
    <row r="152" spans="1:11">
      <c r="A152" s="1037"/>
      <c r="B152" s="1038"/>
      <c r="C152" s="1026"/>
      <c r="D152" s="1026"/>
      <c r="E152" s="1026"/>
      <c r="F152" s="1059"/>
      <c r="G152" s="1054"/>
      <c r="H152" s="1269"/>
      <c r="I152" s="1056"/>
      <c r="J152" s="1111"/>
      <c r="K152" s="1025"/>
    </row>
    <row r="153" spans="1:11">
      <c r="A153" s="1037"/>
      <c r="B153" s="1038"/>
      <c r="C153" s="1026"/>
      <c r="D153" s="1026"/>
      <c r="E153" s="1026"/>
      <c r="F153" s="1059"/>
      <c r="G153" s="1054"/>
      <c r="H153" s="1269"/>
      <c r="I153" s="1056"/>
      <c r="J153" s="1111"/>
      <c r="K153" s="1025"/>
    </row>
    <row r="154" spans="1:11">
      <c r="A154" s="1037"/>
      <c r="B154" s="1038"/>
      <c r="C154" s="1026"/>
      <c r="D154" s="1026"/>
      <c r="E154" s="1026"/>
      <c r="F154" s="1059"/>
      <c r="G154" s="1059"/>
      <c r="H154" s="1269"/>
      <c r="I154" s="1056"/>
      <c r="J154" s="1111"/>
      <c r="K154" s="1025"/>
    </row>
    <row r="155" spans="1:11">
      <c r="A155" s="1037"/>
      <c r="B155" s="1038"/>
      <c r="C155" s="1026"/>
      <c r="D155" s="1026"/>
      <c r="E155" s="1026"/>
      <c r="F155" s="1059"/>
      <c r="G155" s="1059"/>
      <c r="H155" s="1269"/>
      <c r="I155" s="1056"/>
      <c r="J155" s="1111"/>
      <c r="K155" s="1025"/>
    </row>
    <row r="156" spans="1:11" ht="15.75">
      <c r="A156" s="1037"/>
      <c r="B156" s="1038"/>
      <c r="C156" s="1026"/>
      <c r="D156" s="1026"/>
      <c r="E156" s="1026"/>
      <c r="F156" s="1059"/>
      <c r="G156" s="1054"/>
      <c r="H156" s="1269"/>
      <c r="I156" s="1056"/>
      <c r="J156" s="1111"/>
      <c r="K156" s="1115"/>
    </row>
    <row r="157" spans="1:11">
      <c r="A157" s="1037"/>
      <c r="B157" s="1038"/>
      <c r="C157" s="1026"/>
      <c r="D157" s="1026"/>
      <c r="E157" s="1026"/>
      <c r="F157" s="1059"/>
      <c r="G157" s="1054"/>
      <c r="H157" s="1269"/>
      <c r="I157" s="1056"/>
      <c r="J157" s="1111"/>
      <c r="K157" s="1025"/>
    </row>
    <row r="158" spans="1:11">
      <c r="A158" s="1037"/>
      <c r="B158" s="1038"/>
      <c r="C158" s="1026"/>
      <c r="D158" s="1026"/>
      <c r="E158" s="1026"/>
      <c r="F158" s="1059"/>
      <c r="G158" s="1059"/>
      <c r="H158" s="1269"/>
      <c r="I158" s="1056"/>
      <c r="J158" s="1111"/>
      <c r="K158" s="1025"/>
    </row>
    <row r="159" spans="1:11">
      <c r="A159" s="1037"/>
      <c r="B159" s="1038"/>
      <c r="C159" s="1026"/>
      <c r="D159" s="1026"/>
      <c r="E159" s="1026"/>
      <c r="F159" s="1059"/>
      <c r="G159" s="1059"/>
      <c r="H159" s="1269"/>
      <c r="I159" s="1056"/>
      <c r="J159" s="1111"/>
      <c r="K159" s="1025"/>
    </row>
    <row r="160" spans="1:11">
      <c r="A160" s="1037"/>
      <c r="B160" s="1038"/>
      <c r="C160" s="1026"/>
      <c r="D160" s="1026"/>
      <c r="E160" s="1026"/>
      <c r="F160" s="1059"/>
      <c r="G160" s="1054"/>
      <c r="H160" s="1269"/>
      <c r="I160" s="1056"/>
      <c r="J160" s="1111"/>
      <c r="K160" s="1025"/>
    </row>
    <row r="161" spans="1:11">
      <c r="A161" s="1037"/>
      <c r="B161" s="1038"/>
      <c r="C161" s="1026"/>
      <c r="D161" s="1026"/>
      <c r="E161" s="1026"/>
      <c r="F161" s="1059"/>
      <c r="G161" s="1054"/>
      <c r="H161" s="1269"/>
      <c r="I161" s="1056"/>
      <c r="J161" s="1111"/>
      <c r="K161" s="1025"/>
    </row>
    <row r="162" spans="1:11">
      <c r="A162" s="1037"/>
      <c r="B162" s="1038"/>
      <c r="C162" s="1026"/>
      <c r="D162" s="1026"/>
      <c r="E162" s="1026"/>
      <c r="F162" s="1059"/>
      <c r="G162" s="1054"/>
      <c r="H162" s="1269"/>
      <c r="I162" s="1056"/>
      <c r="J162" s="1111"/>
      <c r="K162" s="1025"/>
    </row>
    <row r="163" spans="1:11" ht="15.75">
      <c r="A163" s="1037"/>
      <c r="B163" s="1038"/>
      <c r="C163" s="1026"/>
      <c r="D163" s="1026"/>
      <c r="E163" s="1026"/>
      <c r="F163" s="1059"/>
      <c r="G163" s="1054"/>
      <c r="H163" s="1269"/>
      <c r="I163" s="1056"/>
      <c r="J163" s="1111"/>
      <c r="K163" s="1115"/>
    </row>
    <row r="164" spans="1:11">
      <c r="A164" s="1037"/>
      <c r="B164" s="1038"/>
      <c r="C164" s="1026"/>
      <c r="D164" s="1026"/>
      <c r="E164" s="1026"/>
      <c r="F164" s="1059"/>
      <c r="G164" s="1054"/>
      <c r="H164" s="1269"/>
      <c r="I164" s="1056"/>
      <c r="J164" s="1111"/>
      <c r="K164" s="1025"/>
    </row>
    <row r="165" spans="1:11">
      <c r="A165" s="1037"/>
      <c r="B165" s="1038"/>
      <c r="C165" s="290"/>
      <c r="D165" s="1026"/>
      <c r="E165" s="1026"/>
      <c r="F165" s="1059"/>
      <c r="G165" s="1054"/>
      <c r="H165" s="1269"/>
      <c r="I165" s="1056"/>
      <c r="J165" s="1111"/>
      <c r="K165" s="1025"/>
    </row>
    <row r="166" spans="1:11">
      <c r="A166" s="1037"/>
      <c r="B166" s="1038"/>
      <c r="C166" s="1026"/>
      <c r="D166" s="1026"/>
      <c r="E166" s="1026"/>
      <c r="F166" s="1059"/>
      <c r="G166" s="1054"/>
      <c r="H166" s="1269"/>
      <c r="I166" s="1056"/>
      <c r="J166" s="1111"/>
      <c r="K166" s="1025"/>
    </row>
    <row r="167" spans="1:11">
      <c r="A167" s="1037"/>
      <c r="B167" s="1038"/>
      <c r="C167" s="1026"/>
      <c r="D167" s="1026"/>
      <c r="E167" s="1026"/>
      <c r="F167" s="1059"/>
      <c r="G167" s="1054"/>
      <c r="H167" s="1269"/>
      <c r="I167" s="1056"/>
      <c r="J167" s="1111"/>
      <c r="K167" s="1025"/>
    </row>
    <row r="168" spans="1:11">
      <c r="A168" s="1037"/>
      <c r="B168" s="1038"/>
      <c r="C168" s="1026"/>
      <c r="D168" s="1026"/>
      <c r="E168" s="1026"/>
      <c r="F168" s="1059"/>
      <c r="G168" s="1054"/>
      <c r="H168" s="1269"/>
      <c r="I168" s="1056"/>
      <c r="J168" s="1111"/>
      <c r="K168" s="1025"/>
    </row>
    <row r="169" spans="1:11">
      <c r="A169" s="1037"/>
      <c r="B169" s="1038"/>
      <c r="C169" s="1026"/>
      <c r="D169" s="1026"/>
      <c r="E169" s="1026"/>
      <c r="F169" s="1059"/>
      <c r="G169" s="1054"/>
      <c r="H169" s="1269"/>
      <c r="I169" s="1056"/>
      <c r="J169" s="1111"/>
      <c r="K169" s="1025"/>
    </row>
    <row r="170" spans="1:11">
      <c r="A170" s="1037"/>
      <c r="B170" s="1038"/>
      <c r="C170" s="1026"/>
      <c r="D170" s="1026"/>
      <c r="E170" s="1026"/>
      <c r="F170" s="1059"/>
      <c r="G170" s="1054"/>
      <c r="H170" s="1269"/>
      <c r="I170" s="1056"/>
      <c r="J170" s="1111"/>
      <c r="K170" s="1025"/>
    </row>
    <row r="171" spans="1:11">
      <c r="A171" s="1037"/>
      <c r="B171" s="1038"/>
      <c r="C171" s="1026"/>
      <c r="D171" s="1026"/>
      <c r="E171" s="1026"/>
      <c r="F171" s="1059"/>
      <c r="G171" s="1054"/>
      <c r="H171" s="1269"/>
      <c r="I171" s="1056"/>
      <c r="J171" s="1111"/>
      <c r="K171" s="1025"/>
    </row>
    <row r="172" spans="1:11">
      <c r="A172" s="1037"/>
      <c r="B172" s="1038"/>
      <c r="C172" s="1026"/>
      <c r="D172" s="1026"/>
      <c r="E172" s="1026"/>
      <c r="F172" s="1059"/>
      <c r="G172" s="1054"/>
      <c r="H172" s="1269"/>
      <c r="I172" s="1056"/>
      <c r="J172" s="1111"/>
      <c r="K172" s="1025"/>
    </row>
    <row r="173" spans="1:11">
      <c r="A173" s="1037"/>
      <c r="B173" s="1038"/>
      <c r="C173" s="1026"/>
      <c r="D173" s="1026"/>
      <c r="E173" s="1026"/>
      <c r="F173" s="1059"/>
      <c r="G173" s="1054"/>
      <c r="H173" s="1269"/>
      <c r="I173" s="1056"/>
      <c r="J173" s="1111"/>
      <c r="K173" s="1025"/>
    </row>
    <row r="174" spans="1:11">
      <c r="A174" s="1037"/>
      <c r="B174" s="1038"/>
      <c r="C174" s="1026"/>
      <c r="D174" s="1026"/>
      <c r="E174" s="1026"/>
      <c r="F174" s="1059"/>
      <c r="G174" s="1059"/>
      <c r="H174" s="1269"/>
      <c r="I174" s="1056"/>
      <c r="J174" s="1111"/>
      <c r="K174" s="1025"/>
    </row>
    <row r="175" spans="1:11">
      <c r="A175" s="1037"/>
      <c r="B175" s="1038"/>
      <c r="C175" s="1026"/>
      <c r="D175" s="1026"/>
      <c r="E175" s="1026"/>
      <c r="F175" s="1059"/>
      <c r="G175" s="1059"/>
      <c r="H175" s="1269"/>
      <c r="I175" s="1056"/>
      <c r="J175" s="1111"/>
      <c r="K175" s="1025"/>
    </row>
    <row r="176" spans="1:11">
      <c r="A176" s="1037"/>
      <c r="B176" s="1038"/>
      <c r="C176" s="1026"/>
      <c r="D176" s="1026"/>
      <c r="E176" s="1026"/>
      <c r="F176" s="1059"/>
      <c r="G176" s="1054"/>
      <c r="H176" s="1269"/>
      <c r="I176" s="1056"/>
      <c r="J176" s="1111"/>
      <c r="K176" s="1025"/>
    </row>
    <row r="177" spans="1:11">
      <c r="A177" s="1037"/>
      <c r="B177" s="1038"/>
      <c r="C177" s="1026"/>
      <c r="D177" s="1026"/>
      <c r="E177" s="1026"/>
      <c r="F177" s="1059"/>
      <c r="G177" s="1054"/>
      <c r="H177" s="1269"/>
      <c r="I177" s="1056"/>
      <c r="J177" s="1111"/>
      <c r="K177" s="1025"/>
    </row>
    <row r="178" spans="1:11">
      <c r="A178" s="1037"/>
      <c r="B178" s="1038"/>
      <c r="C178" s="1026"/>
      <c r="D178" s="1026"/>
      <c r="E178" s="1026"/>
      <c r="F178" s="1059"/>
      <c r="G178" s="1054"/>
      <c r="H178" s="1269"/>
      <c r="I178" s="1056"/>
      <c r="J178" s="1111"/>
      <c r="K178" s="1025"/>
    </row>
    <row r="179" spans="1:11" ht="15.75">
      <c r="A179" s="1037"/>
      <c r="B179" s="1038"/>
      <c r="C179" s="1026"/>
      <c r="D179" s="1026"/>
      <c r="E179" s="1026"/>
      <c r="F179" s="1059"/>
      <c r="G179" s="1059"/>
      <c r="H179" s="1269"/>
      <c r="I179" s="1056"/>
      <c r="J179" s="1111"/>
      <c r="K179" s="1115"/>
    </row>
    <row r="180" spans="1:11">
      <c r="A180" s="1037"/>
      <c r="B180" s="1038"/>
      <c r="C180" s="1026"/>
      <c r="D180" s="1026"/>
      <c r="E180" s="1026"/>
      <c r="F180" s="1059"/>
      <c r="G180" s="1059"/>
      <c r="H180" s="1269"/>
      <c r="I180" s="1056"/>
      <c r="J180" s="1111"/>
      <c r="K180" s="1025"/>
    </row>
    <row r="181" spans="1:11" ht="15.75">
      <c r="A181" s="1037"/>
      <c r="B181" s="1038"/>
      <c r="C181" s="1026"/>
      <c r="D181" s="1026"/>
      <c r="E181" s="1026"/>
      <c r="F181" s="1059"/>
      <c r="G181" s="1054"/>
      <c r="H181" s="1269"/>
      <c r="I181" s="1056"/>
      <c r="J181" s="1111"/>
      <c r="K181" s="1115"/>
    </row>
    <row r="182" spans="1:11" ht="15.75">
      <c r="A182" s="1037"/>
      <c r="B182" s="1038"/>
      <c r="C182" s="1026"/>
      <c r="D182" s="1026"/>
      <c r="E182" s="1026"/>
      <c r="F182" s="1059"/>
      <c r="G182" s="1054"/>
      <c r="H182" s="1269"/>
      <c r="I182" s="1056"/>
      <c r="J182" s="1111"/>
      <c r="K182" s="1115"/>
    </row>
    <row r="183" spans="1:11" ht="15.75">
      <c r="A183" s="1037"/>
      <c r="B183" s="1038"/>
      <c r="C183" s="1026"/>
      <c r="D183" s="1026"/>
      <c r="E183" s="1026"/>
      <c r="F183" s="1059"/>
      <c r="G183" s="1054"/>
      <c r="H183" s="1269"/>
      <c r="I183" s="1056"/>
      <c r="J183" s="1111"/>
      <c r="K183" s="1115"/>
    </row>
    <row r="184" spans="1:11" ht="15.75">
      <c r="A184" s="1037"/>
      <c r="B184" s="1038"/>
      <c r="C184" s="1026"/>
      <c r="D184" s="1026"/>
      <c r="E184" s="1026"/>
      <c r="F184" s="1059"/>
      <c r="G184" s="1054"/>
      <c r="H184" s="1269"/>
      <c r="I184" s="1056"/>
      <c r="J184" s="1111"/>
      <c r="K184" s="1115"/>
    </row>
    <row r="185" spans="1:11" ht="15.75">
      <c r="A185" s="1037"/>
      <c r="B185" s="1038"/>
      <c r="C185" s="1026"/>
      <c r="D185" s="1026"/>
      <c r="E185" s="1026"/>
      <c r="F185" s="1059"/>
      <c r="G185" s="1059"/>
      <c r="H185" s="1269"/>
      <c r="I185" s="1056"/>
      <c r="J185" s="1111"/>
      <c r="K185" s="1115"/>
    </row>
    <row r="186" spans="1:11">
      <c r="A186" s="1037"/>
      <c r="B186" s="1038"/>
      <c r="C186" s="1026"/>
      <c r="D186" s="1026"/>
      <c r="E186" s="1026"/>
      <c r="F186" s="1059"/>
      <c r="G186" s="1059"/>
      <c r="H186" s="1269"/>
      <c r="I186" s="1056"/>
      <c r="J186" s="1111"/>
      <c r="K186" s="1025"/>
    </row>
    <row r="187" spans="1:11" ht="15.75">
      <c r="A187" s="1037"/>
      <c r="B187" s="1038"/>
      <c r="C187" s="1026"/>
      <c r="D187" s="1026"/>
      <c r="E187" s="1026"/>
      <c r="F187" s="1059"/>
      <c r="G187" s="1054"/>
      <c r="H187" s="1269"/>
      <c r="I187" s="1056"/>
      <c r="J187" s="1111"/>
      <c r="K187" s="1115"/>
    </row>
    <row r="188" spans="1:11">
      <c r="A188" s="1037"/>
      <c r="B188" s="1038"/>
      <c r="C188" s="1026"/>
      <c r="D188" s="1026"/>
      <c r="E188" s="1026"/>
      <c r="F188" s="1059"/>
      <c r="G188" s="1059"/>
      <c r="H188" s="1269"/>
      <c r="I188" s="1056"/>
      <c r="J188" s="1111"/>
      <c r="K188" s="1025"/>
    </row>
    <row r="189" spans="1:11">
      <c r="A189" s="1037"/>
      <c r="B189" s="1038"/>
      <c r="C189" s="1026"/>
      <c r="D189" s="1026"/>
      <c r="E189" s="1026"/>
      <c r="F189" s="1059"/>
      <c r="G189" s="1059"/>
      <c r="H189" s="1269"/>
      <c r="I189" s="1056"/>
      <c r="J189" s="1111"/>
      <c r="K189" s="1025"/>
    </row>
    <row r="190" spans="1:11">
      <c r="A190" s="1037"/>
      <c r="B190" s="1038"/>
      <c r="C190" s="1026"/>
      <c r="D190" s="1026"/>
      <c r="E190" s="1026"/>
      <c r="F190" s="1059"/>
      <c r="G190" s="1059"/>
      <c r="H190" s="1269"/>
      <c r="I190" s="1056"/>
      <c r="J190" s="1111"/>
      <c r="K190" s="1025"/>
    </row>
    <row r="191" spans="1:11">
      <c r="A191" s="1037"/>
      <c r="B191" s="1038"/>
      <c r="C191" s="1026"/>
      <c r="D191" s="1026"/>
      <c r="E191" s="1026"/>
      <c r="F191" s="1059"/>
      <c r="G191" s="1059"/>
      <c r="H191" s="1269"/>
      <c r="I191" s="1056"/>
      <c r="J191" s="1111"/>
      <c r="K191" s="1025"/>
    </row>
    <row r="192" spans="1:11">
      <c r="A192" s="1037"/>
      <c r="B192" s="1038"/>
      <c r="C192" s="1026"/>
      <c r="D192" s="1026"/>
      <c r="E192" s="1026"/>
      <c r="F192" s="1059"/>
      <c r="G192" s="1054"/>
      <c r="H192" s="1269"/>
      <c r="I192" s="1056"/>
      <c r="J192" s="1111"/>
      <c r="K192" s="1025"/>
    </row>
    <row r="193" spans="1:11">
      <c r="A193" s="1037"/>
      <c r="B193" s="1038"/>
      <c r="C193" s="1026"/>
      <c r="D193" s="1026"/>
      <c r="E193" s="1026"/>
      <c r="F193" s="1059"/>
      <c r="G193" s="1054"/>
      <c r="H193" s="1269"/>
      <c r="I193" s="1056"/>
      <c r="J193" s="1111"/>
      <c r="K193" s="1025"/>
    </row>
    <row r="194" spans="1:11">
      <c r="A194" s="1037"/>
      <c r="B194" s="1038"/>
      <c r="C194" s="1026"/>
      <c r="D194" s="1026"/>
      <c r="E194" s="1026"/>
      <c r="F194" s="1059"/>
      <c r="G194" s="1054"/>
      <c r="H194" s="1269"/>
      <c r="I194" s="1056"/>
      <c r="J194" s="1111"/>
      <c r="K194" s="1025"/>
    </row>
    <row r="195" spans="1:11">
      <c r="A195" s="1037"/>
      <c r="B195" s="1038"/>
      <c r="C195" s="1026"/>
      <c r="D195" s="1026"/>
      <c r="E195" s="1026"/>
      <c r="F195" s="1059"/>
      <c r="G195" s="1054"/>
      <c r="H195" s="1269"/>
      <c r="I195" s="1056"/>
      <c r="J195" s="1111"/>
      <c r="K195" s="1025"/>
    </row>
    <row r="196" spans="1:11">
      <c r="A196" s="1037"/>
      <c r="B196" s="1038"/>
      <c r="C196" s="1026"/>
      <c r="D196" s="1026"/>
      <c r="E196" s="1026"/>
      <c r="F196" s="1059"/>
      <c r="G196" s="1054"/>
      <c r="H196" s="1269"/>
      <c r="I196" s="1056"/>
      <c r="J196" s="1111"/>
      <c r="K196" s="1025"/>
    </row>
    <row r="197" spans="1:11">
      <c r="A197" s="1037"/>
      <c r="B197" s="1038"/>
      <c r="C197" s="1026"/>
      <c r="D197" s="1026"/>
      <c r="E197" s="1026"/>
      <c r="F197" s="1059"/>
      <c r="G197" s="1054"/>
      <c r="H197" s="1269"/>
      <c r="I197" s="1056"/>
      <c r="J197" s="1111"/>
      <c r="K197" s="1025"/>
    </row>
    <row r="198" spans="1:11">
      <c r="A198" s="1037"/>
      <c r="B198" s="1038"/>
      <c r="C198" s="1026"/>
      <c r="D198" s="1026"/>
      <c r="E198" s="1026"/>
      <c r="F198" s="1059"/>
      <c r="G198" s="1054"/>
      <c r="H198" s="1269"/>
      <c r="I198" s="1056"/>
      <c r="J198" s="1111"/>
      <c r="K198" s="1025"/>
    </row>
    <row r="199" spans="1:11">
      <c r="A199" s="1037"/>
      <c r="B199" s="1038"/>
      <c r="C199" s="1026"/>
      <c r="D199" s="1026"/>
      <c r="E199" s="1026"/>
      <c r="F199" s="1059"/>
      <c r="G199" s="1059"/>
      <c r="H199" s="1269"/>
      <c r="I199" s="1056"/>
      <c r="J199" s="1111"/>
      <c r="K199" s="1025"/>
    </row>
    <row r="200" spans="1:11">
      <c r="A200" s="1037"/>
      <c r="B200" s="1038"/>
      <c r="C200" s="1026"/>
      <c r="D200" s="1026"/>
      <c r="E200" s="1026"/>
      <c r="F200" s="1059"/>
      <c r="G200" s="1059"/>
      <c r="H200" s="1269"/>
      <c r="I200" s="1056"/>
      <c r="J200" s="1111"/>
      <c r="K200" s="1025"/>
    </row>
    <row r="201" spans="1:11" ht="15.75">
      <c r="A201" s="1037"/>
      <c r="B201" s="1038"/>
      <c r="C201" s="1026"/>
      <c r="D201" s="1026"/>
      <c r="E201" s="1026"/>
      <c r="F201" s="1059"/>
      <c r="G201" s="1054"/>
      <c r="H201" s="1269"/>
      <c r="I201" s="1056"/>
      <c r="J201" s="1111"/>
      <c r="K201" s="1115"/>
    </row>
    <row r="202" spans="1:11">
      <c r="A202" s="1037"/>
      <c r="B202" s="1038"/>
      <c r="C202" s="1026"/>
      <c r="D202" s="1026"/>
      <c r="E202" s="1026"/>
      <c r="F202" s="1059"/>
      <c r="G202" s="1054"/>
      <c r="H202" s="1269"/>
      <c r="I202" s="1056"/>
      <c r="J202" s="1111"/>
      <c r="K202" s="1025"/>
    </row>
    <row r="203" spans="1:11">
      <c r="A203" s="1037"/>
      <c r="B203" s="1038"/>
      <c r="C203" s="1025"/>
      <c r="D203" s="1025"/>
      <c r="E203" s="1025"/>
      <c r="F203" s="1061"/>
      <c r="G203" s="1054"/>
      <c r="H203" s="1269"/>
      <c r="I203" s="1056"/>
      <c r="J203" s="1111"/>
      <c r="K203" s="1025"/>
    </row>
    <row r="204" spans="1:11">
      <c r="A204" s="1037"/>
      <c r="B204" s="1038"/>
      <c r="C204" s="1026"/>
      <c r="D204" s="1026"/>
      <c r="E204" s="1026"/>
      <c r="F204" s="1061"/>
      <c r="G204" s="1054"/>
      <c r="H204" s="1269"/>
      <c r="I204" s="1056"/>
      <c r="J204" s="1111"/>
      <c r="K204" s="1025"/>
    </row>
    <row r="205" spans="1:11" ht="15.75">
      <c r="A205" s="1037"/>
      <c r="B205" s="1038"/>
      <c r="C205" s="1026"/>
      <c r="D205" s="1026"/>
      <c r="E205" s="1026"/>
      <c r="F205" s="1059"/>
      <c r="G205" s="1059"/>
      <c r="H205" s="1269"/>
      <c r="I205" s="1056"/>
      <c r="J205" s="1111"/>
      <c r="K205" s="1115"/>
    </row>
    <row r="206" spans="1:11">
      <c r="A206" s="1037"/>
      <c r="B206" s="1038"/>
      <c r="C206" s="1026"/>
      <c r="D206" s="1026"/>
      <c r="E206" s="1026"/>
      <c r="F206" s="1059"/>
      <c r="G206" s="1059"/>
      <c r="H206" s="1269"/>
      <c r="I206" s="1056"/>
      <c r="J206" s="1111"/>
      <c r="K206" s="1025"/>
    </row>
    <row r="207" spans="1:11" ht="15.75">
      <c r="A207" s="1037"/>
      <c r="B207" s="1038"/>
      <c r="C207" s="1026"/>
      <c r="D207" s="1026"/>
      <c r="E207" s="1026"/>
      <c r="F207" s="1059"/>
      <c r="G207" s="1054"/>
      <c r="H207" s="1269"/>
      <c r="I207" s="1056"/>
      <c r="J207" s="1111"/>
      <c r="K207" s="1115"/>
    </row>
    <row r="208" spans="1:11" ht="15.75">
      <c r="A208" s="1037"/>
      <c r="B208" s="1038"/>
      <c r="C208" s="1026"/>
      <c r="D208" s="1026"/>
      <c r="E208" s="1026"/>
      <c r="F208" s="1059"/>
      <c r="G208" s="1054"/>
      <c r="H208" s="1269"/>
      <c r="I208" s="1056"/>
      <c r="J208" s="1111"/>
      <c r="K208" s="1115"/>
    </row>
    <row r="209" spans="1:11" ht="15.75">
      <c r="A209" s="1037"/>
      <c r="B209" s="1038"/>
      <c r="C209" s="1026"/>
      <c r="D209" s="1026"/>
      <c r="E209" s="1026"/>
      <c r="F209" s="1059"/>
      <c r="G209" s="1054"/>
      <c r="H209" s="1269"/>
      <c r="I209" s="1056"/>
      <c r="J209" s="1111"/>
      <c r="K209" s="1115"/>
    </row>
    <row r="210" spans="1:11" ht="15.75">
      <c r="A210" s="1037"/>
      <c r="B210" s="1038"/>
      <c r="C210" s="1026"/>
      <c r="D210" s="1026"/>
      <c r="E210" s="1026"/>
      <c r="F210" s="1059"/>
      <c r="G210" s="1054"/>
      <c r="H210" s="1269"/>
      <c r="I210" s="1056"/>
      <c r="J210" s="1111"/>
      <c r="K210" s="1115"/>
    </row>
    <row r="211" spans="1:11" ht="15.75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115"/>
    </row>
    <row r="212" spans="1:11" ht="15.75">
      <c r="A212" s="1037"/>
      <c r="B212" s="1038"/>
      <c r="C212" s="1026"/>
      <c r="D212" s="1026"/>
      <c r="E212" s="1026"/>
      <c r="F212" s="1059"/>
      <c r="G212" s="1054"/>
      <c r="H212" s="1269"/>
      <c r="I212" s="1056"/>
      <c r="J212" s="1111"/>
      <c r="K212" s="1115"/>
    </row>
    <row r="213" spans="1:11" ht="15.75">
      <c r="A213" s="1037"/>
      <c r="B213" s="1038"/>
      <c r="C213" s="1026"/>
      <c r="D213" s="1026"/>
      <c r="E213" s="1026"/>
      <c r="F213" s="1059"/>
      <c r="G213" s="1054"/>
      <c r="H213" s="1269"/>
      <c r="I213" s="1056"/>
      <c r="J213" s="1111"/>
      <c r="K213" s="1115"/>
    </row>
    <row r="214" spans="1:11" ht="15.75">
      <c r="A214" s="1037"/>
      <c r="B214" s="1038"/>
      <c r="C214" s="1026"/>
      <c r="D214" s="1026"/>
      <c r="E214" s="1026"/>
      <c r="F214" s="1059"/>
      <c r="G214" s="1054"/>
      <c r="H214" s="1269"/>
      <c r="I214" s="1056"/>
      <c r="J214" s="1111"/>
      <c r="K214" s="1115"/>
    </row>
    <row r="215" spans="1:11" ht="15.75">
      <c r="A215" s="1037"/>
      <c r="B215" s="1038"/>
      <c r="C215" s="1026"/>
      <c r="D215" s="1026"/>
      <c r="F215" s="1059"/>
      <c r="G215" s="1054"/>
      <c r="H215" s="1269"/>
      <c r="I215" s="1056"/>
      <c r="J215" s="1111"/>
      <c r="K215" s="1115"/>
    </row>
    <row r="216" spans="1:11" ht="15.75">
      <c r="A216" s="1037"/>
      <c r="B216" s="1038"/>
      <c r="C216" s="1026"/>
      <c r="D216" s="1026"/>
      <c r="E216" s="1026"/>
      <c r="F216" s="1059"/>
      <c r="G216" s="1054"/>
      <c r="H216" s="1269"/>
      <c r="I216" s="1056"/>
      <c r="J216" s="1111"/>
      <c r="K216" s="1115"/>
    </row>
    <row r="217" spans="1:11" ht="15.75">
      <c r="A217" s="1037"/>
      <c r="B217" s="1038"/>
      <c r="C217" s="1026"/>
      <c r="D217" s="1026"/>
      <c r="E217" s="1026"/>
      <c r="F217" s="1059"/>
      <c r="G217" s="1054"/>
      <c r="H217" s="1269"/>
      <c r="I217" s="1056"/>
      <c r="J217" s="1111"/>
      <c r="K217" s="1115"/>
    </row>
    <row r="218" spans="1:11" ht="15.75">
      <c r="A218" s="1037"/>
      <c r="B218" s="1038"/>
      <c r="C218" s="1026"/>
      <c r="D218" s="1026"/>
      <c r="E218" s="1026"/>
      <c r="F218" s="1059"/>
      <c r="G218" s="1054"/>
      <c r="H218" s="1269"/>
      <c r="I218" s="1056"/>
      <c r="J218" s="1111"/>
      <c r="K218" s="1115"/>
    </row>
    <row r="219" spans="1:11" ht="15.75">
      <c r="A219" s="1037"/>
      <c r="B219" s="1038"/>
      <c r="C219" s="1026"/>
      <c r="D219" s="1026"/>
      <c r="E219" s="1026"/>
      <c r="F219" s="1059"/>
      <c r="G219" s="1054"/>
      <c r="H219" s="1269"/>
      <c r="I219" s="1056"/>
      <c r="J219" s="1111"/>
      <c r="K219" s="1115"/>
    </row>
    <row r="220" spans="1:11">
      <c r="A220" s="1037"/>
      <c r="B220" s="1038"/>
      <c r="C220" s="1026"/>
      <c r="D220" s="1026"/>
      <c r="E220" s="1026"/>
      <c r="F220" s="1059"/>
      <c r="G220" s="1054"/>
      <c r="H220" s="1269"/>
      <c r="I220" s="1056"/>
      <c r="J220" s="1111"/>
      <c r="K220" s="1025"/>
    </row>
    <row r="221" spans="1:11">
      <c r="A221" s="1039"/>
      <c r="B221" s="1039"/>
      <c r="C221" s="1025"/>
      <c r="D221" s="1025"/>
      <c r="E221" s="1025"/>
      <c r="F221" s="1061"/>
      <c r="G221" s="1062"/>
      <c r="H221" s="1269"/>
      <c r="I221" s="1056"/>
      <c r="J221" s="1111"/>
      <c r="K221" s="1025"/>
    </row>
    <row r="222" spans="1:11">
      <c r="A222" s="1039"/>
      <c r="B222" s="1039"/>
      <c r="C222" s="1025"/>
      <c r="D222" s="1025"/>
      <c r="E222" s="1025"/>
      <c r="F222" s="1061"/>
      <c r="G222" s="1062"/>
      <c r="H222" s="1269"/>
      <c r="I222" s="1056"/>
      <c r="J222" s="1111"/>
      <c r="K222" s="1025"/>
    </row>
    <row r="223" spans="1:11">
      <c r="A223" s="1039"/>
      <c r="B223" s="1039"/>
      <c r="C223" s="1025"/>
      <c r="D223" s="1025"/>
      <c r="E223" s="1025"/>
      <c r="F223" s="1061"/>
      <c r="G223" s="1062"/>
      <c r="H223" s="1269"/>
      <c r="I223" s="1056"/>
      <c r="J223" s="1111"/>
      <c r="K223" s="1025"/>
    </row>
    <row r="224" spans="1:11">
      <c r="A224" s="1039"/>
      <c r="B224" s="1039"/>
      <c r="C224" s="1025"/>
      <c r="D224" s="1025"/>
      <c r="E224" s="1025"/>
      <c r="F224" s="1061"/>
      <c r="G224" s="1062"/>
      <c r="H224" s="1269"/>
      <c r="I224" s="1056"/>
      <c r="J224" s="1111"/>
      <c r="K224" s="1025"/>
    </row>
    <row r="225" spans="1:11">
      <c r="A225" s="1039"/>
      <c r="B225" s="1039"/>
      <c r="C225" s="1025"/>
      <c r="D225" s="1025"/>
      <c r="E225" s="1025"/>
      <c r="F225" s="1061"/>
      <c r="G225" s="1062"/>
      <c r="H225" s="1269"/>
      <c r="I225" s="1056"/>
      <c r="J225" s="1111"/>
      <c r="K225" s="1025"/>
    </row>
    <row r="226" spans="1:11">
      <c r="A226" s="1039"/>
      <c r="B226" s="1039"/>
      <c r="C226" s="1025"/>
      <c r="D226" s="1025"/>
      <c r="E226" s="1025"/>
      <c r="F226" s="1061"/>
      <c r="G226" s="1062"/>
      <c r="H226" s="1269"/>
      <c r="I226" s="1056"/>
      <c r="J226" s="1111"/>
      <c r="K226" s="1025"/>
    </row>
    <row r="227" spans="1:11">
      <c r="A227" s="1039"/>
      <c r="B227" s="1039"/>
      <c r="C227" s="1025"/>
      <c r="D227" s="1025"/>
      <c r="E227" s="1025"/>
      <c r="F227" s="1061"/>
      <c r="G227" s="1062"/>
      <c r="H227" s="1269"/>
      <c r="I227" s="1056"/>
      <c r="J227" s="1111"/>
      <c r="K227" s="1025"/>
    </row>
    <row r="228" spans="1:11">
      <c r="A228" s="1039"/>
      <c r="B228" s="1039"/>
      <c r="C228" s="1025"/>
      <c r="D228" s="1025"/>
      <c r="E228" s="1025"/>
      <c r="F228" s="1061"/>
      <c r="G228" s="1062"/>
      <c r="H228" s="1269"/>
      <c r="I228" s="1056"/>
      <c r="J228" s="1111"/>
      <c r="K228" s="1025"/>
    </row>
    <row r="229" spans="1:11">
      <c r="A229" s="1039"/>
      <c r="B229" s="1039"/>
      <c r="C229" s="1025"/>
      <c r="D229" s="1025"/>
      <c r="E229" s="1025"/>
      <c r="F229" s="1061"/>
      <c r="G229" s="1062"/>
      <c r="H229" s="1269"/>
      <c r="I229" s="1056"/>
      <c r="J229" s="1111"/>
      <c r="K229" s="1025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1025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1025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1025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1025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1025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1025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1025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1025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1025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1025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1025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1025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1025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1025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1025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1025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1025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1025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1025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1025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1025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1025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1025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1025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1025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1025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1025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1025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1025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1025"/>
    </row>
    <row r="260" spans="1:11">
      <c r="A260" s="1039"/>
      <c r="B260" s="1039"/>
      <c r="C260" s="1025"/>
      <c r="D260" s="1025"/>
      <c r="E260" s="1025"/>
      <c r="F260" s="1061"/>
      <c r="G260" s="1062"/>
      <c r="H260" s="1269"/>
      <c r="I260" s="1056"/>
      <c r="J260" s="1111"/>
      <c r="K260" s="1025"/>
    </row>
    <row r="261" spans="1:11">
      <c r="A261" s="1039"/>
      <c r="B261" s="1039"/>
      <c r="C261" s="1025"/>
      <c r="D261" s="1025"/>
      <c r="E261" s="1025"/>
      <c r="F261" s="1061"/>
      <c r="G261" s="1062"/>
      <c r="H261" s="1269"/>
      <c r="I261" s="1056"/>
      <c r="J261" s="1111"/>
      <c r="K261" s="1025"/>
    </row>
    <row r="262" spans="1:11">
      <c r="A262" s="1039"/>
      <c r="B262" s="1039"/>
      <c r="C262" s="1025"/>
      <c r="D262" s="1025"/>
      <c r="E262" s="1025"/>
      <c r="F262" s="1061"/>
      <c r="G262" s="1062"/>
      <c r="H262" s="1269"/>
      <c r="I262" s="1056"/>
      <c r="J262" s="1111"/>
      <c r="K262" s="1025"/>
    </row>
    <row r="263" spans="1:11">
      <c r="A263" s="1039"/>
      <c r="B263" s="1039"/>
      <c r="C263" s="1025"/>
      <c r="D263" s="1025"/>
      <c r="E263" s="1025"/>
      <c r="F263" s="1061"/>
      <c r="G263" s="1062"/>
      <c r="H263" s="1269"/>
      <c r="I263" s="1056"/>
      <c r="J263" s="1111"/>
      <c r="K263" s="1025"/>
    </row>
    <row r="264" spans="1:11">
      <c r="A264" s="1039"/>
      <c r="B264" s="1039"/>
      <c r="C264" s="1025"/>
      <c r="D264" s="1025"/>
      <c r="E264" s="1025"/>
      <c r="F264" s="1061"/>
      <c r="G264" s="1062"/>
      <c r="H264" s="1269"/>
      <c r="I264" s="1056"/>
      <c r="J264" s="1111"/>
      <c r="K264" s="1025"/>
    </row>
    <row r="265" spans="1:11">
      <c r="A265" s="1039"/>
      <c r="B265" s="1039"/>
      <c r="C265" s="1025"/>
      <c r="D265" s="1025"/>
      <c r="E265" s="1025"/>
      <c r="F265" s="1061"/>
      <c r="G265" s="1062"/>
      <c r="H265" s="1269"/>
      <c r="I265" s="1056"/>
      <c r="J265" s="1111"/>
      <c r="K265" s="1025"/>
    </row>
    <row r="266" spans="1:11">
      <c r="A266" s="1039"/>
      <c r="B266" s="1039"/>
      <c r="C266" s="1025"/>
      <c r="D266" s="1025"/>
      <c r="E266" s="1025"/>
      <c r="F266" s="1061"/>
      <c r="G266" s="1062"/>
      <c r="H266" s="1269"/>
      <c r="I266" s="1056"/>
      <c r="J266" s="1111"/>
      <c r="K266" s="1025"/>
    </row>
    <row r="267" spans="1:11">
      <c r="A267" s="1039"/>
      <c r="B267" s="1039"/>
      <c r="C267" s="1025"/>
      <c r="D267" s="1025"/>
      <c r="E267" s="1025"/>
      <c r="F267" s="1061"/>
      <c r="G267" s="1062"/>
      <c r="H267" s="1269"/>
      <c r="I267" s="1056"/>
      <c r="J267" s="1111"/>
      <c r="K267" s="1025"/>
    </row>
    <row r="268" spans="1:11">
      <c r="A268" s="1025"/>
      <c r="B268" s="1025"/>
      <c r="C268" s="1025"/>
      <c r="D268" s="1025"/>
      <c r="E268" s="1025"/>
      <c r="F268" s="1025"/>
      <c r="G268" s="1025"/>
      <c r="H268" s="1269"/>
      <c r="I268" s="1056"/>
      <c r="J268" s="1111"/>
      <c r="K268" s="1025"/>
    </row>
    <row r="269" spans="1:11">
      <c r="A269" s="1025"/>
      <c r="B269" s="1025"/>
      <c r="C269" s="1025"/>
      <c r="D269" s="1025"/>
      <c r="E269" s="1025"/>
      <c r="F269" s="1025"/>
      <c r="G269" s="1025"/>
      <c r="H269" s="1269"/>
      <c r="I269" s="1056"/>
      <c r="J269" s="1111"/>
      <c r="K269" s="1025"/>
    </row>
    <row r="270" spans="1:11">
      <c r="A270" s="1025"/>
      <c r="B270" s="1025"/>
      <c r="C270" s="1025"/>
      <c r="D270" s="1025"/>
      <c r="E270" s="1025"/>
      <c r="F270" s="1025"/>
      <c r="G270" s="1025"/>
      <c r="H270" s="1269"/>
      <c r="I270" s="1056"/>
      <c r="J270" s="1111"/>
      <c r="K270" s="1025"/>
    </row>
    <row r="271" spans="1:11">
      <c r="A271" s="1025"/>
      <c r="B271" s="1025"/>
      <c r="C271" s="1025"/>
      <c r="D271" s="1025"/>
      <c r="E271" s="1025"/>
      <c r="F271" s="1025"/>
      <c r="G271" s="1025"/>
      <c r="H271" s="1269"/>
      <c r="I271" s="1056"/>
      <c r="J271" s="1111"/>
      <c r="K271" s="1025"/>
    </row>
    <row r="272" spans="1:11">
      <c r="A272" s="1025"/>
      <c r="B272" s="1025"/>
      <c r="C272" s="1025"/>
      <c r="D272" s="1025"/>
      <c r="E272" s="1025"/>
      <c r="F272" s="1025"/>
      <c r="G272" s="1025"/>
      <c r="H272" s="1269"/>
      <c r="I272" s="1056"/>
      <c r="J272" s="1111"/>
      <c r="K272" s="1025"/>
    </row>
    <row r="273" spans="1:11">
      <c r="A273" s="1025"/>
      <c r="B273" s="1025"/>
      <c r="C273" s="1025"/>
      <c r="D273" s="1025"/>
      <c r="E273" s="1025"/>
      <c r="F273" s="1025"/>
      <c r="G273" s="1025"/>
      <c r="H273" s="1269"/>
      <c r="I273" s="1056"/>
      <c r="J273" s="1111"/>
      <c r="K273" s="1025"/>
    </row>
    <row r="274" spans="1:11">
      <c r="A274" s="1025"/>
      <c r="B274" s="1025"/>
      <c r="C274" s="1025"/>
      <c r="D274" s="1025"/>
      <c r="E274" s="1025"/>
      <c r="F274" s="1025"/>
      <c r="G274" s="1025"/>
      <c r="H274" s="1269"/>
      <c r="I274" s="1056"/>
      <c r="J274" s="1111"/>
      <c r="K274" s="1025"/>
    </row>
    <row r="275" spans="1:11">
      <c r="A275" s="1025"/>
      <c r="B275" s="1025"/>
      <c r="C275" s="1025"/>
      <c r="D275" s="1025"/>
      <c r="E275" s="1025"/>
      <c r="F275" s="1025"/>
      <c r="G275" s="1025"/>
      <c r="H275" s="1269"/>
      <c r="I275" s="1056"/>
      <c r="J275" s="1111"/>
      <c r="K275" s="1025"/>
    </row>
    <row r="276" spans="1:11">
      <c r="A276" s="1025"/>
      <c r="B276" s="1025"/>
      <c r="C276" s="1025"/>
      <c r="D276" s="1025"/>
      <c r="E276" s="1025"/>
      <c r="F276" s="1025"/>
      <c r="G276" s="1025"/>
      <c r="H276" s="1269"/>
      <c r="I276" s="1056"/>
      <c r="J276" s="1111"/>
      <c r="K276" s="1025"/>
    </row>
    <row r="277" spans="1:11">
      <c r="A277" s="1025"/>
      <c r="B277" s="1025"/>
      <c r="C277" s="1025"/>
      <c r="D277" s="1025"/>
      <c r="E277" s="1025"/>
      <c r="F277" s="1025"/>
      <c r="G277" s="1025"/>
      <c r="H277" s="1269"/>
      <c r="I277" s="1056"/>
      <c r="J277" s="1111"/>
      <c r="K277" s="1025"/>
    </row>
    <row r="278" spans="1:11">
      <c r="A278" s="1025"/>
      <c r="B278" s="1025"/>
      <c r="C278" s="1025"/>
      <c r="D278" s="1025"/>
      <c r="E278" s="1025"/>
      <c r="F278" s="1025"/>
      <c r="G278" s="1025"/>
      <c r="H278" s="1269"/>
      <c r="I278" s="1056"/>
      <c r="J278" s="1111"/>
      <c r="K278" s="1025"/>
    </row>
    <row r="279" spans="1:11">
      <c r="A279" s="1025"/>
      <c r="B279" s="1025"/>
      <c r="C279" s="1025"/>
      <c r="D279" s="1025"/>
      <c r="E279" s="1025"/>
      <c r="F279" s="1025"/>
      <c r="G279" s="1025"/>
      <c r="H279" s="1269"/>
      <c r="I279" s="1056"/>
      <c r="J279" s="1111"/>
      <c r="K279" s="1025"/>
    </row>
    <row r="280" spans="1:11">
      <c r="A280" s="1025"/>
      <c r="B280" s="1025"/>
      <c r="C280" s="1025"/>
      <c r="D280" s="1025"/>
      <c r="E280" s="1025"/>
      <c r="F280" s="1025"/>
      <c r="G280" s="1025"/>
      <c r="H280" s="1269"/>
      <c r="I280" s="1056"/>
      <c r="J280" s="1111"/>
      <c r="K280" s="1025"/>
    </row>
    <row r="281" spans="1:11">
      <c r="A281" s="1025"/>
      <c r="B281" s="1025"/>
      <c r="C281" s="1025"/>
      <c r="D281" s="1025"/>
      <c r="E281" s="1025"/>
      <c r="F281" s="1025"/>
      <c r="G281" s="1025"/>
      <c r="H281" s="1269"/>
      <c r="I281" s="1056"/>
      <c r="J281" s="1111"/>
      <c r="K281" s="1025"/>
    </row>
    <row r="282" spans="1:11" ht="15.75" thickBot="1">
      <c r="A282" s="1037"/>
      <c r="B282" s="1038"/>
      <c r="C282" s="1026"/>
      <c r="D282" s="1026"/>
      <c r="E282" s="1026"/>
      <c r="F282" s="1059"/>
      <c r="G282" s="1054"/>
      <c r="H282" s="1269"/>
      <c r="I282" s="1056"/>
      <c r="J282" s="1111"/>
      <c r="K282" s="1025"/>
    </row>
    <row r="283" spans="1:11" ht="20.25" thickBot="1">
      <c r="A283" s="1552"/>
      <c r="B283" s="1553"/>
      <c r="C283" s="1553"/>
      <c r="D283" s="1553"/>
      <c r="E283" s="1553"/>
      <c r="F283" s="1554">
        <f>SUM(F162:F170,F172:F282)</f>
        <v>0</v>
      </c>
      <c r="G283" s="1553"/>
      <c r="H283" s="1558">
        <f>SUM(H62:H282)</f>
        <v>0</v>
      </c>
      <c r="I283" s="1554">
        <f>SUM(I162:I282)</f>
        <v>0</v>
      </c>
      <c r="J283" s="1111"/>
      <c r="K283" s="1115"/>
    </row>
  </sheetData>
  <autoFilter ref="A1:L40" xr:uid="{3FC9C016-419A-465D-9675-050BEE19BBB5}">
    <sortState xmlns:xlrd2="http://schemas.microsoft.com/office/spreadsheetml/2017/richdata2" ref="A2:L53">
      <sortCondition ref="J1:J40"/>
    </sortState>
  </autoFilter>
  <hyperlinks>
    <hyperlink ref="A62" location="'ANALISE 2025'!A1" display="VOLTAR " xr:uid="{578654BD-13B9-4FFD-A278-2D36E7D6405F}"/>
  </hyperlinks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2ECD-D7AF-4EE8-9AA9-DA97842B4A45}">
  <dimension ref="A1:K282"/>
  <sheetViews>
    <sheetView topLeftCell="A40" zoomScale="85" zoomScaleNormal="85" workbookViewId="0">
      <selection activeCell="F60" sqref="F60"/>
    </sheetView>
  </sheetViews>
  <sheetFormatPr defaultColWidth="9.140625" defaultRowHeight="15"/>
  <cols>
    <col min="1" max="1" width="15.140625" style="1032" bestFit="1" customWidth="1"/>
    <col min="2" max="2" width="13.5703125" style="1032" customWidth="1"/>
    <col min="3" max="3" width="44.5703125" style="1032" bestFit="1" customWidth="1"/>
    <col min="4" max="4" width="22.28515625" style="1032" bestFit="1" customWidth="1"/>
    <col min="5" max="5" width="11.5703125" style="1032" customWidth="1"/>
    <col min="6" max="6" width="27.28515625" style="1032" bestFit="1" customWidth="1"/>
    <col min="7" max="7" width="15" style="1032" customWidth="1"/>
    <col min="8" max="8" width="24.85546875" style="1032" bestFit="1" customWidth="1"/>
    <col min="9" max="9" width="23.28515625" style="1032" bestFit="1" customWidth="1"/>
    <col min="10" max="10" width="13.140625" style="1032" customWidth="1"/>
    <col min="11" max="11" width="16.5703125" style="1032" customWidth="1"/>
    <col min="12" max="16384" width="9.140625" style="1032"/>
  </cols>
  <sheetData>
    <row r="1" spans="1:11" ht="14.25" customHeight="1">
      <c r="A1" s="1575" t="s">
        <v>2519</v>
      </c>
      <c r="B1" s="1576" t="s">
        <v>2</v>
      </c>
      <c r="C1" s="1576" t="s">
        <v>3</v>
      </c>
      <c r="D1" s="1576" t="s">
        <v>4</v>
      </c>
      <c r="E1" s="1576" t="s">
        <v>5</v>
      </c>
      <c r="F1" s="1577" t="s">
        <v>644</v>
      </c>
      <c r="G1" s="1578" t="s">
        <v>555</v>
      </c>
      <c r="H1" s="1579" t="s">
        <v>7</v>
      </c>
      <c r="I1" s="1580" t="s">
        <v>307</v>
      </c>
      <c r="J1" s="1578" t="s">
        <v>370</v>
      </c>
      <c r="K1" s="1290" t="s">
        <v>442</v>
      </c>
    </row>
    <row r="2" spans="1:11" ht="15.75">
      <c r="A2" s="1041">
        <v>45691</v>
      </c>
      <c r="B2" s="1041">
        <v>46054</v>
      </c>
      <c r="C2" s="1027" t="s">
        <v>2770</v>
      </c>
      <c r="D2" s="1027" t="s">
        <v>448</v>
      </c>
      <c r="E2" s="1027" t="s">
        <v>362</v>
      </c>
      <c r="F2" s="1065">
        <v>2562.6</v>
      </c>
      <c r="G2" s="1066">
        <v>0.1</v>
      </c>
      <c r="H2" s="1067">
        <v>230.63</v>
      </c>
      <c r="I2" s="1243">
        <v>60</v>
      </c>
      <c r="J2" s="1027" t="s">
        <v>1492</v>
      </c>
      <c r="K2" s="1117" t="s">
        <v>2015</v>
      </c>
    </row>
    <row r="3" spans="1:11" s="1031" customFormat="1" ht="15.75">
      <c r="A3" s="1040">
        <v>45688</v>
      </c>
      <c r="B3" s="1042">
        <v>46054</v>
      </c>
      <c r="C3" s="1030" t="s">
        <v>2778</v>
      </c>
      <c r="D3" s="1030" t="s">
        <v>448</v>
      </c>
      <c r="E3" s="1030" t="s">
        <v>19</v>
      </c>
      <c r="F3" s="1072">
        <v>2002.98</v>
      </c>
      <c r="G3" s="1073">
        <v>0.1</v>
      </c>
      <c r="H3" s="1067">
        <v>180.26</v>
      </c>
      <c r="I3" s="1068"/>
      <c r="J3" s="1112" t="s">
        <v>1470</v>
      </c>
      <c r="K3" s="1117" t="s">
        <v>2779</v>
      </c>
    </row>
    <row r="4" spans="1:11" s="1031" customFormat="1" ht="15.75">
      <c r="A4" s="1040">
        <v>45694</v>
      </c>
      <c r="B4" s="1042">
        <v>46059</v>
      </c>
      <c r="C4" s="1030" t="s">
        <v>2783</v>
      </c>
      <c r="D4" s="1030" t="s">
        <v>9</v>
      </c>
      <c r="E4" s="1030" t="s">
        <v>948</v>
      </c>
      <c r="F4" s="1120">
        <v>1083.18</v>
      </c>
      <c r="G4" s="1073">
        <v>0.1</v>
      </c>
      <c r="H4" s="1067">
        <v>97.48</v>
      </c>
      <c r="I4" s="1068"/>
      <c r="J4" s="1112" t="s">
        <v>1470</v>
      </c>
      <c r="K4" s="1117" t="s">
        <v>2012</v>
      </c>
    </row>
    <row r="5" spans="1:11" s="1031" customFormat="1" ht="15.75">
      <c r="A5" s="1041">
        <v>45695</v>
      </c>
      <c r="B5" s="1041">
        <v>46060</v>
      </c>
      <c r="C5" s="1027" t="s">
        <v>2785</v>
      </c>
      <c r="D5" s="1027" t="s">
        <v>9</v>
      </c>
      <c r="E5" s="1027" t="s">
        <v>1593</v>
      </c>
      <c r="F5" s="1065">
        <v>2467.15</v>
      </c>
      <c r="G5" s="1066">
        <v>0.1</v>
      </c>
      <c r="H5" s="1067">
        <v>222.04</v>
      </c>
      <c r="I5" s="1243"/>
      <c r="J5" s="1027" t="s">
        <v>1470</v>
      </c>
      <c r="K5" s="1117" t="s">
        <v>2015</v>
      </c>
    </row>
    <row r="6" spans="1:11" s="1031" customFormat="1" ht="15.75">
      <c r="A6" s="1040">
        <v>46010</v>
      </c>
      <c r="B6" s="1042">
        <v>46073</v>
      </c>
      <c r="C6" s="1027" t="s">
        <v>2188</v>
      </c>
      <c r="D6" s="1030" t="s">
        <v>448</v>
      </c>
      <c r="E6" s="1030" t="s">
        <v>19</v>
      </c>
      <c r="F6" s="1072">
        <v>1595.79</v>
      </c>
      <c r="G6" s="1073">
        <v>0.1</v>
      </c>
      <c r="H6" s="1067">
        <v>143.62</v>
      </c>
      <c r="I6" s="1068"/>
      <c r="J6" s="1112" t="s">
        <v>1470</v>
      </c>
      <c r="K6" s="1117" t="s">
        <v>2012</v>
      </c>
    </row>
    <row r="7" spans="1:11" s="1027" customFormat="1" ht="15.75">
      <c r="A7" s="1041">
        <v>45708</v>
      </c>
      <c r="B7" s="1041">
        <v>46073</v>
      </c>
      <c r="C7" s="1027" t="s">
        <v>2828</v>
      </c>
      <c r="D7" s="1027" t="s">
        <v>61</v>
      </c>
      <c r="E7" s="1027" t="s">
        <v>279</v>
      </c>
      <c r="F7" s="1065">
        <v>8356.6299999999992</v>
      </c>
      <c r="G7" s="1066">
        <v>0.1</v>
      </c>
      <c r="H7" s="1067">
        <v>752.09</v>
      </c>
      <c r="I7" s="1243"/>
      <c r="J7" s="1027" t="s">
        <v>1470</v>
      </c>
      <c r="K7" s="1117" t="s">
        <v>2015</v>
      </c>
    </row>
    <row r="8" spans="1:11" s="1027" customFormat="1" ht="15.75">
      <c r="A8" s="1041">
        <v>45708</v>
      </c>
      <c r="B8" s="1041">
        <v>46073</v>
      </c>
      <c r="C8" s="1027" t="s">
        <v>2829</v>
      </c>
      <c r="D8" s="1027" t="s">
        <v>61</v>
      </c>
      <c r="E8" s="1027" t="s">
        <v>279</v>
      </c>
      <c r="F8" s="1065">
        <v>8355.32</v>
      </c>
      <c r="G8" s="1066">
        <v>0.1</v>
      </c>
      <c r="H8" s="1067">
        <v>751.97</v>
      </c>
      <c r="I8" s="1243"/>
      <c r="J8" s="1027" t="s">
        <v>1470</v>
      </c>
      <c r="K8" s="1117" t="s">
        <v>2015</v>
      </c>
    </row>
    <row r="9" spans="1:11" s="1031" customFormat="1" ht="15.75">
      <c r="A9" s="1124">
        <v>45708</v>
      </c>
      <c r="B9" s="1125">
        <v>46073</v>
      </c>
      <c r="C9" s="1028" t="s">
        <v>2830</v>
      </c>
      <c r="D9" s="1028" t="s">
        <v>61</v>
      </c>
      <c r="E9" s="1028" t="s">
        <v>279</v>
      </c>
      <c r="F9" s="1126">
        <v>8356.6299999999992</v>
      </c>
      <c r="G9" s="1127">
        <v>0.1</v>
      </c>
      <c r="H9" s="1128">
        <v>752.09</v>
      </c>
      <c r="I9" s="1129"/>
      <c r="J9" s="1130" t="s">
        <v>1470</v>
      </c>
      <c r="K9" s="1468" t="s">
        <v>2015</v>
      </c>
    </row>
    <row r="10" spans="1:11" ht="15.75">
      <c r="A10" s="1040">
        <v>45706</v>
      </c>
      <c r="B10" s="1042">
        <v>46076</v>
      </c>
      <c r="C10" s="1030" t="s">
        <v>2794</v>
      </c>
      <c r="D10" s="1030" t="s">
        <v>9</v>
      </c>
      <c r="E10" s="1030" t="s">
        <v>1593</v>
      </c>
      <c r="F10" s="1072">
        <v>1655.98</v>
      </c>
      <c r="G10" s="1073">
        <v>0.1</v>
      </c>
      <c r="H10" s="1067">
        <v>149.03</v>
      </c>
      <c r="I10" s="1068"/>
      <c r="J10" s="1112" t="s">
        <v>1470</v>
      </c>
      <c r="K10" s="1117" t="s">
        <v>2012</v>
      </c>
    </row>
    <row r="11" spans="1:11" ht="15" customHeight="1">
      <c r="A11" s="1040">
        <v>45716</v>
      </c>
      <c r="B11" s="1042">
        <v>46081</v>
      </c>
      <c r="C11" s="1030" t="s">
        <v>2475</v>
      </c>
      <c r="D11" s="1030" t="s">
        <v>9</v>
      </c>
      <c r="E11" s="1030" t="s">
        <v>10</v>
      </c>
      <c r="F11" s="1072">
        <v>2935.65</v>
      </c>
      <c r="G11" s="1073">
        <v>0.1</v>
      </c>
      <c r="H11" s="1233">
        <v>264.2</v>
      </c>
      <c r="I11" s="1234"/>
      <c r="J11" s="1112" t="s">
        <v>1470</v>
      </c>
      <c r="K11" s="1117" t="s">
        <v>2015</v>
      </c>
    </row>
    <row r="12" spans="1:11" s="1313" customFormat="1" ht="15.75">
      <c r="A12" s="1040">
        <v>45700</v>
      </c>
      <c r="B12" s="1042" t="s">
        <v>1805</v>
      </c>
      <c r="C12" s="1030" t="s">
        <v>2788</v>
      </c>
      <c r="D12" s="1030" t="s">
        <v>198</v>
      </c>
      <c r="E12" s="1030" t="s">
        <v>22</v>
      </c>
      <c r="F12" s="1120">
        <v>13651.88</v>
      </c>
      <c r="G12" s="1073">
        <v>0.2</v>
      </c>
      <c r="H12" s="1067">
        <v>2457.33</v>
      </c>
      <c r="I12" s="1068"/>
      <c r="J12" s="1112" t="s">
        <v>1470</v>
      </c>
      <c r="K12" s="1117" t="s">
        <v>1805</v>
      </c>
    </row>
    <row r="13" spans="1:11" ht="15.75">
      <c r="A13" s="1037">
        <v>45702</v>
      </c>
      <c r="B13" s="1038">
        <v>46069</v>
      </c>
      <c r="C13" s="1025" t="s">
        <v>2791</v>
      </c>
      <c r="D13" s="1025" t="s">
        <v>9</v>
      </c>
      <c r="E13" s="1025" t="s">
        <v>19</v>
      </c>
      <c r="F13" s="1023">
        <v>6922.73</v>
      </c>
      <c r="G13" s="1062">
        <v>0.1</v>
      </c>
      <c r="H13" s="1055">
        <v>623.04</v>
      </c>
      <c r="I13" s="1056">
        <v>311.52</v>
      </c>
      <c r="J13" s="1111" t="s">
        <v>1577</v>
      </c>
      <c r="K13" s="1115" t="s">
        <v>2010</v>
      </c>
    </row>
    <row r="14" spans="1:11" ht="15.75">
      <c r="A14" s="1037">
        <v>45715</v>
      </c>
      <c r="B14" s="1038">
        <v>46080</v>
      </c>
      <c r="C14" s="1025" t="s">
        <v>2799</v>
      </c>
      <c r="D14" s="1025" t="s">
        <v>61</v>
      </c>
      <c r="E14" s="1025" t="s">
        <v>90</v>
      </c>
      <c r="F14" s="1061">
        <v>2632.34</v>
      </c>
      <c r="G14" s="1062">
        <v>0.2</v>
      </c>
      <c r="H14" s="1055">
        <v>473.82</v>
      </c>
      <c r="I14" s="1056">
        <v>236.91</v>
      </c>
      <c r="J14" s="1111" t="s">
        <v>1577</v>
      </c>
      <c r="K14" s="1115" t="s">
        <v>2015</v>
      </c>
    </row>
    <row r="15" spans="1:11" ht="15.75">
      <c r="A15" s="1037">
        <v>45708</v>
      </c>
      <c r="B15" s="1038">
        <v>46081</v>
      </c>
      <c r="C15" s="1026" t="s">
        <v>2797</v>
      </c>
      <c r="D15" s="1026" t="s">
        <v>448</v>
      </c>
      <c r="E15" s="1025" t="s">
        <v>10</v>
      </c>
      <c r="F15" s="1061">
        <v>1835.47</v>
      </c>
      <c r="G15" s="1062">
        <v>0.1</v>
      </c>
      <c r="H15" s="1055">
        <v>165.19</v>
      </c>
      <c r="I15" s="1056">
        <v>82.59</v>
      </c>
      <c r="J15" s="1111" t="s">
        <v>1759</v>
      </c>
      <c r="K15" s="1115" t="s">
        <v>2015</v>
      </c>
    </row>
    <row r="16" spans="1:11" ht="15.75">
      <c r="A16" s="1037">
        <v>45685</v>
      </c>
      <c r="B16" s="1038">
        <v>46054</v>
      </c>
      <c r="C16" s="1025" t="s">
        <v>653</v>
      </c>
      <c r="D16" s="1026" t="s">
        <v>9</v>
      </c>
      <c r="E16" s="1025" t="s">
        <v>10</v>
      </c>
      <c r="F16" s="1061">
        <v>983.24</v>
      </c>
      <c r="G16" s="1062">
        <v>0.15</v>
      </c>
      <c r="H16" s="1055">
        <v>132.72999999999999</v>
      </c>
      <c r="I16" s="1056"/>
      <c r="J16" s="1111"/>
      <c r="K16" s="1115" t="s">
        <v>2015</v>
      </c>
    </row>
    <row r="17" spans="1:11" ht="15.75">
      <c r="A17" s="1037">
        <v>45688</v>
      </c>
      <c r="B17" s="1038">
        <v>46054</v>
      </c>
      <c r="C17" s="1025" t="s">
        <v>2781</v>
      </c>
      <c r="D17" s="1026" t="s">
        <v>448</v>
      </c>
      <c r="E17" s="1025" t="s">
        <v>22</v>
      </c>
      <c r="F17" s="1061">
        <v>4644.88</v>
      </c>
      <c r="G17" s="1062">
        <v>0.1</v>
      </c>
      <c r="H17" s="1055">
        <v>418.03</v>
      </c>
      <c r="I17" s="1056"/>
      <c r="J17" s="1111"/>
      <c r="K17" s="1115" t="s">
        <v>2012</v>
      </c>
    </row>
    <row r="18" spans="1:11" ht="15.75">
      <c r="A18" s="1037">
        <v>45688</v>
      </c>
      <c r="B18" s="1038">
        <v>46055</v>
      </c>
      <c r="C18" s="1025" t="s">
        <v>2777</v>
      </c>
      <c r="D18" s="1026" t="s">
        <v>448</v>
      </c>
      <c r="E18" s="1025" t="s">
        <v>19</v>
      </c>
      <c r="F18" s="1061">
        <v>2140.59</v>
      </c>
      <c r="G18" s="1062">
        <v>0.15</v>
      </c>
      <c r="H18" s="1055">
        <v>288.97000000000003</v>
      </c>
      <c r="I18" s="1056"/>
      <c r="J18" s="1111"/>
      <c r="K18" s="1115" t="s">
        <v>2015</v>
      </c>
    </row>
    <row r="19" spans="1:11" ht="15.75">
      <c r="A19" s="1039">
        <v>45688</v>
      </c>
      <c r="B19" s="1039">
        <v>46055</v>
      </c>
      <c r="C19" s="1025" t="s">
        <v>2780</v>
      </c>
      <c r="D19" s="1025" t="s">
        <v>9</v>
      </c>
      <c r="E19" s="1025" t="s">
        <v>29</v>
      </c>
      <c r="F19" s="1061">
        <f>1150.95+68.71</f>
        <v>1219.6600000000001</v>
      </c>
      <c r="G19" s="1062">
        <v>0.1</v>
      </c>
      <c r="H19" s="1055">
        <v>109.76</v>
      </c>
      <c r="I19" s="1056"/>
      <c r="J19" s="1111"/>
      <c r="K19" s="1115" t="s">
        <v>2015</v>
      </c>
    </row>
    <row r="20" spans="1:11" ht="15.75">
      <c r="A20" s="1039">
        <v>45691</v>
      </c>
      <c r="B20" s="1039">
        <v>46056</v>
      </c>
      <c r="C20" s="1025" t="s">
        <v>2782</v>
      </c>
      <c r="D20" s="1025" t="s">
        <v>9</v>
      </c>
      <c r="E20" s="1025" t="s">
        <v>279</v>
      </c>
      <c r="F20" s="1061">
        <v>2024.37</v>
      </c>
      <c r="G20" s="1062">
        <v>0.1</v>
      </c>
      <c r="H20" s="1055">
        <v>182.19</v>
      </c>
      <c r="I20" s="1056"/>
      <c r="J20" s="1111"/>
      <c r="K20" s="1115" t="s">
        <v>2010</v>
      </c>
    </row>
    <row r="21" spans="1:11" ht="15.75">
      <c r="A21" s="1037">
        <v>45691</v>
      </c>
      <c r="B21" s="1039">
        <v>46056</v>
      </c>
      <c r="C21" s="1025" t="s">
        <v>1257</v>
      </c>
      <c r="D21" s="1026" t="s">
        <v>61</v>
      </c>
      <c r="E21" s="1025" t="s">
        <v>19</v>
      </c>
      <c r="F21" s="1061">
        <v>1684.22</v>
      </c>
      <c r="G21" s="1062">
        <v>0.1</v>
      </c>
      <c r="H21" s="1055">
        <v>151.57</v>
      </c>
      <c r="I21" s="1056"/>
      <c r="J21" s="1111"/>
      <c r="K21" s="1115" t="s">
        <v>2015</v>
      </c>
    </row>
    <row r="22" spans="1:11" s="1031" customFormat="1" ht="15.75">
      <c r="A22" s="1037">
        <v>45691</v>
      </c>
      <c r="B22" s="1039">
        <v>46056</v>
      </c>
      <c r="C22" s="1025" t="s">
        <v>1258</v>
      </c>
      <c r="D22" s="1026" t="s">
        <v>21</v>
      </c>
      <c r="E22" s="1025" t="s">
        <v>19</v>
      </c>
      <c r="F22" s="1061">
        <v>2406</v>
      </c>
      <c r="G22" s="1062">
        <v>0.1</v>
      </c>
      <c r="H22" s="1055">
        <v>216.54</v>
      </c>
      <c r="I22" s="1056"/>
      <c r="J22" s="1111"/>
      <c r="K22" s="1115" t="s">
        <v>2015</v>
      </c>
    </row>
    <row r="23" spans="1:11" ht="15.75">
      <c r="A23" s="1039">
        <v>45691</v>
      </c>
      <c r="B23" s="1039">
        <v>46057</v>
      </c>
      <c r="C23" s="1025" t="s">
        <v>1291</v>
      </c>
      <c r="D23" s="1025" t="s">
        <v>61</v>
      </c>
      <c r="E23" s="1025" t="s">
        <v>279</v>
      </c>
      <c r="F23" s="1061">
        <v>1719.6</v>
      </c>
      <c r="G23" s="1062">
        <v>0.1</v>
      </c>
      <c r="H23" s="1055">
        <v>154.76</v>
      </c>
      <c r="I23" s="1242"/>
      <c r="J23" s="1025"/>
      <c r="K23" s="1115" t="s">
        <v>2012</v>
      </c>
    </row>
    <row r="24" spans="1:11" ht="15.75">
      <c r="A24" s="1037">
        <v>45692</v>
      </c>
      <c r="B24" s="1039">
        <v>46057</v>
      </c>
      <c r="C24" s="1032" t="s">
        <v>2784</v>
      </c>
      <c r="D24" s="1026" t="s">
        <v>9</v>
      </c>
      <c r="E24" s="1026" t="s">
        <v>90</v>
      </c>
      <c r="F24" s="1071">
        <v>1105.55</v>
      </c>
      <c r="G24" s="1062">
        <v>0.2</v>
      </c>
      <c r="H24" s="1055">
        <v>198.99</v>
      </c>
      <c r="I24" s="1056"/>
      <c r="J24" s="1111"/>
      <c r="K24" s="1115" t="s">
        <v>2010</v>
      </c>
    </row>
    <row r="25" spans="1:11" s="1313" customFormat="1" ht="15.75">
      <c r="A25" s="1037">
        <v>45687</v>
      </c>
      <c r="B25" s="1038">
        <v>46058</v>
      </c>
      <c r="C25" s="1025" t="s">
        <v>2776</v>
      </c>
      <c r="D25" s="1026" t="s">
        <v>448</v>
      </c>
      <c r="E25" s="1026" t="s">
        <v>22</v>
      </c>
      <c r="F25" s="1053">
        <v>1186.81</v>
      </c>
      <c r="G25" s="1054">
        <v>0.1</v>
      </c>
      <c r="H25" s="1023">
        <v>106.81</v>
      </c>
      <c r="I25" s="1056"/>
      <c r="J25" s="1111"/>
      <c r="K25" s="1115" t="s">
        <v>2015</v>
      </c>
    </row>
    <row r="26" spans="1:11" ht="15.75">
      <c r="A26" s="1037">
        <v>45691</v>
      </c>
      <c r="B26" s="1038">
        <v>46059</v>
      </c>
      <c r="C26" s="1025" t="s">
        <v>1248</v>
      </c>
      <c r="D26" s="1026" t="s">
        <v>448</v>
      </c>
      <c r="E26" s="1026" t="s">
        <v>10</v>
      </c>
      <c r="F26" s="1059">
        <v>927.32</v>
      </c>
      <c r="G26" s="1054">
        <v>0.1</v>
      </c>
      <c r="H26" s="1055">
        <v>83.45</v>
      </c>
      <c r="I26" s="1056"/>
      <c r="J26" s="1111"/>
      <c r="K26" s="1115" t="s">
        <v>2015</v>
      </c>
    </row>
    <row r="27" spans="1:11" ht="15.75">
      <c r="A27" s="1037">
        <v>45699</v>
      </c>
      <c r="B27" s="1038">
        <v>46060</v>
      </c>
      <c r="C27" s="1025" t="s">
        <v>2787</v>
      </c>
      <c r="D27" s="1026" t="s">
        <v>9</v>
      </c>
      <c r="E27" s="1026" t="s">
        <v>19</v>
      </c>
      <c r="F27" s="1059">
        <v>1919.98</v>
      </c>
      <c r="G27" s="1054">
        <v>0.1</v>
      </c>
      <c r="H27" s="1055">
        <v>172.79</v>
      </c>
      <c r="I27" s="1056"/>
      <c r="J27" s="1111"/>
      <c r="K27" s="1115" t="s">
        <v>2274</v>
      </c>
    </row>
    <row r="28" spans="1:11" ht="15.75">
      <c r="A28" s="1039">
        <v>45695</v>
      </c>
      <c r="B28" s="1039">
        <v>46062</v>
      </c>
      <c r="C28" s="1025" t="s">
        <v>2786</v>
      </c>
      <c r="D28" s="1025" t="s">
        <v>9</v>
      </c>
      <c r="E28" s="1025" t="s">
        <v>90</v>
      </c>
      <c r="F28" s="1061">
        <v>2929.85</v>
      </c>
      <c r="G28" s="1062">
        <v>0.1</v>
      </c>
      <c r="H28" s="1055">
        <v>263.68</v>
      </c>
      <c r="I28" s="1242"/>
      <c r="J28" s="1025"/>
      <c r="K28" s="1115" t="s">
        <v>2015</v>
      </c>
    </row>
    <row r="29" spans="1:11">
      <c r="A29" s="1037">
        <v>45699</v>
      </c>
      <c r="B29" s="1038">
        <v>46064</v>
      </c>
      <c r="C29" s="1039" t="s">
        <v>2611</v>
      </c>
      <c r="D29" s="1038" t="s">
        <v>9</v>
      </c>
      <c r="E29" s="1038" t="s">
        <v>15</v>
      </c>
      <c r="F29" s="1053">
        <v>2954.57</v>
      </c>
      <c r="G29" s="1054">
        <v>0.1</v>
      </c>
      <c r="H29" s="1023">
        <v>265.91000000000003</v>
      </c>
      <c r="I29" s="1089"/>
      <c r="J29" s="1325"/>
      <c r="K29" s="1039" t="s">
        <v>2015</v>
      </c>
    </row>
    <row r="30" spans="1:11" ht="15.75">
      <c r="A30" s="1037">
        <v>45701</v>
      </c>
      <c r="B30" s="1038">
        <v>46066</v>
      </c>
      <c r="C30" s="1026" t="s">
        <v>2458</v>
      </c>
      <c r="D30" s="1026" t="s">
        <v>9</v>
      </c>
      <c r="E30" s="1026" t="s">
        <v>10</v>
      </c>
      <c r="F30" s="1059">
        <v>1771.38</v>
      </c>
      <c r="G30" s="1054">
        <v>0.1</v>
      </c>
      <c r="H30" s="1055">
        <v>159.41999999999999</v>
      </c>
      <c r="I30" s="1056"/>
      <c r="J30" s="1111"/>
      <c r="K30" s="1115" t="s">
        <v>2015</v>
      </c>
    </row>
    <row r="31" spans="1:11" ht="15.75">
      <c r="A31" s="1037">
        <v>45701</v>
      </c>
      <c r="B31" s="1038">
        <v>46066</v>
      </c>
      <c r="C31" s="1026" t="s">
        <v>2789</v>
      </c>
      <c r="D31" s="1026" t="s">
        <v>70</v>
      </c>
      <c r="E31" s="1026" t="s">
        <v>22</v>
      </c>
      <c r="F31" s="1053">
        <v>1026.3900000000001</v>
      </c>
      <c r="G31" s="1054">
        <v>0.1</v>
      </c>
      <c r="H31" s="1055">
        <v>92.37</v>
      </c>
      <c r="I31" s="1056"/>
      <c r="J31" s="1111"/>
      <c r="K31" s="1115" t="s">
        <v>2015</v>
      </c>
    </row>
    <row r="32" spans="1:11" ht="15.75">
      <c r="A32" s="1037">
        <v>45702</v>
      </c>
      <c r="B32" s="1038">
        <v>46067</v>
      </c>
      <c r="C32" s="1025" t="s">
        <v>2461</v>
      </c>
      <c r="D32" s="1026" t="s">
        <v>9</v>
      </c>
      <c r="E32" s="1026" t="s">
        <v>10</v>
      </c>
      <c r="F32" s="1053">
        <v>1278.08</v>
      </c>
      <c r="G32" s="1054">
        <v>0.2</v>
      </c>
      <c r="H32" s="1023">
        <v>230.05</v>
      </c>
      <c r="I32" s="1056"/>
      <c r="J32" s="1111"/>
      <c r="K32" s="1115" t="s">
        <v>2012</v>
      </c>
    </row>
    <row r="33" spans="1:11" ht="15.75">
      <c r="A33" s="1037">
        <v>45702</v>
      </c>
      <c r="B33" s="1038">
        <v>46067</v>
      </c>
      <c r="C33" s="1026" t="s">
        <v>2790</v>
      </c>
      <c r="D33" s="1026" t="s">
        <v>25</v>
      </c>
      <c r="E33" s="1025" t="s">
        <v>29</v>
      </c>
      <c r="F33" s="1061">
        <v>1081.92</v>
      </c>
      <c r="G33" s="1062">
        <v>0.15</v>
      </c>
      <c r="H33" s="1055">
        <v>146.05000000000001</v>
      </c>
      <c r="I33" s="1056"/>
      <c r="J33" s="1111"/>
      <c r="K33" s="1115" t="s">
        <v>2015</v>
      </c>
    </row>
    <row r="34" spans="1:11" ht="15.75">
      <c r="A34" s="1037">
        <v>45699</v>
      </c>
      <c r="B34" s="1038">
        <v>46068</v>
      </c>
      <c r="C34" s="1026" t="s">
        <v>2424</v>
      </c>
      <c r="D34" s="1026" t="s">
        <v>448</v>
      </c>
      <c r="E34" s="1026" t="s">
        <v>10</v>
      </c>
      <c r="F34" s="1059">
        <v>2258.8000000000002</v>
      </c>
      <c r="G34" s="1054">
        <v>0.15</v>
      </c>
      <c r="H34" s="1055">
        <v>304.93</v>
      </c>
      <c r="I34" s="1056"/>
      <c r="J34" s="1111"/>
      <c r="K34" s="1115" t="s">
        <v>2015</v>
      </c>
    </row>
    <row r="35" spans="1:11" ht="15.75">
      <c r="A35" s="1037">
        <v>45700</v>
      </c>
      <c r="B35" s="1039">
        <v>46068</v>
      </c>
      <c r="C35" s="1025" t="s">
        <v>2463</v>
      </c>
      <c r="D35" s="1026" t="s">
        <v>33</v>
      </c>
      <c r="E35" s="1025" t="s">
        <v>279</v>
      </c>
      <c r="F35" s="219">
        <v>1819.36</v>
      </c>
      <c r="G35" s="1062">
        <v>0.15</v>
      </c>
      <c r="H35" s="1055">
        <v>245.61</v>
      </c>
      <c r="I35" s="1056"/>
      <c r="J35" s="1111"/>
      <c r="K35" s="1115" t="s">
        <v>2015</v>
      </c>
    </row>
    <row r="36" spans="1:11" ht="15.75">
      <c r="A36" s="1037">
        <v>45698</v>
      </c>
      <c r="B36" s="1038">
        <v>46069</v>
      </c>
      <c r="C36" s="1026" t="s">
        <v>2464</v>
      </c>
      <c r="D36" s="1026" t="s">
        <v>70</v>
      </c>
      <c r="E36" s="1026" t="s">
        <v>279</v>
      </c>
      <c r="F36" s="1071">
        <v>575.36</v>
      </c>
      <c r="G36" s="1054">
        <v>0.1</v>
      </c>
      <c r="H36" s="1055">
        <v>51.78</v>
      </c>
      <c r="I36" s="1056"/>
      <c r="J36" s="1111"/>
      <c r="K36" s="1115" t="s">
        <v>2015</v>
      </c>
    </row>
    <row r="37" spans="1:11" s="1313" customFormat="1" ht="15.75">
      <c r="A37" s="1037">
        <v>45705</v>
      </c>
      <c r="B37" s="1038">
        <v>46070</v>
      </c>
      <c r="C37" s="1026" t="s">
        <v>2792</v>
      </c>
      <c r="D37" s="1026" t="s">
        <v>448</v>
      </c>
      <c r="E37" s="1026" t="s">
        <v>19</v>
      </c>
      <c r="F37" s="1059">
        <v>2498.46</v>
      </c>
      <c r="G37" s="1054">
        <v>0.1</v>
      </c>
      <c r="H37" s="1055">
        <v>224.86</v>
      </c>
      <c r="I37" s="1056"/>
      <c r="J37" s="1111"/>
      <c r="K37" s="1115" t="s">
        <v>2274</v>
      </c>
    </row>
    <row r="38" spans="1:11" ht="15.75">
      <c r="A38" s="1037">
        <v>45706</v>
      </c>
      <c r="B38" s="1038">
        <v>46072</v>
      </c>
      <c r="C38" s="1026" t="s">
        <v>2468</v>
      </c>
      <c r="D38" s="1026" t="s">
        <v>448</v>
      </c>
      <c r="E38" s="1026" t="s">
        <v>362</v>
      </c>
      <c r="F38" s="1059">
        <v>1393.22</v>
      </c>
      <c r="G38" s="1054">
        <v>0.15</v>
      </c>
      <c r="H38" s="1055">
        <v>188.08</v>
      </c>
      <c r="I38" s="1056"/>
      <c r="J38" s="1111"/>
      <c r="K38" s="1115" t="s">
        <v>2015</v>
      </c>
    </row>
    <row r="39" spans="1:11" ht="15.75">
      <c r="A39" s="1037">
        <v>45707</v>
      </c>
      <c r="B39" s="1038">
        <v>46072</v>
      </c>
      <c r="C39" s="1026" t="s">
        <v>2467</v>
      </c>
      <c r="D39" s="1026" t="s">
        <v>9</v>
      </c>
      <c r="E39" s="1026" t="s">
        <v>29</v>
      </c>
      <c r="F39" s="1059">
        <v>2520.5100000000002</v>
      </c>
      <c r="G39" s="1054">
        <v>0.1</v>
      </c>
      <c r="H39" s="1055">
        <v>226.84</v>
      </c>
      <c r="I39" s="1056"/>
      <c r="J39" s="1111"/>
      <c r="K39" s="1115" t="s">
        <v>2015</v>
      </c>
    </row>
    <row r="40" spans="1:11" ht="15.75">
      <c r="A40" s="1037">
        <v>45706</v>
      </c>
      <c r="B40" s="1038">
        <v>46073</v>
      </c>
      <c r="C40" s="1025" t="s">
        <v>2793</v>
      </c>
      <c r="D40" s="1026" t="s">
        <v>61</v>
      </c>
      <c r="E40" s="1026" t="s">
        <v>29</v>
      </c>
      <c r="F40" s="1053">
        <v>1698.44</v>
      </c>
      <c r="G40" s="1054">
        <v>0.1</v>
      </c>
      <c r="H40" s="1055">
        <v>152.85</v>
      </c>
      <c r="I40" s="1056"/>
      <c r="J40" s="1111"/>
      <c r="K40" s="1115" t="s">
        <v>2015</v>
      </c>
    </row>
    <row r="41" spans="1:11" ht="15.75">
      <c r="A41" s="1037">
        <v>45709</v>
      </c>
      <c r="B41" s="1038">
        <v>46074</v>
      </c>
      <c r="C41" s="1025" t="s">
        <v>2471</v>
      </c>
      <c r="D41" s="1026" t="s">
        <v>21</v>
      </c>
      <c r="E41" s="1026" t="s">
        <v>19</v>
      </c>
      <c r="F41" s="1059">
        <v>2690.84</v>
      </c>
      <c r="G41" s="1054">
        <v>0.15</v>
      </c>
      <c r="H41" s="1055">
        <v>363.26</v>
      </c>
      <c r="I41" s="1056"/>
      <c r="J41" s="1111"/>
      <c r="K41" s="1115" t="s">
        <v>2015</v>
      </c>
    </row>
    <row r="42" spans="1:11" ht="15.75">
      <c r="A42" s="1037">
        <v>45702</v>
      </c>
      <c r="B42" s="1038">
        <v>46075</v>
      </c>
      <c r="C42" s="1026" t="s">
        <v>2473</v>
      </c>
      <c r="D42" s="1026" t="s">
        <v>9</v>
      </c>
      <c r="E42" s="1026" t="s">
        <v>29</v>
      </c>
      <c r="F42" s="1059">
        <v>1342.66</v>
      </c>
      <c r="G42" s="1054">
        <v>0.15</v>
      </c>
      <c r="H42" s="1055">
        <v>181.25</v>
      </c>
      <c r="I42" s="1056"/>
      <c r="J42" s="1111"/>
      <c r="K42" s="1115" t="s">
        <v>2015</v>
      </c>
    </row>
    <row r="43" spans="1:11" ht="15.75">
      <c r="A43" s="1037">
        <v>45708</v>
      </c>
      <c r="B43" s="1038">
        <v>46075</v>
      </c>
      <c r="C43" s="1026" t="s">
        <v>2796</v>
      </c>
      <c r="D43" s="1026" t="s">
        <v>9</v>
      </c>
      <c r="E43" s="1026" t="s">
        <v>10</v>
      </c>
      <c r="F43" s="1059">
        <v>1490.64</v>
      </c>
      <c r="G43" s="1054">
        <v>0.1</v>
      </c>
      <c r="H43" s="1055">
        <v>134.15</v>
      </c>
      <c r="I43" s="1056"/>
      <c r="J43" s="1111"/>
      <c r="K43" s="1115" t="s">
        <v>2015</v>
      </c>
    </row>
    <row r="44" spans="1:11" ht="15.75">
      <c r="A44" s="1046">
        <v>45712</v>
      </c>
      <c r="B44" s="1047">
        <v>46077</v>
      </c>
      <c r="C44" s="1080" t="s">
        <v>2143</v>
      </c>
      <c r="D44" s="1080" t="s">
        <v>448</v>
      </c>
      <c r="E44" s="1080" t="s">
        <v>29</v>
      </c>
      <c r="F44" s="1081"/>
      <c r="G44" s="1082">
        <v>0.1</v>
      </c>
      <c r="H44" s="1083"/>
      <c r="I44" s="1084"/>
      <c r="J44" s="1184"/>
      <c r="K44" s="1173" t="s">
        <v>2015</v>
      </c>
    </row>
    <row r="45" spans="1:11">
      <c r="A45" s="1039">
        <v>45713</v>
      </c>
      <c r="B45" s="1039">
        <v>46078</v>
      </c>
      <c r="C45" s="1025" t="s">
        <v>2798</v>
      </c>
      <c r="D45" s="1025" t="s">
        <v>14</v>
      </c>
      <c r="E45" s="1025" t="s">
        <v>19</v>
      </c>
      <c r="F45" s="1061">
        <v>3288.63</v>
      </c>
      <c r="G45" s="1062">
        <v>0.15</v>
      </c>
      <c r="H45" s="1055">
        <v>443.96</v>
      </c>
      <c r="I45" s="1242"/>
      <c r="J45" s="1025"/>
      <c r="K45" s="1025" t="s">
        <v>2010</v>
      </c>
    </row>
    <row r="46" spans="1:11" s="1031" customFormat="1" ht="15.75">
      <c r="A46" s="1037">
        <v>45707</v>
      </c>
      <c r="B46" s="1038">
        <v>46079</v>
      </c>
      <c r="C46" s="1026" t="s">
        <v>2795</v>
      </c>
      <c r="D46" s="1026" t="s">
        <v>70</v>
      </c>
      <c r="E46" s="1026" t="s">
        <v>10</v>
      </c>
      <c r="F46" s="1059">
        <v>1087</v>
      </c>
      <c r="G46" s="1054">
        <v>0.15</v>
      </c>
      <c r="H46" s="1055">
        <v>146.74</v>
      </c>
      <c r="I46" s="1056"/>
      <c r="J46" s="1111"/>
      <c r="K46" s="1115" t="s">
        <v>2015</v>
      </c>
    </row>
    <row r="47" spans="1:11" s="1031" customFormat="1" ht="15.75">
      <c r="A47" s="1037">
        <v>45708</v>
      </c>
      <c r="B47" s="1038">
        <v>46081</v>
      </c>
      <c r="C47" s="1026" t="s">
        <v>2477</v>
      </c>
      <c r="D47" s="1026" t="s">
        <v>448</v>
      </c>
      <c r="E47" s="1026" t="s">
        <v>279</v>
      </c>
      <c r="F47" s="1059">
        <v>783.02</v>
      </c>
      <c r="G47" s="1054">
        <v>0.1</v>
      </c>
      <c r="H47" s="1055">
        <v>70.47</v>
      </c>
      <c r="I47" s="1056"/>
      <c r="J47" s="1111"/>
      <c r="K47" s="1115" t="s">
        <v>2015</v>
      </c>
    </row>
    <row r="48" spans="1:11" s="1031" customFormat="1" ht="15.75">
      <c r="A48" s="1037">
        <v>45719</v>
      </c>
      <c r="B48" s="1038" t="s">
        <v>1805</v>
      </c>
      <c r="C48" s="1026" t="s">
        <v>2800</v>
      </c>
      <c r="D48" s="1026" t="s">
        <v>25</v>
      </c>
      <c r="E48" s="1026" t="s">
        <v>22</v>
      </c>
      <c r="F48" s="1484">
        <v>326.38</v>
      </c>
      <c r="G48" s="1054">
        <v>0.15</v>
      </c>
      <c r="H48" s="1055">
        <v>44.06</v>
      </c>
      <c r="I48" s="1056"/>
      <c r="J48" s="1111"/>
      <c r="K48" s="1115" t="s">
        <v>2015</v>
      </c>
    </row>
    <row r="49" spans="1:11" ht="15.75">
      <c r="A49" s="1037"/>
      <c r="B49" s="1038"/>
      <c r="C49" s="1026"/>
      <c r="D49" s="1026"/>
      <c r="E49" s="1026"/>
      <c r="F49" s="1059"/>
      <c r="G49" s="1054"/>
      <c r="H49" s="1055"/>
      <c r="I49" s="1056"/>
      <c r="J49" s="1111"/>
      <c r="K49" s="1115"/>
    </row>
    <row r="50" spans="1:11" ht="15.75">
      <c r="A50" s="1037"/>
      <c r="B50" s="1038"/>
      <c r="C50" s="1026"/>
      <c r="D50" s="1026"/>
      <c r="E50" s="1026"/>
      <c r="F50" s="1059"/>
      <c r="G50" s="1054"/>
      <c r="H50" s="1055"/>
      <c r="I50" s="1056"/>
      <c r="J50" s="1111"/>
      <c r="K50" s="1115"/>
    </row>
    <row r="51" spans="1:11" ht="15.75">
      <c r="A51" s="1037"/>
      <c r="B51" s="1038"/>
      <c r="C51" s="1026"/>
      <c r="D51" s="1026"/>
      <c r="E51" s="1026"/>
      <c r="F51" s="1059"/>
      <c r="G51" s="1054"/>
      <c r="H51" s="1055"/>
      <c r="I51" s="1056"/>
      <c r="J51" s="1111"/>
      <c r="K51" s="1115"/>
    </row>
    <row r="52" spans="1:11" ht="15.75">
      <c r="A52" s="1037"/>
      <c r="B52" s="1038"/>
      <c r="C52" s="1026"/>
      <c r="D52" s="1026"/>
      <c r="E52" s="1026"/>
      <c r="F52" s="1059"/>
      <c r="G52" s="1054"/>
      <c r="H52" s="1055"/>
      <c r="I52" s="1056"/>
      <c r="J52" s="1111"/>
      <c r="K52" s="1115"/>
    </row>
    <row r="53" spans="1:11" ht="15.75">
      <c r="A53" s="1037"/>
      <c r="B53" s="1038"/>
      <c r="C53" s="1026"/>
      <c r="D53" s="1026"/>
      <c r="E53" s="1026"/>
      <c r="F53" s="1059"/>
      <c r="G53" s="1054"/>
      <c r="H53" s="1055"/>
      <c r="I53" s="1056"/>
      <c r="J53" s="1111"/>
      <c r="K53" s="1115"/>
    </row>
    <row r="54" spans="1:11" ht="15.75">
      <c r="A54" s="1037"/>
      <c r="B54" s="1038"/>
      <c r="C54" s="1026"/>
      <c r="D54" s="1026"/>
      <c r="E54" s="1026"/>
      <c r="F54" s="1059"/>
      <c r="G54" s="1054"/>
      <c r="H54" s="1055"/>
      <c r="I54" s="1056"/>
      <c r="J54" s="1111"/>
      <c r="K54" s="1115"/>
    </row>
    <row r="55" spans="1:11" ht="15.75">
      <c r="A55" s="1037"/>
      <c r="B55" s="1038"/>
      <c r="C55" s="1026"/>
      <c r="D55" s="1026"/>
      <c r="E55" s="1026"/>
      <c r="F55" s="1059"/>
      <c r="G55" s="1054"/>
      <c r="H55" s="1055"/>
      <c r="I55" s="1056"/>
      <c r="J55" s="1111"/>
      <c r="K55" s="1115"/>
    </row>
    <row r="56" spans="1:11" ht="15.75">
      <c r="A56" s="1037"/>
      <c r="B56" s="1038"/>
      <c r="C56" s="1026"/>
      <c r="D56" s="1026"/>
      <c r="E56" s="1026"/>
      <c r="F56" s="1059"/>
      <c r="G56" s="1054"/>
      <c r="H56" s="1055"/>
      <c r="I56" s="1056"/>
      <c r="J56" s="1111"/>
      <c r="K56" s="1115"/>
    </row>
    <row r="57" spans="1:11" ht="15.75">
      <c r="A57" s="1037"/>
      <c r="B57" s="1038"/>
      <c r="C57" s="1026"/>
      <c r="D57" s="1026"/>
      <c r="E57" s="1026"/>
      <c r="F57" s="1059"/>
      <c r="G57" s="1054"/>
      <c r="H57" s="1055"/>
      <c r="I57" s="1056"/>
      <c r="J57" s="1111"/>
      <c r="K57" s="1115"/>
    </row>
    <row r="58" spans="1:11" ht="15.75">
      <c r="A58" s="1037"/>
      <c r="B58" s="1038"/>
      <c r="C58" s="1026"/>
      <c r="D58" s="1026"/>
      <c r="E58" s="1026"/>
      <c r="F58" s="1059"/>
      <c r="G58" s="1054"/>
      <c r="H58" s="1055"/>
      <c r="I58" s="1056"/>
      <c r="J58" s="1111"/>
      <c r="K58" s="1115"/>
    </row>
    <row r="59" spans="1:11" ht="16.5" thickBot="1">
      <c r="A59" s="1037"/>
      <c r="B59" s="1038"/>
      <c r="C59" s="1026"/>
      <c r="D59" s="1026"/>
      <c r="E59" s="1026"/>
      <c r="F59" s="1059" t="s">
        <v>3104</v>
      </c>
      <c r="G59" s="1054"/>
      <c r="H59" s="1055"/>
      <c r="I59" s="1056"/>
      <c r="J59" s="1111"/>
      <c r="K59" s="1115"/>
    </row>
    <row r="60" spans="1:11" ht="20.25" thickBot="1">
      <c r="A60" s="1552"/>
      <c r="B60" s="1553"/>
      <c r="C60" s="1553"/>
      <c r="D60" s="1553"/>
      <c r="E60" s="1553"/>
      <c r="F60" s="1554">
        <f>SUM(F2:F6,F7:F59)</f>
        <v>121192.06000000004</v>
      </c>
      <c r="G60" s="1555"/>
      <c r="H60" s="1556">
        <f>SUM(H2:H59)</f>
        <v>13415.7</v>
      </c>
      <c r="I60" s="1557">
        <f>SUM(I2:I59)</f>
        <v>691.02</v>
      </c>
      <c r="J60" s="1111"/>
      <c r="K60" s="1115"/>
    </row>
    <row r="61" spans="1:11" ht="15.75" customHeight="1">
      <c r="A61" s="1833" t="s">
        <v>3138</v>
      </c>
      <c r="B61" s="1038"/>
      <c r="C61" s="1026"/>
      <c r="D61" s="1026"/>
      <c r="E61" s="1026"/>
      <c r="F61" s="1059"/>
      <c r="G61" s="1054"/>
      <c r="H61" s="1269"/>
      <c r="I61" s="1056"/>
      <c r="J61" s="1111"/>
      <c r="K61" s="1115"/>
    </row>
    <row r="62" spans="1:11" ht="15.75" customHeight="1">
      <c r="A62" s="1037"/>
      <c r="B62" s="1037"/>
      <c r="C62" s="1026"/>
      <c r="D62" s="1026"/>
      <c r="E62" s="1026"/>
      <c r="F62" s="1059"/>
      <c r="G62" s="1054"/>
      <c r="H62" s="1269"/>
      <c r="I62" s="1056"/>
      <c r="J62" s="1111"/>
      <c r="K62" s="1115"/>
    </row>
    <row r="63" spans="1:11" ht="15.75" customHeight="1">
      <c r="A63" s="1037"/>
      <c r="B63" s="1038"/>
      <c r="C63" s="1026"/>
      <c r="D63" s="1026"/>
      <c r="E63" s="1026"/>
      <c r="F63" s="1059"/>
      <c r="G63" s="1054"/>
      <c r="H63" s="1269"/>
      <c r="I63" s="1056"/>
      <c r="J63" s="1111"/>
      <c r="K63" s="1115"/>
    </row>
    <row r="64" spans="1:11" ht="15.75" customHeight="1">
      <c r="A64" s="1037"/>
      <c r="B64" s="1038"/>
      <c r="C64" s="1026"/>
      <c r="D64" s="1026"/>
      <c r="E64" s="1026"/>
      <c r="F64" s="1059"/>
      <c r="G64" s="1054"/>
      <c r="H64" s="1269"/>
      <c r="I64" s="1056"/>
      <c r="J64" s="1111"/>
      <c r="K64" s="1115"/>
    </row>
    <row r="65" spans="1:11" ht="15.75" customHeight="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115"/>
    </row>
    <row r="66" spans="1:11" ht="15.75" customHeight="1">
      <c r="A66" s="1037"/>
      <c r="B66" s="1038"/>
      <c r="C66" s="1026"/>
      <c r="D66" s="1026"/>
      <c r="E66" s="1026"/>
      <c r="F66" s="1059"/>
      <c r="G66" s="1054"/>
      <c r="H66" s="1269"/>
      <c r="I66" s="1056"/>
      <c r="J66" s="1111"/>
      <c r="K66" s="1115"/>
    </row>
    <row r="67" spans="1:11" ht="15.75" customHeight="1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1115"/>
    </row>
    <row r="68" spans="1:11" ht="15.75" customHeight="1">
      <c r="A68" s="1037"/>
      <c r="B68" s="1038"/>
      <c r="C68" s="1026"/>
      <c r="D68" s="1026"/>
      <c r="E68" s="1026"/>
      <c r="F68" s="1059"/>
      <c r="G68" s="1054"/>
      <c r="H68" s="1269"/>
      <c r="I68" s="1056"/>
      <c r="J68" s="1111"/>
      <c r="K68" s="1115"/>
    </row>
    <row r="69" spans="1:11" ht="15.75" customHeight="1">
      <c r="A69" s="1037"/>
      <c r="B69" s="1038"/>
      <c r="C69" s="1026"/>
      <c r="D69" s="1026"/>
      <c r="E69" s="1026"/>
      <c r="F69" s="1059"/>
      <c r="G69" s="1054"/>
      <c r="H69" s="1269"/>
      <c r="I69" s="1056"/>
      <c r="J69" s="1111"/>
      <c r="K69" s="1115"/>
    </row>
    <row r="70" spans="1:11" ht="15.75" customHeight="1">
      <c r="A70" s="1037"/>
      <c r="B70" s="1038"/>
      <c r="C70" s="1026"/>
      <c r="D70" s="1026"/>
      <c r="E70" s="1026"/>
      <c r="F70" s="1059"/>
      <c r="G70" s="1054"/>
      <c r="H70" s="1269"/>
      <c r="I70" s="1056"/>
      <c r="J70" s="1111"/>
      <c r="K70" s="1025"/>
    </row>
    <row r="71" spans="1:11" ht="15.75" customHeight="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115"/>
    </row>
    <row r="72" spans="1:11" ht="15.75" customHeight="1">
      <c r="A72" s="1037"/>
      <c r="B72" s="1038"/>
      <c r="C72" s="1026"/>
      <c r="D72" s="1026"/>
      <c r="E72" s="1026"/>
      <c r="F72" s="1059"/>
      <c r="G72" s="1059"/>
      <c r="H72" s="1269"/>
      <c r="I72" s="1056"/>
      <c r="J72" s="1111"/>
      <c r="K72" s="1115"/>
    </row>
    <row r="73" spans="1:11" ht="15.75" customHeight="1">
      <c r="A73" s="1037"/>
      <c r="B73" s="1038"/>
      <c r="C73" s="1026"/>
      <c r="D73" s="1026"/>
      <c r="E73" s="1026"/>
      <c r="F73" s="1059"/>
      <c r="G73" s="1059"/>
      <c r="H73" s="1269"/>
      <c r="I73" s="1056"/>
      <c r="J73" s="1111"/>
      <c r="K73" s="1025"/>
    </row>
    <row r="74" spans="1:11" ht="15.75" customHeight="1">
      <c r="A74" s="1037"/>
      <c r="B74" s="1038"/>
      <c r="C74" s="1026"/>
      <c r="D74" s="1026"/>
      <c r="E74" s="1026"/>
      <c r="F74" s="1059"/>
      <c r="G74" s="1059"/>
      <c r="H74" s="1269"/>
      <c r="I74" s="1056"/>
      <c r="J74" s="1111"/>
      <c r="K74" s="1025"/>
    </row>
    <row r="75" spans="1:11" ht="15.75" customHeight="1">
      <c r="A75" s="1037"/>
      <c r="B75" s="1038"/>
      <c r="C75" s="1026"/>
      <c r="D75" s="1026"/>
      <c r="E75" s="1026"/>
      <c r="F75" s="1059"/>
      <c r="G75" s="1054"/>
      <c r="H75" s="1269"/>
      <c r="I75" s="1056"/>
      <c r="J75" s="1111"/>
      <c r="K75" s="1115"/>
    </row>
    <row r="76" spans="1:11" ht="15.75" customHeight="1">
      <c r="A76" s="1037"/>
      <c r="B76" s="1038"/>
      <c r="C76" s="1026"/>
      <c r="D76" s="1026"/>
      <c r="E76" s="1026"/>
      <c r="F76" s="1059"/>
      <c r="G76" s="1054"/>
      <c r="H76" s="1269"/>
      <c r="I76" s="1056"/>
      <c r="J76" s="1111"/>
      <c r="K76" s="1115"/>
    </row>
    <row r="77" spans="1:11" ht="15.75" customHeight="1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1115"/>
    </row>
    <row r="78" spans="1:11" ht="15.75">
      <c r="A78" s="1037"/>
      <c r="B78" s="1038"/>
      <c r="C78" s="1026"/>
      <c r="D78" s="1026"/>
      <c r="E78" s="1026"/>
      <c r="F78" s="1059"/>
      <c r="G78" s="1054"/>
      <c r="H78" s="1269"/>
      <c r="I78" s="1056"/>
      <c r="J78" s="1111"/>
      <c r="K78" s="1115"/>
    </row>
    <row r="79" spans="1:11" ht="15.75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1115"/>
    </row>
    <row r="80" spans="1:11" ht="15.75">
      <c r="A80" s="1037"/>
      <c r="B80" s="1038"/>
      <c r="C80" s="1025"/>
      <c r="D80" s="1025"/>
      <c r="E80" s="1025"/>
      <c r="F80" s="1059"/>
      <c r="G80" s="1062"/>
      <c r="H80" s="1055"/>
      <c r="I80" s="1056"/>
      <c r="J80" s="1111"/>
      <c r="K80" s="1115"/>
    </row>
    <row r="81" spans="1:11" ht="15.75">
      <c r="A81" s="1037"/>
      <c r="B81" s="1039"/>
      <c r="C81" s="1025"/>
      <c r="D81" s="1025"/>
      <c r="E81" s="1025"/>
      <c r="F81" s="1059"/>
      <c r="G81" s="1054"/>
      <c r="H81" s="1269"/>
      <c r="I81" s="1056"/>
      <c r="J81" s="1111"/>
      <c r="K81" s="1115"/>
    </row>
    <row r="82" spans="1:11" ht="15.75">
      <c r="A82" s="1037"/>
      <c r="B82" s="1038"/>
      <c r="C82" s="1026"/>
      <c r="D82" s="1026"/>
      <c r="E82" s="1026"/>
      <c r="F82" s="1059"/>
      <c r="G82" s="1054"/>
      <c r="H82" s="1269"/>
      <c r="I82" s="1056"/>
      <c r="J82" s="1111"/>
      <c r="K82" s="1115"/>
    </row>
    <row r="83" spans="1:11" ht="15.75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1115"/>
    </row>
    <row r="84" spans="1:11" ht="15.75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115"/>
    </row>
    <row r="85" spans="1:11" ht="15.75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115"/>
    </row>
    <row r="86" spans="1:11" ht="15.75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115"/>
    </row>
    <row r="87" spans="1:11" ht="15.75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5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115"/>
    </row>
    <row r="89" spans="1:11" ht="15.75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115"/>
    </row>
    <row r="90" spans="1:11" ht="15.75">
      <c r="A90" s="1037"/>
      <c r="B90" s="1038"/>
      <c r="C90" s="1026"/>
      <c r="D90" s="1026"/>
      <c r="E90" s="1026"/>
      <c r="F90" s="1059"/>
      <c r="G90" s="1054"/>
      <c r="H90" s="1269"/>
      <c r="I90" s="1056"/>
      <c r="J90" s="1111"/>
      <c r="K90" s="1115"/>
    </row>
    <row r="91" spans="1:11" ht="15.75">
      <c r="A91" s="1037"/>
      <c r="B91" s="1038"/>
      <c r="C91" s="1026"/>
      <c r="D91" s="1026"/>
      <c r="E91" s="1026"/>
      <c r="F91" s="1059"/>
      <c r="G91" s="1054"/>
      <c r="H91" s="1269"/>
      <c r="I91" s="1056"/>
      <c r="J91" s="1111"/>
      <c r="K91" s="1115"/>
    </row>
    <row r="92" spans="1:11" ht="15.75">
      <c r="A92" s="1037"/>
      <c r="B92" s="1038"/>
      <c r="C92" s="1026"/>
      <c r="D92" s="1026"/>
      <c r="E92" s="1026"/>
      <c r="F92" s="1059"/>
      <c r="G92" s="1054"/>
      <c r="H92" s="1269"/>
      <c r="I92" s="1056"/>
      <c r="J92" s="1111"/>
      <c r="K92" s="1115"/>
    </row>
    <row r="93" spans="1:11" ht="15.75">
      <c r="A93" s="1037"/>
      <c r="B93" s="1038"/>
      <c r="C93" s="1026"/>
      <c r="D93" s="1026"/>
      <c r="E93" s="1026"/>
      <c r="F93" s="1059"/>
      <c r="G93" s="1054"/>
      <c r="H93" s="1269"/>
      <c r="I93" s="1056"/>
      <c r="J93" s="1111"/>
      <c r="K93" s="1115"/>
    </row>
    <row r="94" spans="1:11" ht="15.75">
      <c r="A94" s="1037"/>
      <c r="B94" s="1038"/>
      <c r="C94" s="1026"/>
      <c r="D94" s="1026"/>
      <c r="E94" s="1026"/>
      <c r="F94" s="1059"/>
      <c r="G94" s="1054"/>
      <c r="H94" s="1269"/>
      <c r="I94" s="1056"/>
      <c r="J94" s="1111"/>
      <c r="K94" s="1115"/>
    </row>
    <row r="95" spans="1:11">
      <c r="A95" s="1037"/>
      <c r="B95" s="1038"/>
      <c r="C95" s="1026"/>
      <c r="D95" s="1026"/>
      <c r="E95" s="1026"/>
      <c r="F95" s="1059"/>
      <c r="G95" s="1059"/>
      <c r="H95" s="1269"/>
      <c r="I95" s="1056"/>
      <c r="J95" s="1111"/>
      <c r="K95" s="1025"/>
    </row>
    <row r="96" spans="1:11">
      <c r="A96" s="1037"/>
      <c r="B96" s="1038"/>
      <c r="C96" s="1026"/>
      <c r="D96" s="1026"/>
      <c r="E96" s="1026"/>
      <c r="F96" s="1059"/>
      <c r="G96" s="1059"/>
      <c r="H96" s="1269"/>
      <c r="I96" s="1056"/>
      <c r="J96" s="1111"/>
      <c r="K96" s="1025"/>
    </row>
    <row r="97" spans="1:11">
      <c r="A97" s="1037"/>
      <c r="B97" s="1038"/>
      <c r="C97" s="1026"/>
      <c r="D97" s="1026"/>
      <c r="E97" s="1026"/>
      <c r="F97" s="1059"/>
      <c r="G97" s="1059"/>
      <c r="H97" s="1269"/>
      <c r="I97" s="1056"/>
      <c r="J97" s="1111"/>
      <c r="K97" s="1025"/>
    </row>
    <row r="98" spans="1:11" ht="15.75">
      <c r="A98" s="1037"/>
      <c r="B98" s="1038"/>
      <c r="C98" s="1026"/>
      <c r="D98" s="1026"/>
      <c r="E98" s="1026"/>
      <c r="F98" s="1059"/>
      <c r="G98" s="1054"/>
      <c r="H98" s="1269"/>
      <c r="I98" s="1056"/>
      <c r="J98" s="1111"/>
      <c r="K98" s="1115"/>
    </row>
    <row r="99" spans="1:11">
      <c r="A99" s="1037"/>
      <c r="B99" s="1038"/>
      <c r="C99" s="1026"/>
      <c r="D99" s="1026"/>
      <c r="E99" s="1026"/>
      <c r="F99" s="1059"/>
      <c r="G99" s="1059"/>
      <c r="H99" s="1269"/>
      <c r="I99" s="1056"/>
      <c r="J99" s="1111"/>
      <c r="K99" s="1025"/>
    </row>
    <row r="100" spans="1:11">
      <c r="A100" s="1037"/>
      <c r="B100" s="1038"/>
      <c r="C100" s="1026"/>
      <c r="D100" s="1026"/>
      <c r="E100" s="1026"/>
      <c r="F100" s="1059"/>
      <c r="G100" s="1059"/>
      <c r="H100" s="1269"/>
      <c r="I100" s="1056"/>
      <c r="J100" s="1111"/>
      <c r="K100" s="1025"/>
    </row>
    <row r="101" spans="1:11">
      <c r="A101" s="1037"/>
      <c r="B101" s="1038"/>
      <c r="C101" s="1026"/>
      <c r="D101" s="1026"/>
      <c r="E101" s="1026"/>
      <c r="F101" s="1059"/>
      <c r="G101" s="1059"/>
      <c r="H101" s="1269"/>
      <c r="I101" s="1056"/>
      <c r="J101" s="1111"/>
      <c r="K101" s="1025"/>
    </row>
    <row r="102" spans="1:11" ht="15.75">
      <c r="A102" s="1037"/>
      <c r="B102" s="1038"/>
      <c r="C102" s="1026"/>
      <c r="D102" s="1026"/>
      <c r="E102" s="1026"/>
      <c r="F102" s="1059"/>
      <c r="G102" s="1054"/>
      <c r="H102" s="1269"/>
      <c r="I102" s="1056"/>
      <c r="J102" s="1111"/>
      <c r="K102" s="1115"/>
    </row>
    <row r="103" spans="1:11" ht="15.75">
      <c r="A103" s="1037"/>
      <c r="B103" s="1038"/>
      <c r="C103" s="1026"/>
      <c r="D103" s="1026"/>
      <c r="E103" s="1026"/>
      <c r="F103" s="1059"/>
      <c r="G103" s="1054"/>
      <c r="H103" s="1269"/>
      <c r="I103" s="1056"/>
      <c r="J103" s="1111"/>
      <c r="K103" s="1115"/>
    </row>
    <row r="104" spans="1:11">
      <c r="A104" s="1037"/>
      <c r="B104" s="1038"/>
      <c r="C104" s="1026"/>
      <c r="D104" s="1026"/>
      <c r="E104" s="1026"/>
      <c r="F104" s="1059"/>
      <c r="G104" s="1059"/>
      <c r="H104" s="1269"/>
      <c r="I104" s="1056"/>
      <c r="J104" s="1111"/>
      <c r="K104" s="1025"/>
    </row>
    <row r="105" spans="1:11">
      <c r="A105" s="1037"/>
      <c r="B105" s="1038"/>
      <c r="C105" s="1026"/>
      <c r="D105" s="1026"/>
      <c r="E105" s="1026"/>
      <c r="F105" s="1059"/>
      <c r="G105" s="1059"/>
      <c r="H105" s="1269"/>
      <c r="I105" s="1056"/>
      <c r="J105" s="1111"/>
      <c r="K105" s="1025"/>
    </row>
    <row r="106" spans="1:11">
      <c r="A106" s="1037"/>
      <c r="B106" s="1038"/>
      <c r="C106" s="1026"/>
      <c r="D106" s="1026"/>
      <c r="E106" s="1026"/>
      <c r="F106" s="1059"/>
      <c r="G106" s="1059"/>
      <c r="H106" s="1269"/>
      <c r="I106" s="1056"/>
      <c r="J106" s="1111"/>
      <c r="K106" s="1025"/>
    </row>
    <row r="107" spans="1:11">
      <c r="A107" s="1037"/>
      <c r="B107" s="1038"/>
      <c r="C107" s="1026"/>
      <c r="D107" s="1026"/>
      <c r="E107" s="1026"/>
      <c r="F107" s="1059"/>
      <c r="G107" s="1059"/>
      <c r="H107" s="1269"/>
      <c r="I107" s="1056"/>
      <c r="J107" s="1111"/>
      <c r="K107" s="1025"/>
    </row>
    <row r="108" spans="1:11">
      <c r="A108" s="1037"/>
      <c r="B108" s="1038"/>
      <c r="C108" s="1026"/>
      <c r="D108" s="1026"/>
      <c r="E108" s="1026"/>
      <c r="F108" s="1059"/>
      <c r="G108" s="1059"/>
      <c r="H108" s="1269"/>
      <c r="I108" s="1056"/>
      <c r="J108" s="1111"/>
      <c r="K108" s="1025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1025"/>
    </row>
    <row r="110" spans="1:11" ht="15.75">
      <c r="A110" s="1037"/>
      <c r="B110" s="1038"/>
      <c r="C110" s="1026"/>
      <c r="D110" s="1026"/>
      <c r="E110" s="1026"/>
      <c r="F110" s="1059"/>
      <c r="G110" s="1054"/>
      <c r="H110" s="1269"/>
      <c r="I110" s="1056"/>
      <c r="J110" s="1111"/>
      <c r="K110" s="1115"/>
    </row>
    <row r="111" spans="1:11">
      <c r="A111" s="1037"/>
      <c r="B111" s="1038"/>
      <c r="C111" s="1026"/>
      <c r="D111" s="1026"/>
      <c r="E111" s="1026"/>
      <c r="F111" s="1059"/>
      <c r="G111" s="1059"/>
      <c r="H111" s="1269"/>
      <c r="I111" s="1056"/>
      <c r="J111" s="1111"/>
      <c r="K111" s="1025"/>
    </row>
    <row r="112" spans="1:11">
      <c r="A112" s="1037"/>
      <c r="B112" s="1038"/>
      <c r="C112" s="1026"/>
      <c r="D112" s="1026"/>
      <c r="E112" s="1026"/>
      <c r="F112" s="1059"/>
      <c r="G112" s="1059"/>
      <c r="H112" s="1269"/>
      <c r="I112" s="1056"/>
      <c r="J112" s="1111"/>
      <c r="K112" s="1025"/>
    </row>
    <row r="113" spans="1:11">
      <c r="A113" s="1037"/>
      <c r="B113" s="1038"/>
      <c r="C113" s="1026"/>
      <c r="D113" s="1026"/>
      <c r="E113" s="1026"/>
      <c r="F113" s="1059"/>
      <c r="G113" s="1059"/>
      <c r="H113" s="1269"/>
      <c r="I113" s="1056"/>
      <c r="J113" s="1111"/>
      <c r="K113" s="1025"/>
    </row>
    <row r="114" spans="1:11" ht="15.75">
      <c r="A114" s="1037"/>
      <c r="B114" s="1038"/>
      <c r="C114" s="1026"/>
      <c r="D114" s="1026"/>
      <c r="E114" s="1026"/>
      <c r="F114" s="1059"/>
      <c r="G114" s="1059"/>
      <c r="H114" s="1269"/>
      <c r="I114" s="1056"/>
      <c r="J114" s="1111"/>
      <c r="K114" s="1115"/>
    </row>
    <row r="115" spans="1:11">
      <c r="A115" s="1037"/>
      <c r="B115" s="1038"/>
      <c r="C115" s="1026"/>
      <c r="D115" s="1026"/>
      <c r="E115" s="1026"/>
      <c r="F115" s="1059"/>
      <c r="G115" s="1059"/>
      <c r="H115" s="1269"/>
      <c r="I115" s="1056"/>
      <c r="J115" s="1111"/>
      <c r="K115" s="1025"/>
    </row>
    <row r="116" spans="1:11">
      <c r="A116" s="1037"/>
      <c r="B116" s="1038"/>
      <c r="C116" s="1026"/>
      <c r="D116" s="1026"/>
      <c r="E116" s="1026"/>
      <c r="F116" s="1059"/>
      <c r="G116" s="1059"/>
      <c r="H116" s="1269"/>
      <c r="I116" s="1056"/>
      <c r="J116" s="1111"/>
      <c r="K116" s="1025"/>
    </row>
    <row r="117" spans="1:11">
      <c r="A117" s="1037"/>
      <c r="B117" s="1038"/>
      <c r="C117" s="1026"/>
      <c r="D117" s="1026"/>
      <c r="E117" s="1026"/>
      <c r="F117" s="1059"/>
      <c r="G117" s="1059"/>
      <c r="H117" s="1269"/>
      <c r="I117" s="1056"/>
      <c r="J117" s="1111"/>
      <c r="K117" s="1025"/>
    </row>
    <row r="118" spans="1:11">
      <c r="A118" s="1037"/>
      <c r="B118" s="1038"/>
      <c r="C118" s="1026"/>
      <c r="D118" s="1026"/>
      <c r="E118" s="1026"/>
      <c r="F118" s="1059"/>
      <c r="G118" s="1059"/>
      <c r="H118" s="1269"/>
      <c r="I118" s="1056"/>
      <c r="J118" s="1111"/>
      <c r="K118" s="1025"/>
    </row>
    <row r="119" spans="1:11">
      <c r="A119" s="1037"/>
      <c r="B119" s="1038"/>
      <c r="C119" s="1026"/>
      <c r="D119" s="1026"/>
      <c r="E119" s="1026"/>
      <c r="F119" s="1059"/>
      <c r="G119" s="1054"/>
      <c r="H119" s="1269"/>
      <c r="I119" s="1056"/>
      <c r="J119" s="1111"/>
      <c r="K119" s="1025"/>
    </row>
    <row r="120" spans="1:11" ht="15.75">
      <c r="A120" s="1037"/>
      <c r="B120" s="1038"/>
      <c r="C120" s="1025"/>
      <c r="D120" s="1026"/>
      <c r="E120" s="1026"/>
      <c r="F120" s="1059"/>
      <c r="G120" s="1054"/>
      <c r="H120" s="1269"/>
      <c r="I120" s="1056"/>
      <c r="J120" s="1111"/>
      <c r="K120" s="1115"/>
    </row>
    <row r="121" spans="1:11" ht="15.75">
      <c r="A121" s="1037"/>
      <c r="B121" s="1038"/>
      <c r="C121" s="1026"/>
      <c r="D121" s="1026"/>
      <c r="E121" s="1026"/>
      <c r="F121" s="1059"/>
      <c r="G121" s="1054"/>
      <c r="H121" s="1269"/>
      <c r="I121" s="1056"/>
      <c r="J121" s="1111"/>
      <c r="K121" s="1115"/>
    </row>
    <row r="122" spans="1:11" ht="15.75">
      <c r="A122" s="1037"/>
      <c r="B122" s="1038"/>
      <c r="C122" s="1026"/>
      <c r="D122" s="1026"/>
      <c r="E122" s="1026"/>
      <c r="F122" s="1059"/>
      <c r="G122" s="1054"/>
      <c r="H122" s="1269"/>
      <c r="I122" s="1056"/>
      <c r="J122" s="1111"/>
      <c r="K122" s="1115"/>
    </row>
    <row r="123" spans="1:11" ht="15.75">
      <c r="A123" s="1037"/>
      <c r="B123" s="1038"/>
      <c r="C123" s="1026"/>
      <c r="D123" s="1026"/>
      <c r="E123" s="1026"/>
      <c r="F123" s="1059"/>
      <c r="G123" s="1054"/>
      <c r="H123" s="1269"/>
      <c r="I123" s="1056"/>
      <c r="J123" s="1111"/>
      <c r="K123" s="1115"/>
    </row>
    <row r="124" spans="1:11" ht="15.75">
      <c r="A124" s="1037"/>
      <c r="B124" s="1038"/>
      <c r="C124" s="1026"/>
      <c r="D124" s="1026"/>
      <c r="E124" s="1026"/>
      <c r="F124" s="1059"/>
      <c r="G124" s="1054"/>
      <c r="H124" s="1269"/>
      <c r="I124" s="1056"/>
      <c r="J124" s="1111"/>
      <c r="K124" s="1115"/>
    </row>
    <row r="125" spans="1:11">
      <c r="A125" s="1037"/>
      <c r="B125" s="1038"/>
      <c r="C125" s="1026"/>
      <c r="D125" s="1026"/>
      <c r="E125" s="1026"/>
      <c r="F125" s="1059"/>
      <c r="G125" s="1059"/>
      <c r="H125" s="1269"/>
      <c r="I125" s="1056"/>
      <c r="J125" s="1111"/>
      <c r="K125" s="1025"/>
    </row>
    <row r="126" spans="1:11">
      <c r="A126" s="1037"/>
      <c r="B126" s="1038"/>
      <c r="C126" s="1026"/>
      <c r="D126" s="1026"/>
      <c r="E126" s="1026"/>
      <c r="F126" s="1059"/>
      <c r="G126" s="1059"/>
      <c r="H126" s="1269"/>
      <c r="I126" s="1056"/>
      <c r="J126" s="1111"/>
      <c r="K126" s="1025"/>
    </row>
    <row r="127" spans="1:11" ht="15.75">
      <c r="A127" s="1037"/>
      <c r="B127" s="1038"/>
      <c r="C127" s="1026"/>
      <c r="D127" s="1026"/>
      <c r="E127" s="1026"/>
      <c r="F127" s="1059"/>
      <c r="G127" s="1054"/>
      <c r="H127" s="1269"/>
      <c r="I127" s="1056"/>
      <c r="J127" s="1111"/>
      <c r="K127" s="1115"/>
    </row>
    <row r="128" spans="1:11" ht="15.75">
      <c r="A128" s="1037"/>
      <c r="B128" s="1038"/>
      <c r="C128" s="1026"/>
      <c r="D128" s="1026"/>
      <c r="E128" s="1026"/>
      <c r="F128" s="1059"/>
      <c r="G128" s="1054"/>
      <c r="H128" s="1269"/>
      <c r="I128" s="1056"/>
      <c r="J128" s="1111"/>
      <c r="K128" s="1115"/>
    </row>
    <row r="129" spans="1:11" ht="15.75">
      <c r="A129" s="1037"/>
      <c r="B129" s="1038"/>
      <c r="C129" s="1026"/>
      <c r="D129" s="1026"/>
      <c r="E129" s="1026"/>
      <c r="F129" s="1059"/>
      <c r="G129" s="1054"/>
      <c r="H129" s="1269"/>
      <c r="I129" s="1056"/>
      <c r="J129" s="1111"/>
      <c r="K129" s="1115"/>
    </row>
    <row r="130" spans="1:11">
      <c r="A130" s="1037"/>
      <c r="B130" s="1038"/>
      <c r="C130" s="1026"/>
      <c r="D130" s="1026"/>
      <c r="E130" s="1026"/>
      <c r="F130" s="1059"/>
      <c r="G130" s="1054"/>
      <c r="H130" s="1269"/>
      <c r="I130" s="1056"/>
      <c r="J130" s="1111"/>
      <c r="K130" s="1025"/>
    </row>
    <row r="131" spans="1:11">
      <c r="A131" s="1037"/>
      <c r="B131" s="1038"/>
      <c r="C131" s="1026"/>
      <c r="D131" s="1026"/>
      <c r="E131" s="1026"/>
      <c r="F131" s="1059"/>
      <c r="G131" s="1054"/>
      <c r="H131" s="1269"/>
      <c r="I131" s="1056"/>
      <c r="J131" s="1111"/>
      <c r="K131" s="1025"/>
    </row>
    <row r="132" spans="1:11">
      <c r="A132" s="1037"/>
      <c r="B132" s="1038"/>
      <c r="C132" s="1026"/>
      <c r="D132" s="1026"/>
      <c r="E132" s="1026"/>
      <c r="F132" s="1059"/>
      <c r="G132" s="1059"/>
      <c r="H132" s="1269"/>
      <c r="I132" s="1056"/>
      <c r="J132" s="1111"/>
      <c r="K132" s="1025"/>
    </row>
    <row r="133" spans="1:11">
      <c r="A133" s="1037"/>
      <c r="B133" s="1038"/>
      <c r="C133" s="1026"/>
      <c r="D133" s="1026"/>
      <c r="E133" s="1026"/>
      <c r="F133" s="1059"/>
      <c r="G133" s="1059"/>
      <c r="H133" s="1269"/>
      <c r="I133" s="1056"/>
      <c r="J133" s="1111"/>
      <c r="K133" s="1025"/>
    </row>
    <row r="134" spans="1:11">
      <c r="A134" s="1037"/>
      <c r="B134" s="1038"/>
      <c r="C134" s="1026"/>
      <c r="D134" s="1026"/>
      <c r="E134" s="1026"/>
      <c r="F134" s="1059"/>
      <c r="G134" s="1059"/>
      <c r="H134" s="1269"/>
      <c r="I134" s="1056"/>
      <c r="J134" s="1111"/>
      <c r="K134" s="1025"/>
    </row>
    <row r="135" spans="1:11">
      <c r="A135" s="1037"/>
      <c r="B135" s="1038"/>
      <c r="C135" s="1026"/>
      <c r="D135" s="1026"/>
      <c r="E135" s="1026"/>
      <c r="F135" s="1059"/>
      <c r="G135" s="1059"/>
      <c r="H135" s="1269"/>
      <c r="I135" s="1056"/>
      <c r="J135" s="1111"/>
      <c r="K135" s="1025"/>
    </row>
    <row r="136" spans="1:11" ht="15.75">
      <c r="A136" s="1037"/>
      <c r="B136" s="1038"/>
      <c r="C136" s="1026"/>
      <c r="D136" s="1026"/>
      <c r="E136" s="1026"/>
      <c r="F136" s="1059"/>
      <c r="G136" s="1054"/>
      <c r="H136" s="1269"/>
      <c r="I136" s="1056"/>
      <c r="J136" s="1111"/>
      <c r="K136" s="1115"/>
    </row>
    <row r="137" spans="1:11" ht="15.75">
      <c r="A137" s="1037"/>
      <c r="B137" s="1038"/>
      <c r="C137" s="1026"/>
      <c r="D137" s="1026"/>
      <c r="E137" s="1026"/>
      <c r="F137" s="1059"/>
      <c r="G137" s="1059"/>
      <c r="H137" s="1269"/>
      <c r="I137" s="1056"/>
      <c r="J137" s="1111"/>
      <c r="K137" s="1115"/>
    </row>
    <row r="138" spans="1:11">
      <c r="A138" s="1037"/>
      <c r="B138" s="1038"/>
      <c r="C138" s="1026"/>
      <c r="D138" s="1026"/>
      <c r="E138" s="1026"/>
      <c r="F138" s="1059"/>
      <c r="G138" s="1059"/>
      <c r="H138" s="1269"/>
      <c r="I138" s="1056"/>
      <c r="J138" s="1111"/>
      <c r="K138" s="1025"/>
    </row>
    <row r="139" spans="1:11">
      <c r="A139" s="1037"/>
      <c r="B139" s="1038"/>
      <c r="C139" s="1026"/>
      <c r="D139" s="1026"/>
      <c r="E139" s="1026"/>
      <c r="F139" s="1059"/>
      <c r="G139" s="1054"/>
      <c r="H139" s="1269"/>
      <c r="I139" s="1056"/>
      <c r="J139" s="1111"/>
      <c r="K139" s="1025"/>
    </row>
    <row r="140" spans="1:11" ht="15.75">
      <c r="A140" s="1037"/>
      <c r="B140" s="1038"/>
      <c r="C140" s="1026"/>
      <c r="D140" s="1026"/>
      <c r="E140" s="1026"/>
      <c r="F140" s="1059"/>
      <c r="G140" s="1054"/>
      <c r="H140" s="1269"/>
      <c r="I140" s="1056"/>
      <c r="J140" s="1111"/>
      <c r="K140" s="1115"/>
    </row>
    <row r="141" spans="1:11">
      <c r="A141" s="1037"/>
      <c r="B141" s="1038"/>
      <c r="C141" s="1026"/>
      <c r="D141" s="1026"/>
      <c r="E141" s="1026"/>
      <c r="F141" s="1059"/>
      <c r="G141" s="1054"/>
      <c r="H141" s="1269"/>
      <c r="I141" s="1056"/>
      <c r="J141" s="1111"/>
      <c r="K141" s="1025"/>
    </row>
    <row r="142" spans="1:11">
      <c r="A142" s="1037"/>
      <c r="B142" s="1038"/>
      <c r="C142" s="1026"/>
      <c r="D142" s="1026"/>
      <c r="E142" s="1026"/>
      <c r="F142" s="1059"/>
      <c r="G142" s="1059"/>
      <c r="H142" s="1269"/>
      <c r="I142" s="1056"/>
      <c r="J142" s="1111"/>
      <c r="K142" s="1025"/>
    </row>
    <row r="143" spans="1:11">
      <c r="A143" s="1037"/>
      <c r="B143" s="1038"/>
      <c r="C143" s="1026"/>
      <c r="D143" s="1026"/>
      <c r="E143" s="1026"/>
      <c r="F143" s="1059"/>
      <c r="G143" s="1059"/>
      <c r="H143" s="1269"/>
      <c r="I143" s="1056"/>
      <c r="J143" s="1111"/>
      <c r="K143" s="1025"/>
    </row>
    <row r="144" spans="1:11" ht="15.75">
      <c r="A144" s="1037"/>
      <c r="B144" s="1038"/>
      <c r="C144" s="1026"/>
      <c r="D144" s="1026"/>
      <c r="E144" s="1026"/>
      <c r="F144" s="1059"/>
      <c r="G144" s="1054"/>
      <c r="H144" s="1269"/>
      <c r="I144" s="1056"/>
      <c r="J144" s="1111"/>
      <c r="K144" s="1115"/>
    </row>
    <row r="145" spans="1:11" ht="15.75">
      <c r="A145" s="1037"/>
      <c r="B145" s="1038"/>
      <c r="C145" s="1026"/>
      <c r="D145" s="1026"/>
      <c r="E145" s="1026"/>
      <c r="F145" s="1059"/>
      <c r="G145" s="1054"/>
      <c r="H145" s="1269"/>
      <c r="I145" s="1056"/>
      <c r="J145" s="1111"/>
      <c r="K145" s="1115"/>
    </row>
    <row r="146" spans="1:11" ht="15.75">
      <c r="A146" s="1037"/>
      <c r="B146" s="1038"/>
      <c r="C146" s="1026"/>
      <c r="D146" s="1026"/>
      <c r="E146" s="1026"/>
      <c r="F146" s="1059"/>
      <c r="G146" s="1054"/>
      <c r="H146" s="1269"/>
      <c r="I146" s="1056"/>
      <c r="J146" s="1111"/>
      <c r="K146" s="1115"/>
    </row>
    <row r="147" spans="1:11" ht="15.75">
      <c r="A147" s="1037"/>
      <c r="B147" s="1038"/>
      <c r="C147" s="1026"/>
      <c r="D147" s="1026"/>
      <c r="E147" s="1026"/>
      <c r="F147" s="1059"/>
      <c r="G147" s="1054"/>
      <c r="H147" s="1269"/>
      <c r="I147" s="1056"/>
      <c r="J147" s="1111"/>
      <c r="K147" s="1115"/>
    </row>
    <row r="148" spans="1:11" ht="15.75">
      <c r="A148" s="1037"/>
      <c r="B148" s="1038"/>
      <c r="C148" s="1026"/>
      <c r="D148" s="1026"/>
      <c r="E148" s="1026"/>
      <c r="F148" s="1059"/>
      <c r="G148" s="1054"/>
      <c r="H148" s="1269"/>
      <c r="I148" s="1056"/>
      <c r="J148" s="1111"/>
      <c r="K148" s="1115"/>
    </row>
    <row r="149" spans="1:11">
      <c r="A149" s="1037"/>
      <c r="B149" s="1038"/>
      <c r="C149" s="1026"/>
      <c r="D149" s="1026"/>
      <c r="E149" s="1026"/>
      <c r="F149" s="1059"/>
      <c r="G149" s="1054"/>
      <c r="H149" s="1269"/>
      <c r="I149" s="1056"/>
      <c r="J149" s="1111"/>
      <c r="K149" s="1025"/>
    </row>
    <row r="150" spans="1:11">
      <c r="A150" s="1037"/>
      <c r="B150" s="1038"/>
      <c r="C150" s="1025"/>
      <c r="D150" s="1026"/>
      <c r="E150" s="1026"/>
      <c r="F150" s="1061"/>
      <c r="G150" s="1054"/>
      <c r="H150" s="1055"/>
      <c r="I150" s="1056"/>
      <c r="J150" s="1111"/>
      <c r="K150" s="1025"/>
    </row>
    <row r="151" spans="1:11">
      <c r="A151" s="1037"/>
      <c r="B151" s="1038"/>
      <c r="C151" s="1026"/>
      <c r="D151" s="1026"/>
      <c r="E151" s="1026"/>
      <c r="F151" s="1059"/>
      <c r="G151" s="1054"/>
      <c r="H151" s="1269"/>
      <c r="I151" s="1056"/>
      <c r="J151" s="1111"/>
      <c r="K151" s="1025"/>
    </row>
    <row r="152" spans="1:11">
      <c r="A152" s="1037"/>
      <c r="B152" s="1038"/>
      <c r="C152" s="1026"/>
      <c r="D152" s="1026"/>
      <c r="E152" s="1026"/>
      <c r="F152" s="1059"/>
      <c r="G152" s="1054"/>
      <c r="H152" s="1269"/>
      <c r="I152" s="1056"/>
      <c r="J152" s="1111"/>
      <c r="K152" s="1025"/>
    </row>
    <row r="153" spans="1:11">
      <c r="A153" s="1037"/>
      <c r="B153" s="1038"/>
      <c r="C153" s="1026"/>
      <c r="D153" s="1026"/>
      <c r="E153" s="1026"/>
      <c r="F153" s="1059"/>
      <c r="G153" s="1059"/>
      <c r="H153" s="1269"/>
      <c r="I153" s="1056"/>
      <c r="J153" s="1111"/>
      <c r="K153" s="1025"/>
    </row>
    <row r="154" spans="1:11">
      <c r="A154" s="1037"/>
      <c r="B154" s="1038"/>
      <c r="C154" s="1026"/>
      <c r="D154" s="1026"/>
      <c r="E154" s="1026"/>
      <c r="F154" s="1059"/>
      <c r="G154" s="1059"/>
      <c r="H154" s="1269"/>
      <c r="I154" s="1056"/>
      <c r="J154" s="1111"/>
      <c r="K154" s="1025"/>
    </row>
    <row r="155" spans="1:11" ht="15.75">
      <c r="A155" s="1037"/>
      <c r="B155" s="1038"/>
      <c r="C155" s="1026"/>
      <c r="D155" s="1026"/>
      <c r="E155" s="1026"/>
      <c r="F155" s="1059"/>
      <c r="G155" s="1054"/>
      <c r="H155" s="1269"/>
      <c r="I155" s="1056"/>
      <c r="J155" s="1111"/>
      <c r="K155" s="1115"/>
    </row>
    <row r="156" spans="1:11">
      <c r="A156" s="1037"/>
      <c r="B156" s="1038"/>
      <c r="C156" s="1026"/>
      <c r="D156" s="1026"/>
      <c r="E156" s="1026"/>
      <c r="F156" s="1059"/>
      <c r="G156" s="1054"/>
      <c r="H156" s="1269"/>
      <c r="I156" s="1056"/>
      <c r="J156" s="1111"/>
      <c r="K156" s="1025"/>
    </row>
    <row r="157" spans="1:11">
      <c r="A157" s="1037"/>
      <c r="B157" s="1038"/>
      <c r="C157" s="1026"/>
      <c r="D157" s="1026"/>
      <c r="E157" s="1026"/>
      <c r="F157" s="1059"/>
      <c r="G157" s="1059"/>
      <c r="H157" s="1269"/>
      <c r="I157" s="1056"/>
      <c r="J157" s="1111"/>
      <c r="K157" s="1025"/>
    </row>
    <row r="158" spans="1:11">
      <c r="A158" s="1037"/>
      <c r="B158" s="1038"/>
      <c r="C158" s="1026"/>
      <c r="D158" s="1026"/>
      <c r="E158" s="1026"/>
      <c r="F158" s="1059"/>
      <c r="G158" s="1059"/>
      <c r="H158" s="1269"/>
      <c r="I158" s="1056"/>
      <c r="J158" s="1111"/>
      <c r="K158" s="1025"/>
    </row>
    <row r="159" spans="1:11">
      <c r="A159" s="1037"/>
      <c r="B159" s="1038"/>
      <c r="C159" s="1026"/>
      <c r="D159" s="1026"/>
      <c r="E159" s="1026"/>
      <c r="F159" s="1059"/>
      <c r="G159" s="1054"/>
      <c r="H159" s="1269"/>
      <c r="I159" s="1056"/>
      <c r="J159" s="1111"/>
      <c r="K159" s="1025"/>
    </row>
    <row r="160" spans="1:11">
      <c r="A160" s="1037"/>
      <c r="B160" s="1038"/>
      <c r="C160" s="1026"/>
      <c r="D160" s="1026"/>
      <c r="E160" s="1026"/>
      <c r="F160" s="1059"/>
      <c r="G160" s="1054"/>
      <c r="H160" s="1269"/>
      <c r="I160" s="1056"/>
      <c r="J160" s="1111"/>
      <c r="K160" s="1025"/>
    </row>
    <row r="161" spans="1:11">
      <c r="A161" s="1037"/>
      <c r="B161" s="1038"/>
      <c r="C161" s="1026"/>
      <c r="D161" s="1026"/>
      <c r="E161" s="1026"/>
      <c r="F161" s="1059"/>
      <c r="G161" s="1054"/>
      <c r="H161" s="1269"/>
      <c r="I161" s="1056"/>
      <c r="J161" s="1111"/>
      <c r="K161" s="1025"/>
    </row>
    <row r="162" spans="1:11" ht="15.75">
      <c r="A162" s="1037"/>
      <c r="B162" s="1038"/>
      <c r="C162" s="1026"/>
      <c r="D162" s="1026"/>
      <c r="E162" s="1026"/>
      <c r="F162" s="1059"/>
      <c r="G162" s="1054"/>
      <c r="H162" s="1269"/>
      <c r="I162" s="1056"/>
      <c r="J162" s="1111"/>
      <c r="K162" s="1115"/>
    </row>
    <row r="163" spans="1:11">
      <c r="A163" s="1037"/>
      <c r="B163" s="1038"/>
      <c r="C163" s="1026"/>
      <c r="D163" s="1026"/>
      <c r="E163" s="1026"/>
      <c r="F163" s="1059"/>
      <c r="G163" s="1054"/>
      <c r="H163" s="1269"/>
      <c r="I163" s="1056"/>
      <c r="J163" s="1111"/>
      <c r="K163" s="1025"/>
    </row>
    <row r="164" spans="1:11">
      <c r="A164" s="1037"/>
      <c r="B164" s="1038"/>
      <c r="C164" s="290"/>
      <c r="D164" s="1026"/>
      <c r="E164" s="1026"/>
      <c r="F164" s="1059"/>
      <c r="G164" s="1054"/>
      <c r="H164" s="1269"/>
      <c r="I164" s="1056"/>
      <c r="J164" s="1111"/>
      <c r="K164" s="1025"/>
    </row>
    <row r="165" spans="1:11">
      <c r="A165" s="1037"/>
      <c r="B165" s="1038"/>
      <c r="C165" s="1026"/>
      <c r="D165" s="1026"/>
      <c r="E165" s="1026"/>
      <c r="F165" s="1059"/>
      <c r="G165" s="1054"/>
      <c r="H165" s="1269"/>
      <c r="I165" s="1056"/>
      <c r="J165" s="1111"/>
      <c r="K165" s="1025"/>
    </row>
    <row r="166" spans="1:11">
      <c r="A166" s="1037"/>
      <c r="B166" s="1038"/>
      <c r="C166" s="1026"/>
      <c r="D166" s="1026"/>
      <c r="E166" s="1026"/>
      <c r="F166" s="1059"/>
      <c r="G166" s="1054"/>
      <c r="H166" s="1269"/>
      <c r="I166" s="1056"/>
      <c r="J166" s="1111"/>
      <c r="K166" s="1025"/>
    </row>
    <row r="167" spans="1:11">
      <c r="A167" s="1037"/>
      <c r="B167" s="1038"/>
      <c r="C167" s="1026"/>
      <c r="D167" s="1026"/>
      <c r="E167" s="1026"/>
      <c r="F167" s="1059"/>
      <c r="G167" s="1054"/>
      <c r="H167" s="1269"/>
      <c r="I167" s="1056"/>
      <c r="J167" s="1111"/>
      <c r="K167" s="1025"/>
    </row>
    <row r="168" spans="1:11">
      <c r="A168" s="1037"/>
      <c r="B168" s="1038"/>
      <c r="C168" s="1026"/>
      <c r="D168" s="1026"/>
      <c r="E168" s="1026"/>
      <c r="F168" s="1059"/>
      <c r="G168" s="1054"/>
      <c r="H168" s="1269"/>
      <c r="I168" s="1056"/>
      <c r="J168" s="1111"/>
      <c r="K168" s="1025"/>
    </row>
    <row r="169" spans="1:11">
      <c r="A169" s="1037"/>
      <c r="B169" s="1038"/>
      <c r="C169" s="1026"/>
      <c r="D169" s="1026"/>
      <c r="E169" s="1026"/>
      <c r="F169" s="1059"/>
      <c r="G169" s="1054"/>
      <c r="H169" s="1269"/>
      <c r="I169" s="1056"/>
      <c r="J169" s="1111"/>
      <c r="K169" s="1025"/>
    </row>
    <row r="170" spans="1:11">
      <c r="A170" s="1037"/>
      <c r="B170" s="1038"/>
      <c r="C170" s="1026"/>
      <c r="D170" s="1026"/>
      <c r="E170" s="1026"/>
      <c r="F170" s="1059"/>
      <c r="G170" s="1054"/>
      <c r="H170" s="1269"/>
      <c r="I170" s="1056"/>
      <c r="J170" s="1111"/>
      <c r="K170" s="1025"/>
    </row>
    <row r="171" spans="1:11">
      <c r="A171" s="1037"/>
      <c r="B171" s="1038"/>
      <c r="C171" s="1026"/>
      <c r="D171" s="1026"/>
      <c r="E171" s="1026"/>
      <c r="F171" s="1059"/>
      <c r="G171" s="1054"/>
      <c r="H171" s="1269"/>
      <c r="I171" s="1056"/>
      <c r="J171" s="1111"/>
      <c r="K171" s="1025"/>
    </row>
    <row r="172" spans="1:11">
      <c r="A172" s="1037"/>
      <c r="B172" s="1038"/>
      <c r="C172" s="1026"/>
      <c r="D172" s="1026"/>
      <c r="E172" s="1026"/>
      <c r="F172" s="1059"/>
      <c r="G172" s="1054"/>
      <c r="H172" s="1269"/>
      <c r="I172" s="1056"/>
      <c r="J172" s="1111"/>
      <c r="K172" s="1025"/>
    </row>
    <row r="173" spans="1:11">
      <c r="A173" s="1037"/>
      <c r="B173" s="1038"/>
      <c r="C173" s="1026"/>
      <c r="D173" s="1026"/>
      <c r="E173" s="1026"/>
      <c r="F173" s="1059"/>
      <c r="G173" s="1059"/>
      <c r="H173" s="1269"/>
      <c r="I173" s="1056"/>
      <c r="J173" s="1111"/>
      <c r="K173" s="1025"/>
    </row>
    <row r="174" spans="1:11">
      <c r="A174" s="1037"/>
      <c r="B174" s="1038"/>
      <c r="C174" s="1026"/>
      <c r="D174" s="1026"/>
      <c r="E174" s="1026"/>
      <c r="F174" s="1059"/>
      <c r="G174" s="1059"/>
      <c r="H174" s="1269"/>
      <c r="I174" s="1056"/>
      <c r="J174" s="1111"/>
      <c r="K174" s="1025"/>
    </row>
    <row r="175" spans="1:11">
      <c r="A175" s="1037"/>
      <c r="B175" s="1038"/>
      <c r="C175" s="1026"/>
      <c r="D175" s="1026"/>
      <c r="E175" s="1026"/>
      <c r="F175" s="1059"/>
      <c r="G175" s="1054"/>
      <c r="H175" s="1269"/>
      <c r="I175" s="1056"/>
      <c r="J175" s="1111"/>
      <c r="K175" s="1025"/>
    </row>
    <row r="176" spans="1:11">
      <c r="A176" s="1037"/>
      <c r="B176" s="1038"/>
      <c r="C176" s="1026"/>
      <c r="D176" s="1026"/>
      <c r="E176" s="1026"/>
      <c r="F176" s="1059"/>
      <c r="G176" s="1054"/>
      <c r="H176" s="1269"/>
      <c r="I176" s="1056"/>
      <c r="J176" s="1111"/>
      <c r="K176" s="1025"/>
    </row>
    <row r="177" spans="1:11">
      <c r="A177" s="1037"/>
      <c r="B177" s="1038"/>
      <c r="C177" s="1026"/>
      <c r="D177" s="1026"/>
      <c r="E177" s="1026"/>
      <c r="F177" s="1059"/>
      <c r="G177" s="1054"/>
      <c r="H177" s="1269"/>
      <c r="I177" s="1056"/>
      <c r="J177" s="1111"/>
      <c r="K177" s="1025"/>
    </row>
    <row r="178" spans="1:11" ht="15.75">
      <c r="A178" s="1037"/>
      <c r="B178" s="1038"/>
      <c r="C178" s="1026"/>
      <c r="D178" s="1026"/>
      <c r="E178" s="1026"/>
      <c r="F178" s="1059"/>
      <c r="G178" s="1059"/>
      <c r="H178" s="1269"/>
      <c r="I178" s="1056"/>
      <c r="J178" s="1111"/>
      <c r="K178" s="1115"/>
    </row>
    <row r="179" spans="1:11">
      <c r="A179" s="1037"/>
      <c r="B179" s="1038"/>
      <c r="C179" s="1026"/>
      <c r="D179" s="1026"/>
      <c r="E179" s="1026"/>
      <c r="F179" s="1059"/>
      <c r="G179" s="1059"/>
      <c r="H179" s="1269"/>
      <c r="I179" s="1056"/>
      <c r="J179" s="1111"/>
      <c r="K179" s="1025"/>
    </row>
    <row r="180" spans="1:11" ht="15.75">
      <c r="A180" s="1037"/>
      <c r="B180" s="1038"/>
      <c r="C180" s="1026"/>
      <c r="D180" s="1026"/>
      <c r="E180" s="1026"/>
      <c r="F180" s="1059"/>
      <c r="G180" s="1054"/>
      <c r="H180" s="1269"/>
      <c r="I180" s="1056"/>
      <c r="J180" s="1111"/>
      <c r="K180" s="1115"/>
    </row>
    <row r="181" spans="1:11" ht="15.75">
      <c r="A181" s="1037"/>
      <c r="B181" s="1038"/>
      <c r="C181" s="1026"/>
      <c r="D181" s="1026"/>
      <c r="E181" s="1026"/>
      <c r="F181" s="1059"/>
      <c r="G181" s="1054"/>
      <c r="H181" s="1269"/>
      <c r="I181" s="1056"/>
      <c r="J181" s="1111"/>
      <c r="K181" s="1115"/>
    </row>
    <row r="182" spans="1:11" ht="15.75">
      <c r="A182" s="1037"/>
      <c r="B182" s="1038"/>
      <c r="C182" s="1026"/>
      <c r="D182" s="1026"/>
      <c r="E182" s="1026"/>
      <c r="F182" s="1059"/>
      <c r="G182" s="1054"/>
      <c r="H182" s="1269"/>
      <c r="I182" s="1056"/>
      <c r="J182" s="1111"/>
      <c r="K182" s="1115"/>
    </row>
    <row r="183" spans="1:11" ht="15.75">
      <c r="A183" s="1037"/>
      <c r="B183" s="1038"/>
      <c r="C183" s="1026"/>
      <c r="D183" s="1026"/>
      <c r="E183" s="1026"/>
      <c r="F183" s="1059"/>
      <c r="G183" s="1054"/>
      <c r="H183" s="1269"/>
      <c r="I183" s="1056"/>
      <c r="J183" s="1111"/>
      <c r="K183" s="1115"/>
    </row>
    <row r="184" spans="1:11" ht="15.75">
      <c r="A184" s="1037"/>
      <c r="B184" s="1038"/>
      <c r="C184" s="1026"/>
      <c r="D184" s="1026"/>
      <c r="E184" s="1026"/>
      <c r="F184" s="1059"/>
      <c r="G184" s="1059"/>
      <c r="H184" s="1269"/>
      <c r="I184" s="1056"/>
      <c r="J184" s="1111"/>
      <c r="K184" s="1115"/>
    </row>
    <row r="185" spans="1:11">
      <c r="A185" s="1037"/>
      <c r="B185" s="1038"/>
      <c r="C185" s="1026"/>
      <c r="D185" s="1026"/>
      <c r="E185" s="1026"/>
      <c r="F185" s="1059"/>
      <c r="G185" s="1059"/>
      <c r="H185" s="1269"/>
      <c r="I185" s="1056"/>
      <c r="J185" s="1111"/>
      <c r="K185" s="1025"/>
    </row>
    <row r="186" spans="1:11" ht="15.75">
      <c r="A186" s="1037"/>
      <c r="B186" s="1038"/>
      <c r="C186" s="1026"/>
      <c r="D186" s="1026"/>
      <c r="E186" s="1026"/>
      <c r="F186" s="1059"/>
      <c r="G186" s="1054"/>
      <c r="H186" s="1269"/>
      <c r="I186" s="1056"/>
      <c r="J186" s="1111"/>
      <c r="K186" s="1115"/>
    </row>
    <row r="187" spans="1:11">
      <c r="A187" s="1037"/>
      <c r="B187" s="1038"/>
      <c r="C187" s="1026"/>
      <c r="D187" s="1026"/>
      <c r="E187" s="1026"/>
      <c r="F187" s="1059"/>
      <c r="G187" s="1059"/>
      <c r="H187" s="1269"/>
      <c r="I187" s="1056"/>
      <c r="J187" s="1111"/>
      <c r="K187" s="1025"/>
    </row>
    <row r="188" spans="1:11">
      <c r="A188" s="1037"/>
      <c r="B188" s="1038"/>
      <c r="C188" s="1026"/>
      <c r="D188" s="1026"/>
      <c r="E188" s="1026"/>
      <c r="F188" s="1059"/>
      <c r="G188" s="1059"/>
      <c r="H188" s="1269"/>
      <c r="I188" s="1056"/>
      <c r="J188" s="1111"/>
      <c r="K188" s="1025"/>
    </row>
    <row r="189" spans="1:11">
      <c r="A189" s="1037"/>
      <c r="B189" s="1038"/>
      <c r="C189" s="1026"/>
      <c r="D189" s="1026"/>
      <c r="E189" s="1026"/>
      <c r="F189" s="1059"/>
      <c r="G189" s="1059"/>
      <c r="H189" s="1269"/>
      <c r="I189" s="1056"/>
      <c r="J189" s="1111"/>
      <c r="K189" s="1025"/>
    </row>
    <row r="190" spans="1:11">
      <c r="A190" s="1037"/>
      <c r="B190" s="1038"/>
      <c r="C190" s="1026"/>
      <c r="D190" s="1026"/>
      <c r="E190" s="1026"/>
      <c r="F190" s="1059"/>
      <c r="G190" s="1059"/>
      <c r="H190" s="1269"/>
      <c r="I190" s="1056"/>
      <c r="J190" s="1111"/>
      <c r="K190" s="1025"/>
    </row>
    <row r="191" spans="1:11">
      <c r="A191" s="1037"/>
      <c r="B191" s="1038"/>
      <c r="C191" s="1026"/>
      <c r="D191" s="1026"/>
      <c r="E191" s="1026"/>
      <c r="F191" s="1059"/>
      <c r="G191" s="1054"/>
      <c r="H191" s="1269"/>
      <c r="I191" s="1056"/>
      <c r="J191" s="1111"/>
      <c r="K191" s="1025"/>
    </row>
    <row r="192" spans="1:11">
      <c r="A192" s="1037"/>
      <c r="B192" s="1038"/>
      <c r="C192" s="1026"/>
      <c r="D192" s="1026"/>
      <c r="E192" s="1026"/>
      <c r="F192" s="1059"/>
      <c r="G192" s="1054"/>
      <c r="H192" s="1269"/>
      <c r="I192" s="1056"/>
      <c r="J192" s="1111"/>
      <c r="K192" s="1025"/>
    </row>
    <row r="193" spans="1:11">
      <c r="A193" s="1037"/>
      <c r="B193" s="1038"/>
      <c r="C193" s="1026"/>
      <c r="D193" s="1026"/>
      <c r="E193" s="1026"/>
      <c r="F193" s="1059"/>
      <c r="G193" s="1054"/>
      <c r="H193" s="1269"/>
      <c r="I193" s="1056"/>
      <c r="J193" s="1111"/>
      <c r="K193" s="1025"/>
    </row>
    <row r="194" spans="1:11">
      <c r="A194" s="1037"/>
      <c r="B194" s="1038"/>
      <c r="C194" s="1026"/>
      <c r="D194" s="1026"/>
      <c r="E194" s="1026"/>
      <c r="F194" s="1059"/>
      <c r="G194" s="1054"/>
      <c r="H194" s="1269"/>
      <c r="I194" s="1056"/>
      <c r="J194" s="1111"/>
      <c r="K194" s="1025"/>
    </row>
    <row r="195" spans="1:11">
      <c r="A195" s="1037"/>
      <c r="B195" s="1038"/>
      <c r="C195" s="1026"/>
      <c r="D195" s="1026"/>
      <c r="E195" s="1026"/>
      <c r="F195" s="1059"/>
      <c r="G195" s="1054"/>
      <c r="H195" s="1269"/>
      <c r="I195" s="1056"/>
      <c r="J195" s="1111"/>
      <c r="K195" s="1025"/>
    </row>
    <row r="196" spans="1:11">
      <c r="A196" s="1037"/>
      <c r="B196" s="1038"/>
      <c r="C196" s="1026"/>
      <c r="D196" s="1026"/>
      <c r="E196" s="1026"/>
      <c r="F196" s="1059"/>
      <c r="G196" s="1054"/>
      <c r="H196" s="1269"/>
      <c r="I196" s="1056"/>
      <c r="J196" s="1111"/>
      <c r="K196" s="1025"/>
    </row>
    <row r="197" spans="1:11">
      <c r="A197" s="1037"/>
      <c r="B197" s="1038"/>
      <c r="C197" s="1026"/>
      <c r="D197" s="1026"/>
      <c r="E197" s="1026"/>
      <c r="F197" s="1059"/>
      <c r="G197" s="1054"/>
      <c r="H197" s="1269"/>
      <c r="I197" s="1056"/>
      <c r="J197" s="1111"/>
      <c r="K197" s="1025"/>
    </row>
    <row r="198" spans="1:11">
      <c r="A198" s="1037"/>
      <c r="B198" s="1038"/>
      <c r="C198" s="1026"/>
      <c r="D198" s="1026"/>
      <c r="E198" s="1026"/>
      <c r="F198" s="1059"/>
      <c r="G198" s="1059"/>
      <c r="H198" s="1269"/>
      <c r="I198" s="1056"/>
      <c r="J198" s="1111"/>
      <c r="K198" s="1025"/>
    </row>
    <row r="199" spans="1:11">
      <c r="A199" s="1037"/>
      <c r="B199" s="1038"/>
      <c r="C199" s="1026"/>
      <c r="D199" s="1026"/>
      <c r="E199" s="1026"/>
      <c r="F199" s="1059"/>
      <c r="G199" s="1059"/>
      <c r="H199" s="1269"/>
      <c r="I199" s="1056"/>
      <c r="J199" s="1111"/>
      <c r="K199" s="1025"/>
    </row>
    <row r="200" spans="1:11" ht="15.75">
      <c r="A200" s="1037"/>
      <c r="B200" s="1038"/>
      <c r="C200" s="1026"/>
      <c r="D200" s="1026"/>
      <c r="E200" s="1026"/>
      <c r="F200" s="1059"/>
      <c r="G200" s="1054"/>
      <c r="H200" s="1269"/>
      <c r="I200" s="1056"/>
      <c r="J200" s="1111"/>
      <c r="K200" s="1115"/>
    </row>
    <row r="201" spans="1:11">
      <c r="A201" s="1037"/>
      <c r="B201" s="1038"/>
      <c r="C201" s="1026"/>
      <c r="D201" s="1026"/>
      <c r="E201" s="1026"/>
      <c r="F201" s="1059"/>
      <c r="G201" s="1054"/>
      <c r="H201" s="1269"/>
      <c r="I201" s="1056"/>
      <c r="J201" s="1111"/>
      <c r="K201" s="1025"/>
    </row>
    <row r="202" spans="1:11">
      <c r="A202" s="1037"/>
      <c r="B202" s="1038"/>
      <c r="C202" s="1025"/>
      <c r="D202" s="1025"/>
      <c r="E202" s="1025"/>
      <c r="F202" s="1061"/>
      <c r="G202" s="1054"/>
      <c r="H202" s="1269"/>
      <c r="I202" s="1056"/>
      <c r="J202" s="1111"/>
      <c r="K202" s="1025"/>
    </row>
    <row r="203" spans="1:11">
      <c r="A203" s="1037"/>
      <c r="B203" s="1038"/>
      <c r="C203" s="1026"/>
      <c r="D203" s="1026"/>
      <c r="E203" s="1026"/>
      <c r="F203" s="1061"/>
      <c r="G203" s="1054"/>
      <c r="H203" s="1269"/>
      <c r="I203" s="1056"/>
      <c r="J203" s="1111"/>
      <c r="K203" s="1025"/>
    </row>
    <row r="204" spans="1:11" ht="15.75">
      <c r="A204" s="1037"/>
      <c r="B204" s="1038"/>
      <c r="C204" s="1026"/>
      <c r="D204" s="1026"/>
      <c r="E204" s="1026"/>
      <c r="F204" s="1059"/>
      <c r="G204" s="1059"/>
      <c r="H204" s="1269"/>
      <c r="I204" s="1056"/>
      <c r="J204" s="1111"/>
      <c r="K204" s="1115"/>
    </row>
    <row r="205" spans="1:11">
      <c r="A205" s="1037"/>
      <c r="B205" s="1038"/>
      <c r="C205" s="1026"/>
      <c r="D205" s="1026"/>
      <c r="E205" s="1026"/>
      <c r="F205" s="1059"/>
      <c r="G205" s="1059"/>
      <c r="H205" s="1269"/>
      <c r="I205" s="1056"/>
      <c r="J205" s="1111"/>
      <c r="K205" s="1025"/>
    </row>
    <row r="206" spans="1:11" ht="15.75">
      <c r="A206" s="1037"/>
      <c r="B206" s="1038"/>
      <c r="C206" s="1026"/>
      <c r="D206" s="1026"/>
      <c r="E206" s="1026"/>
      <c r="F206" s="1059"/>
      <c r="G206" s="1054"/>
      <c r="H206" s="1269"/>
      <c r="I206" s="1056"/>
      <c r="J206" s="1111"/>
      <c r="K206" s="1115"/>
    </row>
    <row r="207" spans="1:11" ht="15.75">
      <c r="A207" s="1037"/>
      <c r="B207" s="1038"/>
      <c r="C207" s="1026"/>
      <c r="D207" s="1026"/>
      <c r="E207" s="1026"/>
      <c r="F207" s="1059"/>
      <c r="G207" s="1054"/>
      <c r="H207" s="1269"/>
      <c r="I207" s="1056"/>
      <c r="J207" s="1111"/>
      <c r="K207" s="1115"/>
    </row>
    <row r="208" spans="1:11" ht="15.75">
      <c r="A208" s="1037"/>
      <c r="B208" s="1038"/>
      <c r="C208" s="1026"/>
      <c r="D208" s="1026"/>
      <c r="E208" s="1026"/>
      <c r="F208" s="1059"/>
      <c r="G208" s="1054"/>
      <c r="H208" s="1269"/>
      <c r="I208" s="1056"/>
      <c r="J208" s="1111"/>
      <c r="K208" s="1115"/>
    </row>
    <row r="209" spans="1:11" ht="15.75">
      <c r="A209" s="1037"/>
      <c r="B209" s="1038"/>
      <c r="C209" s="1026"/>
      <c r="D209" s="1026"/>
      <c r="E209" s="1026"/>
      <c r="F209" s="1059"/>
      <c r="G209" s="1054"/>
      <c r="H209" s="1269"/>
      <c r="I209" s="1056"/>
      <c r="J209" s="1111"/>
      <c r="K209" s="1115"/>
    </row>
    <row r="210" spans="1:11" ht="15.75">
      <c r="A210" s="1037"/>
      <c r="B210" s="1038"/>
      <c r="C210" s="1026"/>
      <c r="D210" s="1026"/>
      <c r="E210" s="1026"/>
      <c r="F210" s="1059"/>
      <c r="G210" s="1054"/>
      <c r="H210" s="1269"/>
      <c r="I210" s="1056"/>
      <c r="J210" s="1111"/>
      <c r="K210" s="1115"/>
    </row>
    <row r="211" spans="1:11" ht="15.75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115"/>
    </row>
    <row r="212" spans="1:11" ht="15.75">
      <c r="A212" s="1037"/>
      <c r="B212" s="1038"/>
      <c r="C212" s="1026"/>
      <c r="D212" s="1026"/>
      <c r="E212" s="1026"/>
      <c r="F212" s="1059"/>
      <c r="G212" s="1054"/>
      <c r="H212" s="1269"/>
      <c r="I212" s="1056"/>
      <c r="J212" s="1111"/>
      <c r="K212" s="1115"/>
    </row>
    <row r="213" spans="1:11" ht="15.75">
      <c r="A213" s="1037"/>
      <c r="B213" s="1038"/>
      <c r="C213" s="1026"/>
      <c r="D213" s="1026"/>
      <c r="E213" s="1026"/>
      <c r="F213" s="1059"/>
      <c r="G213" s="1054"/>
      <c r="H213" s="1269"/>
      <c r="I213" s="1056"/>
      <c r="J213" s="1111"/>
      <c r="K213" s="1115"/>
    </row>
    <row r="214" spans="1:11" ht="15.75">
      <c r="A214" s="1037"/>
      <c r="B214" s="1038"/>
      <c r="C214" s="1026"/>
      <c r="D214" s="1026"/>
      <c r="F214" s="1059"/>
      <c r="G214" s="1054"/>
      <c r="H214" s="1269"/>
      <c r="I214" s="1056"/>
      <c r="J214" s="1111"/>
      <c r="K214" s="1115"/>
    </row>
    <row r="215" spans="1:11" ht="15.75">
      <c r="A215" s="1037"/>
      <c r="B215" s="1038"/>
      <c r="C215" s="1026"/>
      <c r="D215" s="1026"/>
      <c r="E215" s="1026"/>
      <c r="F215" s="1059"/>
      <c r="G215" s="1054"/>
      <c r="H215" s="1269"/>
      <c r="I215" s="1056"/>
      <c r="J215" s="1111"/>
      <c r="K215" s="1115"/>
    </row>
    <row r="216" spans="1:11" ht="15.75">
      <c r="A216" s="1037"/>
      <c r="B216" s="1038"/>
      <c r="C216" s="1026"/>
      <c r="D216" s="1026"/>
      <c r="E216" s="1026"/>
      <c r="F216" s="1059"/>
      <c r="G216" s="1054"/>
      <c r="H216" s="1269"/>
      <c r="I216" s="1056"/>
      <c r="J216" s="1111"/>
      <c r="K216" s="1115"/>
    </row>
    <row r="217" spans="1:11" ht="15.75">
      <c r="A217" s="1037"/>
      <c r="B217" s="1038"/>
      <c r="C217" s="1026"/>
      <c r="D217" s="1026"/>
      <c r="E217" s="1026"/>
      <c r="F217" s="1059"/>
      <c r="G217" s="1054"/>
      <c r="H217" s="1269"/>
      <c r="I217" s="1056"/>
      <c r="J217" s="1111"/>
      <c r="K217" s="1115"/>
    </row>
    <row r="218" spans="1:11" ht="15.75">
      <c r="A218" s="1037"/>
      <c r="B218" s="1038"/>
      <c r="C218" s="1026"/>
      <c r="D218" s="1026"/>
      <c r="E218" s="1026"/>
      <c r="F218" s="1059"/>
      <c r="G218" s="1054"/>
      <c r="H218" s="1269"/>
      <c r="I218" s="1056"/>
      <c r="J218" s="1111"/>
      <c r="K218" s="1115"/>
    </row>
    <row r="219" spans="1:11">
      <c r="A219" s="1037"/>
      <c r="B219" s="1038"/>
      <c r="C219" s="1026"/>
      <c r="D219" s="1026"/>
      <c r="E219" s="1026"/>
      <c r="F219" s="1059"/>
      <c r="G219" s="1054"/>
      <c r="H219" s="1269"/>
      <c r="I219" s="1056"/>
      <c r="J219" s="1111"/>
      <c r="K219" s="1025"/>
    </row>
    <row r="220" spans="1:11">
      <c r="A220" s="1039"/>
      <c r="B220" s="1039"/>
      <c r="C220" s="1025"/>
      <c r="D220" s="1025"/>
      <c r="E220" s="1025"/>
      <c r="F220" s="1061"/>
      <c r="G220" s="1062"/>
      <c r="H220" s="1269"/>
      <c r="I220" s="1056"/>
      <c r="J220" s="1111"/>
      <c r="K220" s="1025"/>
    </row>
    <row r="221" spans="1:11">
      <c r="A221" s="1039"/>
      <c r="B221" s="1039"/>
      <c r="C221" s="1025"/>
      <c r="D221" s="1025"/>
      <c r="E221" s="1025"/>
      <c r="F221" s="1061"/>
      <c r="G221" s="1062"/>
      <c r="H221" s="1269"/>
      <c r="I221" s="1056"/>
      <c r="J221" s="1111"/>
      <c r="K221" s="1025"/>
    </row>
    <row r="222" spans="1:11">
      <c r="A222" s="1039"/>
      <c r="B222" s="1039"/>
      <c r="C222" s="1025"/>
      <c r="D222" s="1025"/>
      <c r="E222" s="1025"/>
      <c r="F222" s="1061"/>
      <c r="G222" s="1062"/>
      <c r="H222" s="1269"/>
      <c r="I222" s="1056"/>
      <c r="J222" s="1111"/>
      <c r="K222" s="1025"/>
    </row>
    <row r="223" spans="1:11">
      <c r="A223" s="1039"/>
      <c r="B223" s="1039"/>
      <c r="C223" s="1025"/>
      <c r="D223" s="1025"/>
      <c r="E223" s="1025"/>
      <c r="F223" s="1061"/>
      <c r="G223" s="1062"/>
      <c r="H223" s="1269"/>
      <c r="I223" s="1056"/>
      <c r="J223" s="1111"/>
      <c r="K223" s="1025"/>
    </row>
    <row r="224" spans="1:11">
      <c r="A224" s="1039"/>
      <c r="B224" s="1039"/>
      <c r="C224" s="1025"/>
      <c r="D224" s="1025"/>
      <c r="E224" s="1025"/>
      <c r="F224" s="1061"/>
      <c r="G224" s="1062"/>
      <c r="H224" s="1269"/>
      <c r="I224" s="1056"/>
      <c r="J224" s="1111"/>
      <c r="K224" s="1025"/>
    </row>
    <row r="225" spans="1:11">
      <c r="A225" s="1039"/>
      <c r="B225" s="1039"/>
      <c r="C225" s="1025"/>
      <c r="D225" s="1025"/>
      <c r="E225" s="1025"/>
      <c r="F225" s="1061"/>
      <c r="G225" s="1062"/>
      <c r="H225" s="1269"/>
      <c r="I225" s="1056"/>
      <c r="J225" s="1111"/>
      <c r="K225" s="1025"/>
    </row>
    <row r="226" spans="1:11">
      <c r="A226" s="1039"/>
      <c r="B226" s="1039"/>
      <c r="C226" s="1025"/>
      <c r="D226" s="1025"/>
      <c r="E226" s="1025"/>
      <c r="F226" s="1061"/>
      <c r="G226" s="1062"/>
      <c r="H226" s="1269"/>
      <c r="I226" s="1056"/>
      <c r="J226" s="1111"/>
      <c r="K226" s="1025"/>
    </row>
    <row r="227" spans="1:11">
      <c r="A227" s="1039"/>
      <c r="B227" s="1039"/>
      <c r="C227" s="1025"/>
      <c r="D227" s="1025"/>
      <c r="E227" s="1025"/>
      <c r="F227" s="1061"/>
      <c r="G227" s="1062"/>
      <c r="H227" s="1269"/>
      <c r="I227" s="1056"/>
      <c r="J227" s="1111"/>
      <c r="K227" s="1025"/>
    </row>
    <row r="228" spans="1:11">
      <c r="A228" s="1039"/>
      <c r="B228" s="1039"/>
      <c r="C228" s="1025"/>
      <c r="D228" s="1025"/>
      <c r="E228" s="1025"/>
      <c r="F228" s="1061"/>
      <c r="G228" s="1062"/>
      <c r="H228" s="1269"/>
      <c r="I228" s="1056"/>
      <c r="J228" s="1111"/>
      <c r="K228" s="1025"/>
    </row>
    <row r="229" spans="1:11">
      <c r="A229" s="1039"/>
      <c r="B229" s="1039"/>
      <c r="C229" s="1025"/>
      <c r="D229" s="1025"/>
      <c r="E229" s="1025"/>
      <c r="F229" s="1061"/>
      <c r="G229" s="1062"/>
      <c r="H229" s="1269"/>
      <c r="I229" s="1056"/>
      <c r="J229" s="1111"/>
      <c r="K229" s="1025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1025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1025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1025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1025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1025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1025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1025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1025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1025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1025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1025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1025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1025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1025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1025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1025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1025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1025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1025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1025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1025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1025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1025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1025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1025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1025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1025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1025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1025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1025"/>
    </row>
    <row r="260" spans="1:11">
      <c r="A260" s="1039"/>
      <c r="B260" s="1039"/>
      <c r="C260" s="1025"/>
      <c r="D260" s="1025"/>
      <c r="E260" s="1025"/>
      <c r="F260" s="1061"/>
      <c r="G260" s="1062"/>
      <c r="H260" s="1269"/>
      <c r="I260" s="1056"/>
      <c r="J260" s="1111"/>
      <c r="K260" s="1025"/>
    </row>
    <row r="261" spans="1:11">
      <c r="A261" s="1039"/>
      <c r="B261" s="1039"/>
      <c r="C261" s="1025"/>
      <c r="D261" s="1025"/>
      <c r="E261" s="1025"/>
      <c r="F261" s="1061"/>
      <c r="G261" s="1062"/>
      <c r="H261" s="1269"/>
      <c r="I261" s="1056"/>
      <c r="J261" s="1111"/>
      <c r="K261" s="1025"/>
    </row>
    <row r="262" spans="1:11">
      <c r="A262" s="1039"/>
      <c r="B262" s="1039"/>
      <c r="C262" s="1025"/>
      <c r="D262" s="1025"/>
      <c r="E262" s="1025"/>
      <c r="F262" s="1061"/>
      <c r="G262" s="1062"/>
      <c r="H262" s="1269"/>
      <c r="I262" s="1056"/>
      <c r="J262" s="1111"/>
      <c r="K262" s="1025"/>
    </row>
    <row r="263" spans="1:11">
      <c r="A263" s="1039"/>
      <c r="B263" s="1039"/>
      <c r="C263" s="1025"/>
      <c r="D263" s="1025"/>
      <c r="E263" s="1025"/>
      <c r="F263" s="1061"/>
      <c r="G263" s="1062"/>
      <c r="H263" s="1269"/>
      <c r="I263" s="1056"/>
      <c r="J263" s="1111"/>
      <c r="K263" s="1025"/>
    </row>
    <row r="264" spans="1:11">
      <c r="A264" s="1039"/>
      <c r="B264" s="1039"/>
      <c r="C264" s="1025"/>
      <c r="D264" s="1025"/>
      <c r="E264" s="1025"/>
      <c r="F264" s="1061"/>
      <c r="G264" s="1062"/>
      <c r="H264" s="1269"/>
      <c r="I264" s="1056"/>
      <c r="J264" s="1111"/>
      <c r="K264" s="1025"/>
    </row>
    <row r="265" spans="1:11">
      <c r="A265" s="1039"/>
      <c r="B265" s="1039"/>
      <c r="C265" s="1025"/>
      <c r="D265" s="1025"/>
      <c r="E265" s="1025"/>
      <c r="F265" s="1061"/>
      <c r="G265" s="1062"/>
      <c r="H265" s="1269"/>
      <c r="I265" s="1056"/>
      <c r="J265" s="1111"/>
      <c r="K265" s="1025"/>
    </row>
    <row r="266" spans="1:11">
      <c r="A266" s="1039"/>
      <c r="B266" s="1039"/>
      <c r="C266" s="1025"/>
      <c r="D266" s="1025"/>
      <c r="E266" s="1025"/>
      <c r="F266" s="1061"/>
      <c r="G266" s="1062"/>
      <c r="H266" s="1269"/>
      <c r="I266" s="1056"/>
      <c r="J266" s="1111"/>
      <c r="K266" s="1025"/>
    </row>
    <row r="267" spans="1:11">
      <c r="A267" s="1025"/>
      <c r="B267" s="1025"/>
      <c r="C267" s="1025"/>
      <c r="D267" s="1025"/>
      <c r="E267" s="1025"/>
      <c r="F267" s="1025"/>
      <c r="G267" s="1025"/>
      <c r="H267" s="1269"/>
      <c r="I267" s="1056"/>
      <c r="J267" s="1111"/>
      <c r="K267" s="1025"/>
    </row>
    <row r="268" spans="1:11">
      <c r="A268" s="1025"/>
      <c r="B268" s="1025"/>
      <c r="C268" s="1025"/>
      <c r="D268" s="1025"/>
      <c r="E268" s="1025"/>
      <c r="F268" s="1025"/>
      <c r="G268" s="1025"/>
      <c r="H268" s="1269"/>
      <c r="I268" s="1056"/>
      <c r="J268" s="1111"/>
      <c r="K268" s="1025"/>
    </row>
    <row r="269" spans="1:11">
      <c r="A269" s="1025"/>
      <c r="B269" s="1025"/>
      <c r="C269" s="1025"/>
      <c r="D269" s="1025"/>
      <c r="E269" s="1025"/>
      <c r="F269" s="1025"/>
      <c r="G269" s="1025"/>
      <c r="H269" s="1269"/>
      <c r="I269" s="1056"/>
      <c r="J269" s="1111"/>
      <c r="K269" s="1025"/>
    </row>
    <row r="270" spans="1:11">
      <c r="A270" s="1025"/>
      <c r="B270" s="1025"/>
      <c r="C270" s="1025"/>
      <c r="D270" s="1025"/>
      <c r="E270" s="1025"/>
      <c r="F270" s="1025"/>
      <c r="G270" s="1025"/>
      <c r="H270" s="1269"/>
      <c r="I270" s="1056"/>
      <c r="J270" s="1111"/>
      <c r="K270" s="1025"/>
    </row>
    <row r="271" spans="1:11">
      <c r="A271" s="1025"/>
      <c r="B271" s="1025"/>
      <c r="C271" s="1025"/>
      <c r="D271" s="1025"/>
      <c r="E271" s="1025"/>
      <c r="F271" s="1025"/>
      <c r="G271" s="1025"/>
      <c r="H271" s="1269"/>
      <c r="I271" s="1056"/>
      <c r="J271" s="1111"/>
      <c r="K271" s="1025"/>
    </row>
    <row r="272" spans="1:11">
      <c r="A272" s="1025"/>
      <c r="B272" s="1025"/>
      <c r="C272" s="1025"/>
      <c r="D272" s="1025"/>
      <c r="E272" s="1025"/>
      <c r="F272" s="1025"/>
      <c r="G272" s="1025"/>
      <c r="H272" s="1269"/>
      <c r="I272" s="1056"/>
      <c r="J272" s="1111"/>
      <c r="K272" s="1025"/>
    </row>
    <row r="273" spans="1:11">
      <c r="A273" s="1025"/>
      <c r="B273" s="1025"/>
      <c r="C273" s="1025"/>
      <c r="D273" s="1025"/>
      <c r="E273" s="1025"/>
      <c r="F273" s="1025"/>
      <c r="G273" s="1025"/>
      <c r="H273" s="1269"/>
      <c r="I273" s="1056"/>
      <c r="J273" s="1111"/>
      <c r="K273" s="1025"/>
    </row>
    <row r="274" spans="1:11">
      <c r="A274" s="1025"/>
      <c r="B274" s="1025"/>
      <c r="C274" s="1025"/>
      <c r="D274" s="1025"/>
      <c r="E274" s="1025"/>
      <c r="F274" s="1025"/>
      <c r="G274" s="1025"/>
      <c r="H274" s="1269"/>
      <c r="I274" s="1056"/>
      <c r="J274" s="1111"/>
      <c r="K274" s="1025"/>
    </row>
    <row r="275" spans="1:11">
      <c r="A275" s="1025"/>
      <c r="B275" s="1025"/>
      <c r="C275" s="1025"/>
      <c r="D275" s="1025"/>
      <c r="E275" s="1025"/>
      <c r="F275" s="1025"/>
      <c r="G275" s="1025"/>
      <c r="H275" s="1269"/>
      <c r="I275" s="1056"/>
      <c r="J275" s="1111"/>
      <c r="K275" s="1025"/>
    </row>
    <row r="276" spans="1:11">
      <c r="A276" s="1025"/>
      <c r="B276" s="1025"/>
      <c r="C276" s="1025"/>
      <c r="D276" s="1025"/>
      <c r="E276" s="1025"/>
      <c r="F276" s="1025"/>
      <c r="G276" s="1025"/>
      <c r="H276" s="1269"/>
      <c r="I276" s="1056"/>
      <c r="J276" s="1111"/>
      <c r="K276" s="1025"/>
    </row>
    <row r="277" spans="1:11">
      <c r="A277" s="1025"/>
      <c r="B277" s="1025"/>
      <c r="C277" s="1025"/>
      <c r="D277" s="1025"/>
      <c r="E277" s="1025"/>
      <c r="F277" s="1025"/>
      <c r="G277" s="1025"/>
      <c r="H277" s="1269"/>
      <c r="I277" s="1056"/>
      <c r="J277" s="1111"/>
      <c r="K277" s="1025"/>
    </row>
    <row r="278" spans="1:11">
      <c r="A278" s="1025"/>
      <c r="B278" s="1025"/>
      <c r="C278" s="1025"/>
      <c r="D278" s="1025"/>
      <c r="E278" s="1025"/>
      <c r="F278" s="1025"/>
      <c r="G278" s="1025"/>
      <c r="H278" s="1269"/>
      <c r="I278" s="1056"/>
      <c r="J278" s="1111"/>
      <c r="K278" s="1025"/>
    </row>
    <row r="279" spans="1:11">
      <c r="A279" s="1025"/>
      <c r="B279" s="1025"/>
      <c r="C279" s="1025"/>
      <c r="D279" s="1025"/>
      <c r="E279" s="1025"/>
      <c r="F279" s="1025"/>
      <c r="G279" s="1025"/>
      <c r="H279" s="1269"/>
      <c r="I279" s="1056"/>
      <c r="J279" s="1111"/>
      <c r="K279" s="1025"/>
    </row>
    <row r="280" spans="1:11">
      <c r="A280" s="1025"/>
      <c r="B280" s="1025"/>
      <c r="C280" s="1025"/>
      <c r="D280" s="1025"/>
      <c r="E280" s="1025"/>
      <c r="F280" s="1025"/>
      <c r="G280" s="1025"/>
      <c r="H280" s="1269"/>
      <c r="I280" s="1056"/>
      <c r="J280" s="1111"/>
      <c r="K280" s="1025"/>
    </row>
    <row r="281" spans="1:11" ht="15.75" thickBot="1">
      <c r="A281" s="1037"/>
      <c r="B281" s="1038"/>
      <c r="C281" s="1026"/>
      <c r="D281" s="1026"/>
      <c r="E281" s="1026"/>
      <c r="F281" s="1059"/>
      <c r="G281" s="1054"/>
      <c r="H281" s="1269"/>
      <c r="I281" s="1056"/>
      <c r="J281" s="1111"/>
      <c r="K281" s="1025"/>
    </row>
    <row r="282" spans="1:11" ht="20.25" thickBot="1">
      <c r="A282" s="1552"/>
      <c r="B282" s="1553"/>
      <c r="C282" s="1553"/>
      <c r="D282" s="1553"/>
      <c r="E282" s="1553"/>
      <c r="F282" s="1554">
        <f>SUM(F161:F169,F171:F281)</f>
        <v>0</v>
      </c>
      <c r="G282" s="1553"/>
      <c r="H282" s="1558">
        <f>SUM(H61:H281)</f>
        <v>0</v>
      </c>
      <c r="I282" s="1554">
        <f>SUM(I161:I281)</f>
        <v>0</v>
      </c>
      <c r="J282" s="1111"/>
      <c r="K282" s="1115"/>
    </row>
  </sheetData>
  <autoFilter ref="A1:K1" xr:uid="{FFB72ECD-D7AF-4EE8-9AA9-DA97842B4A45}">
    <sortState xmlns:xlrd2="http://schemas.microsoft.com/office/spreadsheetml/2017/richdata2" ref="A2:K48">
      <sortCondition ref="J1"/>
    </sortState>
  </autoFilter>
  <hyperlinks>
    <hyperlink ref="A61" location="'ANALISE 2025'!A1" display="VOLTAR" xr:uid="{D154DBBF-2A18-4C92-BF6D-728602D05792}"/>
  </hyperlinks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719C8-67D2-4802-8ABD-B7FC10A7072D}">
  <dimension ref="A1:K282"/>
  <sheetViews>
    <sheetView topLeftCell="A18" zoomScale="85" zoomScaleNormal="85" workbookViewId="0">
      <selection activeCell="J3" sqref="J3"/>
    </sheetView>
  </sheetViews>
  <sheetFormatPr defaultColWidth="9.140625" defaultRowHeight="15"/>
  <cols>
    <col min="1" max="1" width="15.140625" style="1032" bestFit="1" customWidth="1"/>
    <col min="2" max="2" width="13.5703125" style="1032" customWidth="1"/>
    <col min="3" max="3" width="44.5703125" style="1032" bestFit="1" customWidth="1"/>
    <col min="4" max="4" width="22.28515625" style="1032" bestFit="1" customWidth="1"/>
    <col min="5" max="5" width="11.5703125" style="1032" customWidth="1"/>
    <col min="6" max="6" width="22" style="1032" bestFit="1" customWidth="1"/>
    <col min="7" max="7" width="15" style="1032" customWidth="1"/>
    <col min="8" max="8" width="24.85546875" style="1032" bestFit="1" customWidth="1"/>
    <col min="9" max="9" width="23.28515625" style="1032" bestFit="1" customWidth="1"/>
    <col min="10" max="10" width="13.140625" style="1032" customWidth="1"/>
    <col min="11" max="11" width="16.5703125" style="1032" customWidth="1"/>
    <col min="12" max="16384" width="9.140625" style="1032"/>
  </cols>
  <sheetData>
    <row r="1" spans="1:11" s="1566" customFormat="1" ht="14.25" customHeight="1">
      <c r="A1" s="1559" t="s">
        <v>2519</v>
      </c>
      <c r="B1" s="1560" t="s">
        <v>2</v>
      </c>
      <c r="C1" s="1560" t="s">
        <v>3</v>
      </c>
      <c r="D1" s="1560" t="s">
        <v>4</v>
      </c>
      <c r="E1" s="1560" t="s">
        <v>5</v>
      </c>
      <c r="F1" s="1561" t="s">
        <v>644</v>
      </c>
      <c r="G1" s="1562" t="s">
        <v>555</v>
      </c>
      <c r="H1" s="1563" t="s">
        <v>7</v>
      </c>
      <c r="I1" s="1564" t="s">
        <v>307</v>
      </c>
      <c r="J1" s="1562" t="s">
        <v>370</v>
      </c>
      <c r="K1" s="1565" t="s">
        <v>442</v>
      </c>
    </row>
    <row r="2" spans="1:11">
      <c r="A2" s="1040">
        <v>45717</v>
      </c>
      <c r="B2" s="1042">
        <v>46082</v>
      </c>
      <c r="C2" s="1030" t="s">
        <v>2805</v>
      </c>
      <c r="D2" s="1030" t="s">
        <v>448</v>
      </c>
      <c r="E2" s="1030" t="s">
        <v>19</v>
      </c>
      <c r="F2" s="1072">
        <v>2330.4</v>
      </c>
      <c r="G2" s="1073">
        <v>0.1</v>
      </c>
      <c r="H2" s="1067">
        <v>209.73</v>
      </c>
      <c r="I2" s="1068"/>
      <c r="J2" s="1112" t="s">
        <v>1470</v>
      </c>
      <c r="K2" s="1112" t="s">
        <v>2015</v>
      </c>
    </row>
    <row r="3" spans="1:11" ht="15.75">
      <c r="A3" s="1040">
        <v>45727</v>
      </c>
      <c r="B3" s="1042">
        <v>46092</v>
      </c>
      <c r="C3" s="1030" t="s">
        <v>2493</v>
      </c>
      <c r="D3" s="1030" t="s">
        <v>448</v>
      </c>
      <c r="E3" s="1030" t="s">
        <v>143</v>
      </c>
      <c r="F3" s="1072">
        <v>1782.07</v>
      </c>
      <c r="G3" s="1073">
        <v>0.1</v>
      </c>
      <c r="H3" s="1067">
        <v>160.38</v>
      </c>
      <c r="I3" s="1068"/>
      <c r="J3" s="1112" t="s">
        <v>1470</v>
      </c>
      <c r="K3" s="1601" t="s">
        <v>2015</v>
      </c>
    </row>
    <row r="4" spans="1:11" ht="15.75">
      <c r="A4" s="1041">
        <v>45737</v>
      </c>
      <c r="B4" s="1041">
        <v>46103</v>
      </c>
      <c r="C4" s="1027" t="s">
        <v>2814</v>
      </c>
      <c r="D4" s="1027" t="s">
        <v>1862</v>
      </c>
      <c r="E4" s="1027" t="s">
        <v>1310</v>
      </c>
      <c r="F4" s="1065">
        <v>15153.8</v>
      </c>
      <c r="G4" s="1066">
        <v>0.1</v>
      </c>
      <c r="H4" s="1067">
        <v>1363.84</v>
      </c>
      <c r="I4" s="1243"/>
      <c r="J4" s="1027" t="s">
        <v>1470</v>
      </c>
      <c r="K4" s="1115" t="s">
        <v>2015</v>
      </c>
    </row>
    <row r="5" spans="1:11" ht="15.75">
      <c r="A5" s="1040">
        <v>45740</v>
      </c>
      <c r="B5" s="1042">
        <v>46108</v>
      </c>
      <c r="C5" s="1027" t="s">
        <v>2503</v>
      </c>
      <c r="D5" s="1030" t="s">
        <v>381</v>
      </c>
      <c r="E5" s="1030" t="s">
        <v>279</v>
      </c>
      <c r="F5" s="1072">
        <v>1547.77</v>
      </c>
      <c r="G5" s="1073">
        <v>0.1</v>
      </c>
      <c r="H5" s="1067">
        <v>139.29</v>
      </c>
      <c r="I5" s="1068"/>
      <c r="J5" s="1112" t="s">
        <v>1470</v>
      </c>
      <c r="K5" s="1115" t="s">
        <v>2015</v>
      </c>
    </row>
    <row r="6" spans="1:11" s="1025" customFormat="1" ht="15.75">
      <c r="A6" s="1041">
        <v>45744</v>
      </c>
      <c r="B6" s="1041">
        <v>46110</v>
      </c>
      <c r="C6" s="1027" t="s">
        <v>2815</v>
      </c>
      <c r="D6" s="1027" t="s">
        <v>70</v>
      </c>
      <c r="E6" s="1027" t="s">
        <v>279</v>
      </c>
      <c r="F6" s="1065">
        <v>2294.02</v>
      </c>
      <c r="G6" s="1066">
        <v>0.1</v>
      </c>
      <c r="H6" s="1067">
        <v>206.46</v>
      </c>
      <c r="I6" s="1243"/>
      <c r="J6" s="1027" t="s">
        <v>1470</v>
      </c>
      <c r="K6" s="1115" t="s">
        <v>2015</v>
      </c>
    </row>
    <row r="7" spans="1:11" s="1025" customFormat="1" ht="15.75">
      <c r="A7" s="1041">
        <v>45737</v>
      </c>
      <c r="B7" s="1041">
        <v>46111</v>
      </c>
      <c r="C7" s="1027" t="s">
        <v>2810</v>
      </c>
      <c r="D7" s="1027" t="s">
        <v>21</v>
      </c>
      <c r="E7" s="1027" t="s">
        <v>945</v>
      </c>
      <c r="F7" s="1065">
        <v>1698.83</v>
      </c>
      <c r="G7" s="1066">
        <v>0.1</v>
      </c>
      <c r="H7" s="1067">
        <v>152.88999999999999</v>
      </c>
      <c r="I7" s="1243"/>
      <c r="J7" s="1027" t="s">
        <v>1470</v>
      </c>
      <c r="K7" s="1115" t="s">
        <v>2015</v>
      </c>
    </row>
    <row r="8" spans="1:11" ht="15.75">
      <c r="A8" s="1624">
        <v>45714</v>
      </c>
      <c r="B8" s="1625">
        <v>46082</v>
      </c>
      <c r="C8" s="1626" t="s">
        <v>2804</v>
      </c>
      <c r="D8" s="1626" t="s">
        <v>61</v>
      </c>
      <c r="E8" s="1626" t="s">
        <v>143</v>
      </c>
      <c r="F8" s="1627">
        <v>3762.45</v>
      </c>
      <c r="G8" s="1628">
        <v>0.15</v>
      </c>
      <c r="H8" s="1629">
        <v>507.93</v>
      </c>
      <c r="I8" s="1630">
        <v>253.96</v>
      </c>
      <c r="J8" s="1631" t="s">
        <v>1577</v>
      </c>
      <c r="K8" s="1291" t="s">
        <v>2015</v>
      </c>
    </row>
    <row r="9" spans="1:11" ht="15.75">
      <c r="A9" s="1223">
        <v>45716</v>
      </c>
      <c r="B9" s="1472">
        <v>46084</v>
      </c>
      <c r="C9" s="1225" t="s">
        <v>1282</v>
      </c>
      <c r="D9" s="1225" t="s">
        <v>448</v>
      </c>
      <c r="E9" s="1225" t="s">
        <v>279</v>
      </c>
      <c r="F9" s="1477">
        <v>1437.76</v>
      </c>
      <c r="G9" s="1480">
        <v>0.1</v>
      </c>
      <c r="H9" s="1226">
        <v>129.38999999999999</v>
      </c>
      <c r="I9" s="1227">
        <v>64.69</v>
      </c>
      <c r="J9" s="1228" t="s">
        <v>1577</v>
      </c>
      <c r="K9" s="1115" t="s">
        <v>2015</v>
      </c>
    </row>
    <row r="10" spans="1:11" ht="15" customHeight="1">
      <c r="A10" s="1223">
        <v>45721</v>
      </c>
      <c r="B10" s="1472">
        <v>46086</v>
      </c>
      <c r="C10" s="1225" t="s">
        <v>2806</v>
      </c>
      <c r="D10" s="1225" t="s">
        <v>448</v>
      </c>
      <c r="E10" s="1225" t="s">
        <v>29</v>
      </c>
      <c r="F10" s="1477">
        <v>1729.9</v>
      </c>
      <c r="G10" s="1480">
        <v>0.15</v>
      </c>
      <c r="H10" s="1226">
        <v>233.53</v>
      </c>
      <c r="I10" s="1227">
        <v>116.76</v>
      </c>
      <c r="J10" s="1228" t="s">
        <v>1577</v>
      </c>
      <c r="K10" s="1115" t="s">
        <v>2015</v>
      </c>
    </row>
    <row r="11" spans="1:11" ht="15.75">
      <c r="A11" s="1223">
        <v>45723</v>
      </c>
      <c r="B11" s="1472">
        <v>46089</v>
      </c>
      <c r="C11" s="1225" t="s">
        <v>2199</v>
      </c>
      <c r="D11" s="1225" t="s">
        <v>70</v>
      </c>
      <c r="E11" s="1225" t="s">
        <v>279</v>
      </c>
      <c r="F11" s="1477">
        <v>3541.85</v>
      </c>
      <c r="G11" s="1480">
        <v>0.1</v>
      </c>
      <c r="H11" s="1226">
        <v>318.76</v>
      </c>
      <c r="I11" s="1227">
        <v>159.38</v>
      </c>
      <c r="J11" s="1228" t="s">
        <v>1577</v>
      </c>
      <c r="K11" s="1115" t="s">
        <v>2015</v>
      </c>
    </row>
    <row r="12" spans="1:11" ht="15.75">
      <c r="A12" s="1223">
        <v>45730</v>
      </c>
      <c r="B12" s="1472">
        <v>46095</v>
      </c>
      <c r="C12" s="1224" t="s">
        <v>2808</v>
      </c>
      <c r="D12" s="1224" t="s">
        <v>448</v>
      </c>
      <c r="E12" s="1224" t="s">
        <v>19</v>
      </c>
      <c r="F12" s="1567">
        <v>3179.51</v>
      </c>
      <c r="G12" s="1409">
        <v>0.1</v>
      </c>
      <c r="H12" s="1226">
        <v>286.14999999999998</v>
      </c>
      <c r="I12" s="1227">
        <v>143.07</v>
      </c>
      <c r="J12" s="1228" t="s">
        <v>1577</v>
      </c>
      <c r="K12" s="1115" t="s">
        <v>2010</v>
      </c>
    </row>
    <row r="13" spans="1:11" s="1031" customFormat="1" ht="15.75">
      <c r="A13" s="1223">
        <v>45740</v>
      </c>
      <c r="B13" s="1472">
        <v>46101</v>
      </c>
      <c r="C13" s="1224" t="s">
        <v>2809</v>
      </c>
      <c r="D13" s="1224" t="s">
        <v>9</v>
      </c>
      <c r="E13" s="1224" t="s">
        <v>948</v>
      </c>
      <c r="F13" s="1232">
        <v>2464.4299999999998</v>
      </c>
      <c r="G13" s="1409">
        <v>0.2</v>
      </c>
      <c r="H13" s="1226">
        <v>443.59</v>
      </c>
      <c r="I13" s="1227">
        <v>221.79</v>
      </c>
      <c r="J13" s="1228" t="s">
        <v>1577</v>
      </c>
      <c r="K13" s="1115" t="s">
        <v>2010</v>
      </c>
    </row>
    <row r="14" spans="1:11" ht="15.75">
      <c r="A14" s="1223">
        <v>45741</v>
      </c>
      <c r="B14" s="1472">
        <v>46111</v>
      </c>
      <c r="C14" s="1225" t="s">
        <v>2020</v>
      </c>
      <c r="D14" s="1225" t="s">
        <v>448</v>
      </c>
      <c r="E14" s="1224" t="s">
        <v>1593</v>
      </c>
      <c r="F14" s="1407">
        <v>3373</v>
      </c>
      <c r="G14" s="1409">
        <v>0.2</v>
      </c>
      <c r="H14" s="1226">
        <v>607.14</v>
      </c>
      <c r="I14" s="1227">
        <v>303.57</v>
      </c>
      <c r="J14" s="1228" t="s">
        <v>1577</v>
      </c>
      <c r="K14" s="1115" t="s">
        <v>2015</v>
      </c>
    </row>
    <row r="15" spans="1:11">
      <c r="A15" s="1037">
        <v>45712</v>
      </c>
      <c r="B15" s="1038">
        <v>46085</v>
      </c>
      <c r="C15" s="1025" t="s">
        <v>1995</v>
      </c>
      <c r="D15" s="1026" t="s">
        <v>448</v>
      </c>
      <c r="E15" s="1025" t="s">
        <v>10</v>
      </c>
      <c r="F15" s="1023">
        <v>1282.6500000000001</v>
      </c>
      <c r="G15" s="1062">
        <v>0.15</v>
      </c>
      <c r="H15" s="1023">
        <v>173.56</v>
      </c>
      <c r="I15" s="1056"/>
      <c r="J15" s="1111"/>
      <c r="K15" s="1025" t="s">
        <v>2015</v>
      </c>
    </row>
    <row r="16" spans="1:11">
      <c r="A16" s="1037">
        <v>45713</v>
      </c>
      <c r="B16" s="1038">
        <v>46085</v>
      </c>
      <c r="C16" s="1025" t="s">
        <v>1299</v>
      </c>
      <c r="D16" s="1026" t="s">
        <v>25</v>
      </c>
      <c r="E16" s="1025" t="s">
        <v>10</v>
      </c>
      <c r="F16" s="1061">
        <v>1221.08</v>
      </c>
      <c r="G16" s="1062">
        <v>0.15</v>
      </c>
      <c r="H16" s="1055">
        <v>164.84</v>
      </c>
      <c r="I16" s="1056"/>
      <c r="J16" s="1111"/>
      <c r="K16" s="1025" t="s">
        <v>2015</v>
      </c>
    </row>
    <row r="17" spans="1:11" ht="15.75">
      <c r="A17" s="1037">
        <v>45722</v>
      </c>
      <c r="B17" s="1038">
        <v>46087</v>
      </c>
      <c r="C17" s="1025" t="s">
        <v>1998</v>
      </c>
      <c r="D17" s="1026" t="s">
        <v>61</v>
      </c>
      <c r="E17" s="1025" t="s">
        <v>10</v>
      </c>
      <c r="F17" s="1061">
        <v>1214.02</v>
      </c>
      <c r="G17" s="1062">
        <v>0.15</v>
      </c>
      <c r="H17" s="1055">
        <v>163.89</v>
      </c>
      <c r="I17" s="1056"/>
      <c r="J17" s="1111"/>
      <c r="K17" s="1115" t="s">
        <v>2015</v>
      </c>
    </row>
    <row r="18" spans="1:11" ht="15.75">
      <c r="A18" s="1039">
        <v>45722</v>
      </c>
      <c r="B18" s="1039">
        <v>46087</v>
      </c>
      <c r="C18" s="1025" t="s">
        <v>2807</v>
      </c>
      <c r="D18" s="1025" t="s">
        <v>70</v>
      </c>
      <c r="E18" s="1025" t="s">
        <v>279</v>
      </c>
      <c r="F18" s="1061">
        <v>654.75</v>
      </c>
      <c r="G18" s="1062">
        <v>0.1</v>
      </c>
      <c r="H18" s="1055">
        <v>58.92</v>
      </c>
      <c r="I18" s="1056"/>
      <c r="J18" s="1111"/>
      <c r="K18" s="1115" t="s">
        <v>2274</v>
      </c>
    </row>
    <row r="19" spans="1:11" ht="15.75">
      <c r="A19" s="1039">
        <v>45722</v>
      </c>
      <c r="B19" s="1039">
        <v>46087</v>
      </c>
      <c r="C19" s="1025" t="s">
        <v>1312</v>
      </c>
      <c r="D19" s="1025" t="s">
        <v>33</v>
      </c>
      <c r="E19" s="1025" t="s">
        <v>10</v>
      </c>
      <c r="F19" s="1061">
        <v>2588.84</v>
      </c>
      <c r="G19" s="1062">
        <v>0.15</v>
      </c>
      <c r="H19" s="1055">
        <v>349.49</v>
      </c>
      <c r="I19" s="1056"/>
      <c r="J19" s="1111"/>
      <c r="K19" s="1115" t="s">
        <v>2015</v>
      </c>
    </row>
    <row r="20" spans="1:11" ht="15.75">
      <c r="A20" s="1037">
        <v>45723</v>
      </c>
      <c r="B20" s="1039">
        <v>46090</v>
      </c>
      <c r="C20" s="1025" t="s">
        <v>2816</v>
      </c>
      <c r="D20" s="1026" t="s">
        <v>25</v>
      </c>
      <c r="E20" s="1025" t="s">
        <v>29</v>
      </c>
      <c r="F20" s="1061">
        <v>1324.68</v>
      </c>
      <c r="G20" s="1062">
        <v>0.15</v>
      </c>
      <c r="H20" s="1055">
        <v>178.83</v>
      </c>
      <c r="I20" s="1056"/>
      <c r="J20" s="1111"/>
      <c r="K20" s="1115" t="s">
        <v>2015</v>
      </c>
    </row>
    <row r="21" spans="1:11" s="1031" customFormat="1" ht="15.75">
      <c r="A21" s="1037">
        <v>45723</v>
      </c>
      <c r="B21" s="1039">
        <v>46091</v>
      </c>
      <c r="C21" s="1025" t="s">
        <v>2492</v>
      </c>
      <c r="D21" s="1026" t="s">
        <v>9</v>
      </c>
      <c r="E21" s="1025" t="s">
        <v>948</v>
      </c>
      <c r="F21" s="1023">
        <v>1192.32</v>
      </c>
      <c r="G21" s="1062">
        <v>0.15</v>
      </c>
      <c r="H21" s="1055">
        <v>160.91999999999999</v>
      </c>
      <c r="I21" s="1056"/>
      <c r="J21" s="1111"/>
      <c r="K21" s="1115" t="s">
        <v>2015</v>
      </c>
    </row>
    <row r="22" spans="1:11" ht="15.75">
      <c r="A22" s="1037">
        <v>45728</v>
      </c>
      <c r="B22" s="1039">
        <v>46092</v>
      </c>
      <c r="C22" s="1025" t="s">
        <v>1788</v>
      </c>
      <c r="D22" s="1026" t="s">
        <v>70</v>
      </c>
      <c r="E22" s="1025" t="s">
        <v>279</v>
      </c>
      <c r="F22" s="1061">
        <v>693.26</v>
      </c>
      <c r="G22" s="1062">
        <v>0.1</v>
      </c>
      <c r="H22" s="1055">
        <v>62.39</v>
      </c>
      <c r="I22" s="1056"/>
      <c r="J22" s="1111"/>
      <c r="K22" s="1115" t="s">
        <v>2274</v>
      </c>
    </row>
    <row r="23" spans="1:11" ht="15.75">
      <c r="A23" s="1039">
        <v>45729</v>
      </c>
      <c r="B23" s="1039">
        <v>46094</v>
      </c>
      <c r="C23" s="1025" t="s">
        <v>2802</v>
      </c>
      <c r="D23" s="1025" t="s">
        <v>70</v>
      </c>
      <c r="E23" s="1025" t="s">
        <v>279</v>
      </c>
      <c r="F23" s="1061">
        <v>3687.42</v>
      </c>
      <c r="G23" s="1062">
        <v>0.1</v>
      </c>
      <c r="H23" s="1055">
        <v>331.59</v>
      </c>
      <c r="I23" s="1242"/>
      <c r="J23" s="1025"/>
      <c r="K23" s="1115" t="s">
        <v>2015</v>
      </c>
    </row>
    <row r="24" spans="1:11" ht="15.75">
      <c r="A24" s="1037">
        <v>45723</v>
      </c>
      <c r="B24" s="1039">
        <v>46095</v>
      </c>
      <c r="C24" s="1032" t="s">
        <v>1719</v>
      </c>
      <c r="D24" s="1026" t="s">
        <v>448</v>
      </c>
      <c r="E24" s="1026" t="s">
        <v>29</v>
      </c>
      <c r="F24" s="1071">
        <v>1360.45</v>
      </c>
      <c r="G24" s="1062">
        <v>0.15</v>
      </c>
      <c r="H24" s="1055">
        <v>183.66</v>
      </c>
      <c r="I24" s="1056"/>
      <c r="J24" s="1111"/>
      <c r="K24" s="1115" t="s">
        <v>2015</v>
      </c>
    </row>
    <row r="25" spans="1:11" ht="15.75">
      <c r="A25" s="1037">
        <v>45728</v>
      </c>
      <c r="B25" s="1038">
        <v>46096</v>
      </c>
      <c r="C25" s="1025" t="s">
        <v>676</v>
      </c>
      <c r="D25" s="1026" t="s">
        <v>14</v>
      </c>
      <c r="E25" s="1026" t="s">
        <v>22</v>
      </c>
      <c r="F25" s="1059">
        <v>1178.98</v>
      </c>
      <c r="G25" s="1054">
        <v>0.15</v>
      </c>
      <c r="H25" s="1055">
        <v>159.16</v>
      </c>
      <c r="I25" s="1056"/>
      <c r="J25" s="1111"/>
      <c r="K25" s="1115" t="s">
        <v>2015</v>
      </c>
    </row>
    <row r="26" spans="1:11">
      <c r="A26" s="1037">
        <v>45729</v>
      </c>
      <c r="B26" s="1038">
        <v>46098</v>
      </c>
      <c r="C26" s="1039" t="s">
        <v>2011</v>
      </c>
      <c r="D26" s="1038" t="s">
        <v>25</v>
      </c>
      <c r="E26" s="1038" t="s">
        <v>143</v>
      </c>
      <c r="F26" s="1053">
        <v>2152.84</v>
      </c>
      <c r="G26" s="1054">
        <v>0.15</v>
      </c>
      <c r="H26" s="1023">
        <v>290.63</v>
      </c>
      <c r="I26" s="1089"/>
      <c r="J26" s="1325"/>
      <c r="K26" s="1039" t="s">
        <v>2015</v>
      </c>
    </row>
    <row r="27" spans="1:11" ht="15.75">
      <c r="A27" s="1037">
        <v>45729</v>
      </c>
      <c r="B27" s="1038">
        <v>46098</v>
      </c>
      <c r="C27" s="1025" t="s">
        <v>1497</v>
      </c>
      <c r="D27" s="1026" t="s">
        <v>448</v>
      </c>
      <c r="E27" s="1026" t="s">
        <v>948</v>
      </c>
      <c r="F27" s="1059">
        <v>4128.7</v>
      </c>
      <c r="G27" s="1054">
        <v>0.1</v>
      </c>
      <c r="H27" s="1055">
        <v>371.58</v>
      </c>
      <c r="I27" s="1056"/>
      <c r="J27" s="1111"/>
      <c r="K27" s="1115" t="s">
        <v>2015</v>
      </c>
    </row>
    <row r="28" spans="1:11" ht="15.75">
      <c r="A28" s="1039">
        <v>45735</v>
      </c>
      <c r="B28" s="1039">
        <v>46101</v>
      </c>
      <c r="C28" s="1025" t="s">
        <v>2817</v>
      </c>
      <c r="D28" s="1025" t="s">
        <v>9</v>
      </c>
      <c r="E28" s="1025" t="s">
        <v>1552</v>
      </c>
      <c r="F28" s="1023">
        <v>2080</v>
      </c>
      <c r="G28" s="1062">
        <v>0.15</v>
      </c>
      <c r="H28" s="1023">
        <v>280.8</v>
      </c>
      <c r="I28" s="1242"/>
      <c r="J28" s="1025"/>
      <c r="K28" s="1115" t="s">
        <v>2015</v>
      </c>
    </row>
    <row r="29" spans="1:11" ht="15.75">
      <c r="A29" s="1037">
        <v>45734</v>
      </c>
      <c r="B29" s="1038">
        <v>46104</v>
      </c>
      <c r="C29" s="1025" t="s">
        <v>1579</v>
      </c>
      <c r="D29" s="1026" t="s">
        <v>14</v>
      </c>
      <c r="E29" s="1026" t="s">
        <v>10</v>
      </c>
      <c r="F29" s="1059">
        <v>1192.3399999999999</v>
      </c>
      <c r="G29" s="1054">
        <v>0.2</v>
      </c>
      <c r="H29" s="1055">
        <v>214.62</v>
      </c>
      <c r="I29" s="1056"/>
      <c r="J29" s="1111"/>
      <c r="K29" s="1115" t="s">
        <v>2015</v>
      </c>
    </row>
    <row r="30" spans="1:11" ht="15.75">
      <c r="A30" s="1037">
        <v>45734</v>
      </c>
      <c r="B30" s="1038">
        <v>46104</v>
      </c>
      <c r="C30" s="1026" t="s">
        <v>882</v>
      </c>
      <c r="D30" s="1026" t="s">
        <v>25</v>
      </c>
      <c r="E30" s="1026" t="s">
        <v>22</v>
      </c>
      <c r="F30" s="1053">
        <v>1082.71</v>
      </c>
      <c r="G30" s="1054">
        <v>0.15</v>
      </c>
      <c r="H30" s="1055">
        <v>146.16</v>
      </c>
      <c r="I30" s="1056"/>
      <c r="J30" s="1111"/>
      <c r="K30" s="1115" t="s">
        <v>2015</v>
      </c>
    </row>
    <row r="31" spans="1:11" ht="15.75">
      <c r="A31" s="1037">
        <v>45741</v>
      </c>
      <c r="B31" s="1038">
        <v>46107</v>
      </c>
      <c r="C31" s="1026" t="s">
        <v>1325</v>
      </c>
      <c r="D31" s="1026" t="s">
        <v>448</v>
      </c>
      <c r="E31" s="1026" t="s">
        <v>948</v>
      </c>
      <c r="F31" s="1053">
        <v>1521.62</v>
      </c>
      <c r="G31" s="1054">
        <v>0.1</v>
      </c>
      <c r="H31" s="1055">
        <v>136.94</v>
      </c>
      <c r="I31" s="1056"/>
      <c r="J31" s="1111"/>
      <c r="K31" s="1115" t="s">
        <v>2015</v>
      </c>
    </row>
    <row r="32" spans="1:11" ht="15.75">
      <c r="A32" s="1037">
        <v>45741</v>
      </c>
      <c r="B32" s="1038">
        <v>46107</v>
      </c>
      <c r="C32" s="1025" t="s">
        <v>1856</v>
      </c>
      <c r="D32" s="1026" t="s">
        <v>381</v>
      </c>
      <c r="E32" s="1026" t="s">
        <v>279</v>
      </c>
      <c r="F32" s="1059">
        <v>764.22</v>
      </c>
      <c r="G32" s="1054">
        <v>0.15</v>
      </c>
      <c r="H32" s="1055">
        <v>103.16</v>
      </c>
      <c r="I32" s="1056"/>
      <c r="J32" s="1111"/>
      <c r="K32" s="1115" t="s">
        <v>2015</v>
      </c>
    </row>
    <row r="33" spans="1:11" ht="15.75">
      <c r="A33" s="1037">
        <v>45744</v>
      </c>
      <c r="B33" s="1038">
        <v>46108</v>
      </c>
      <c r="C33" s="1026" t="s">
        <v>2812</v>
      </c>
      <c r="D33" s="1026" t="s">
        <v>25</v>
      </c>
      <c r="E33" s="1025" t="s">
        <v>10</v>
      </c>
      <c r="F33" s="1061">
        <v>1943.83</v>
      </c>
      <c r="G33" s="1062">
        <v>0.1</v>
      </c>
      <c r="H33" s="1055">
        <v>174.94</v>
      </c>
      <c r="I33" s="1056"/>
      <c r="J33" s="1111"/>
      <c r="K33" s="1115" t="s">
        <v>2015</v>
      </c>
    </row>
    <row r="34" spans="1:11" ht="15.75">
      <c r="A34" s="1037">
        <v>45744</v>
      </c>
      <c r="B34" s="1038">
        <v>46109</v>
      </c>
      <c r="C34" s="1026" t="s">
        <v>2813</v>
      </c>
      <c r="D34" s="1026" t="s">
        <v>448</v>
      </c>
      <c r="E34" s="1026" t="s">
        <v>19</v>
      </c>
      <c r="F34" s="1059">
        <v>2065.0500000000002</v>
      </c>
      <c r="G34" s="1054">
        <v>0.1</v>
      </c>
      <c r="H34" s="1055">
        <v>185.85</v>
      </c>
      <c r="I34" s="1056"/>
      <c r="J34" s="1111"/>
      <c r="K34" s="1115" t="s">
        <v>2010</v>
      </c>
    </row>
    <row r="35" spans="1:11" ht="15.75">
      <c r="A35" s="1037">
        <v>45744</v>
      </c>
      <c r="B35" s="1039">
        <v>46109</v>
      </c>
      <c r="C35" s="1025" t="s">
        <v>2143</v>
      </c>
      <c r="D35" s="1026" t="s">
        <v>448</v>
      </c>
      <c r="E35" s="1025" t="s">
        <v>29</v>
      </c>
      <c r="F35" s="1061">
        <v>1840.49</v>
      </c>
      <c r="G35" s="1062">
        <v>0.1</v>
      </c>
      <c r="H35" s="1055">
        <v>165.64</v>
      </c>
      <c r="I35" s="1056"/>
      <c r="J35" s="1111"/>
      <c r="K35" s="1115" t="s">
        <v>2015</v>
      </c>
    </row>
    <row r="36" spans="1:11" ht="15.75">
      <c r="A36" s="1037">
        <v>45737</v>
      </c>
      <c r="B36" s="1038">
        <v>46110</v>
      </c>
      <c r="C36" s="1026" t="s">
        <v>272</v>
      </c>
      <c r="D36" s="1026" t="s">
        <v>21</v>
      </c>
      <c r="E36" s="1026" t="s">
        <v>10</v>
      </c>
      <c r="F36" s="1071">
        <v>1272.3499999999999</v>
      </c>
      <c r="G36" s="1054">
        <v>0.15</v>
      </c>
      <c r="H36" s="1055">
        <v>171.76</v>
      </c>
      <c r="I36" s="1056"/>
      <c r="J36" s="1111"/>
      <c r="K36" s="1115" t="s">
        <v>2015</v>
      </c>
    </row>
    <row r="37" spans="1:11" ht="15.75">
      <c r="A37" s="1037">
        <v>45730</v>
      </c>
      <c r="B37" s="1038" t="s">
        <v>2803</v>
      </c>
      <c r="C37" s="1026" t="s">
        <v>2811</v>
      </c>
      <c r="D37" s="1026" t="s">
        <v>9</v>
      </c>
      <c r="E37" s="1026" t="s">
        <v>10</v>
      </c>
      <c r="F37" s="1053">
        <v>3528.83</v>
      </c>
      <c r="G37" s="1054">
        <v>0.1</v>
      </c>
      <c r="H37" s="1055">
        <v>317.58999999999997</v>
      </c>
      <c r="I37" s="1056"/>
      <c r="J37" s="1111"/>
      <c r="K37" s="1115" t="s">
        <v>2015</v>
      </c>
    </row>
    <row r="38" spans="1:11" ht="15.75">
      <c r="A38" s="1037">
        <v>45729</v>
      </c>
      <c r="B38" s="1038" t="s">
        <v>1805</v>
      </c>
      <c r="C38" s="1026" t="s">
        <v>2801</v>
      </c>
      <c r="D38" s="1026" t="s">
        <v>70</v>
      </c>
      <c r="E38" s="1026" t="s">
        <v>10</v>
      </c>
      <c r="F38" s="1059">
        <v>1092.92</v>
      </c>
      <c r="G38" s="1054">
        <v>0.15</v>
      </c>
      <c r="H38" s="1055">
        <v>147.54</v>
      </c>
      <c r="I38" s="1056"/>
      <c r="J38" s="1111"/>
      <c r="K38" s="1115" t="s">
        <v>1805</v>
      </c>
    </row>
    <row r="39" spans="1:11" ht="15.75">
      <c r="A39" s="1037"/>
      <c r="B39" s="1038"/>
      <c r="C39" s="1026"/>
      <c r="D39" s="1026"/>
      <c r="E39" s="1026"/>
      <c r="F39" s="1059"/>
      <c r="G39" s="1054"/>
      <c r="H39" s="1055"/>
      <c r="I39" s="1056"/>
      <c r="J39" s="1111"/>
      <c r="K39" s="1115"/>
    </row>
    <row r="40" spans="1:11" ht="15.75">
      <c r="A40" s="1037"/>
      <c r="B40" s="1038"/>
      <c r="C40" s="1025"/>
      <c r="D40" s="1026"/>
      <c r="E40" s="1026"/>
      <c r="F40" s="1059"/>
      <c r="G40" s="1054"/>
      <c r="H40" s="1055"/>
      <c r="I40" s="1056"/>
      <c r="J40" s="1111"/>
      <c r="K40" s="1115"/>
    </row>
    <row r="41" spans="1:11" ht="15.75">
      <c r="A41" s="1037"/>
      <c r="B41" s="1038"/>
      <c r="C41" s="1025"/>
      <c r="D41" s="1026"/>
      <c r="E41" s="1026"/>
      <c r="F41" s="1059"/>
      <c r="G41" s="1054"/>
      <c r="H41" s="1055"/>
      <c r="I41" s="1056"/>
      <c r="J41" s="1111"/>
      <c r="K41" s="1115"/>
    </row>
    <row r="42" spans="1:11" ht="15.75">
      <c r="A42" s="1037"/>
      <c r="B42" s="1038"/>
      <c r="C42" s="1026"/>
      <c r="D42" s="1026"/>
      <c r="E42" s="1026"/>
      <c r="F42" s="1059"/>
      <c r="G42" s="1054"/>
      <c r="H42" s="1055"/>
      <c r="I42" s="1056"/>
      <c r="J42" s="1111"/>
      <c r="K42" s="1115"/>
    </row>
    <row r="43" spans="1:11" ht="15.75">
      <c r="A43" s="1037"/>
      <c r="B43" s="1038"/>
      <c r="C43" s="1026"/>
      <c r="D43" s="1026"/>
      <c r="E43" s="1026"/>
      <c r="F43" s="1059"/>
      <c r="G43" s="1054"/>
      <c r="H43" s="1088"/>
      <c r="I43" s="1089"/>
      <c r="J43" s="1111"/>
      <c r="K43" s="1115"/>
    </row>
    <row r="44" spans="1:11" ht="15.75">
      <c r="A44" s="1037"/>
      <c r="B44" s="1038"/>
      <c r="C44" s="1026"/>
      <c r="D44" s="1026"/>
      <c r="E44" s="1026"/>
      <c r="F44" s="1484"/>
      <c r="G44" s="1054"/>
      <c r="H44" s="1055"/>
      <c r="I44" s="1056"/>
      <c r="J44" s="1111"/>
      <c r="K44" s="1115"/>
    </row>
    <row r="45" spans="1:11" ht="15.75">
      <c r="A45" s="1037"/>
      <c r="B45" s="1038"/>
      <c r="C45" s="1026"/>
      <c r="D45" s="1026"/>
      <c r="E45" s="1026"/>
      <c r="F45" s="1059"/>
      <c r="G45" s="1054"/>
      <c r="H45" s="1055"/>
      <c r="I45" s="1056"/>
      <c r="J45" s="1111"/>
      <c r="K45" s="1115"/>
    </row>
    <row r="46" spans="1:11" ht="15.75">
      <c r="A46" s="1037"/>
      <c r="B46" s="1038"/>
      <c r="C46" s="1026"/>
      <c r="D46" s="1026"/>
      <c r="E46" s="1026"/>
      <c r="F46" s="1059"/>
      <c r="G46" s="1054"/>
      <c r="H46" s="1055"/>
      <c r="I46" s="1056"/>
      <c r="J46" s="1111"/>
      <c r="K46" s="1115"/>
    </row>
    <row r="47" spans="1:11" ht="15.75">
      <c r="A47" s="1037"/>
      <c r="B47" s="1038"/>
      <c r="C47" s="1026"/>
      <c r="D47" s="1026"/>
      <c r="E47" s="1026"/>
      <c r="F47" s="1059"/>
      <c r="G47" s="1054"/>
      <c r="H47" s="1055"/>
      <c r="I47" s="1056"/>
      <c r="J47" s="1111"/>
      <c r="K47" s="1115"/>
    </row>
    <row r="48" spans="1:11" ht="15.75">
      <c r="A48" s="1037"/>
      <c r="B48" s="1038"/>
      <c r="C48" s="1026"/>
      <c r="D48" s="1026"/>
      <c r="E48" s="1026"/>
      <c r="F48" s="1059"/>
      <c r="G48" s="1054"/>
      <c r="H48" s="1055"/>
      <c r="I48" s="1056"/>
      <c r="J48" s="1111"/>
      <c r="K48" s="1115"/>
    </row>
    <row r="49" spans="1:11" ht="15.75">
      <c r="A49" s="1037"/>
      <c r="B49" s="1038"/>
      <c r="C49" s="1026"/>
      <c r="D49" s="1026"/>
      <c r="E49" s="1026"/>
      <c r="F49" s="1059"/>
      <c r="G49" s="1054"/>
      <c r="H49" s="1055"/>
      <c r="I49" s="1056"/>
      <c r="J49" s="1111"/>
      <c r="K49" s="1115"/>
    </row>
    <row r="50" spans="1:11" ht="15.75">
      <c r="A50" s="1037"/>
      <c r="B50" s="1038"/>
      <c r="C50" s="1026"/>
      <c r="D50" s="1026"/>
      <c r="E50" s="1026"/>
      <c r="F50" s="1059"/>
      <c r="G50" s="1054"/>
      <c r="H50" s="1055"/>
      <c r="I50" s="1056"/>
      <c r="J50" s="1111"/>
      <c r="K50" s="1115"/>
    </row>
    <row r="51" spans="1:11" ht="15.75">
      <c r="A51" s="1037"/>
      <c r="B51" s="1038"/>
      <c r="C51" s="1026"/>
      <c r="D51" s="1026"/>
      <c r="E51" s="1026"/>
      <c r="F51" s="1059"/>
      <c r="G51" s="1054"/>
      <c r="H51" s="1055"/>
      <c r="I51" s="1056"/>
      <c r="J51" s="1111"/>
      <c r="K51" s="1115"/>
    </row>
    <row r="52" spans="1:11" ht="15.75">
      <c r="A52" s="1037"/>
      <c r="B52" s="1038"/>
      <c r="C52" s="1026"/>
      <c r="D52" s="1026"/>
      <c r="E52" s="1026"/>
      <c r="F52" s="1059"/>
      <c r="G52" s="1054"/>
      <c r="H52" s="1055"/>
      <c r="I52" s="1056"/>
      <c r="J52" s="1111"/>
      <c r="K52" s="1115"/>
    </row>
    <row r="53" spans="1:11" ht="15.75">
      <c r="A53" s="1037"/>
      <c r="B53" s="1038"/>
      <c r="C53" s="1026"/>
      <c r="D53" s="1026"/>
      <c r="E53" s="1026"/>
      <c r="F53" s="1059"/>
      <c r="G53" s="1054"/>
      <c r="H53" s="1055"/>
      <c r="I53" s="1056"/>
      <c r="J53" s="1111"/>
      <c r="K53" s="1115"/>
    </row>
    <row r="54" spans="1:11" ht="15.75">
      <c r="A54" s="1037"/>
      <c r="B54" s="1038"/>
      <c r="C54" s="1026"/>
      <c r="D54" s="1026"/>
      <c r="E54" s="1026"/>
      <c r="F54" s="1059"/>
      <c r="G54" s="1054"/>
      <c r="H54" s="1055"/>
      <c r="I54" s="1056"/>
      <c r="J54" s="1111"/>
      <c r="K54" s="1115"/>
    </row>
    <row r="55" spans="1:11" ht="15.75">
      <c r="A55" s="1037"/>
      <c r="B55" s="1038"/>
      <c r="C55" s="1026"/>
      <c r="D55" s="1026"/>
      <c r="E55" s="1026"/>
      <c r="F55" s="1059"/>
      <c r="G55" s="1054"/>
      <c r="H55" s="1055"/>
      <c r="I55" s="1056"/>
      <c r="J55" s="1111"/>
      <c r="K55" s="1115"/>
    </row>
    <row r="56" spans="1:11" ht="15.75">
      <c r="A56" s="1037"/>
      <c r="B56" s="1038"/>
      <c r="C56" s="1026"/>
      <c r="D56" s="1026"/>
      <c r="E56" s="1026"/>
      <c r="F56" s="1059"/>
      <c r="G56" s="1054"/>
      <c r="H56" s="1055"/>
      <c r="I56" s="1056"/>
      <c r="J56" s="1111"/>
      <c r="K56" s="1115"/>
    </row>
    <row r="57" spans="1:11" ht="15.75">
      <c r="A57" s="1037"/>
      <c r="B57" s="1038"/>
      <c r="C57" s="1026"/>
      <c r="D57" s="1026"/>
      <c r="E57" s="1026"/>
      <c r="F57" s="1059"/>
      <c r="G57" s="1054"/>
      <c r="H57" s="1055"/>
      <c r="I57" s="1056"/>
      <c r="J57" s="1111"/>
      <c r="K57" s="1115"/>
    </row>
    <row r="58" spans="1:11" ht="15.75">
      <c r="A58" s="1037"/>
      <c r="B58" s="1038"/>
      <c r="C58" s="1026"/>
      <c r="D58" s="1026"/>
      <c r="E58" s="1026"/>
      <c r="F58" s="1059"/>
      <c r="G58" s="1054"/>
      <c r="H58" s="1055"/>
      <c r="I58" s="1056"/>
      <c r="J58" s="1111"/>
      <c r="K58" s="1115"/>
    </row>
    <row r="59" spans="1:11" ht="16.5" thickBot="1">
      <c r="A59" s="1037"/>
      <c r="B59" s="1038"/>
      <c r="C59" s="1026"/>
      <c r="D59" s="1026"/>
      <c r="E59" s="1026"/>
      <c r="F59" s="1059"/>
      <c r="G59" s="1054"/>
      <c r="H59" s="1055"/>
      <c r="I59" s="1056"/>
      <c r="J59" s="1111"/>
      <c r="K59" s="1115"/>
    </row>
    <row r="60" spans="1:11" ht="20.25" thickBot="1">
      <c r="A60" s="1552"/>
      <c r="B60" s="1553"/>
      <c r="C60" s="1553"/>
      <c r="D60" s="1553"/>
      <c r="E60" s="1553"/>
      <c r="F60" s="1554">
        <f>SUM(F2:F5,F6:F59)</f>
        <v>85360.140000000014</v>
      </c>
      <c r="G60" s="1555"/>
      <c r="H60" s="1556">
        <f>SUM(H2:H59)</f>
        <v>9453.5400000000027</v>
      </c>
      <c r="I60" s="1557">
        <f>SUM(I2:I59)</f>
        <v>1263.2199999999998</v>
      </c>
      <c r="J60" s="1111"/>
      <c r="K60" s="1115"/>
    </row>
    <row r="61" spans="1:11" ht="15.75" customHeight="1">
      <c r="A61" s="1037"/>
      <c r="B61" s="1038"/>
      <c r="C61" s="1026"/>
      <c r="D61" s="1026"/>
      <c r="E61" s="1026"/>
      <c r="F61" s="1059"/>
      <c r="G61" s="1054"/>
      <c r="H61" s="1269"/>
      <c r="I61" s="1056"/>
      <c r="J61" s="1111"/>
      <c r="K61" s="1115"/>
    </row>
    <row r="62" spans="1:11" ht="15.75" customHeight="1">
      <c r="A62" s="1037"/>
      <c r="B62" s="1037"/>
      <c r="C62" s="1026"/>
      <c r="D62" s="1026"/>
      <c r="E62" s="1026"/>
      <c r="F62" s="1059"/>
      <c r="G62" s="1054"/>
      <c r="H62" s="1269"/>
      <c r="I62" s="1056"/>
      <c r="J62" s="1111"/>
      <c r="K62" s="1115"/>
    </row>
    <row r="63" spans="1:11" ht="15.75" customHeight="1">
      <c r="A63" s="1037"/>
      <c r="B63" s="1038"/>
      <c r="C63" s="1026"/>
      <c r="D63" s="1026"/>
      <c r="E63" s="1026"/>
      <c r="F63" s="1059"/>
      <c r="G63" s="1054"/>
      <c r="H63" s="1269"/>
      <c r="I63" s="1056"/>
      <c r="J63" s="1111"/>
      <c r="K63" s="1115"/>
    </row>
    <row r="64" spans="1:11" ht="15.75" customHeight="1">
      <c r="A64" s="1037"/>
      <c r="B64" s="1038"/>
      <c r="C64" s="1026"/>
      <c r="D64" s="1026"/>
      <c r="E64" s="1026"/>
      <c r="F64" s="1059"/>
      <c r="G64" s="1054"/>
      <c r="H64" s="1269"/>
      <c r="I64" s="1056"/>
      <c r="J64" s="1111"/>
      <c r="K64" s="1115"/>
    </row>
    <row r="65" spans="1:11" ht="15.75" customHeight="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115"/>
    </row>
    <row r="66" spans="1:11" ht="15.75" customHeight="1">
      <c r="A66" s="1037"/>
      <c r="B66" s="1038"/>
      <c r="C66" s="1026"/>
      <c r="D66" s="1026"/>
      <c r="E66" s="1026"/>
      <c r="F66" s="1059"/>
      <c r="G66" s="1054"/>
      <c r="H66" s="1269"/>
      <c r="I66" s="1056"/>
      <c r="J66" s="1111"/>
      <c r="K66" s="1115"/>
    </row>
    <row r="67" spans="1:11" ht="15.75" customHeight="1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1115"/>
    </row>
    <row r="68" spans="1:11" ht="15.75" customHeight="1">
      <c r="A68" s="1037"/>
      <c r="B68" s="1038"/>
      <c r="C68" s="1026"/>
      <c r="D68" s="1026"/>
      <c r="E68" s="1026"/>
      <c r="F68" s="1059"/>
      <c r="G68" s="1054"/>
      <c r="H68" s="1269"/>
      <c r="I68" s="1056"/>
      <c r="J68" s="1111"/>
      <c r="K68" s="1115"/>
    </row>
    <row r="69" spans="1:11" ht="15.75" customHeight="1">
      <c r="A69" s="1037"/>
      <c r="B69" s="1038"/>
      <c r="C69" s="1026"/>
      <c r="D69" s="1026"/>
      <c r="E69" s="1026"/>
      <c r="F69" s="1059"/>
      <c r="G69" s="1054"/>
      <c r="H69" s="1269"/>
      <c r="I69" s="1056"/>
      <c r="J69" s="1111"/>
      <c r="K69" s="1115"/>
    </row>
    <row r="70" spans="1:11" ht="15.75" customHeight="1">
      <c r="A70" s="1037"/>
      <c r="B70" s="1038"/>
      <c r="C70" s="1026"/>
      <c r="D70" s="1026"/>
      <c r="E70" s="1026"/>
      <c r="F70" s="1059"/>
      <c r="G70" s="1054"/>
      <c r="H70" s="1269"/>
      <c r="I70" s="1056"/>
      <c r="J70" s="1111"/>
      <c r="K70" s="1025"/>
    </row>
    <row r="71" spans="1:11" ht="15.75" customHeight="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115"/>
    </row>
    <row r="72" spans="1:11" ht="15.75" customHeight="1">
      <c r="A72" s="1037"/>
      <c r="B72" s="1038"/>
      <c r="C72" s="1026"/>
      <c r="D72" s="1026"/>
      <c r="E72" s="1026"/>
      <c r="F72" s="1059"/>
      <c r="G72" s="1059"/>
      <c r="H72" s="1269"/>
      <c r="I72" s="1056"/>
      <c r="J72" s="1111"/>
      <c r="K72" s="1115"/>
    </row>
    <row r="73" spans="1:11" ht="15.75" customHeight="1">
      <c r="A73" s="1037"/>
      <c r="B73" s="1038"/>
      <c r="C73" s="1026"/>
      <c r="D73" s="1026"/>
      <c r="E73" s="1026"/>
      <c r="F73" s="1059"/>
      <c r="G73" s="1059"/>
      <c r="H73" s="1269"/>
      <c r="I73" s="1056"/>
      <c r="J73" s="1111"/>
      <c r="K73" s="1025"/>
    </row>
    <row r="74" spans="1:11" ht="15.75" customHeight="1">
      <c r="A74" s="1037"/>
      <c r="B74" s="1038"/>
      <c r="C74" s="1026"/>
      <c r="D74" s="1026"/>
      <c r="E74" s="1026"/>
      <c r="F74" s="1059"/>
      <c r="G74" s="1059"/>
      <c r="H74" s="1269"/>
      <c r="I74" s="1056"/>
      <c r="J74" s="1111"/>
      <c r="K74" s="1025"/>
    </row>
    <row r="75" spans="1:11" ht="15.75" customHeight="1">
      <c r="A75" s="1037"/>
      <c r="B75" s="1038"/>
      <c r="C75" s="1026"/>
      <c r="D75" s="1026"/>
      <c r="E75" s="1026"/>
      <c r="F75" s="1059"/>
      <c r="G75" s="1054"/>
      <c r="H75" s="1269"/>
      <c r="I75" s="1056"/>
      <c r="J75" s="1111"/>
      <c r="K75" s="1115"/>
    </row>
    <row r="76" spans="1:11" ht="15.75" customHeight="1">
      <c r="A76" s="1037"/>
      <c r="B76" s="1038"/>
      <c r="C76" s="1026"/>
      <c r="D76" s="1026"/>
      <c r="E76" s="1026"/>
      <c r="F76" s="1059"/>
      <c r="G76" s="1054"/>
      <c r="H76" s="1269"/>
      <c r="I76" s="1056"/>
      <c r="J76" s="1111"/>
      <c r="K76" s="1115"/>
    </row>
    <row r="77" spans="1:11" ht="15.75" customHeight="1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1115"/>
    </row>
    <row r="78" spans="1:11" ht="15.75">
      <c r="A78" s="1037"/>
      <c r="B78" s="1038"/>
      <c r="C78" s="1026"/>
      <c r="D78" s="1026"/>
      <c r="E78" s="1026"/>
      <c r="F78" s="1059"/>
      <c r="G78" s="1054"/>
      <c r="H78" s="1269"/>
      <c r="I78" s="1056"/>
      <c r="J78" s="1111"/>
      <c r="K78" s="1115"/>
    </row>
    <row r="79" spans="1:11" ht="15.75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1115"/>
    </row>
    <row r="80" spans="1:11" ht="15.75">
      <c r="A80" s="1037"/>
      <c r="B80" s="1038"/>
      <c r="C80" s="1025"/>
      <c r="D80" s="1025"/>
      <c r="E80" s="1025"/>
      <c r="F80" s="1059"/>
      <c r="G80" s="1062"/>
      <c r="H80" s="1055"/>
      <c r="I80" s="1056"/>
      <c r="J80" s="1111"/>
      <c r="K80" s="1115"/>
    </row>
    <row r="81" spans="1:11" ht="15.75">
      <c r="A81" s="1037"/>
      <c r="B81" s="1039"/>
      <c r="C81" s="1025"/>
      <c r="D81" s="1025"/>
      <c r="E81" s="1025"/>
      <c r="F81" s="1059"/>
      <c r="G81" s="1054"/>
      <c r="H81" s="1269"/>
      <c r="I81" s="1056"/>
      <c r="J81" s="1111"/>
      <c r="K81" s="1115"/>
    </row>
    <row r="82" spans="1:11" ht="15.75">
      <c r="A82" s="1037"/>
      <c r="B82" s="1038"/>
      <c r="C82" s="1026"/>
      <c r="D82" s="1026"/>
      <c r="E82" s="1026"/>
      <c r="F82" s="1059"/>
      <c r="G82" s="1054"/>
      <c r="H82" s="1269"/>
      <c r="I82" s="1056"/>
      <c r="J82" s="1111"/>
      <c r="K82" s="1115"/>
    </row>
    <row r="83" spans="1:11" ht="15.75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1115"/>
    </row>
    <row r="84" spans="1:11" ht="15.75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115"/>
    </row>
    <row r="85" spans="1:11" ht="15.75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115"/>
    </row>
    <row r="86" spans="1:11" ht="15.75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115"/>
    </row>
    <row r="87" spans="1:11" ht="15.75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5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115"/>
    </row>
    <row r="89" spans="1:11" ht="15.75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115"/>
    </row>
    <row r="90" spans="1:11" ht="15.75">
      <c r="A90" s="1037"/>
      <c r="B90" s="1038"/>
      <c r="C90" s="1026"/>
      <c r="D90" s="1026"/>
      <c r="E90" s="1026"/>
      <c r="F90" s="1059"/>
      <c r="G90" s="1054"/>
      <c r="H90" s="1269"/>
      <c r="I90" s="1056"/>
      <c r="J90" s="1111"/>
      <c r="K90" s="1115"/>
    </row>
    <row r="91" spans="1:11" ht="15.75">
      <c r="A91" s="1037"/>
      <c r="B91" s="1038"/>
      <c r="C91" s="1026"/>
      <c r="D91" s="1026"/>
      <c r="E91" s="1026"/>
      <c r="F91" s="1059"/>
      <c r="G91" s="1054"/>
      <c r="H91" s="1269"/>
      <c r="I91" s="1056"/>
      <c r="J91" s="1111"/>
      <c r="K91" s="1115"/>
    </row>
    <row r="92" spans="1:11" ht="15.75">
      <c r="A92" s="1037"/>
      <c r="B92" s="1038"/>
      <c r="C92" s="1026"/>
      <c r="D92" s="1026"/>
      <c r="E92" s="1026"/>
      <c r="F92" s="1059"/>
      <c r="G92" s="1054"/>
      <c r="H92" s="1269"/>
      <c r="I92" s="1056"/>
      <c r="J92" s="1111"/>
      <c r="K92" s="1115"/>
    </row>
    <row r="93" spans="1:11" ht="15.75">
      <c r="A93" s="1037"/>
      <c r="B93" s="1038"/>
      <c r="C93" s="1026"/>
      <c r="D93" s="1026"/>
      <c r="E93" s="1026"/>
      <c r="F93" s="1059"/>
      <c r="G93" s="1054"/>
      <c r="H93" s="1269"/>
      <c r="I93" s="1056"/>
      <c r="J93" s="1111"/>
      <c r="K93" s="1115"/>
    </row>
    <row r="94" spans="1:11" ht="15.75">
      <c r="A94" s="1037"/>
      <c r="B94" s="1038"/>
      <c r="C94" s="1026"/>
      <c r="D94" s="1026"/>
      <c r="E94" s="1026"/>
      <c r="F94" s="1059"/>
      <c r="G94" s="1054"/>
      <c r="H94" s="1269"/>
      <c r="I94" s="1056"/>
      <c r="J94" s="1111"/>
      <c r="K94" s="1115"/>
    </row>
    <row r="95" spans="1:11">
      <c r="A95" s="1037"/>
      <c r="B95" s="1038"/>
      <c r="C95" s="1026"/>
      <c r="D95" s="1026"/>
      <c r="E95" s="1026"/>
      <c r="F95" s="1059"/>
      <c r="G95" s="1059"/>
      <c r="H95" s="1269"/>
      <c r="I95" s="1056"/>
      <c r="J95" s="1111"/>
      <c r="K95" s="1025"/>
    </row>
    <row r="96" spans="1:11">
      <c r="A96" s="1037"/>
      <c r="B96" s="1038"/>
      <c r="C96" s="1026"/>
      <c r="D96" s="1026"/>
      <c r="E96" s="1026"/>
      <c r="F96" s="1059"/>
      <c r="G96" s="1059"/>
      <c r="H96" s="1269"/>
      <c r="I96" s="1056"/>
      <c r="J96" s="1111"/>
      <c r="K96" s="1025"/>
    </row>
    <row r="97" spans="1:11">
      <c r="A97" s="1037"/>
      <c r="B97" s="1038"/>
      <c r="C97" s="1026"/>
      <c r="D97" s="1026"/>
      <c r="E97" s="1026"/>
      <c r="F97" s="1059"/>
      <c r="G97" s="1059"/>
      <c r="H97" s="1269"/>
      <c r="I97" s="1056"/>
      <c r="J97" s="1111"/>
      <c r="K97" s="1025"/>
    </row>
    <row r="98" spans="1:11" ht="15.75">
      <c r="A98" s="1037"/>
      <c r="B98" s="1038"/>
      <c r="C98" s="1026"/>
      <c r="D98" s="1026"/>
      <c r="E98" s="1026"/>
      <c r="F98" s="1059"/>
      <c r="G98" s="1054"/>
      <c r="H98" s="1269"/>
      <c r="I98" s="1056"/>
      <c r="J98" s="1111"/>
      <c r="K98" s="1115"/>
    </row>
    <row r="99" spans="1:11">
      <c r="A99" s="1037"/>
      <c r="B99" s="1038"/>
      <c r="C99" s="1026"/>
      <c r="D99" s="1026"/>
      <c r="E99" s="1026"/>
      <c r="F99" s="1059"/>
      <c r="G99" s="1059"/>
      <c r="H99" s="1269"/>
      <c r="I99" s="1056"/>
      <c r="J99" s="1111"/>
      <c r="K99" s="1025"/>
    </row>
    <row r="100" spans="1:11">
      <c r="A100" s="1037"/>
      <c r="B100" s="1038"/>
      <c r="C100" s="1026"/>
      <c r="D100" s="1026"/>
      <c r="E100" s="1026"/>
      <c r="F100" s="1059"/>
      <c r="G100" s="1059"/>
      <c r="H100" s="1269"/>
      <c r="I100" s="1056"/>
      <c r="J100" s="1111"/>
      <c r="K100" s="1025"/>
    </row>
    <row r="101" spans="1:11">
      <c r="A101" s="1037"/>
      <c r="B101" s="1038"/>
      <c r="C101" s="1026"/>
      <c r="D101" s="1026"/>
      <c r="E101" s="1026"/>
      <c r="F101" s="1059"/>
      <c r="G101" s="1059"/>
      <c r="H101" s="1269"/>
      <c r="I101" s="1056"/>
      <c r="J101" s="1111"/>
      <c r="K101" s="1025"/>
    </row>
    <row r="102" spans="1:11" ht="15.75">
      <c r="A102" s="1037"/>
      <c r="B102" s="1038"/>
      <c r="C102" s="1026"/>
      <c r="D102" s="1026"/>
      <c r="E102" s="1026"/>
      <c r="F102" s="1059"/>
      <c r="G102" s="1054"/>
      <c r="H102" s="1269"/>
      <c r="I102" s="1056"/>
      <c r="J102" s="1111"/>
      <c r="K102" s="1115"/>
    </row>
    <row r="103" spans="1:11" ht="15.75">
      <c r="A103" s="1037"/>
      <c r="B103" s="1038"/>
      <c r="C103" s="1026"/>
      <c r="D103" s="1026"/>
      <c r="E103" s="1026"/>
      <c r="F103" s="1059"/>
      <c r="G103" s="1054"/>
      <c r="H103" s="1269"/>
      <c r="I103" s="1056"/>
      <c r="J103" s="1111"/>
      <c r="K103" s="1115"/>
    </row>
    <row r="104" spans="1:11">
      <c r="A104" s="1037"/>
      <c r="B104" s="1038"/>
      <c r="C104" s="1026"/>
      <c r="D104" s="1026"/>
      <c r="E104" s="1026"/>
      <c r="F104" s="1059"/>
      <c r="G104" s="1059"/>
      <c r="H104" s="1269"/>
      <c r="I104" s="1056"/>
      <c r="J104" s="1111"/>
      <c r="K104" s="1025"/>
    </row>
    <row r="105" spans="1:11">
      <c r="A105" s="1037"/>
      <c r="B105" s="1038"/>
      <c r="C105" s="1026"/>
      <c r="D105" s="1026"/>
      <c r="E105" s="1026"/>
      <c r="F105" s="1059"/>
      <c r="G105" s="1059"/>
      <c r="H105" s="1269"/>
      <c r="I105" s="1056"/>
      <c r="J105" s="1111"/>
      <c r="K105" s="1025"/>
    </row>
    <row r="106" spans="1:11">
      <c r="A106" s="1037"/>
      <c r="B106" s="1038"/>
      <c r="C106" s="1026"/>
      <c r="D106" s="1026"/>
      <c r="E106" s="1026"/>
      <c r="F106" s="1059"/>
      <c r="G106" s="1059"/>
      <c r="H106" s="1269"/>
      <c r="I106" s="1056"/>
      <c r="J106" s="1111"/>
      <c r="K106" s="1025"/>
    </row>
    <row r="107" spans="1:11">
      <c r="A107" s="1037"/>
      <c r="B107" s="1038"/>
      <c r="C107" s="1026"/>
      <c r="D107" s="1026"/>
      <c r="E107" s="1026"/>
      <c r="F107" s="1059"/>
      <c r="G107" s="1059"/>
      <c r="H107" s="1269"/>
      <c r="I107" s="1056"/>
      <c r="J107" s="1111"/>
      <c r="K107" s="1025"/>
    </row>
    <row r="108" spans="1:11">
      <c r="A108" s="1037"/>
      <c r="B108" s="1038"/>
      <c r="C108" s="1026"/>
      <c r="D108" s="1026"/>
      <c r="E108" s="1026"/>
      <c r="F108" s="1059"/>
      <c r="G108" s="1059"/>
      <c r="H108" s="1269"/>
      <c r="I108" s="1056"/>
      <c r="J108" s="1111"/>
      <c r="K108" s="1025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1025"/>
    </row>
    <row r="110" spans="1:11" ht="15.75">
      <c r="A110" s="1037"/>
      <c r="B110" s="1038"/>
      <c r="C110" s="1026"/>
      <c r="D110" s="1026"/>
      <c r="E110" s="1026"/>
      <c r="F110" s="1059"/>
      <c r="G110" s="1054"/>
      <c r="H110" s="1269"/>
      <c r="I110" s="1056"/>
      <c r="J110" s="1111"/>
      <c r="K110" s="1115"/>
    </row>
    <row r="111" spans="1:11">
      <c r="A111" s="1037"/>
      <c r="B111" s="1038"/>
      <c r="C111" s="1026"/>
      <c r="D111" s="1026"/>
      <c r="E111" s="1026"/>
      <c r="F111" s="1059"/>
      <c r="G111" s="1059"/>
      <c r="H111" s="1269"/>
      <c r="I111" s="1056"/>
      <c r="J111" s="1111"/>
      <c r="K111" s="1025"/>
    </row>
    <row r="112" spans="1:11">
      <c r="A112" s="1037"/>
      <c r="B112" s="1038"/>
      <c r="C112" s="1026"/>
      <c r="D112" s="1026"/>
      <c r="E112" s="1026"/>
      <c r="F112" s="1059"/>
      <c r="G112" s="1059"/>
      <c r="H112" s="1269"/>
      <c r="I112" s="1056"/>
      <c r="J112" s="1111"/>
      <c r="K112" s="1025"/>
    </row>
    <row r="113" spans="1:11">
      <c r="A113" s="1037"/>
      <c r="B113" s="1038"/>
      <c r="C113" s="1026"/>
      <c r="D113" s="1026"/>
      <c r="E113" s="1026"/>
      <c r="F113" s="1059"/>
      <c r="G113" s="1059"/>
      <c r="H113" s="1269"/>
      <c r="I113" s="1056"/>
      <c r="J113" s="1111"/>
      <c r="K113" s="1025"/>
    </row>
    <row r="114" spans="1:11" ht="15.75">
      <c r="A114" s="1037"/>
      <c r="B114" s="1038"/>
      <c r="C114" s="1026"/>
      <c r="D114" s="1026"/>
      <c r="E114" s="1026"/>
      <c r="F114" s="1059"/>
      <c r="G114" s="1059"/>
      <c r="H114" s="1269"/>
      <c r="I114" s="1056"/>
      <c r="J114" s="1111"/>
      <c r="K114" s="1115"/>
    </row>
    <row r="115" spans="1:11">
      <c r="A115" s="1037"/>
      <c r="B115" s="1038"/>
      <c r="C115" s="1026"/>
      <c r="D115" s="1026"/>
      <c r="E115" s="1026"/>
      <c r="F115" s="1059"/>
      <c r="G115" s="1059"/>
      <c r="H115" s="1269"/>
      <c r="I115" s="1056"/>
      <c r="J115" s="1111"/>
      <c r="K115" s="1025"/>
    </row>
    <row r="116" spans="1:11">
      <c r="A116" s="1037"/>
      <c r="B116" s="1038"/>
      <c r="C116" s="1026"/>
      <c r="D116" s="1026"/>
      <c r="E116" s="1026"/>
      <c r="F116" s="1059"/>
      <c r="G116" s="1059"/>
      <c r="H116" s="1269"/>
      <c r="I116" s="1056"/>
      <c r="J116" s="1111"/>
      <c r="K116" s="1025"/>
    </row>
    <row r="117" spans="1:11">
      <c r="A117" s="1037"/>
      <c r="B117" s="1038"/>
      <c r="C117" s="1026"/>
      <c r="D117" s="1026"/>
      <c r="E117" s="1026"/>
      <c r="F117" s="1059"/>
      <c r="G117" s="1059"/>
      <c r="H117" s="1269"/>
      <c r="I117" s="1056"/>
      <c r="J117" s="1111"/>
      <c r="K117" s="1025"/>
    </row>
    <row r="118" spans="1:11">
      <c r="A118" s="1037"/>
      <c r="B118" s="1038"/>
      <c r="C118" s="1026"/>
      <c r="D118" s="1026"/>
      <c r="E118" s="1026"/>
      <c r="F118" s="1059"/>
      <c r="G118" s="1059"/>
      <c r="H118" s="1269"/>
      <c r="I118" s="1056"/>
      <c r="J118" s="1111"/>
      <c r="K118" s="1025"/>
    </row>
    <row r="119" spans="1:11">
      <c r="A119" s="1037"/>
      <c r="B119" s="1038"/>
      <c r="C119" s="1026"/>
      <c r="D119" s="1026"/>
      <c r="E119" s="1026"/>
      <c r="F119" s="1059"/>
      <c r="G119" s="1054"/>
      <c r="H119" s="1269"/>
      <c r="I119" s="1056"/>
      <c r="J119" s="1111"/>
      <c r="K119" s="1025"/>
    </row>
    <row r="120" spans="1:11" ht="15.75">
      <c r="A120" s="1037"/>
      <c r="B120" s="1038"/>
      <c r="C120" s="1025"/>
      <c r="D120" s="1026"/>
      <c r="E120" s="1026"/>
      <c r="F120" s="1059"/>
      <c r="G120" s="1054"/>
      <c r="H120" s="1269"/>
      <c r="I120" s="1056"/>
      <c r="J120" s="1111"/>
      <c r="K120" s="1115"/>
    </row>
    <row r="121" spans="1:11" ht="15.75">
      <c r="A121" s="1037"/>
      <c r="B121" s="1038"/>
      <c r="C121" s="1026"/>
      <c r="D121" s="1026"/>
      <c r="E121" s="1026"/>
      <c r="F121" s="1059"/>
      <c r="G121" s="1054"/>
      <c r="H121" s="1269"/>
      <c r="I121" s="1056"/>
      <c r="J121" s="1111"/>
      <c r="K121" s="1115"/>
    </row>
    <row r="122" spans="1:11" ht="15.75">
      <c r="A122" s="1037"/>
      <c r="B122" s="1038"/>
      <c r="C122" s="1026"/>
      <c r="D122" s="1026"/>
      <c r="E122" s="1026"/>
      <c r="F122" s="1059"/>
      <c r="G122" s="1054"/>
      <c r="H122" s="1269"/>
      <c r="I122" s="1056"/>
      <c r="J122" s="1111"/>
      <c r="K122" s="1115"/>
    </row>
    <row r="123" spans="1:11" ht="15.75">
      <c r="A123" s="1037"/>
      <c r="B123" s="1038"/>
      <c r="C123" s="1026"/>
      <c r="D123" s="1026"/>
      <c r="E123" s="1026"/>
      <c r="F123" s="1059"/>
      <c r="G123" s="1054"/>
      <c r="H123" s="1269"/>
      <c r="I123" s="1056"/>
      <c r="J123" s="1111"/>
      <c r="K123" s="1115"/>
    </row>
    <row r="124" spans="1:11" ht="15.75">
      <c r="A124" s="1037"/>
      <c r="B124" s="1038"/>
      <c r="C124" s="1026"/>
      <c r="D124" s="1026"/>
      <c r="E124" s="1026"/>
      <c r="F124" s="1059"/>
      <c r="G124" s="1054"/>
      <c r="H124" s="1269"/>
      <c r="I124" s="1056"/>
      <c r="J124" s="1111"/>
      <c r="K124" s="1115"/>
    </row>
    <row r="125" spans="1:11">
      <c r="A125" s="1037"/>
      <c r="B125" s="1038"/>
      <c r="C125" s="1026"/>
      <c r="D125" s="1026"/>
      <c r="E125" s="1026"/>
      <c r="F125" s="1059"/>
      <c r="G125" s="1059"/>
      <c r="H125" s="1269"/>
      <c r="I125" s="1056"/>
      <c r="J125" s="1111"/>
      <c r="K125" s="1025"/>
    </row>
    <row r="126" spans="1:11">
      <c r="A126" s="1037"/>
      <c r="B126" s="1038"/>
      <c r="C126" s="1026"/>
      <c r="D126" s="1026"/>
      <c r="E126" s="1026"/>
      <c r="F126" s="1059"/>
      <c r="G126" s="1059"/>
      <c r="H126" s="1269"/>
      <c r="I126" s="1056"/>
      <c r="J126" s="1111"/>
      <c r="K126" s="1025"/>
    </row>
    <row r="127" spans="1:11" ht="15.75">
      <c r="A127" s="1037"/>
      <c r="B127" s="1038"/>
      <c r="C127" s="1026"/>
      <c r="D127" s="1026"/>
      <c r="E127" s="1026"/>
      <c r="F127" s="1059"/>
      <c r="G127" s="1054"/>
      <c r="H127" s="1269"/>
      <c r="I127" s="1056"/>
      <c r="J127" s="1111"/>
      <c r="K127" s="1115"/>
    </row>
    <row r="128" spans="1:11" ht="15.75">
      <c r="A128" s="1037"/>
      <c r="B128" s="1038"/>
      <c r="C128" s="1026"/>
      <c r="D128" s="1026"/>
      <c r="E128" s="1026"/>
      <c r="F128" s="1059"/>
      <c r="G128" s="1054"/>
      <c r="H128" s="1269"/>
      <c r="I128" s="1056"/>
      <c r="J128" s="1111"/>
      <c r="K128" s="1115"/>
    </row>
    <row r="129" spans="1:11" ht="15.75">
      <c r="A129" s="1037"/>
      <c r="B129" s="1038"/>
      <c r="C129" s="1026"/>
      <c r="D129" s="1026"/>
      <c r="E129" s="1026"/>
      <c r="F129" s="1059"/>
      <c r="G129" s="1054"/>
      <c r="H129" s="1269"/>
      <c r="I129" s="1056"/>
      <c r="J129" s="1111"/>
      <c r="K129" s="1115"/>
    </row>
    <row r="130" spans="1:11">
      <c r="A130" s="1037"/>
      <c r="B130" s="1038"/>
      <c r="C130" s="1026"/>
      <c r="D130" s="1026"/>
      <c r="E130" s="1026"/>
      <c r="F130" s="1059"/>
      <c r="G130" s="1054"/>
      <c r="H130" s="1269"/>
      <c r="I130" s="1056"/>
      <c r="J130" s="1111"/>
      <c r="K130" s="1025"/>
    </row>
    <row r="131" spans="1:11">
      <c r="A131" s="1037"/>
      <c r="B131" s="1038"/>
      <c r="C131" s="1026"/>
      <c r="D131" s="1026"/>
      <c r="E131" s="1026"/>
      <c r="F131" s="1059"/>
      <c r="G131" s="1054"/>
      <c r="H131" s="1269"/>
      <c r="I131" s="1056"/>
      <c r="J131" s="1111"/>
      <c r="K131" s="1025"/>
    </row>
    <row r="132" spans="1:11">
      <c r="A132" s="1037"/>
      <c r="B132" s="1038"/>
      <c r="C132" s="1026"/>
      <c r="D132" s="1026"/>
      <c r="E132" s="1026"/>
      <c r="F132" s="1059"/>
      <c r="G132" s="1059"/>
      <c r="H132" s="1269"/>
      <c r="I132" s="1056"/>
      <c r="J132" s="1111"/>
      <c r="K132" s="1025"/>
    </row>
    <row r="133" spans="1:11">
      <c r="A133" s="1037"/>
      <c r="B133" s="1038"/>
      <c r="C133" s="1026"/>
      <c r="D133" s="1026"/>
      <c r="E133" s="1026"/>
      <c r="F133" s="1059"/>
      <c r="G133" s="1059"/>
      <c r="H133" s="1269"/>
      <c r="I133" s="1056"/>
      <c r="J133" s="1111"/>
      <c r="K133" s="1025"/>
    </row>
    <row r="134" spans="1:11">
      <c r="A134" s="1037"/>
      <c r="B134" s="1038"/>
      <c r="C134" s="1026"/>
      <c r="D134" s="1026"/>
      <c r="E134" s="1026"/>
      <c r="F134" s="1059"/>
      <c r="G134" s="1059"/>
      <c r="H134" s="1269"/>
      <c r="I134" s="1056"/>
      <c r="J134" s="1111"/>
      <c r="K134" s="1025"/>
    </row>
    <row r="135" spans="1:11">
      <c r="A135" s="1037"/>
      <c r="B135" s="1038"/>
      <c r="C135" s="1026"/>
      <c r="D135" s="1026"/>
      <c r="E135" s="1026"/>
      <c r="F135" s="1059"/>
      <c r="G135" s="1059"/>
      <c r="H135" s="1269"/>
      <c r="I135" s="1056"/>
      <c r="J135" s="1111"/>
      <c r="K135" s="1025"/>
    </row>
    <row r="136" spans="1:11" ht="15.75">
      <c r="A136" s="1037"/>
      <c r="B136" s="1038"/>
      <c r="C136" s="1026"/>
      <c r="D136" s="1026"/>
      <c r="E136" s="1026"/>
      <c r="F136" s="1059"/>
      <c r="G136" s="1054"/>
      <c r="H136" s="1269"/>
      <c r="I136" s="1056"/>
      <c r="J136" s="1111"/>
      <c r="K136" s="1115"/>
    </row>
    <row r="137" spans="1:11" ht="15.75">
      <c r="A137" s="1037"/>
      <c r="B137" s="1038"/>
      <c r="C137" s="1026"/>
      <c r="D137" s="1026"/>
      <c r="E137" s="1026"/>
      <c r="F137" s="1059"/>
      <c r="G137" s="1059"/>
      <c r="H137" s="1269"/>
      <c r="I137" s="1056"/>
      <c r="J137" s="1111"/>
      <c r="K137" s="1115"/>
    </row>
    <row r="138" spans="1:11">
      <c r="A138" s="1037"/>
      <c r="B138" s="1038"/>
      <c r="C138" s="1026"/>
      <c r="D138" s="1026"/>
      <c r="E138" s="1026"/>
      <c r="F138" s="1059"/>
      <c r="G138" s="1059"/>
      <c r="H138" s="1269"/>
      <c r="I138" s="1056"/>
      <c r="J138" s="1111"/>
      <c r="K138" s="1025"/>
    </row>
    <row r="139" spans="1:11">
      <c r="A139" s="1037"/>
      <c r="B139" s="1038"/>
      <c r="C139" s="1026"/>
      <c r="D139" s="1026"/>
      <c r="E139" s="1026"/>
      <c r="F139" s="1059"/>
      <c r="G139" s="1054"/>
      <c r="H139" s="1269"/>
      <c r="I139" s="1056"/>
      <c r="J139" s="1111"/>
      <c r="K139" s="1025"/>
    </row>
    <row r="140" spans="1:11" ht="15.75">
      <c r="A140" s="1037"/>
      <c r="B140" s="1038"/>
      <c r="C140" s="1026"/>
      <c r="D140" s="1026"/>
      <c r="E140" s="1026"/>
      <c r="F140" s="1059"/>
      <c r="G140" s="1054"/>
      <c r="H140" s="1269"/>
      <c r="I140" s="1056"/>
      <c r="J140" s="1111"/>
      <c r="K140" s="1115"/>
    </row>
    <row r="141" spans="1:11">
      <c r="A141" s="1037"/>
      <c r="B141" s="1038"/>
      <c r="C141" s="1026"/>
      <c r="D141" s="1026"/>
      <c r="E141" s="1026"/>
      <c r="F141" s="1059"/>
      <c r="G141" s="1054"/>
      <c r="H141" s="1269"/>
      <c r="I141" s="1056"/>
      <c r="J141" s="1111"/>
      <c r="K141" s="1025"/>
    </row>
    <row r="142" spans="1:11">
      <c r="A142" s="1037"/>
      <c r="B142" s="1038"/>
      <c r="C142" s="1026"/>
      <c r="D142" s="1026"/>
      <c r="E142" s="1026"/>
      <c r="F142" s="1059"/>
      <c r="G142" s="1059"/>
      <c r="H142" s="1269"/>
      <c r="I142" s="1056"/>
      <c r="J142" s="1111"/>
      <c r="K142" s="1025"/>
    </row>
    <row r="143" spans="1:11">
      <c r="A143" s="1037"/>
      <c r="B143" s="1038"/>
      <c r="C143" s="1026"/>
      <c r="D143" s="1026"/>
      <c r="E143" s="1026"/>
      <c r="F143" s="1059"/>
      <c r="G143" s="1059"/>
      <c r="H143" s="1269"/>
      <c r="I143" s="1056"/>
      <c r="J143" s="1111"/>
      <c r="K143" s="1025"/>
    </row>
    <row r="144" spans="1:11" ht="15.75">
      <c r="A144" s="1037"/>
      <c r="B144" s="1038"/>
      <c r="C144" s="1026"/>
      <c r="D144" s="1026"/>
      <c r="E144" s="1026"/>
      <c r="F144" s="1059"/>
      <c r="G144" s="1054"/>
      <c r="H144" s="1269"/>
      <c r="I144" s="1056"/>
      <c r="J144" s="1111"/>
      <c r="K144" s="1115"/>
    </row>
    <row r="145" spans="1:11" ht="15.75">
      <c r="A145" s="1037"/>
      <c r="B145" s="1038"/>
      <c r="C145" s="1026"/>
      <c r="D145" s="1026"/>
      <c r="E145" s="1026"/>
      <c r="F145" s="1059"/>
      <c r="G145" s="1054"/>
      <c r="H145" s="1269"/>
      <c r="I145" s="1056"/>
      <c r="J145" s="1111"/>
      <c r="K145" s="1115"/>
    </row>
    <row r="146" spans="1:11" ht="15.75">
      <c r="A146" s="1037"/>
      <c r="B146" s="1038"/>
      <c r="C146" s="1026"/>
      <c r="D146" s="1026"/>
      <c r="E146" s="1026"/>
      <c r="F146" s="1059"/>
      <c r="G146" s="1054"/>
      <c r="H146" s="1269"/>
      <c r="I146" s="1056"/>
      <c r="J146" s="1111"/>
      <c r="K146" s="1115"/>
    </row>
    <row r="147" spans="1:11" ht="15.75">
      <c r="A147" s="1037"/>
      <c r="B147" s="1038"/>
      <c r="C147" s="1026"/>
      <c r="D147" s="1026"/>
      <c r="E147" s="1026"/>
      <c r="F147" s="1059"/>
      <c r="G147" s="1054"/>
      <c r="H147" s="1269"/>
      <c r="I147" s="1056"/>
      <c r="J147" s="1111"/>
      <c r="K147" s="1115"/>
    </row>
    <row r="148" spans="1:11" ht="15.75">
      <c r="A148" s="1037"/>
      <c r="B148" s="1038"/>
      <c r="C148" s="1026"/>
      <c r="D148" s="1026"/>
      <c r="E148" s="1026"/>
      <c r="F148" s="1059"/>
      <c r="G148" s="1054"/>
      <c r="H148" s="1269"/>
      <c r="I148" s="1056"/>
      <c r="J148" s="1111"/>
      <c r="K148" s="1115"/>
    </row>
    <row r="149" spans="1:11">
      <c r="A149" s="1037"/>
      <c r="B149" s="1038"/>
      <c r="C149" s="1026"/>
      <c r="D149" s="1026"/>
      <c r="E149" s="1026"/>
      <c r="F149" s="1059"/>
      <c r="G149" s="1054"/>
      <c r="H149" s="1269"/>
      <c r="I149" s="1056"/>
      <c r="J149" s="1111"/>
      <c r="K149" s="1025"/>
    </row>
    <row r="150" spans="1:11">
      <c r="A150" s="1037"/>
      <c r="B150" s="1038"/>
      <c r="C150" s="1025"/>
      <c r="D150" s="1026"/>
      <c r="E150" s="1026"/>
      <c r="F150" s="1061"/>
      <c r="G150" s="1054"/>
      <c r="H150" s="1055"/>
      <c r="I150" s="1056"/>
      <c r="J150" s="1111"/>
      <c r="K150" s="1025"/>
    </row>
    <row r="151" spans="1:11">
      <c r="A151" s="1037"/>
      <c r="B151" s="1038"/>
      <c r="C151" s="1026"/>
      <c r="D151" s="1026"/>
      <c r="E151" s="1026"/>
      <c r="F151" s="1059"/>
      <c r="G151" s="1054"/>
      <c r="H151" s="1269"/>
      <c r="I151" s="1056"/>
      <c r="J151" s="1111"/>
      <c r="K151" s="1025"/>
    </row>
    <row r="152" spans="1:11">
      <c r="A152" s="1037"/>
      <c r="B152" s="1038"/>
      <c r="C152" s="1026"/>
      <c r="D152" s="1026"/>
      <c r="E152" s="1026"/>
      <c r="F152" s="1059"/>
      <c r="G152" s="1054"/>
      <c r="H152" s="1269"/>
      <c r="I152" s="1056"/>
      <c r="J152" s="1111"/>
      <c r="K152" s="1025"/>
    </row>
    <row r="153" spans="1:11">
      <c r="A153" s="1037"/>
      <c r="B153" s="1038"/>
      <c r="C153" s="1026"/>
      <c r="D153" s="1026"/>
      <c r="E153" s="1026"/>
      <c r="F153" s="1059"/>
      <c r="G153" s="1059"/>
      <c r="H153" s="1269"/>
      <c r="I153" s="1056"/>
      <c r="J153" s="1111"/>
      <c r="K153" s="1025"/>
    </row>
    <row r="154" spans="1:11">
      <c r="A154" s="1037"/>
      <c r="B154" s="1038"/>
      <c r="C154" s="1026"/>
      <c r="D154" s="1026"/>
      <c r="E154" s="1026"/>
      <c r="F154" s="1059"/>
      <c r="G154" s="1059"/>
      <c r="H154" s="1269"/>
      <c r="I154" s="1056"/>
      <c r="J154" s="1111"/>
      <c r="K154" s="1025"/>
    </row>
    <row r="155" spans="1:11" ht="15.75">
      <c r="A155" s="1037"/>
      <c r="B155" s="1038"/>
      <c r="C155" s="1026"/>
      <c r="D155" s="1026"/>
      <c r="E155" s="1026"/>
      <c r="F155" s="1059"/>
      <c r="G155" s="1054"/>
      <c r="H155" s="1269"/>
      <c r="I155" s="1056"/>
      <c r="J155" s="1111"/>
      <c r="K155" s="1115"/>
    </row>
    <row r="156" spans="1:11">
      <c r="A156" s="1037"/>
      <c r="B156" s="1038"/>
      <c r="C156" s="1026"/>
      <c r="D156" s="1026"/>
      <c r="E156" s="1026"/>
      <c r="F156" s="1059"/>
      <c r="G156" s="1054"/>
      <c r="H156" s="1269"/>
      <c r="I156" s="1056"/>
      <c r="J156" s="1111"/>
      <c r="K156" s="1025"/>
    </row>
    <row r="157" spans="1:11">
      <c r="A157" s="1037"/>
      <c r="B157" s="1038"/>
      <c r="C157" s="1026"/>
      <c r="D157" s="1026"/>
      <c r="E157" s="1026"/>
      <c r="F157" s="1059"/>
      <c r="G157" s="1059"/>
      <c r="H157" s="1269"/>
      <c r="I157" s="1056"/>
      <c r="J157" s="1111"/>
      <c r="K157" s="1025"/>
    </row>
    <row r="158" spans="1:11">
      <c r="A158" s="1037"/>
      <c r="B158" s="1038"/>
      <c r="C158" s="1026"/>
      <c r="D158" s="1026"/>
      <c r="E158" s="1026"/>
      <c r="F158" s="1059"/>
      <c r="G158" s="1059"/>
      <c r="H158" s="1269"/>
      <c r="I158" s="1056"/>
      <c r="J158" s="1111"/>
      <c r="K158" s="1025"/>
    </row>
    <row r="159" spans="1:11">
      <c r="A159" s="1037"/>
      <c r="B159" s="1038"/>
      <c r="C159" s="1026"/>
      <c r="D159" s="1026"/>
      <c r="E159" s="1026"/>
      <c r="F159" s="1059"/>
      <c r="G159" s="1054"/>
      <c r="H159" s="1269"/>
      <c r="I159" s="1056"/>
      <c r="J159" s="1111"/>
      <c r="K159" s="1025"/>
    </row>
    <row r="160" spans="1:11">
      <c r="A160" s="1037"/>
      <c r="B160" s="1038"/>
      <c r="C160" s="1026"/>
      <c r="D160" s="1026"/>
      <c r="E160" s="1026"/>
      <c r="F160" s="1059"/>
      <c r="G160" s="1054"/>
      <c r="H160" s="1269"/>
      <c r="I160" s="1056"/>
      <c r="J160" s="1111"/>
      <c r="K160" s="1025"/>
    </row>
    <row r="161" spans="1:11">
      <c r="A161" s="1037"/>
      <c r="B161" s="1038"/>
      <c r="C161" s="1026"/>
      <c r="D161" s="1026"/>
      <c r="E161" s="1026"/>
      <c r="F161" s="1059"/>
      <c r="G161" s="1054"/>
      <c r="H161" s="1269"/>
      <c r="I161" s="1056"/>
      <c r="J161" s="1111"/>
      <c r="K161" s="1025"/>
    </row>
    <row r="162" spans="1:11" ht="15.75">
      <c r="A162" s="1037"/>
      <c r="B162" s="1038"/>
      <c r="C162" s="1026"/>
      <c r="D162" s="1026"/>
      <c r="E162" s="1026"/>
      <c r="F162" s="1059"/>
      <c r="G162" s="1054"/>
      <c r="H162" s="1269"/>
      <c r="I162" s="1056"/>
      <c r="J162" s="1111"/>
      <c r="K162" s="1115"/>
    </row>
    <row r="163" spans="1:11">
      <c r="A163" s="1037"/>
      <c r="B163" s="1038"/>
      <c r="C163" s="1026"/>
      <c r="D163" s="1026"/>
      <c r="E163" s="1026"/>
      <c r="F163" s="1059"/>
      <c r="G163" s="1054"/>
      <c r="H163" s="1269"/>
      <c r="I163" s="1056"/>
      <c r="J163" s="1111"/>
      <c r="K163" s="1025"/>
    </row>
    <row r="164" spans="1:11">
      <c r="A164" s="1037"/>
      <c r="B164" s="1038"/>
      <c r="C164" s="290"/>
      <c r="D164" s="1026"/>
      <c r="E164" s="1026"/>
      <c r="F164" s="1059"/>
      <c r="G164" s="1054"/>
      <c r="H164" s="1269"/>
      <c r="I164" s="1056"/>
      <c r="J164" s="1111"/>
      <c r="K164" s="1025"/>
    </row>
    <row r="165" spans="1:11">
      <c r="A165" s="1037"/>
      <c r="B165" s="1038"/>
      <c r="C165" s="1026"/>
      <c r="D165" s="1026"/>
      <c r="E165" s="1026"/>
      <c r="F165" s="1059"/>
      <c r="G165" s="1054"/>
      <c r="H165" s="1269"/>
      <c r="I165" s="1056"/>
      <c r="J165" s="1111"/>
      <c r="K165" s="1025"/>
    </row>
    <row r="166" spans="1:11">
      <c r="A166" s="1037"/>
      <c r="B166" s="1038"/>
      <c r="C166" s="1026"/>
      <c r="D166" s="1026"/>
      <c r="E166" s="1026"/>
      <c r="F166" s="1059"/>
      <c r="G166" s="1054"/>
      <c r="H166" s="1269"/>
      <c r="I166" s="1056"/>
      <c r="J166" s="1111"/>
      <c r="K166" s="1025"/>
    </row>
    <row r="167" spans="1:11">
      <c r="A167" s="1037"/>
      <c r="B167" s="1038"/>
      <c r="C167" s="1026"/>
      <c r="D167" s="1026"/>
      <c r="E167" s="1026"/>
      <c r="F167" s="1059"/>
      <c r="G167" s="1054"/>
      <c r="H167" s="1269"/>
      <c r="I167" s="1056"/>
      <c r="J167" s="1111"/>
      <c r="K167" s="1025"/>
    </row>
    <row r="168" spans="1:11">
      <c r="A168" s="1037"/>
      <c r="B168" s="1038"/>
      <c r="C168" s="1026"/>
      <c r="D168" s="1026"/>
      <c r="E168" s="1026"/>
      <c r="F168" s="1059"/>
      <c r="G168" s="1054"/>
      <c r="H168" s="1269"/>
      <c r="I168" s="1056"/>
      <c r="J168" s="1111"/>
      <c r="K168" s="1025"/>
    </row>
    <row r="169" spans="1:11">
      <c r="A169" s="1037"/>
      <c r="B169" s="1038"/>
      <c r="C169" s="1026"/>
      <c r="D169" s="1026"/>
      <c r="E169" s="1026"/>
      <c r="F169" s="1059"/>
      <c r="G169" s="1054"/>
      <c r="H169" s="1269"/>
      <c r="I169" s="1056"/>
      <c r="J169" s="1111"/>
      <c r="K169" s="1025"/>
    </row>
    <row r="170" spans="1:11">
      <c r="A170" s="1037"/>
      <c r="B170" s="1038"/>
      <c r="C170" s="1026"/>
      <c r="D170" s="1026"/>
      <c r="E170" s="1026"/>
      <c r="F170" s="1059"/>
      <c r="G170" s="1054"/>
      <c r="H170" s="1269"/>
      <c r="I170" s="1056"/>
      <c r="J170" s="1111"/>
      <c r="K170" s="1025"/>
    </row>
    <row r="171" spans="1:11">
      <c r="A171" s="1037"/>
      <c r="B171" s="1038"/>
      <c r="C171" s="1026"/>
      <c r="D171" s="1026"/>
      <c r="E171" s="1026"/>
      <c r="F171" s="1059"/>
      <c r="G171" s="1054"/>
      <c r="H171" s="1269"/>
      <c r="I171" s="1056"/>
      <c r="J171" s="1111"/>
      <c r="K171" s="1025"/>
    </row>
    <row r="172" spans="1:11">
      <c r="A172" s="1037"/>
      <c r="B172" s="1038"/>
      <c r="C172" s="1026"/>
      <c r="D172" s="1026"/>
      <c r="E172" s="1026"/>
      <c r="F172" s="1059"/>
      <c r="G172" s="1054"/>
      <c r="H172" s="1269"/>
      <c r="I172" s="1056"/>
      <c r="J172" s="1111"/>
      <c r="K172" s="1025"/>
    </row>
    <row r="173" spans="1:11">
      <c r="A173" s="1037"/>
      <c r="B173" s="1038"/>
      <c r="C173" s="1026"/>
      <c r="D173" s="1026"/>
      <c r="E173" s="1026"/>
      <c r="F173" s="1059"/>
      <c r="G173" s="1059"/>
      <c r="H173" s="1269"/>
      <c r="I173" s="1056"/>
      <c r="J173" s="1111"/>
      <c r="K173" s="1025"/>
    </row>
    <row r="174" spans="1:11">
      <c r="A174" s="1037"/>
      <c r="B174" s="1038"/>
      <c r="C174" s="1026"/>
      <c r="D174" s="1026"/>
      <c r="E174" s="1026"/>
      <c r="F174" s="1059"/>
      <c r="G174" s="1059"/>
      <c r="H174" s="1269"/>
      <c r="I174" s="1056"/>
      <c r="J174" s="1111"/>
      <c r="K174" s="1025"/>
    </row>
    <row r="175" spans="1:11">
      <c r="A175" s="1037"/>
      <c r="B175" s="1038"/>
      <c r="C175" s="1026"/>
      <c r="D175" s="1026"/>
      <c r="E175" s="1026"/>
      <c r="F175" s="1059"/>
      <c r="G175" s="1054"/>
      <c r="H175" s="1269"/>
      <c r="I175" s="1056"/>
      <c r="J175" s="1111"/>
      <c r="K175" s="1025"/>
    </row>
    <row r="176" spans="1:11">
      <c r="A176" s="1037"/>
      <c r="B176" s="1038"/>
      <c r="C176" s="1026"/>
      <c r="D176" s="1026"/>
      <c r="E176" s="1026"/>
      <c r="F176" s="1059"/>
      <c r="G176" s="1054"/>
      <c r="H176" s="1269"/>
      <c r="I176" s="1056"/>
      <c r="J176" s="1111"/>
      <c r="K176" s="1025"/>
    </row>
    <row r="177" spans="1:11">
      <c r="A177" s="1037"/>
      <c r="B177" s="1038"/>
      <c r="C177" s="1026"/>
      <c r="D177" s="1026"/>
      <c r="E177" s="1026"/>
      <c r="F177" s="1059"/>
      <c r="G177" s="1054"/>
      <c r="H177" s="1269"/>
      <c r="I177" s="1056"/>
      <c r="J177" s="1111"/>
      <c r="K177" s="1025"/>
    </row>
    <row r="178" spans="1:11" ht="15.75">
      <c r="A178" s="1037"/>
      <c r="B178" s="1038"/>
      <c r="C178" s="1026"/>
      <c r="D178" s="1026"/>
      <c r="E178" s="1026"/>
      <c r="F178" s="1059"/>
      <c r="G178" s="1059"/>
      <c r="H178" s="1269"/>
      <c r="I178" s="1056"/>
      <c r="J178" s="1111"/>
      <c r="K178" s="1115"/>
    </row>
    <row r="179" spans="1:11">
      <c r="A179" s="1037"/>
      <c r="B179" s="1038"/>
      <c r="C179" s="1026"/>
      <c r="D179" s="1026"/>
      <c r="E179" s="1026"/>
      <c r="F179" s="1059"/>
      <c r="G179" s="1059"/>
      <c r="H179" s="1269"/>
      <c r="I179" s="1056"/>
      <c r="J179" s="1111"/>
      <c r="K179" s="1025"/>
    </row>
    <row r="180" spans="1:11" ht="15.75">
      <c r="A180" s="1037"/>
      <c r="B180" s="1038"/>
      <c r="C180" s="1026"/>
      <c r="D180" s="1026"/>
      <c r="E180" s="1026"/>
      <c r="F180" s="1059"/>
      <c r="G180" s="1054"/>
      <c r="H180" s="1269"/>
      <c r="I180" s="1056"/>
      <c r="J180" s="1111"/>
      <c r="K180" s="1115"/>
    </row>
    <row r="181" spans="1:11" ht="15.75">
      <c r="A181" s="1037"/>
      <c r="B181" s="1038"/>
      <c r="C181" s="1026"/>
      <c r="D181" s="1026"/>
      <c r="E181" s="1026"/>
      <c r="F181" s="1059"/>
      <c r="G181" s="1054"/>
      <c r="H181" s="1269"/>
      <c r="I181" s="1056"/>
      <c r="J181" s="1111"/>
      <c r="K181" s="1115"/>
    </row>
    <row r="182" spans="1:11" ht="15.75">
      <c r="A182" s="1037"/>
      <c r="B182" s="1038"/>
      <c r="C182" s="1026"/>
      <c r="D182" s="1026"/>
      <c r="E182" s="1026"/>
      <c r="F182" s="1059"/>
      <c r="G182" s="1054"/>
      <c r="H182" s="1269"/>
      <c r="I182" s="1056"/>
      <c r="J182" s="1111"/>
      <c r="K182" s="1115"/>
    </row>
    <row r="183" spans="1:11" ht="15.75">
      <c r="A183" s="1037"/>
      <c r="B183" s="1038"/>
      <c r="C183" s="1026"/>
      <c r="D183" s="1026"/>
      <c r="E183" s="1026"/>
      <c r="F183" s="1059"/>
      <c r="G183" s="1054"/>
      <c r="H183" s="1269"/>
      <c r="I183" s="1056"/>
      <c r="J183" s="1111"/>
      <c r="K183" s="1115"/>
    </row>
    <row r="184" spans="1:11" ht="15.75">
      <c r="A184" s="1037"/>
      <c r="B184" s="1038"/>
      <c r="C184" s="1026"/>
      <c r="D184" s="1026"/>
      <c r="E184" s="1026"/>
      <c r="F184" s="1059"/>
      <c r="G184" s="1059"/>
      <c r="H184" s="1269"/>
      <c r="I184" s="1056"/>
      <c r="J184" s="1111"/>
      <c r="K184" s="1115"/>
    </row>
    <row r="185" spans="1:11">
      <c r="A185" s="1037"/>
      <c r="B185" s="1038"/>
      <c r="C185" s="1026"/>
      <c r="D185" s="1026"/>
      <c r="E185" s="1026"/>
      <c r="F185" s="1059"/>
      <c r="G185" s="1059"/>
      <c r="H185" s="1269"/>
      <c r="I185" s="1056"/>
      <c r="J185" s="1111"/>
      <c r="K185" s="1025"/>
    </row>
    <row r="186" spans="1:11" ht="15.75">
      <c r="A186" s="1037"/>
      <c r="B186" s="1038"/>
      <c r="C186" s="1026"/>
      <c r="D186" s="1026"/>
      <c r="E186" s="1026"/>
      <c r="F186" s="1059"/>
      <c r="G186" s="1054"/>
      <c r="H186" s="1269"/>
      <c r="I186" s="1056"/>
      <c r="J186" s="1111"/>
      <c r="K186" s="1115"/>
    </row>
    <row r="187" spans="1:11">
      <c r="A187" s="1037"/>
      <c r="B187" s="1038"/>
      <c r="C187" s="1026"/>
      <c r="D187" s="1026"/>
      <c r="E187" s="1026"/>
      <c r="F187" s="1059"/>
      <c r="G187" s="1059"/>
      <c r="H187" s="1269"/>
      <c r="I187" s="1056"/>
      <c r="J187" s="1111"/>
      <c r="K187" s="1025"/>
    </row>
    <row r="188" spans="1:11">
      <c r="A188" s="1037"/>
      <c r="B188" s="1038"/>
      <c r="C188" s="1026"/>
      <c r="D188" s="1026"/>
      <c r="E188" s="1026"/>
      <c r="F188" s="1059"/>
      <c r="G188" s="1059"/>
      <c r="H188" s="1269"/>
      <c r="I188" s="1056"/>
      <c r="J188" s="1111"/>
      <c r="K188" s="1025"/>
    </row>
    <row r="189" spans="1:11">
      <c r="A189" s="1037"/>
      <c r="B189" s="1038"/>
      <c r="C189" s="1026"/>
      <c r="D189" s="1026"/>
      <c r="E189" s="1026"/>
      <c r="F189" s="1059"/>
      <c r="G189" s="1059"/>
      <c r="H189" s="1269"/>
      <c r="I189" s="1056"/>
      <c r="J189" s="1111"/>
      <c r="K189" s="1025"/>
    </row>
    <row r="190" spans="1:11">
      <c r="A190" s="1037"/>
      <c r="B190" s="1038"/>
      <c r="C190" s="1026"/>
      <c r="D190" s="1026"/>
      <c r="E190" s="1026"/>
      <c r="F190" s="1059"/>
      <c r="G190" s="1059"/>
      <c r="H190" s="1269"/>
      <c r="I190" s="1056"/>
      <c r="J190" s="1111"/>
      <c r="K190" s="1025"/>
    </row>
    <row r="191" spans="1:11">
      <c r="A191" s="1037"/>
      <c r="B191" s="1038"/>
      <c r="C191" s="1026"/>
      <c r="D191" s="1026"/>
      <c r="E191" s="1026"/>
      <c r="F191" s="1059"/>
      <c r="G191" s="1054"/>
      <c r="H191" s="1269"/>
      <c r="I191" s="1056"/>
      <c r="J191" s="1111"/>
      <c r="K191" s="1025"/>
    </row>
    <row r="192" spans="1:11">
      <c r="A192" s="1037"/>
      <c r="B192" s="1038"/>
      <c r="C192" s="1026"/>
      <c r="D192" s="1026"/>
      <c r="E192" s="1026"/>
      <c r="F192" s="1059"/>
      <c r="G192" s="1054"/>
      <c r="H192" s="1269"/>
      <c r="I192" s="1056"/>
      <c r="J192" s="1111"/>
      <c r="K192" s="1025"/>
    </row>
    <row r="193" spans="1:11">
      <c r="A193" s="1037"/>
      <c r="B193" s="1038"/>
      <c r="C193" s="1026"/>
      <c r="D193" s="1026"/>
      <c r="E193" s="1026"/>
      <c r="F193" s="1059"/>
      <c r="G193" s="1054"/>
      <c r="H193" s="1269"/>
      <c r="I193" s="1056"/>
      <c r="J193" s="1111"/>
      <c r="K193" s="1025"/>
    </row>
    <row r="194" spans="1:11">
      <c r="A194" s="1037"/>
      <c r="B194" s="1038"/>
      <c r="C194" s="1026"/>
      <c r="D194" s="1026"/>
      <c r="E194" s="1026"/>
      <c r="F194" s="1059"/>
      <c r="G194" s="1054"/>
      <c r="H194" s="1269"/>
      <c r="I194" s="1056"/>
      <c r="J194" s="1111"/>
      <c r="K194" s="1025"/>
    </row>
    <row r="195" spans="1:11">
      <c r="A195" s="1037"/>
      <c r="B195" s="1038"/>
      <c r="C195" s="1026"/>
      <c r="D195" s="1026"/>
      <c r="E195" s="1026"/>
      <c r="F195" s="1059"/>
      <c r="G195" s="1054"/>
      <c r="H195" s="1269"/>
      <c r="I195" s="1056"/>
      <c r="J195" s="1111"/>
      <c r="K195" s="1025"/>
    </row>
    <row r="196" spans="1:11">
      <c r="A196" s="1037"/>
      <c r="B196" s="1038"/>
      <c r="C196" s="1026"/>
      <c r="D196" s="1026"/>
      <c r="E196" s="1026"/>
      <c r="F196" s="1059"/>
      <c r="G196" s="1054"/>
      <c r="H196" s="1269"/>
      <c r="I196" s="1056"/>
      <c r="J196" s="1111"/>
      <c r="K196" s="1025"/>
    </row>
    <row r="197" spans="1:11">
      <c r="A197" s="1037"/>
      <c r="B197" s="1038"/>
      <c r="C197" s="1026"/>
      <c r="D197" s="1026"/>
      <c r="E197" s="1026"/>
      <c r="F197" s="1059"/>
      <c r="G197" s="1054"/>
      <c r="H197" s="1269"/>
      <c r="I197" s="1056"/>
      <c r="J197" s="1111"/>
      <c r="K197" s="1025"/>
    </row>
    <row r="198" spans="1:11">
      <c r="A198" s="1037"/>
      <c r="B198" s="1038"/>
      <c r="C198" s="1026"/>
      <c r="D198" s="1026"/>
      <c r="E198" s="1026"/>
      <c r="F198" s="1059"/>
      <c r="G198" s="1059"/>
      <c r="H198" s="1269"/>
      <c r="I198" s="1056"/>
      <c r="J198" s="1111"/>
      <c r="K198" s="1025"/>
    </row>
    <row r="199" spans="1:11">
      <c r="A199" s="1037"/>
      <c r="B199" s="1038"/>
      <c r="C199" s="1026"/>
      <c r="D199" s="1026"/>
      <c r="E199" s="1026"/>
      <c r="F199" s="1059"/>
      <c r="G199" s="1059"/>
      <c r="H199" s="1269"/>
      <c r="I199" s="1056"/>
      <c r="J199" s="1111"/>
      <c r="K199" s="1025"/>
    </row>
    <row r="200" spans="1:11" ht="15.75">
      <c r="A200" s="1037"/>
      <c r="B200" s="1038"/>
      <c r="C200" s="1026"/>
      <c r="D200" s="1026"/>
      <c r="E200" s="1026"/>
      <c r="F200" s="1059"/>
      <c r="G200" s="1054"/>
      <c r="H200" s="1269"/>
      <c r="I200" s="1056"/>
      <c r="J200" s="1111"/>
      <c r="K200" s="1115"/>
    </row>
    <row r="201" spans="1:11">
      <c r="A201" s="1037"/>
      <c r="B201" s="1038"/>
      <c r="C201" s="1026"/>
      <c r="D201" s="1026"/>
      <c r="E201" s="1026"/>
      <c r="F201" s="1059"/>
      <c r="G201" s="1054"/>
      <c r="H201" s="1269"/>
      <c r="I201" s="1056"/>
      <c r="J201" s="1111"/>
      <c r="K201" s="1025"/>
    </row>
    <row r="202" spans="1:11">
      <c r="A202" s="1037"/>
      <c r="B202" s="1038"/>
      <c r="C202" s="1025"/>
      <c r="D202" s="1025"/>
      <c r="E202" s="1025"/>
      <c r="F202" s="1061"/>
      <c r="G202" s="1054"/>
      <c r="H202" s="1269"/>
      <c r="I202" s="1056"/>
      <c r="J202" s="1111"/>
      <c r="K202" s="1025"/>
    </row>
    <row r="203" spans="1:11">
      <c r="A203" s="1037"/>
      <c r="B203" s="1038"/>
      <c r="C203" s="1026"/>
      <c r="D203" s="1026"/>
      <c r="E203" s="1026"/>
      <c r="F203" s="1061"/>
      <c r="G203" s="1054"/>
      <c r="H203" s="1269"/>
      <c r="I203" s="1056"/>
      <c r="J203" s="1111"/>
      <c r="K203" s="1025"/>
    </row>
    <row r="204" spans="1:11" ht="15.75">
      <c r="A204" s="1037"/>
      <c r="B204" s="1038"/>
      <c r="C204" s="1026"/>
      <c r="D204" s="1026"/>
      <c r="E204" s="1026"/>
      <c r="F204" s="1059"/>
      <c r="G204" s="1059"/>
      <c r="H204" s="1269"/>
      <c r="I204" s="1056"/>
      <c r="J204" s="1111"/>
      <c r="K204" s="1115"/>
    </row>
    <row r="205" spans="1:11">
      <c r="A205" s="1037"/>
      <c r="B205" s="1038"/>
      <c r="C205" s="1026"/>
      <c r="D205" s="1026"/>
      <c r="E205" s="1026"/>
      <c r="F205" s="1059"/>
      <c r="G205" s="1059"/>
      <c r="H205" s="1269"/>
      <c r="I205" s="1056"/>
      <c r="J205" s="1111"/>
      <c r="K205" s="1025"/>
    </row>
    <row r="206" spans="1:11" ht="15.75">
      <c r="A206" s="1037"/>
      <c r="B206" s="1038"/>
      <c r="C206" s="1026"/>
      <c r="D206" s="1026"/>
      <c r="E206" s="1026"/>
      <c r="F206" s="1059"/>
      <c r="G206" s="1054"/>
      <c r="H206" s="1269"/>
      <c r="I206" s="1056"/>
      <c r="J206" s="1111"/>
      <c r="K206" s="1115"/>
    </row>
    <row r="207" spans="1:11" ht="15.75">
      <c r="A207" s="1037"/>
      <c r="B207" s="1038"/>
      <c r="C207" s="1026"/>
      <c r="D207" s="1026"/>
      <c r="E207" s="1026"/>
      <c r="F207" s="1059"/>
      <c r="G207" s="1054"/>
      <c r="H207" s="1269"/>
      <c r="I207" s="1056"/>
      <c r="J207" s="1111"/>
      <c r="K207" s="1115"/>
    </row>
    <row r="208" spans="1:11" ht="15.75">
      <c r="A208" s="1037"/>
      <c r="B208" s="1038"/>
      <c r="C208" s="1026"/>
      <c r="D208" s="1026"/>
      <c r="E208" s="1026"/>
      <c r="F208" s="1059"/>
      <c r="G208" s="1054"/>
      <c r="H208" s="1269"/>
      <c r="I208" s="1056"/>
      <c r="J208" s="1111"/>
      <c r="K208" s="1115"/>
    </row>
    <row r="209" spans="1:11" ht="15.75">
      <c r="A209" s="1037"/>
      <c r="B209" s="1038"/>
      <c r="C209" s="1026"/>
      <c r="D209" s="1026"/>
      <c r="E209" s="1026"/>
      <c r="F209" s="1059"/>
      <c r="G209" s="1054"/>
      <c r="H209" s="1269"/>
      <c r="I209" s="1056"/>
      <c r="J209" s="1111"/>
      <c r="K209" s="1115"/>
    </row>
    <row r="210" spans="1:11" ht="15.75">
      <c r="A210" s="1037"/>
      <c r="B210" s="1038"/>
      <c r="C210" s="1026"/>
      <c r="D210" s="1026"/>
      <c r="E210" s="1026"/>
      <c r="F210" s="1059"/>
      <c r="G210" s="1054"/>
      <c r="H210" s="1269"/>
      <c r="I210" s="1056"/>
      <c r="J210" s="1111"/>
      <c r="K210" s="1115"/>
    </row>
    <row r="211" spans="1:11" ht="15.75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115"/>
    </row>
    <row r="212" spans="1:11" ht="15.75">
      <c r="A212" s="1037"/>
      <c r="B212" s="1038"/>
      <c r="C212" s="1026"/>
      <c r="D212" s="1026"/>
      <c r="E212" s="1026"/>
      <c r="F212" s="1059"/>
      <c r="G212" s="1054"/>
      <c r="H212" s="1269"/>
      <c r="I212" s="1056"/>
      <c r="J212" s="1111"/>
      <c r="K212" s="1115"/>
    </row>
    <row r="213" spans="1:11" ht="15.75">
      <c r="A213" s="1037"/>
      <c r="B213" s="1038"/>
      <c r="C213" s="1026"/>
      <c r="D213" s="1026"/>
      <c r="E213" s="1026"/>
      <c r="F213" s="1059"/>
      <c r="G213" s="1054"/>
      <c r="H213" s="1269"/>
      <c r="I213" s="1056"/>
      <c r="J213" s="1111"/>
      <c r="K213" s="1115"/>
    </row>
    <row r="214" spans="1:11" ht="15.75">
      <c r="A214" s="1037"/>
      <c r="B214" s="1038"/>
      <c r="C214" s="1026"/>
      <c r="D214" s="1026"/>
      <c r="F214" s="1059"/>
      <c r="G214" s="1054"/>
      <c r="H214" s="1269"/>
      <c r="I214" s="1056"/>
      <c r="J214" s="1111"/>
      <c r="K214" s="1115"/>
    </row>
    <row r="215" spans="1:11" ht="15.75">
      <c r="A215" s="1037"/>
      <c r="B215" s="1038"/>
      <c r="C215" s="1026"/>
      <c r="D215" s="1026"/>
      <c r="E215" s="1026"/>
      <c r="F215" s="1059"/>
      <c r="G215" s="1054"/>
      <c r="H215" s="1269"/>
      <c r="I215" s="1056"/>
      <c r="J215" s="1111"/>
      <c r="K215" s="1115"/>
    </row>
    <row r="216" spans="1:11" ht="15.75">
      <c r="A216" s="1037"/>
      <c r="B216" s="1038"/>
      <c r="C216" s="1026"/>
      <c r="D216" s="1026"/>
      <c r="E216" s="1026"/>
      <c r="F216" s="1059"/>
      <c r="G216" s="1054"/>
      <c r="H216" s="1269"/>
      <c r="I216" s="1056"/>
      <c r="J216" s="1111"/>
      <c r="K216" s="1115"/>
    </row>
    <row r="217" spans="1:11" ht="15.75">
      <c r="A217" s="1037"/>
      <c r="B217" s="1038"/>
      <c r="C217" s="1026"/>
      <c r="D217" s="1026"/>
      <c r="E217" s="1026"/>
      <c r="F217" s="1059"/>
      <c r="G217" s="1054"/>
      <c r="H217" s="1269"/>
      <c r="I217" s="1056"/>
      <c r="J217" s="1111"/>
      <c r="K217" s="1115"/>
    </row>
    <row r="218" spans="1:11" ht="15.75">
      <c r="A218" s="1037"/>
      <c r="B218" s="1038"/>
      <c r="C218" s="1026"/>
      <c r="D218" s="1026"/>
      <c r="E218" s="1026"/>
      <c r="F218" s="1059"/>
      <c r="G218" s="1054"/>
      <c r="H218" s="1269"/>
      <c r="I218" s="1056"/>
      <c r="J218" s="1111"/>
      <c r="K218" s="1115"/>
    </row>
    <row r="219" spans="1:11">
      <c r="A219" s="1037"/>
      <c r="B219" s="1038"/>
      <c r="C219" s="1026"/>
      <c r="D219" s="1026"/>
      <c r="E219" s="1026"/>
      <c r="F219" s="1059"/>
      <c r="G219" s="1054"/>
      <c r="H219" s="1269"/>
      <c r="I219" s="1056"/>
      <c r="J219" s="1111"/>
      <c r="K219" s="1025"/>
    </row>
    <row r="220" spans="1:11">
      <c r="A220" s="1039"/>
      <c r="B220" s="1039"/>
      <c r="C220" s="1025"/>
      <c r="D220" s="1025"/>
      <c r="E220" s="1025"/>
      <c r="F220" s="1061"/>
      <c r="G220" s="1062"/>
      <c r="H220" s="1269"/>
      <c r="I220" s="1056"/>
      <c r="J220" s="1111"/>
      <c r="K220" s="1025"/>
    </row>
    <row r="221" spans="1:11">
      <c r="A221" s="1039"/>
      <c r="B221" s="1039"/>
      <c r="C221" s="1025"/>
      <c r="D221" s="1025"/>
      <c r="E221" s="1025"/>
      <c r="F221" s="1061"/>
      <c r="G221" s="1062"/>
      <c r="H221" s="1269"/>
      <c r="I221" s="1056"/>
      <c r="J221" s="1111"/>
      <c r="K221" s="1025"/>
    </row>
    <row r="222" spans="1:11">
      <c r="A222" s="1039"/>
      <c r="B222" s="1039"/>
      <c r="C222" s="1025"/>
      <c r="D222" s="1025"/>
      <c r="E222" s="1025"/>
      <c r="F222" s="1061"/>
      <c r="G222" s="1062"/>
      <c r="H222" s="1269"/>
      <c r="I222" s="1056"/>
      <c r="J222" s="1111"/>
      <c r="K222" s="1025"/>
    </row>
    <row r="223" spans="1:11">
      <c r="A223" s="1039"/>
      <c r="B223" s="1039"/>
      <c r="C223" s="1025"/>
      <c r="D223" s="1025"/>
      <c r="E223" s="1025"/>
      <c r="F223" s="1061"/>
      <c r="G223" s="1062"/>
      <c r="H223" s="1269"/>
      <c r="I223" s="1056"/>
      <c r="J223" s="1111"/>
      <c r="K223" s="1025"/>
    </row>
    <row r="224" spans="1:11">
      <c r="A224" s="1039"/>
      <c r="B224" s="1039"/>
      <c r="C224" s="1025"/>
      <c r="D224" s="1025"/>
      <c r="E224" s="1025"/>
      <c r="F224" s="1061"/>
      <c r="G224" s="1062"/>
      <c r="H224" s="1269"/>
      <c r="I224" s="1056"/>
      <c r="J224" s="1111"/>
      <c r="K224" s="1025"/>
    </row>
    <row r="225" spans="1:11">
      <c r="A225" s="1039"/>
      <c r="B225" s="1039"/>
      <c r="C225" s="1025"/>
      <c r="D225" s="1025"/>
      <c r="E225" s="1025"/>
      <c r="F225" s="1061"/>
      <c r="G225" s="1062"/>
      <c r="H225" s="1269"/>
      <c r="I225" s="1056"/>
      <c r="J225" s="1111"/>
      <c r="K225" s="1025"/>
    </row>
    <row r="226" spans="1:11">
      <c r="A226" s="1039"/>
      <c r="B226" s="1039"/>
      <c r="C226" s="1025"/>
      <c r="D226" s="1025"/>
      <c r="E226" s="1025"/>
      <c r="F226" s="1061"/>
      <c r="G226" s="1062"/>
      <c r="H226" s="1269"/>
      <c r="I226" s="1056"/>
      <c r="J226" s="1111"/>
      <c r="K226" s="1025"/>
    </row>
    <row r="227" spans="1:11">
      <c r="A227" s="1039"/>
      <c r="B227" s="1039"/>
      <c r="C227" s="1025"/>
      <c r="D227" s="1025"/>
      <c r="E227" s="1025"/>
      <c r="F227" s="1061"/>
      <c r="G227" s="1062"/>
      <c r="H227" s="1269"/>
      <c r="I227" s="1056"/>
      <c r="J227" s="1111"/>
      <c r="K227" s="1025"/>
    </row>
    <row r="228" spans="1:11">
      <c r="A228" s="1039"/>
      <c r="B228" s="1039"/>
      <c r="C228" s="1025"/>
      <c r="D228" s="1025"/>
      <c r="E228" s="1025"/>
      <c r="F228" s="1061"/>
      <c r="G228" s="1062"/>
      <c r="H228" s="1269"/>
      <c r="I228" s="1056"/>
      <c r="J228" s="1111"/>
      <c r="K228" s="1025"/>
    </row>
    <row r="229" spans="1:11">
      <c r="A229" s="1039"/>
      <c r="B229" s="1039"/>
      <c r="C229" s="1025"/>
      <c r="D229" s="1025"/>
      <c r="E229" s="1025"/>
      <c r="F229" s="1061"/>
      <c r="G229" s="1062"/>
      <c r="H229" s="1269"/>
      <c r="I229" s="1056"/>
      <c r="J229" s="1111"/>
      <c r="K229" s="1025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1025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1025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1025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1025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1025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1025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1025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1025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1025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1025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1025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1025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1025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1025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1025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1025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1025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1025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1025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1025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1025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1025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1025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1025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1025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1025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1025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1025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1025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1025"/>
    </row>
    <row r="260" spans="1:11">
      <c r="A260" s="1039"/>
      <c r="B260" s="1039"/>
      <c r="C260" s="1025"/>
      <c r="D260" s="1025"/>
      <c r="E260" s="1025"/>
      <c r="F260" s="1061"/>
      <c r="G260" s="1062"/>
      <c r="H260" s="1269"/>
      <c r="I260" s="1056"/>
      <c r="J260" s="1111"/>
      <c r="K260" s="1025"/>
    </row>
    <row r="261" spans="1:11">
      <c r="A261" s="1039"/>
      <c r="B261" s="1039"/>
      <c r="C261" s="1025"/>
      <c r="D261" s="1025"/>
      <c r="E261" s="1025"/>
      <c r="F261" s="1061"/>
      <c r="G261" s="1062"/>
      <c r="H261" s="1269"/>
      <c r="I261" s="1056"/>
      <c r="J261" s="1111"/>
      <c r="K261" s="1025"/>
    </row>
    <row r="262" spans="1:11">
      <c r="A262" s="1039"/>
      <c r="B262" s="1039"/>
      <c r="C262" s="1025"/>
      <c r="D262" s="1025"/>
      <c r="E262" s="1025"/>
      <c r="F262" s="1061"/>
      <c r="G262" s="1062"/>
      <c r="H262" s="1269"/>
      <c r="I262" s="1056"/>
      <c r="J262" s="1111"/>
      <c r="K262" s="1025"/>
    </row>
    <row r="263" spans="1:11">
      <c r="A263" s="1039"/>
      <c r="B263" s="1039"/>
      <c r="C263" s="1025"/>
      <c r="D263" s="1025"/>
      <c r="E263" s="1025"/>
      <c r="F263" s="1061"/>
      <c r="G263" s="1062"/>
      <c r="H263" s="1269"/>
      <c r="I263" s="1056"/>
      <c r="J263" s="1111"/>
      <c r="K263" s="1025"/>
    </row>
    <row r="264" spans="1:11">
      <c r="A264" s="1039"/>
      <c r="B264" s="1039"/>
      <c r="C264" s="1025"/>
      <c r="D264" s="1025"/>
      <c r="E264" s="1025"/>
      <c r="F264" s="1061"/>
      <c r="G264" s="1062"/>
      <c r="H264" s="1269"/>
      <c r="I264" s="1056"/>
      <c r="J264" s="1111"/>
      <c r="K264" s="1025"/>
    </row>
    <row r="265" spans="1:11">
      <c r="A265" s="1039"/>
      <c r="B265" s="1039"/>
      <c r="C265" s="1025"/>
      <c r="D265" s="1025"/>
      <c r="E265" s="1025"/>
      <c r="F265" s="1061"/>
      <c r="G265" s="1062"/>
      <c r="H265" s="1269"/>
      <c r="I265" s="1056"/>
      <c r="J265" s="1111"/>
      <c r="K265" s="1025"/>
    </row>
    <row r="266" spans="1:11">
      <c r="A266" s="1039"/>
      <c r="B266" s="1039"/>
      <c r="C266" s="1025"/>
      <c r="D266" s="1025"/>
      <c r="E266" s="1025"/>
      <c r="F266" s="1061"/>
      <c r="G266" s="1062"/>
      <c r="H266" s="1269"/>
      <c r="I266" s="1056"/>
      <c r="J266" s="1111"/>
      <c r="K266" s="1025"/>
    </row>
    <row r="267" spans="1:11">
      <c r="A267" s="1025"/>
      <c r="B267" s="1025"/>
      <c r="C267" s="1025"/>
      <c r="D267" s="1025"/>
      <c r="E267" s="1025"/>
      <c r="F267" s="1025"/>
      <c r="G267" s="1025"/>
      <c r="H267" s="1269"/>
      <c r="I267" s="1056"/>
      <c r="J267" s="1111"/>
      <c r="K267" s="1025"/>
    </row>
    <row r="268" spans="1:11">
      <c r="A268" s="1025"/>
      <c r="B268" s="1025"/>
      <c r="C268" s="1025"/>
      <c r="D268" s="1025"/>
      <c r="E268" s="1025"/>
      <c r="F268" s="1025"/>
      <c r="G268" s="1025"/>
      <c r="H268" s="1269"/>
      <c r="I268" s="1056"/>
      <c r="J268" s="1111"/>
      <c r="K268" s="1025"/>
    </row>
    <row r="269" spans="1:11">
      <c r="A269" s="1025"/>
      <c r="B269" s="1025"/>
      <c r="C269" s="1025"/>
      <c r="D269" s="1025"/>
      <c r="E269" s="1025"/>
      <c r="F269" s="1025"/>
      <c r="G269" s="1025"/>
      <c r="H269" s="1269"/>
      <c r="I269" s="1056"/>
      <c r="J269" s="1111"/>
      <c r="K269" s="1025"/>
    </row>
    <row r="270" spans="1:11">
      <c r="A270" s="1025"/>
      <c r="B270" s="1025"/>
      <c r="C270" s="1025"/>
      <c r="D270" s="1025"/>
      <c r="E270" s="1025"/>
      <c r="F270" s="1025"/>
      <c r="G270" s="1025"/>
      <c r="H270" s="1269"/>
      <c r="I270" s="1056"/>
      <c r="J270" s="1111"/>
      <c r="K270" s="1025"/>
    </row>
    <row r="271" spans="1:11">
      <c r="A271" s="1025"/>
      <c r="B271" s="1025"/>
      <c r="C271" s="1025"/>
      <c r="D271" s="1025"/>
      <c r="E271" s="1025"/>
      <c r="F271" s="1025"/>
      <c r="G271" s="1025"/>
      <c r="H271" s="1269"/>
      <c r="I271" s="1056"/>
      <c r="J271" s="1111"/>
      <c r="K271" s="1025"/>
    </row>
    <row r="272" spans="1:11">
      <c r="A272" s="1025"/>
      <c r="B272" s="1025"/>
      <c r="C272" s="1025"/>
      <c r="D272" s="1025"/>
      <c r="E272" s="1025"/>
      <c r="F272" s="1025"/>
      <c r="G272" s="1025"/>
      <c r="H272" s="1269"/>
      <c r="I272" s="1056"/>
      <c r="J272" s="1111"/>
      <c r="K272" s="1025"/>
    </row>
    <row r="273" spans="1:11">
      <c r="A273" s="1025"/>
      <c r="B273" s="1025"/>
      <c r="C273" s="1025"/>
      <c r="D273" s="1025"/>
      <c r="E273" s="1025"/>
      <c r="F273" s="1025"/>
      <c r="G273" s="1025"/>
      <c r="H273" s="1269"/>
      <c r="I273" s="1056"/>
      <c r="J273" s="1111"/>
      <c r="K273" s="1025"/>
    </row>
    <row r="274" spans="1:11">
      <c r="A274" s="1025"/>
      <c r="B274" s="1025"/>
      <c r="C274" s="1025"/>
      <c r="D274" s="1025"/>
      <c r="E274" s="1025"/>
      <c r="F274" s="1025"/>
      <c r="G274" s="1025"/>
      <c r="H274" s="1269"/>
      <c r="I274" s="1056"/>
      <c r="J274" s="1111"/>
      <c r="K274" s="1025"/>
    </row>
    <row r="275" spans="1:11">
      <c r="A275" s="1025"/>
      <c r="B275" s="1025"/>
      <c r="C275" s="1025"/>
      <c r="D275" s="1025"/>
      <c r="E275" s="1025"/>
      <c r="F275" s="1025"/>
      <c r="G275" s="1025"/>
      <c r="H275" s="1269"/>
      <c r="I275" s="1056"/>
      <c r="J275" s="1111"/>
      <c r="K275" s="1025"/>
    </row>
    <row r="276" spans="1:11">
      <c r="A276" s="1025"/>
      <c r="B276" s="1025"/>
      <c r="C276" s="1025"/>
      <c r="D276" s="1025"/>
      <c r="E276" s="1025"/>
      <c r="F276" s="1025"/>
      <c r="G276" s="1025"/>
      <c r="H276" s="1269"/>
      <c r="I276" s="1056"/>
      <c r="J276" s="1111"/>
      <c r="K276" s="1025"/>
    </row>
    <row r="277" spans="1:11">
      <c r="A277" s="1025"/>
      <c r="B277" s="1025"/>
      <c r="C277" s="1025"/>
      <c r="D277" s="1025"/>
      <c r="E277" s="1025"/>
      <c r="F277" s="1025"/>
      <c r="G277" s="1025"/>
      <c r="H277" s="1269"/>
      <c r="I277" s="1056"/>
      <c r="J277" s="1111"/>
      <c r="K277" s="1025"/>
    </row>
    <row r="278" spans="1:11">
      <c r="A278" s="1025"/>
      <c r="B278" s="1025"/>
      <c r="C278" s="1025"/>
      <c r="D278" s="1025"/>
      <c r="E278" s="1025"/>
      <c r="F278" s="1025"/>
      <c r="G278" s="1025"/>
      <c r="H278" s="1269"/>
      <c r="I278" s="1056"/>
      <c r="J278" s="1111"/>
      <c r="K278" s="1025"/>
    </row>
    <row r="279" spans="1:11">
      <c r="A279" s="1025"/>
      <c r="B279" s="1025"/>
      <c r="C279" s="1025"/>
      <c r="D279" s="1025"/>
      <c r="E279" s="1025"/>
      <c r="F279" s="1025"/>
      <c r="G279" s="1025"/>
      <c r="H279" s="1269"/>
      <c r="I279" s="1056"/>
      <c r="J279" s="1111"/>
      <c r="K279" s="1025"/>
    </row>
    <row r="280" spans="1:11">
      <c r="A280" s="1025"/>
      <c r="B280" s="1025"/>
      <c r="C280" s="1025"/>
      <c r="D280" s="1025"/>
      <c r="E280" s="1025"/>
      <c r="F280" s="1025"/>
      <c r="G280" s="1025"/>
      <c r="H280" s="1269"/>
      <c r="I280" s="1056"/>
      <c r="J280" s="1111"/>
      <c r="K280" s="1025"/>
    </row>
    <row r="281" spans="1:11" ht="15.75" thickBot="1">
      <c r="A281" s="1037"/>
      <c r="B281" s="1038"/>
      <c r="C281" s="1026"/>
      <c r="D281" s="1026"/>
      <c r="E281" s="1026"/>
      <c r="F281" s="1059"/>
      <c r="G281" s="1054"/>
      <c r="H281" s="1269"/>
      <c r="I281" s="1056"/>
      <c r="J281" s="1111"/>
      <c r="K281" s="1025"/>
    </row>
    <row r="282" spans="1:11" ht="20.25" thickBot="1">
      <c r="A282" s="1552"/>
      <c r="B282" s="1553"/>
      <c r="C282" s="1553"/>
      <c r="D282" s="1553"/>
      <c r="E282" s="1553"/>
      <c r="F282" s="1554">
        <f>SUM(F161:F169,F171:F281)</f>
        <v>0</v>
      </c>
      <c r="G282" s="1553"/>
      <c r="H282" s="1558">
        <f>SUM(H61:H281)</f>
        <v>0</v>
      </c>
      <c r="I282" s="1554">
        <f>SUM(I161:I281)</f>
        <v>0</v>
      </c>
      <c r="J282" s="1111"/>
      <c r="K282" s="1115"/>
    </row>
  </sheetData>
  <autoFilter ref="A1:K37" xr:uid="{9E0719C8-67D2-4802-8ABD-B7FC10A7072D}">
    <sortState xmlns:xlrd2="http://schemas.microsoft.com/office/spreadsheetml/2017/richdata2" ref="A2:K38">
      <sortCondition ref="J1:J37"/>
    </sortState>
  </autoFilter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80A9-1B72-465E-8CA2-794CBC5DA910}">
  <dimension ref="A1:K282"/>
  <sheetViews>
    <sheetView zoomScale="85" zoomScaleNormal="85" workbookViewId="0">
      <pane ySplit="1" topLeftCell="A4" activePane="bottomLeft" state="frozen"/>
      <selection pane="bottomLeft" activeCell="C2" sqref="C2:C25"/>
    </sheetView>
  </sheetViews>
  <sheetFormatPr defaultColWidth="9.140625" defaultRowHeight="15"/>
  <cols>
    <col min="1" max="1" width="15.140625" style="1032" bestFit="1" customWidth="1"/>
    <col min="2" max="2" width="13.5703125" style="1032" customWidth="1"/>
    <col min="3" max="3" width="44.5703125" style="1032" bestFit="1" customWidth="1"/>
    <col min="4" max="4" width="22.28515625" style="1032" bestFit="1" customWidth="1"/>
    <col min="5" max="5" width="11.5703125" style="1032" customWidth="1"/>
    <col min="6" max="6" width="22" style="1032" bestFit="1" customWidth="1"/>
    <col min="7" max="7" width="15" style="1032" customWidth="1"/>
    <col min="8" max="8" width="24.85546875" style="1032" bestFit="1" customWidth="1"/>
    <col min="9" max="9" width="23.28515625" style="1032" bestFit="1" customWidth="1"/>
    <col min="10" max="10" width="13.140625" style="1032" customWidth="1"/>
    <col min="11" max="11" width="16.5703125" style="1032" customWidth="1"/>
    <col min="12" max="16384" width="9.140625" style="1032"/>
  </cols>
  <sheetData>
    <row r="1" spans="1:11" ht="14.25" customHeight="1">
      <c r="A1" s="1575" t="s">
        <v>2519</v>
      </c>
      <c r="B1" s="1576" t="s">
        <v>2</v>
      </c>
      <c r="C1" s="1576" t="s">
        <v>3</v>
      </c>
      <c r="D1" s="1576" t="s">
        <v>4</v>
      </c>
      <c r="E1" s="1576" t="s">
        <v>5</v>
      </c>
      <c r="F1" s="1577" t="s">
        <v>644</v>
      </c>
      <c r="G1" s="1578" t="s">
        <v>555</v>
      </c>
      <c r="H1" s="1579" t="s">
        <v>7</v>
      </c>
      <c r="I1" s="1580" t="s">
        <v>307</v>
      </c>
      <c r="J1" s="1578" t="s">
        <v>370</v>
      </c>
      <c r="K1" s="1290" t="s">
        <v>442</v>
      </c>
    </row>
    <row r="2" spans="1:11" s="1588" customFormat="1" ht="15.75">
      <c r="A2" s="1581">
        <v>45749</v>
      </c>
      <c r="B2" s="1582">
        <v>46114</v>
      </c>
      <c r="C2" s="1592" t="s">
        <v>2818</v>
      </c>
      <c r="D2" s="1592" t="s">
        <v>448</v>
      </c>
      <c r="E2" s="1583" t="s">
        <v>279</v>
      </c>
      <c r="F2" s="1591">
        <v>6944.42</v>
      </c>
      <c r="G2" s="1584">
        <v>0.1</v>
      </c>
      <c r="H2" s="1585">
        <v>624.99</v>
      </c>
      <c r="I2" s="1586">
        <f>624.99/2</f>
        <v>312.495</v>
      </c>
      <c r="J2" s="1587" t="s">
        <v>1577</v>
      </c>
      <c r="K2" s="1598" t="s">
        <v>2274</v>
      </c>
    </row>
    <row r="3" spans="1:11" s="1031" customFormat="1">
      <c r="A3" s="1037">
        <v>45757</v>
      </c>
      <c r="B3" s="1038">
        <v>46119</v>
      </c>
      <c r="C3" s="1026" t="s">
        <v>2821</v>
      </c>
      <c r="D3" s="1026" t="s">
        <v>9</v>
      </c>
      <c r="E3" s="1026" t="s">
        <v>458</v>
      </c>
      <c r="F3" s="1059">
        <v>1564.07</v>
      </c>
      <c r="G3" s="1054">
        <v>0.1</v>
      </c>
      <c r="H3" s="1055">
        <v>140.76</v>
      </c>
      <c r="I3" s="1056"/>
      <c r="J3" s="1111"/>
      <c r="K3" s="1111" t="s">
        <v>2015</v>
      </c>
    </row>
    <row r="4" spans="1:11" s="1031" customFormat="1">
      <c r="A4" s="1039">
        <v>45756</v>
      </c>
      <c r="B4" s="1039">
        <v>46121</v>
      </c>
      <c r="C4" s="1025" t="s">
        <v>2820</v>
      </c>
      <c r="D4" s="1025" t="s">
        <v>9</v>
      </c>
      <c r="E4" s="1025" t="s">
        <v>1593</v>
      </c>
      <c r="F4" s="1023">
        <v>2331.0500000000002</v>
      </c>
      <c r="G4" s="1062">
        <v>0.14000000000000001</v>
      </c>
      <c r="H4" s="1023">
        <v>293.70999999999998</v>
      </c>
      <c r="I4" s="1242"/>
      <c r="J4" s="1025"/>
      <c r="K4" s="1025" t="s">
        <v>2015</v>
      </c>
    </row>
    <row r="5" spans="1:11" ht="15.75">
      <c r="A5" s="1037">
        <v>45754</v>
      </c>
      <c r="B5" s="1038">
        <v>46122</v>
      </c>
      <c r="C5" s="1025" t="s">
        <v>2534</v>
      </c>
      <c r="D5" s="1026" t="s">
        <v>448</v>
      </c>
      <c r="E5" s="1026" t="s">
        <v>10</v>
      </c>
      <c r="F5" s="1059">
        <v>2211.3000000000002</v>
      </c>
      <c r="G5" s="1054">
        <v>0.1</v>
      </c>
      <c r="H5" s="1055">
        <v>199.01</v>
      </c>
      <c r="I5" s="1056"/>
      <c r="J5" s="1111"/>
      <c r="K5" s="1115" t="s">
        <v>2015</v>
      </c>
    </row>
    <row r="6" spans="1:11" s="1025" customFormat="1">
      <c r="A6" s="1039">
        <v>45751</v>
      </c>
      <c r="B6" s="1039">
        <v>46124</v>
      </c>
      <c r="C6" s="1025" t="s">
        <v>2819</v>
      </c>
      <c r="D6" s="1025" t="s">
        <v>9</v>
      </c>
      <c r="E6" s="1025" t="s">
        <v>29</v>
      </c>
      <c r="F6" s="1061">
        <v>1454.04</v>
      </c>
      <c r="G6" s="1062">
        <v>0.2</v>
      </c>
      <c r="H6" s="1055">
        <v>261.72000000000003</v>
      </c>
      <c r="I6" s="1242"/>
      <c r="K6" s="1025" t="s">
        <v>2015</v>
      </c>
    </row>
    <row r="7" spans="1:11" s="1025" customFormat="1" ht="15.75">
      <c r="A7" s="1041">
        <v>45762</v>
      </c>
      <c r="B7" s="1041">
        <v>46125</v>
      </c>
      <c r="C7" s="1027" t="s">
        <v>2827</v>
      </c>
      <c r="D7" s="1027" t="s">
        <v>448</v>
      </c>
      <c r="E7" s="1027" t="s">
        <v>10</v>
      </c>
      <c r="F7" s="1090">
        <v>2196.87</v>
      </c>
      <c r="G7" s="1066">
        <v>0.1</v>
      </c>
      <c r="H7" s="1067">
        <v>197.71</v>
      </c>
      <c r="I7" s="1243"/>
      <c r="J7" s="1027" t="s">
        <v>1470</v>
      </c>
      <c r="K7" s="1117" t="s">
        <v>2015</v>
      </c>
    </row>
    <row r="8" spans="1:11" ht="15.75">
      <c r="A8" s="1124">
        <v>45758</v>
      </c>
      <c r="B8" s="1125">
        <v>46126</v>
      </c>
      <c r="C8" s="1028" t="s">
        <v>2822</v>
      </c>
      <c r="D8" s="1027" t="s">
        <v>25</v>
      </c>
      <c r="E8" s="1028" t="s">
        <v>1552</v>
      </c>
      <c r="F8" s="1126">
        <v>1410.68</v>
      </c>
      <c r="G8" s="1127">
        <v>0.1</v>
      </c>
      <c r="H8" s="1128">
        <v>126.96</v>
      </c>
      <c r="I8" s="1129"/>
      <c r="J8" s="1130" t="s">
        <v>1470</v>
      </c>
      <c r="K8" s="1468" t="s">
        <v>2274</v>
      </c>
    </row>
    <row r="9" spans="1:11" s="1588" customFormat="1" ht="15.75">
      <c r="A9" s="1581">
        <v>45761</v>
      </c>
      <c r="B9" s="1582">
        <v>46126</v>
      </c>
      <c r="C9" s="1592" t="s">
        <v>2824</v>
      </c>
      <c r="D9" s="1583" t="s">
        <v>848</v>
      </c>
      <c r="E9" s="1583" t="s">
        <v>1593</v>
      </c>
      <c r="F9" s="1591">
        <v>3306.86</v>
      </c>
      <c r="G9" s="1584">
        <v>0.21</v>
      </c>
      <c r="H9" s="1585">
        <v>624.99</v>
      </c>
      <c r="I9" s="1586">
        <v>312.49</v>
      </c>
      <c r="J9" s="1587" t="s">
        <v>1577</v>
      </c>
      <c r="K9" s="1589" t="s">
        <v>2015</v>
      </c>
    </row>
    <row r="10" spans="1:11" ht="15" customHeight="1">
      <c r="A10" s="1037">
        <v>45761</v>
      </c>
      <c r="B10" s="1038">
        <v>46126</v>
      </c>
      <c r="C10" s="1026" t="s">
        <v>2826</v>
      </c>
      <c r="D10" s="1026" t="s">
        <v>448</v>
      </c>
      <c r="E10" s="1026" t="s">
        <v>29</v>
      </c>
      <c r="F10" s="1059">
        <v>2657.14</v>
      </c>
      <c r="G10" s="1054">
        <v>0.15</v>
      </c>
      <c r="H10" s="1055">
        <v>358.71</v>
      </c>
      <c r="I10" s="1056"/>
      <c r="J10" s="1111"/>
      <c r="K10" s="1115" t="s">
        <v>2015</v>
      </c>
    </row>
    <row r="11" spans="1:11" ht="15.75">
      <c r="A11" s="1037">
        <v>45761</v>
      </c>
      <c r="B11" s="1038">
        <v>46126</v>
      </c>
      <c r="C11" s="1026" t="s">
        <v>2825</v>
      </c>
      <c r="D11" s="1026" t="s">
        <v>9</v>
      </c>
      <c r="E11" s="1026" t="s">
        <v>458</v>
      </c>
      <c r="F11" s="1059">
        <v>1192.06</v>
      </c>
      <c r="G11" s="1054">
        <v>0.13</v>
      </c>
      <c r="H11" s="1055">
        <v>139.47</v>
      </c>
      <c r="I11" s="1056"/>
      <c r="J11" s="1111"/>
      <c r="K11" s="1115" t="s">
        <v>2015</v>
      </c>
    </row>
    <row r="12" spans="1:11" s="1031" customFormat="1">
      <c r="A12" s="1284">
        <v>45762</v>
      </c>
      <c r="B12" s="1399">
        <v>46127</v>
      </c>
      <c r="C12" s="1263" t="s">
        <v>2834</v>
      </c>
      <c r="D12" s="1263" t="s">
        <v>448</v>
      </c>
      <c r="E12" s="1263" t="s">
        <v>279</v>
      </c>
      <c r="F12" s="1593">
        <v>2257.84</v>
      </c>
      <c r="G12" s="1265">
        <v>0.1</v>
      </c>
      <c r="H12" s="1593">
        <v>203.2</v>
      </c>
      <c r="I12" s="1594">
        <v>101.6</v>
      </c>
      <c r="J12" s="1595" t="s">
        <v>2835</v>
      </c>
      <c r="K12" s="1263" t="s">
        <v>2010</v>
      </c>
    </row>
    <row r="13" spans="1:11" ht="15.75">
      <c r="A13" s="1040">
        <v>45762</v>
      </c>
      <c r="B13" s="1042">
        <v>46127</v>
      </c>
      <c r="C13" s="1027" t="s">
        <v>2831</v>
      </c>
      <c r="D13" s="1027" t="s">
        <v>9</v>
      </c>
      <c r="E13" s="1027" t="s">
        <v>29</v>
      </c>
      <c r="F13" s="1065">
        <v>1455.08</v>
      </c>
      <c r="G13" s="1066">
        <v>0.1</v>
      </c>
      <c r="H13" s="1067">
        <v>130.94999999999999</v>
      </c>
      <c r="I13" s="1068"/>
      <c r="J13" s="1112" t="s">
        <v>1470</v>
      </c>
      <c r="K13" s="1117" t="s">
        <v>2274</v>
      </c>
    </row>
    <row r="14" spans="1:11" s="1596" customFormat="1" ht="15.75">
      <c r="A14" s="1037">
        <v>45703</v>
      </c>
      <c r="B14" s="1038">
        <v>46127</v>
      </c>
      <c r="C14" s="1026" t="s">
        <v>2832</v>
      </c>
      <c r="D14" s="1026" t="s">
        <v>422</v>
      </c>
      <c r="E14" s="1025" t="s">
        <v>15</v>
      </c>
      <c r="F14" s="1061">
        <v>3953.24</v>
      </c>
      <c r="G14" s="1062">
        <v>0.19</v>
      </c>
      <c r="H14" s="1055">
        <v>676</v>
      </c>
      <c r="I14" s="1056"/>
      <c r="J14" s="1111"/>
      <c r="K14" s="1115" t="s">
        <v>2015</v>
      </c>
    </row>
    <row r="15" spans="1:11" ht="15.75">
      <c r="A15" s="1037">
        <v>45757</v>
      </c>
      <c r="B15" s="1038">
        <v>46128</v>
      </c>
      <c r="C15" s="1025" t="s">
        <v>2536</v>
      </c>
      <c r="D15" s="1026" t="s">
        <v>14</v>
      </c>
      <c r="E15" s="1025" t="s">
        <v>19</v>
      </c>
      <c r="F15" s="1061">
        <v>1430.04</v>
      </c>
      <c r="G15" s="1062">
        <v>0.15</v>
      </c>
      <c r="H15" s="1055">
        <v>193.05</v>
      </c>
      <c r="I15" s="1056"/>
      <c r="J15" s="1111"/>
      <c r="K15" s="1115" t="s">
        <v>2015</v>
      </c>
    </row>
    <row r="16" spans="1:11" ht="15.75">
      <c r="A16" s="1040">
        <v>45764</v>
      </c>
      <c r="B16" s="1042">
        <v>46130</v>
      </c>
      <c r="C16" s="1027" t="s">
        <v>2833</v>
      </c>
      <c r="D16" s="1030" t="s">
        <v>9</v>
      </c>
      <c r="E16" s="1027" t="s">
        <v>458</v>
      </c>
      <c r="F16" s="1065">
        <v>1804.16</v>
      </c>
      <c r="G16" s="1066">
        <v>0.15</v>
      </c>
      <c r="H16" s="1067">
        <v>243.56</v>
      </c>
      <c r="I16" s="1068"/>
      <c r="J16" s="1112" t="s">
        <v>1470</v>
      </c>
      <c r="K16" s="1117" t="s">
        <v>2015</v>
      </c>
    </row>
    <row r="17" spans="1:11" ht="15.75">
      <c r="A17" s="1040">
        <v>45761</v>
      </c>
      <c r="B17" s="1042">
        <v>46130</v>
      </c>
      <c r="C17" s="1027" t="s">
        <v>2823</v>
      </c>
      <c r="D17" s="1030" t="s">
        <v>417</v>
      </c>
      <c r="E17" s="1027" t="s">
        <v>10</v>
      </c>
      <c r="F17" s="1065">
        <v>1675.5</v>
      </c>
      <c r="G17" s="1066">
        <v>0.1</v>
      </c>
      <c r="H17" s="1067">
        <v>150.79</v>
      </c>
      <c r="I17" s="1068"/>
      <c r="J17" s="1112" t="s">
        <v>1470</v>
      </c>
      <c r="K17" s="1117" t="s">
        <v>2015</v>
      </c>
    </row>
    <row r="18" spans="1:11" s="1031" customFormat="1" ht="15.75">
      <c r="A18" s="1039">
        <v>45764</v>
      </c>
      <c r="B18" s="1039">
        <v>46134</v>
      </c>
      <c r="C18" s="1025" t="s">
        <v>2542</v>
      </c>
      <c r="D18" s="1025" t="s">
        <v>422</v>
      </c>
      <c r="E18" s="1025" t="s">
        <v>458</v>
      </c>
      <c r="F18" s="1061">
        <v>1705.77</v>
      </c>
      <c r="G18" s="1062">
        <v>0.1</v>
      </c>
      <c r="H18" s="1055">
        <v>153.51</v>
      </c>
      <c r="I18" s="1056"/>
      <c r="J18" s="1111"/>
      <c r="K18" s="1115" t="s">
        <v>2015</v>
      </c>
    </row>
    <row r="19" spans="1:11" ht="15.75">
      <c r="A19" s="1039">
        <v>45770</v>
      </c>
      <c r="B19" s="1039">
        <v>46135</v>
      </c>
      <c r="C19" s="1025" t="s">
        <v>2836</v>
      </c>
      <c r="D19" s="1025" t="s">
        <v>448</v>
      </c>
      <c r="E19" s="1025" t="s">
        <v>19</v>
      </c>
      <c r="F19" s="1023">
        <v>4432.58</v>
      </c>
      <c r="G19" s="1062">
        <v>0.15</v>
      </c>
      <c r="H19" s="1055">
        <v>598.39</v>
      </c>
      <c r="I19" s="1056"/>
      <c r="J19" s="1111"/>
      <c r="K19" s="1115" t="s">
        <v>2010</v>
      </c>
    </row>
    <row r="20" spans="1:11" ht="15.75">
      <c r="A20" s="1040">
        <v>45762</v>
      </c>
      <c r="B20" s="1041">
        <v>46136</v>
      </c>
      <c r="C20" s="1027" t="s">
        <v>2544</v>
      </c>
      <c r="D20" s="1030" t="s">
        <v>21</v>
      </c>
      <c r="E20" s="1027" t="s">
        <v>10</v>
      </c>
      <c r="F20" s="1065">
        <v>1549.99</v>
      </c>
      <c r="G20" s="1066">
        <v>0.1</v>
      </c>
      <c r="H20" s="1067">
        <v>139.49</v>
      </c>
      <c r="I20" s="1068"/>
      <c r="J20" s="1112" t="s">
        <v>1470</v>
      </c>
      <c r="K20" s="1117" t="s">
        <v>2015</v>
      </c>
    </row>
    <row r="21" spans="1:11" s="1031" customFormat="1" ht="15.75">
      <c r="A21" s="1037">
        <v>45764</v>
      </c>
      <c r="B21" s="1039">
        <v>46136</v>
      </c>
      <c r="C21" s="1025" t="s">
        <v>2540</v>
      </c>
      <c r="D21" s="1026" t="s">
        <v>417</v>
      </c>
      <c r="E21" s="1025" t="s">
        <v>19</v>
      </c>
      <c r="F21" s="906">
        <v>2173.69</v>
      </c>
      <c r="G21" s="1062">
        <v>0.1</v>
      </c>
      <c r="H21" s="1055">
        <v>195.63</v>
      </c>
      <c r="I21" s="1056"/>
      <c r="J21" s="1111"/>
      <c r="K21" s="1115" t="s">
        <v>2015</v>
      </c>
    </row>
    <row r="22" spans="1:11" ht="15.75">
      <c r="A22" s="1037">
        <v>45764</v>
      </c>
      <c r="B22" s="1039">
        <v>46137</v>
      </c>
      <c r="C22" s="1025" t="s">
        <v>2541</v>
      </c>
      <c r="D22" s="1026" t="s">
        <v>1604</v>
      </c>
      <c r="E22" s="1025" t="s">
        <v>10</v>
      </c>
      <c r="F22" s="1061">
        <v>824.15</v>
      </c>
      <c r="G22" s="1062">
        <v>0.15</v>
      </c>
      <c r="H22" s="1055">
        <v>111.26</v>
      </c>
      <c r="I22" s="1056"/>
      <c r="J22" s="1111"/>
      <c r="K22" s="1115" t="s">
        <v>2015</v>
      </c>
    </row>
    <row r="23" spans="1:11" ht="15.75">
      <c r="A23" s="1041">
        <v>45773</v>
      </c>
      <c r="B23" s="1041">
        <v>46138</v>
      </c>
      <c r="C23" s="1027" t="s">
        <v>2837</v>
      </c>
      <c r="D23" s="1027" t="s">
        <v>25</v>
      </c>
      <c r="E23" s="1027" t="s">
        <v>10</v>
      </c>
      <c r="F23" s="1090">
        <v>2051.14</v>
      </c>
      <c r="G23" s="1066">
        <v>0.15</v>
      </c>
      <c r="H23" s="1090">
        <v>276.89999999999998</v>
      </c>
      <c r="I23" s="1243"/>
      <c r="J23" s="1027" t="s">
        <v>1470</v>
      </c>
      <c r="K23" s="1117" t="s">
        <v>2015</v>
      </c>
    </row>
    <row r="24" spans="1:11" s="1588" customFormat="1" ht="15.75">
      <c r="A24" s="1581">
        <v>45777</v>
      </c>
      <c r="B24" s="1597">
        <v>46142</v>
      </c>
      <c r="C24" s="1592" t="s">
        <v>2840</v>
      </c>
      <c r="D24" s="1583" t="s">
        <v>112</v>
      </c>
      <c r="E24" s="1583" t="s">
        <v>15</v>
      </c>
      <c r="F24" s="1591">
        <v>3756.5</v>
      </c>
      <c r="G24" s="1590">
        <v>0.1</v>
      </c>
      <c r="H24" s="1585">
        <v>338.08</v>
      </c>
      <c r="I24" s="1586">
        <v>169.04</v>
      </c>
      <c r="J24" s="1587" t="s">
        <v>1577</v>
      </c>
      <c r="K24" s="1589" t="s">
        <v>2010</v>
      </c>
    </row>
    <row r="25" spans="1:11" ht="15.75">
      <c r="A25" s="1037">
        <v>45776</v>
      </c>
      <c r="B25" s="1038">
        <v>46142</v>
      </c>
      <c r="C25" s="1025" t="s">
        <v>2839</v>
      </c>
      <c r="D25" s="1026" t="s">
        <v>848</v>
      </c>
      <c r="E25" s="1026" t="s">
        <v>2682</v>
      </c>
      <c r="F25" s="1059">
        <v>2687.23</v>
      </c>
      <c r="G25" s="1054">
        <v>0.15</v>
      </c>
      <c r="H25" s="1055">
        <v>362.77</v>
      </c>
      <c r="I25" s="1056"/>
      <c r="J25" s="1111"/>
      <c r="K25" s="1115" t="s">
        <v>2015</v>
      </c>
    </row>
    <row r="26" spans="1:11" ht="15.75">
      <c r="A26" s="1037"/>
      <c r="B26" s="1038"/>
      <c r="C26" s="1025"/>
      <c r="D26" s="1026"/>
      <c r="E26" s="1026"/>
      <c r="F26" s="1053"/>
      <c r="G26" s="1054"/>
      <c r="H26" s="1055"/>
      <c r="I26" s="1056"/>
      <c r="J26" s="1111"/>
      <c r="K26" s="1115"/>
    </row>
    <row r="27" spans="1:11" ht="15.75">
      <c r="A27" s="1037"/>
      <c r="B27" s="1038"/>
      <c r="C27" s="1025"/>
      <c r="D27" s="1026"/>
      <c r="E27" s="1026"/>
      <c r="F27" s="1053"/>
      <c r="G27" s="1054"/>
      <c r="H27" s="1055"/>
      <c r="I27" s="1056"/>
      <c r="J27" s="1111"/>
      <c r="K27" s="1115"/>
    </row>
    <row r="28" spans="1:11" ht="15.75">
      <c r="A28" s="1039"/>
      <c r="B28" s="1039"/>
      <c r="C28" s="1025"/>
      <c r="D28" s="1025"/>
      <c r="E28" s="1025"/>
      <c r="F28" s="1061"/>
      <c r="G28" s="1062"/>
      <c r="H28" s="1055"/>
      <c r="I28" s="1242"/>
      <c r="J28" s="1025"/>
      <c r="K28" s="1115"/>
    </row>
    <row r="29" spans="1:11" ht="15.75">
      <c r="A29" s="1037"/>
      <c r="B29" s="1038"/>
      <c r="C29" s="1025"/>
      <c r="D29" s="1026"/>
      <c r="E29" s="1026"/>
      <c r="F29" s="1059"/>
      <c r="G29" s="1054"/>
      <c r="H29" s="1055"/>
      <c r="I29" s="1056"/>
      <c r="J29" s="1111"/>
      <c r="K29" s="1115"/>
    </row>
    <row r="30" spans="1:11" ht="15.75">
      <c r="A30" s="1037"/>
      <c r="B30" s="1038"/>
      <c r="C30" s="1026"/>
      <c r="D30" s="1026"/>
      <c r="E30" s="1026"/>
      <c r="F30" s="1059"/>
      <c r="G30" s="1054"/>
      <c r="H30" s="1055"/>
      <c r="I30" s="1056"/>
      <c r="J30" s="1111"/>
      <c r="K30" s="1115"/>
    </row>
    <row r="31" spans="1:11" ht="15.75">
      <c r="A31" s="1037"/>
      <c r="B31" s="1038"/>
      <c r="C31" s="1026"/>
      <c r="D31" s="1026"/>
      <c r="E31" s="1026"/>
      <c r="F31" s="1059"/>
      <c r="G31" s="1054"/>
      <c r="H31" s="1055"/>
      <c r="I31" s="1056"/>
      <c r="J31" s="1111"/>
      <c r="K31" s="1115"/>
    </row>
    <row r="32" spans="1:11" ht="15.75">
      <c r="A32" s="1037"/>
      <c r="B32" s="1038"/>
      <c r="C32" s="1025"/>
      <c r="D32" s="1026"/>
      <c r="E32" s="1026"/>
      <c r="F32" s="1059"/>
      <c r="G32" s="1054"/>
      <c r="H32" s="1055"/>
      <c r="I32" s="1056"/>
      <c r="J32" s="1111"/>
      <c r="K32" s="1115"/>
    </row>
    <row r="33" spans="1:11" ht="15.75">
      <c r="A33" s="1037"/>
      <c r="B33" s="1038"/>
      <c r="C33" s="1026"/>
      <c r="D33" s="1026"/>
      <c r="E33" s="1025"/>
      <c r="F33" s="1061"/>
      <c r="G33" s="1062"/>
      <c r="H33" s="1055"/>
      <c r="I33" s="1056"/>
      <c r="J33" s="1111"/>
      <c r="K33" s="1115"/>
    </row>
    <row r="34" spans="1:11" ht="15.75">
      <c r="A34" s="1037"/>
      <c r="B34" s="1038"/>
      <c r="C34" s="1026"/>
      <c r="D34" s="1026"/>
      <c r="E34" s="1026"/>
      <c r="F34" s="1059"/>
      <c r="G34" s="1054"/>
      <c r="H34" s="1055"/>
      <c r="I34" s="1056"/>
      <c r="J34" s="1111"/>
      <c r="K34" s="1115"/>
    </row>
    <row r="35" spans="1:11" ht="15.75">
      <c r="A35" s="1037"/>
      <c r="B35" s="1039"/>
      <c r="C35" s="1025"/>
      <c r="D35" s="1026"/>
      <c r="E35" s="1025"/>
      <c r="F35" s="1061"/>
      <c r="G35" s="1062"/>
      <c r="H35" s="1055"/>
      <c r="I35" s="1056"/>
      <c r="J35" s="1111"/>
      <c r="K35" s="1115"/>
    </row>
    <row r="36" spans="1:11" ht="15.75">
      <c r="A36" s="1037"/>
      <c r="B36" s="1038"/>
      <c r="C36" s="1026"/>
      <c r="D36" s="1026"/>
      <c r="E36" s="1026"/>
      <c r="F36" s="1071"/>
      <c r="G36" s="1054"/>
      <c r="H36" s="1055"/>
      <c r="I36" s="1056"/>
      <c r="J36" s="1111"/>
      <c r="K36" s="1115"/>
    </row>
    <row r="37" spans="1:11" ht="15.75">
      <c r="A37" s="1037"/>
      <c r="B37" s="1038"/>
      <c r="C37" s="1026"/>
      <c r="D37" s="1026"/>
      <c r="E37" s="1026"/>
      <c r="F37" s="1053"/>
      <c r="G37" s="1054"/>
      <c r="H37" s="1055"/>
      <c r="I37" s="1056"/>
      <c r="J37" s="1111"/>
      <c r="K37" s="1115"/>
    </row>
    <row r="38" spans="1:11" ht="15.75">
      <c r="A38" s="1037"/>
      <c r="B38" s="1038"/>
      <c r="C38" s="1026"/>
      <c r="D38" s="1026"/>
      <c r="E38" s="1026"/>
      <c r="F38" s="1059"/>
      <c r="G38" s="1054"/>
      <c r="H38" s="1055"/>
      <c r="I38" s="1056"/>
      <c r="J38" s="1111"/>
      <c r="K38" s="1115"/>
    </row>
    <row r="39" spans="1:11" ht="15.75">
      <c r="A39" s="1037"/>
      <c r="B39" s="1038"/>
      <c r="C39" s="1026"/>
      <c r="D39" s="1026"/>
      <c r="E39" s="1026"/>
      <c r="F39" s="1059"/>
      <c r="G39" s="1054"/>
      <c r="H39" s="1055"/>
      <c r="I39" s="1056"/>
      <c r="J39" s="1111"/>
      <c r="K39" s="1115"/>
    </row>
    <row r="40" spans="1:11" ht="15.75">
      <c r="A40" s="1037"/>
      <c r="B40" s="1038"/>
      <c r="C40" s="1025"/>
      <c r="D40" s="1026"/>
      <c r="E40" s="1026"/>
      <c r="F40" s="1059"/>
      <c r="G40" s="1054"/>
      <c r="H40" s="1055"/>
      <c r="I40" s="1056"/>
      <c r="J40" s="1111"/>
      <c r="K40" s="1115"/>
    </row>
    <row r="41" spans="1:11" ht="15.75">
      <c r="A41" s="1037"/>
      <c r="B41" s="1038"/>
      <c r="C41" s="1025"/>
      <c r="D41" s="1026"/>
      <c r="E41" s="1026"/>
      <c r="F41" s="1059"/>
      <c r="G41" s="1054"/>
      <c r="H41" s="1055"/>
      <c r="I41" s="1056"/>
      <c r="J41" s="1111"/>
      <c r="K41" s="1115"/>
    </row>
    <row r="42" spans="1:11" ht="15.75">
      <c r="A42" s="1037"/>
      <c r="B42" s="1038"/>
      <c r="C42" s="1026"/>
      <c r="D42" s="1026"/>
      <c r="E42" s="1026"/>
      <c r="F42" s="1059"/>
      <c r="G42" s="1054"/>
      <c r="H42" s="1055"/>
      <c r="I42" s="1056"/>
      <c r="J42" s="1111"/>
      <c r="K42" s="1115"/>
    </row>
    <row r="43" spans="1:11" ht="15.75">
      <c r="A43" s="1037"/>
      <c r="B43" s="1038"/>
      <c r="C43" s="1026"/>
      <c r="D43" s="1026"/>
      <c r="E43" s="1026"/>
      <c r="F43" s="1059"/>
      <c r="G43" s="1054"/>
      <c r="H43" s="1088"/>
      <c r="I43" s="1089"/>
      <c r="J43" s="1111"/>
      <c r="K43" s="1115"/>
    </row>
    <row r="44" spans="1:11" ht="15.75">
      <c r="A44" s="1037"/>
      <c r="B44" s="1038"/>
      <c r="C44" s="1026"/>
      <c r="D44" s="1026"/>
      <c r="E44" s="1026"/>
      <c r="F44" s="1484"/>
      <c r="G44" s="1054"/>
      <c r="H44" s="1055"/>
      <c r="I44" s="1056"/>
      <c r="J44" s="1111"/>
      <c r="K44" s="1115"/>
    </row>
    <row r="45" spans="1:11" ht="15.75">
      <c r="A45" s="1037"/>
      <c r="B45" s="1038"/>
      <c r="C45" s="1026"/>
      <c r="D45" s="1026"/>
      <c r="E45" s="1026"/>
      <c r="F45" s="1059"/>
      <c r="G45" s="1054"/>
      <c r="H45" s="1055"/>
      <c r="I45" s="1056"/>
      <c r="J45" s="1111"/>
      <c r="K45" s="1115"/>
    </row>
    <row r="46" spans="1:11" ht="15.75">
      <c r="A46" s="1037"/>
      <c r="B46" s="1038"/>
      <c r="C46" s="1026"/>
      <c r="D46" s="1026"/>
      <c r="E46" s="1026"/>
      <c r="F46" s="1059"/>
      <c r="G46" s="1054"/>
      <c r="H46" s="1055"/>
      <c r="I46" s="1056"/>
      <c r="J46" s="1111"/>
      <c r="K46" s="1115"/>
    </row>
    <row r="47" spans="1:11" ht="15.75">
      <c r="A47" s="1037"/>
      <c r="B47" s="1038"/>
      <c r="C47" s="1026"/>
      <c r="D47" s="1026"/>
      <c r="E47" s="1026"/>
      <c r="F47" s="1059"/>
      <c r="G47" s="1054"/>
      <c r="H47" s="1055"/>
      <c r="I47" s="1056"/>
      <c r="J47" s="1111"/>
      <c r="K47" s="1115"/>
    </row>
    <row r="48" spans="1:11" ht="15.75">
      <c r="A48" s="1037"/>
      <c r="B48" s="1038"/>
      <c r="C48" s="1026"/>
      <c r="D48" s="1026"/>
      <c r="E48" s="1026"/>
      <c r="F48" s="1059"/>
      <c r="G48" s="1054"/>
      <c r="H48" s="1055"/>
      <c r="I48" s="1056"/>
      <c r="J48" s="1111"/>
      <c r="K48" s="1115"/>
    </row>
    <row r="49" spans="1:11" ht="15.75">
      <c r="A49" s="1037"/>
      <c r="B49" s="1038"/>
      <c r="C49" s="1026"/>
      <c r="D49" s="1026"/>
      <c r="E49" s="1026"/>
      <c r="F49" s="1059"/>
      <c r="G49" s="1054"/>
      <c r="H49" s="1055"/>
      <c r="I49" s="1056"/>
      <c r="J49" s="1111"/>
      <c r="K49" s="1115"/>
    </row>
    <row r="50" spans="1:11" ht="15.75">
      <c r="A50" s="1037"/>
      <c r="B50" s="1038"/>
      <c r="C50" s="1026"/>
      <c r="D50" s="1026"/>
      <c r="E50" s="1026"/>
      <c r="F50" s="1059"/>
      <c r="G50" s="1054"/>
      <c r="H50" s="1055"/>
      <c r="I50" s="1056"/>
      <c r="J50" s="1111"/>
      <c r="K50" s="1115"/>
    </row>
    <row r="51" spans="1:11" ht="15.75">
      <c r="A51" s="1037"/>
      <c r="B51" s="1038"/>
      <c r="C51" s="1026"/>
      <c r="D51" s="1026"/>
      <c r="E51" s="1026"/>
      <c r="F51" s="1059"/>
      <c r="G51" s="1054"/>
      <c r="H51" s="1055"/>
      <c r="I51" s="1056"/>
      <c r="J51" s="1111"/>
      <c r="K51" s="1115"/>
    </row>
    <row r="52" spans="1:11" ht="15.75">
      <c r="A52" s="1037"/>
      <c r="B52" s="1038"/>
      <c r="C52" s="1026"/>
      <c r="D52" s="1026"/>
      <c r="E52" s="1026"/>
      <c r="F52" s="1059"/>
      <c r="G52" s="1054"/>
      <c r="H52" s="1055"/>
      <c r="I52" s="1056"/>
      <c r="J52" s="1111"/>
      <c r="K52" s="1115"/>
    </row>
    <row r="53" spans="1:11" ht="15.75">
      <c r="A53" s="1037"/>
      <c r="B53" s="1038"/>
      <c r="C53" s="1026"/>
      <c r="D53" s="1026"/>
      <c r="E53" s="1026"/>
      <c r="F53" s="1059"/>
      <c r="G53" s="1054"/>
      <c r="H53" s="1055"/>
      <c r="I53" s="1056"/>
      <c r="J53" s="1111"/>
      <c r="K53" s="1115"/>
    </row>
    <row r="54" spans="1:11" ht="15.75">
      <c r="A54" s="1037"/>
      <c r="B54" s="1038"/>
      <c r="C54" s="1026"/>
      <c r="D54" s="1026"/>
      <c r="E54" s="1026"/>
      <c r="F54" s="1059"/>
      <c r="G54" s="1054"/>
      <c r="H54" s="1055"/>
      <c r="I54" s="1056"/>
      <c r="J54" s="1111"/>
      <c r="K54" s="1115"/>
    </row>
    <row r="55" spans="1:11" ht="15.75">
      <c r="A55" s="1037"/>
      <c r="B55" s="1038"/>
      <c r="C55" s="1026"/>
      <c r="D55" s="1026"/>
      <c r="E55" s="1026"/>
      <c r="F55" s="1059"/>
      <c r="G55" s="1054"/>
      <c r="H55" s="1055"/>
      <c r="I55" s="1056"/>
      <c r="J55" s="1111"/>
      <c r="K55" s="1115"/>
    </row>
    <row r="56" spans="1:11" ht="15.75">
      <c r="A56" s="1037"/>
      <c r="B56" s="1038"/>
      <c r="C56" s="1026"/>
      <c r="D56" s="1026"/>
      <c r="E56" s="1026"/>
      <c r="F56" s="1059"/>
      <c r="G56" s="1054"/>
      <c r="H56" s="1055"/>
      <c r="I56" s="1056"/>
      <c r="J56" s="1111"/>
      <c r="K56" s="1115"/>
    </row>
    <row r="57" spans="1:11" ht="15.75">
      <c r="A57" s="1037"/>
      <c r="B57" s="1038"/>
      <c r="C57" s="1026"/>
      <c r="D57" s="1026"/>
      <c r="E57" s="1026"/>
      <c r="F57" s="1059"/>
      <c r="G57" s="1054"/>
      <c r="H57" s="1055"/>
      <c r="I57" s="1056"/>
      <c r="J57" s="1111"/>
      <c r="K57" s="1115"/>
    </row>
    <row r="58" spans="1:11" ht="15.75">
      <c r="A58" s="1037"/>
      <c r="B58" s="1038"/>
      <c r="C58" s="1026"/>
      <c r="D58" s="1026"/>
      <c r="E58" s="1026"/>
      <c r="F58" s="1059"/>
      <c r="G58" s="1054"/>
      <c r="H58" s="1055"/>
      <c r="I58" s="1056"/>
      <c r="J58" s="1111"/>
      <c r="K58" s="1115"/>
    </row>
    <row r="59" spans="1:11" ht="16.5" thickBot="1">
      <c r="A59" s="1037"/>
      <c r="B59" s="1038"/>
      <c r="C59" s="1026"/>
      <c r="D59" s="1026"/>
      <c r="E59" s="1026"/>
      <c r="F59" s="1059"/>
      <c r="G59" s="1054"/>
      <c r="H59" s="1055"/>
      <c r="I59" s="1056"/>
      <c r="J59" s="1111"/>
      <c r="K59" s="1115"/>
    </row>
    <row r="60" spans="1:11" ht="20.25" thickBot="1">
      <c r="A60" s="1552"/>
      <c r="B60" s="1553"/>
      <c r="C60" s="1553"/>
      <c r="D60" s="1553"/>
      <c r="E60" s="1553"/>
      <c r="F60" s="1554">
        <f>SUM(F2:F5,F6:F59)</f>
        <v>57025.400000000009</v>
      </c>
      <c r="G60" s="1555"/>
      <c r="H60" s="1556">
        <f>SUM(H2:H59)</f>
        <v>6741.6100000000006</v>
      </c>
      <c r="I60" s="1557">
        <f>SUM(I2:I59)</f>
        <v>895.625</v>
      </c>
      <c r="J60" s="1111"/>
      <c r="K60" s="1115"/>
    </row>
    <row r="61" spans="1:11" ht="15.75" customHeight="1">
      <c r="A61" s="1037"/>
      <c r="B61" s="1038"/>
      <c r="C61" s="1026"/>
      <c r="D61" s="1026"/>
      <c r="E61" s="1026"/>
      <c r="F61" s="1059"/>
      <c r="G61" s="1054"/>
      <c r="H61" s="1269"/>
      <c r="I61" s="1056"/>
      <c r="J61" s="1111"/>
      <c r="K61" s="1115"/>
    </row>
    <row r="62" spans="1:11" ht="15.75" customHeight="1">
      <c r="A62" s="1037"/>
      <c r="B62" s="1037"/>
      <c r="C62" s="1026"/>
      <c r="D62" s="1026"/>
      <c r="E62" s="1026"/>
      <c r="F62" s="1059"/>
      <c r="G62" s="1054"/>
      <c r="H62" s="1269"/>
      <c r="I62" s="1056"/>
      <c r="J62" s="1111"/>
      <c r="K62" s="1115"/>
    </row>
    <row r="63" spans="1:11" ht="15.75" customHeight="1">
      <c r="A63" s="1037"/>
      <c r="B63" s="1038"/>
      <c r="C63" s="1026"/>
      <c r="D63" s="1026"/>
      <c r="E63" s="1026"/>
      <c r="F63" s="1059"/>
      <c r="G63" s="1054"/>
      <c r="H63" s="1269"/>
      <c r="I63" s="1056"/>
      <c r="J63" s="1111"/>
      <c r="K63" s="1115"/>
    </row>
    <row r="64" spans="1:11" ht="15.75" customHeight="1">
      <c r="A64" s="1037"/>
      <c r="B64" s="1038"/>
      <c r="C64" s="1026"/>
      <c r="D64" s="1026"/>
      <c r="E64" s="1026"/>
      <c r="F64" s="1059"/>
      <c r="G64" s="1054"/>
      <c r="H64" s="1269"/>
      <c r="I64" s="1056"/>
      <c r="J64" s="1111"/>
      <c r="K64" s="1115"/>
    </row>
    <row r="65" spans="1:11" ht="15.75" customHeight="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115"/>
    </row>
    <row r="66" spans="1:11" ht="15.75" customHeight="1">
      <c r="A66" s="1037"/>
      <c r="B66" s="1038"/>
      <c r="C66" s="1026"/>
      <c r="D66" s="1026"/>
      <c r="E66" s="1026"/>
      <c r="F66" s="1059"/>
      <c r="G66" s="1054"/>
      <c r="H66" s="1269"/>
      <c r="I66" s="1056"/>
      <c r="J66" s="1111"/>
      <c r="K66" s="1115"/>
    </row>
    <row r="67" spans="1:11" ht="15.75" customHeight="1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1115"/>
    </row>
    <row r="68" spans="1:11" ht="15.75" customHeight="1">
      <c r="A68" s="1037"/>
      <c r="B68" s="1038"/>
      <c r="C68" s="1026"/>
      <c r="D68" s="1026"/>
      <c r="E68" s="1026"/>
      <c r="F68" s="1059"/>
      <c r="G68" s="1054"/>
      <c r="H68" s="1269"/>
      <c r="I68" s="1056"/>
      <c r="J68" s="1111"/>
      <c r="K68" s="1115"/>
    </row>
    <row r="69" spans="1:11" ht="15.75" customHeight="1">
      <c r="A69" s="1037"/>
      <c r="B69" s="1038"/>
      <c r="C69" s="1026"/>
      <c r="D69" s="1026"/>
      <c r="E69" s="1026"/>
      <c r="F69" s="1059"/>
      <c r="G69" s="1054"/>
      <c r="H69" s="1269"/>
      <c r="I69" s="1056"/>
      <c r="J69" s="1111"/>
      <c r="K69" s="1115"/>
    </row>
    <row r="70" spans="1:11" ht="15.75" customHeight="1">
      <c r="A70" s="1037"/>
      <c r="B70" s="1038"/>
      <c r="C70" s="1026"/>
      <c r="D70" s="1026"/>
      <c r="E70" s="1026"/>
      <c r="F70" s="1059"/>
      <c r="G70" s="1054"/>
      <c r="H70" s="1269"/>
      <c r="I70" s="1056"/>
      <c r="J70" s="1111"/>
      <c r="K70" s="1025"/>
    </row>
    <row r="71" spans="1:11" ht="15.75" customHeight="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115"/>
    </row>
    <row r="72" spans="1:11" ht="15.75" customHeight="1">
      <c r="A72" s="1037"/>
      <c r="B72" s="1038"/>
      <c r="C72" s="1026"/>
      <c r="D72" s="1026"/>
      <c r="E72" s="1026"/>
      <c r="F72" s="1059"/>
      <c r="G72" s="1059"/>
      <c r="H72" s="1269"/>
      <c r="I72" s="1056"/>
      <c r="J72" s="1111"/>
      <c r="K72" s="1115"/>
    </row>
    <row r="73" spans="1:11" ht="15.75" customHeight="1">
      <c r="A73" s="1037"/>
      <c r="B73" s="1038"/>
      <c r="C73" s="1026"/>
      <c r="D73" s="1026"/>
      <c r="E73" s="1026"/>
      <c r="F73" s="1059"/>
      <c r="G73" s="1059"/>
      <c r="H73" s="1269"/>
      <c r="I73" s="1056"/>
      <c r="J73" s="1111"/>
      <c r="K73" s="1025"/>
    </row>
    <row r="74" spans="1:11" ht="15.75" customHeight="1">
      <c r="A74" s="1037"/>
      <c r="B74" s="1038"/>
      <c r="C74" s="1026"/>
      <c r="D74" s="1026"/>
      <c r="E74" s="1026"/>
      <c r="F74" s="1059"/>
      <c r="G74" s="1059"/>
      <c r="H74" s="1269"/>
      <c r="I74" s="1056"/>
      <c r="J74" s="1111"/>
      <c r="K74" s="1025"/>
    </row>
    <row r="75" spans="1:11" ht="15.75" customHeight="1">
      <c r="A75" s="1037"/>
      <c r="B75" s="1038"/>
      <c r="C75" s="1026"/>
      <c r="D75" s="1026"/>
      <c r="E75" s="1026"/>
      <c r="F75" s="1059"/>
      <c r="G75" s="1054"/>
      <c r="H75" s="1269"/>
      <c r="I75" s="1056"/>
      <c r="J75" s="1111"/>
      <c r="K75" s="1115"/>
    </row>
    <row r="76" spans="1:11" ht="15.75" customHeight="1">
      <c r="A76" s="1037"/>
      <c r="B76" s="1038"/>
      <c r="C76" s="1026"/>
      <c r="D76" s="1026"/>
      <c r="E76" s="1026"/>
      <c r="F76" s="1059"/>
      <c r="G76" s="1054"/>
      <c r="H76" s="1269"/>
      <c r="I76" s="1056"/>
      <c r="J76" s="1111"/>
      <c r="K76" s="1115"/>
    </row>
    <row r="77" spans="1:11" ht="15.75" customHeight="1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1115"/>
    </row>
    <row r="78" spans="1:11" ht="15.75">
      <c r="A78" s="1037"/>
      <c r="B78" s="1038"/>
      <c r="C78" s="1026"/>
      <c r="D78" s="1026"/>
      <c r="E78" s="1026"/>
      <c r="F78" s="1059"/>
      <c r="G78" s="1054"/>
      <c r="H78" s="1269"/>
      <c r="I78" s="1056"/>
      <c r="J78" s="1111"/>
      <c r="K78" s="1115"/>
    </row>
    <row r="79" spans="1:11" ht="15.75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1115"/>
    </row>
    <row r="80" spans="1:11" ht="15.75">
      <c r="A80" s="1037"/>
      <c r="B80" s="1038"/>
      <c r="C80" s="1025"/>
      <c r="D80" s="1025"/>
      <c r="E80" s="1025"/>
      <c r="F80" s="1059"/>
      <c r="G80" s="1062"/>
      <c r="H80" s="1055"/>
      <c r="I80" s="1056"/>
      <c r="J80" s="1111"/>
      <c r="K80" s="1115"/>
    </row>
    <row r="81" spans="1:11" ht="15.75">
      <c r="A81" s="1037"/>
      <c r="B81" s="1039"/>
      <c r="C81" s="1025"/>
      <c r="D81" s="1025"/>
      <c r="E81" s="1025"/>
      <c r="F81" s="1059"/>
      <c r="G81" s="1054"/>
      <c r="H81" s="1269"/>
      <c r="I81" s="1056"/>
      <c r="J81" s="1111"/>
      <c r="K81" s="1115"/>
    </row>
    <row r="82" spans="1:11" ht="15.75">
      <c r="A82" s="1037"/>
      <c r="B82" s="1038"/>
      <c r="C82" s="1026"/>
      <c r="D82" s="1026"/>
      <c r="E82" s="1026"/>
      <c r="F82" s="1059"/>
      <c r="G82" s="1054"/>
      <c r="H82" s="1269"/>
      <c r="I82" s="1056"/>
      <c r="J82" s="1111"/>
      <c r="K82" s="1115"/>
    </row>
    <row r="83" spans="1:11" ht="15.75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1115"/>
    </row>
    <row r="84" spans="1:11" ht="15.75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115"/>
    </row>
    <row r="85" spans="1:11" ht="15.75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115"/>
    </row>
    <row r="86" spans="1:11" ht="15.75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115"/>
    </row>
    <row r="87" spans="1:11" ht="15.75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5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115"/>
    </row>
    <row r="89" spans="1:11" ht="15.75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115"/>
    </row>
    <row r="90" spans="1:11" ht="15.75">
      <c r="A90" s="1037"/>
      <c r="B90" s="1038"/>
      <c r="C90" s="1026"/>
      <c r="D90" s="1026"/>
      <c r="E90" s="1026"/>
      <c r="F90" s="1059"/>
      <c r="G90" s="1054"/>
      <c r="H90" s="1269"/>
      <c r="I90" s="1056"/>
      <c r="J90" s="1111"/>
      <c r="K90" s="1115"/>
    </row>
    <row r="91" spans="1:11" ht="15.75">
      <c r="A91" s="1037"/>
      <c r="B91" s="1038"/>
      <c r="C91" s="1026"/>
      <c r="D91" s="1026"/>
      <c r="E91" s="1026"/>
      <c r="F91" s="1059"/>
      <c r="G91" s="1054"/>
      <c r="H91" s="1269"/>
      <c r="I91" s="1056"/>
      <c r="J91" s="1111"/>
      <c r="K91" s="1115"/>
    </row>
    <row r="92" spans="1:11" ht="15.75">
      <c r="A92" s="1037"/>
      <c r="B92" s="1038"/>
      <c r="C92" s="1026"/>
      <c r="D92" s="1026"/>
      <c r="E92" s="1026"/>
      <c r="F92" s="1059"/>
      <c r="G92" s="1054"/>
      <c r="H92" s="1269"/>
      <c r="I92" s="1056"/>
      <c r="J92" s="1111"/>
      <c r="K92" s="1115"/>
    </row>
    <row r="93" spans="1:11" ht="15.75">
      <c r="A93" s="1037"/>
      <c r="B93" s="1038"/>
      <c r="C93" s="1026"/>
      <c r="D93" s="1026"/>
      <c r="E93" s="1026"/>
      <c r="F93" s="1059"/>
      <c r="G93" s="1054"/>
      <c r="H93" s="1269"/>
      <c r="I93" s="1056"/>
      <c r="J93" s="1111"/>
      <c r="K93" s="1115"/>
    </row>
    <row r="94" spans="1:11" ht="15.75">
      <c r="A94" s="1037"/>
      <c r="B94" s="1038"/>
      <c r="C94" s="1026"/>
      <c r="D94" s="1026"/>
      <c r="E94" s="1026"/>
      <c r="F94" s="1059"/>
      <c r="G94" s="1054"/>
      <c r="H94" s="1269"/>
      <c r="I94" s="1056"/>
      <c r="J94" s="1111"/>
      <c r="K94" s="1115"/>
    </row>
    <row r="95" spans="1:11">
      <c r="A95" s="1037"/>
      <c r="B95" s="1038"/>
      <c r="C95" s="1026"/>
      <c r="D95" s="1026"/>
      <c r="E95" s="1026"/>
      <c r="F95" s="1059"/>
      <c r="G95" s="1059"/>
      <c r="H95" s="1269"/>
      <c r="I95" s="1056"/>
      <c r="J95" s="1111"/>
      <c r="K95" s="1025"/>
    </row>
    <row r="96" spans="1:11">
      <c r="A96" s="1037"/>
      <c r="B96" s="1038"/>
      <c r="C96" s="1026"/>
      <c r="D96" s="1026"/>
      <c r="E96" s="1026"/>
      <c r="F96" s="1059"/>
      <c r="G96" s="1059"/>
      <c r="H96" s="1269"/>
      <c r="I96" s="1056"/>
      <c r="J96" s="1111"/>
      <c r="K96" s="1025"/>
    </row>
    <row r="97" spans="1:11">
      <c r="A97" s="1037"/>
      <c r="B97" s="1038"/>
      <c r="C97" s="1026"/>
      <c r="D97" s="1026"/>
      <c r="E97" s="1026"/>
      <c r="F97" s="1059"/>
      <c r="G97" s="1059"/>
      <c r="H97" s="1269"/>
      <c r="I97" s="1056"/>
      <c r="J97" s="1111"/>
      <c r="K97" s="1025"/>
    </row>
    <row r="98" spans="1:11" ht="15.75">
      <c r="A98" s="1037"/>
      <c r="B98" s="1038"/>
      <c r="C98" s="1026"/>
      <c r="D98" s="1026"/>
      <c r="E98" s="1026"/>
      <c r="F98" s="1059"/>
      <c r="G98" s="1054"/>
      <c r="H98" s="1269"/>
      <c r="I98" s="1056"/>
      <c r="J98" s="1111"/>
      <c r="K98" s="1115"/>
    </row>
    <row r="99" spans="1:11">
      <c r="A99" s="1037"/>
      <c r="B99" s="1038"/>
      <c r="C99" s="1026"/>
      <c r="D99" s="1026"/>
      <c r="E99" s="1026"/>
      <c r="F99" s="1059"/>
      <c r="G99" s="1059"/>
      <c r="H99" s="1269"/>
      <c r="I99" s="1056"/>
      <c r="J99" s="1111"/>
      <c r="K99" s="1025"/>
    </row>
    <row r="100" spans="1:11">
      <c r="A100" s="1037"/>
      <c r="B100" s="1038"/>
      <c r="C100" s="1026"/>
      <c r="D100" s="1026"/>
      <c r="E100" s="1026"/>
      <c r="F100" s="1059"/>
      <c r="G100" s="1059"/>
      <c r="H100" s="1269"/>
      <c r="I100" s="1056"/>
      <c r="J100" s="1111"/>
      <c r="K100" s="1025"/>
    </row>
    <row r="101" spans="1:11">
      <c r="A101" s="1037"/>
      <c r="B101" s="1038"/>
      <c r="C101" s="1026"/>
      <c r="D101" s="1026"/>
      <c r="E101" s="1026"/>
      <c r="F101" s="1059"/>
      <c r="G101" s="1059"/>
      <c r="H101" s="1269"/>
      <c r="I101" s="1056"/>
      <c r="J101" s="1111"/>
      <c r="K101" s="1025"/>
    </row>
    <row r="102" spans="1:11" ht="15.75">
      <c r="A102" s="1037"/>
      <c r="B102" s="1038"/>
      <c r="C102" s="1026"/>
      <c r="D102" s="1026"/>
      <c r="E102" s="1026"/>
      <c r="F102" s="1059"/>
      <c r="G102" s="1054"/>
      <c r="H102" s="1269"/>
      <c r="I102" s="1056"/>
      <c r="J102" s="1111"/>
      <c r="K102" s="1115"/>
    </row>
    <row r="103" spans="1:11" ht="15.75">
      <c r="A103" s="1037"/>
      <c r="B103" s="1038"/>
      <c r="C103" s="1026"/>
      <c r="D103" s="1026"/>
      <c r="E103" s="1026"/>
      <c r="F103" s="1059"/>
      <c r="G103" s="1054"/>
      <c r="H103" s="1269"/>
      <c r="I103" s="1056"/>
      <c r="J103" s="1111"/>
      <c r="K103" s="1115"/>
    </row>
    <row r="104" spans="1:11">
      <c r="A104" s="1037"/>
      <c r="B104" s="1038"/>
      <c r="C104" s="1026"/>
      <c r="D104" s="1026"/>
      <c r="E104" s="1026"/>
      <c r="F104" s="1059"/>
      <c r="G104" s="1059"/>
      <c r="H104" s="1269"/>
      <c r="I104" s="1056"/>
      <c r="J104" s="1111"/>
      <c r="K104" s="1025"/>
    </row>
    <row r="105" spans="1:11">
      <c r="A105" s="1037"/>
      <c r="B105" s="1038"/>
      <c r="C105" s="1026"/>
      <c r="D105" s="1026"/>
      <c r="E105" s="1026"/>
      <c r="F105" s="1059"/>
      <c r="G105" s="1059"/>
      <c r="H105" s="1269"/>
      <c r="I105" s="1056"/>
      <c r="J105" s="1111"/>
      <c r="K105" s="1025"/>
    </row>
    <row r="106" spans="1:11">
      <c r="A106" s="1037"/>
      <c r="B106" s="1038"/>
      <c r="C106" s="1026"/>
      <c r="D106" s="1026"/>
      <c r="E106" s="1026"/>
      <c r="F106" s="1059"/>
      <c r="G106" s="1059"/>
      <c r="H106" s="1269"/>
      <c r="I106" s="1056"/>
      <c r="J106" s="1111"/>
      <c r="K106" s="1025"/>
    </row>
    <row r="107" spans="1:11">
      <c r="A107" s="1037"/>
      <c r="B107" s="1038"/>
      <c r="C107" s="1026"/>
      <c r="D107" s="1026"/>
      <c r="E107" s="1026"/>
      <c r="F107" s="1059"/>
      <c r="G107" s="1059"/>
      <c r="H107" s="1269"/>
      <c r="I107" s="1056"/>
      <c r="J107" s="1111"/>
      <c r="K107" s="1025"/>
    </row>
    <row r="108" spans="1:11">
      <c r="A108" s="1037"/>
      <c r="B108" s="1038"/>
      <c r="C108" s="1026"/>
      <c r="D108" s="1026"/>
      <c r="E108" s="1026"/>
      <c r="F108" s="1059"/>
      <c r="G108" s="1059"/>
      <c r="H108" s="1269"/>
      <c r="I108" s="1056"/>
      <c r="J108" s="1111"/>
      <c r="K108" s="1025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1025"/>
    </row>
    <row r="110" spans="1:11" ht="15.75">
      <c r="A110" s="1037"/>
      <c r="B110" s="1038"/>
      <c r="C110" s="1026"/>
      <c r="D110" s="1026"/>
      <c r="E110" s="1026"/>
      <c r="F110" s="1059"/>
      <c r="G110" s="1054"/>
      <c r="H110" s="1269"/>
      <c r="I110" s="1056"/>
      <c r="J110" s="1111"/>
      <c r="K110" s="1115"/>
    </row>
    <row r="111" spans="1:11">
      <c r="A111" s="1037"/>
      <c r="B111" s="1038"/>
      <c r="C111" s="1026"/>
      <c r="D111" s="1026"/>
      <c r="E111" s="1026"/>
      <c r="F111" s="1059"/>
      <c r="G111" s="1059"/>
      <c r="H111" s="1269"/>
      <c r="I111" s="1056"/>
      <c r="J111" s="1111"/>
      <c r="K111" s="1025"/>
    </row>
    <row r="112" spans="1:11">
      <c r="A112" s="1037"/>
      <c r="B112" s="1038"/>
      <c r="C112" s="1026"/>
      <c r="D112" s="1026"/>
      <c r="E112" s="1026"/>
      <c r="F112" s="1059"/>
      <c r="G112" s="1059"/>
      <c r="H112" s="1269"/>
      <c r="I112" s="1056"/>
      <c r="J112" s="1111"/>
      <c r="K112" s="1025"/>
    </row>
    <row r="113" spans="1:11">
      <c r="A113" s="1037"/>
      <c r="B113" s="1038"/>
      <c r="C113" s="1026"/>
      <c r="D113" s="1026"/>
      <c r="E113" s="1026"/>
      <c r="F113" s="1059"/>
      <c r="G113" s="1059"/>
      <c r="H113" s="1269"/>
      <c r="I113" s="1056"/>
      <c r="J113" s="1111"/>
      <c r="K113" s="1025"/>
    </row>
    <row r="114" spans="1:11" ht="15.75">
      <c r="A114" s="1037"/>
      <c r="B114" s="1038"/>
      <c r="C114" s="1026"/>
      <c r="D114" s="1026"/>
      <c r="E114" s="1026"/>
      <c r="F114" s="1059"/>
      <c r="G114" s="1059"/>
      <c r="H114" s="1269"/>
      <c r="I114" s="1056"/>
      <c r="J114" s="1111"/>
      <c r="K114" s="1115"/>
    </row>
    <row r="115" spans="1:11">
      <c r="A115" s="1037"/>
      <c r="B115" s="1038"/>
      <c r="C115" s="1026"/>
      <c r="D115" s="1026"/>
      <c r="E115" s="1026"/>
      <c r="F115" s="1059"/>
      <c r="G115" s="1059"/>
      <c r="H115" s="1269"/>
      <c r="I115" s="1056"/>
      <c r="J115" s="1111"/>
      <c r="K115" s="1025"/>
    </row>
    <row r="116" spans="1:11">
      <c r="A116" s="1037"/>
      <c r="B116" s="1038"/>
      <c r="C116" s="1026"/>
      <c r="D116" s="1026"/>
      <c r="E116" s="1026"/>
      <c r="F116" s="1059"/>
      <c r="G116" s="1059"/>
      <c r="H116" s="1269"/>
      <c r="I116" s="1056"/>
      <c r="J116" s="1111"/>
      <c r="K116" s="1025"/>
    </row>
    <row r="117" spans="1:11">
      <c r="A117" s="1037"/>
      <c r="B117" s="1038"/>
      <c r="C117" s="1026"/>
      <c r="D117" s="1026"/>
      <c r="E117" s="1026"/>
      <c r="F117" s="1059"/>
      <c r="G117" s="1059"/>
      <c r="H117" s="1269"/>
      <c r="I117" s="1056"/>
      <c r="J117" s="1111"/>
      <c r="K117" s="1025"/>
    </row>
    <row r="118" spans="1:11">
      <c r="A118" s="1037"/>
      <c r="B118" s="1038"/>
      <c r="C118" s="1026"/>
      <c r="D118" s="1026"/>
      <c r="E118" s="1026"/>
      <c r="F118" s="1059"/>
      <c r="G118" s="1059"/>
      <c r="H118" s="1269"/>
      <c r="I118" s="1056"/>
      <c r="J118" s="1111"/>
      <c r="K118" s="1025"/>
    </row>
    <row r="119" spans="1:11">
      <c r="A119" s="1037"/>
      <c r="B119" s="1038"/>
      <c r="C119" s="1026"/>
      <c r="D119" s="1026"/>
      <c r="E119" s="1026"/>
      <c r="F119" s="1059"/>
      <c r="G119" s="1054"/>
      <c r="H119" s="1269"/>
      <c r="I119" s="1056"/>
      <c r="J119" s="1111"/>
      <c r="K119" s="1025"/>
    </row>
    <row r="120" spans="1:11" ht="15.75">
      <c r="A120" s="1037"/>
      <c r="B120" s="1038"/>
      <c r="C120" s="1025"/>
      <c r="D120" s="1026"/>
      <c r="E120" s="1026"/>
      <c r="F120" s="1059"/>
      <c r="G120" s="1054"/>
      <c r="H120" s="1269"/>
      <c r="I120" s="1056"/>
      <c r="J120" s="1111"/>
      <c r="K120" s="1115"/>
    </row>
    <row r="121" spans="1:11" ht="15.75">
      <c r="A121" s="1037"/>
      <c r="B121" s="1038"/>
      <c r="C121" s="1026"/>
      <c r="D121" s="1026"/>
      <c r="E121" s="1026"/>
      <c r="F121" s="1059"/>
      <c r="G121" s="1054"/>
      <c r="H121" s="1269"/>
      <c r="I121" s="1056"/>
      <c r="J121" s="1111"/>
      <c r="K121" s="1115"/>
    </row>
    <row r="122" spans="1:11" ht="15.75">
      <c r="A122" s="1037"/>
      <c r="B122" s="1038"/>
      <c r="C122" s="1026"/>
      <c r="D122" s="1026"/>
      <c r="E122" s="1026"/>
      <c r="F122" s="1059"/>
      <c r="G122" s="1054"/>
      <c r="H122" s="1269"/>
      <c r="I122" s="1056"/>
      <c r="J122" s="1111"/>
      <c r="K122" s="1115"/>
    </row>
    <row r="123" spans="1:11" ht="15.75">
      <c r="A123" s="1037"/>
      <c r="B123" s="1038"/>
      <c r="C123" s="1026"/>
      <c r="D123" s="1026"/>
      <c r="E123" s="1026"/>
      <c r="F123" s="1059"/>
      <c r="G123" s="1054"/>
      <c r="H123" s="1269"/>
      <c r="I123" s="1056"/>
      <c r="J123" s="1111"/>
      <c r="K123" s="1115"/>
    </row>
    <row r="124" spans="1:11" ht="15.75">
      <c r="A124" s="1037"/>
      <c r="B124" s="1038"/>
      <c r="C124" s="1026"/>
      <c r="D124" s="1026"/>
      <c r="E124" s="1026"/>
      <c r="F124" s="1059"/>
      <c r="G124" s="1054"/>
      <c r="H124" s="1269"/>
      <c r="I124" s="1056"/>
      <c r="J124" s="1111"/>
      <c r="K124" s="1115"/>
    </row>
    <row r="125" spans="1:11">
      <c r="A125" s="1037"/>
      <c r="B125" s="1038"/>
      <c r="C125" s="1026"/>
      <c r="D125" s="1026"/>
      <c r="E125" s="1026"/>
      <c r="F125" s="1059"/>
      <c r="G125" s="1059"/>
      <c r="H125" s="1269"/>
      <c r="I125" s="1056"/>
      <c r="J125" s="1111"/>
      <c r="K125" s="1025"/>
    </row>
    <row r="126" spans="1:11">
      <c r="A126" s="1037"/>
      <c r="B126" s="1038"/>
      <c r="C126" s="1026"/>
      <c r="D126" s="1026"/>
      <c r="E126" s="1026"/>
      <c r="F126" s="1059"/>
      <c r="G126" s="1059"/>
      <c r="H126" s="1269"/>
      <c r="I126" s="1056"/>
      <c r="J126" s="1111"/>
      <c r="K126" s="1025"/>
    </row>
    <row r="127" spans="1:11" ht="15.75">
      <c r="A127" s="1037"/>
      <c r="B127" s="1038"/>
      <c r="C127" s="1026"/>
      <c r="D127" s="1026"/>
      <c r="E127" s="1026"/>
      <c r="F127" s="1059"/>
      <c r="G127" s="1054"/>
      <c r="H127" s="1269"/>
      <c r="I127" s="1056"/>
      <c r="J127" s="1111"/>
      <c r="K127" s="1115"/>
    </row>
    <row r="128" spans="1:11" ht="15.75">
      <c r="A128" s="1037"/>
      <c r="B128" s="1038"/>
      <c r="C128" s="1026"/>
      <c r="D128" s="1026"/>
      <c r="E128" s="1026"/>
      <c r="F128" s="1059"/>
      <c r="G128" s="1054"/>
      <c r="H128" s="1269"/>
      <c r="I128" s="1056"/>
      <c r="J128" s="1111"/>
      <c r="K128" s="1115"/>
    </row>
    <row r="129" spans="1:11" ht="15.75">
      <c r="A129" s="1037"/>
      <c r="B129" s="1038"/>
      <c r="C129" s="1026"/>
      <c r="D129" s="1026"/>
      <c r="E129" s="1026"/>
      <c r="F129" s="1059"/>
      <c r="G129" s="1054"/>
      <c r="H129" s="1269"/>
      <c r="I129" s="1056"/>
      <c r="J129" s="1111"/>
      <c r="K129" s="1115"/>
    </row>
    <row r="130" spans="1:11">
      <c r="A130" s="1037"/>
      <c r="B130" s="1038"/>
      <c r="C130" s="1026"/>
      <c r="D130" s="1026"/>
      <c r="E130" s="1026"/>
      <c r="F130" s="1059"/>
      <c r="G130" s="1054"/>
      <c r="H130" s="1269"/>
      <c r="I130" s="1056"/>
      <c r="J130" s="1111"/>
      <c r="K130" s="1025"/>
    </row>
    <row r="131" spans="1:11">
      <c r="A131" s="1037"/>
      <c r="B131" s="1038"/>
      <c r="C131" s="1026"/>
      <c r="D131" s="1026"/>
      <c r="E131" s="1026"/>
      <c r="F131" s="1059"/>
      <c r="G131" s="1054"/>
      <c r="H131" s="1269"/>
      <c r="I131" s="1056"/>
      <c r="J131" s="1111"/>
      <c r="K131" s="1025"/>
    </row>
    <row r="132" spans="1:11">
      <c r="A132" s="1037"/>
      <c r="B132" s="1038"/>
      <c r="C132" s="1026"/>
      <c r="D132" s="1026"/>
      <c r="E132" s="1026"/>
      <c r="F132" s="1059"/>
      <c r="G132" s="1059"/>
      <c r="H132" s="1269"/>
      <c r="I132" s="1056"/>
      <c r="J132" s="1111"/>
      <c r="K132" s="1025"/>
    </row>
    <row r="133" spans="1:11">
      <c r="A133" s="1037"/>
      <c r="B133" s="1038"/>
      <c r="C133" s="1026"/>
      <c r="D133" s="1026"/>
      <c r="E133" s="1026"/>
      <c r="F133" s="1059"/>
      <c r="G133" s="1059"/>
      <c r="H133" s="1269"/>
      <c r="I133" s="1056"/>
      <c r="J133" s="1111"/>
      <c r="K133" s="1025"/>
    </row>
    <row r="134" spans="1:11">
      <c r="A134" s="1037"/>
      <c r="B134" s="1038"/>
      <c r="C134" s="1026"/>
      <c r="D134" s="1026"/>
      <c r="E134" s="1026"/>
      <c r="F134" s="1059"/>
      <c r="G134" s="1059"/>
      <c r="H134" s="1269"/>
      <c r="I134" s="1056"/>
      <c r="J134" s="1111"/>
      <c r="K134" s="1025"/>
    </row>
    <row r="135" spans="1:11">
      <c r="A135" s="1037"/>
      <c r="B135" s="1038"/>
      <c r="C135" s="1026"/>
      <c r="D135" s="1026"/>
      <c r="E135" s="1026"/>
      <c r="F135" s="1059"/>
      <c r="G135" s="1059"/>
      <c r="H135" s="1269"/>
      <c r="I135" s="1056"/>
      <c r="J135" s="1111"/>
      <c r="K135" s="1025"/>
    </row>
    <row r="136" spans="1:11" ht="15.75">
      <c r="A136" s="1037"/>
      <c r="B136" s="1038"/>
      <c r="C136" s="1026"/>
      <c r="D136" s="1026"/>
      <c r="E136" s="1026"/>
      <c r="F136" s="1059"/>
      <c r="G136" s="1054"/>
      <c r="H136" s="1269"/>
      <c r="I136" s="1056"/>
      <c r="J136" s="1111"/>
      <c r="K136" s="1115"/>
    </row>
    <row r="137" spans="1:11" ht="15.75">
      <c r="A137" s="1037"/>
      <c r="B137" s="1038"/>
      <c r="C137" s="1026"/>
      <c r="D137" s="1026"/>
      <c r="E137" s="1026"/>
      <c r="F137" s="1059"/>
      <c r="G137" s="1059"/>
      <c r="H137" s="1269"/>
      <c r="I137" s="1056"/>
      <c r="J137" s="1111"/>
      <c r="K137" s="1115"/>
    </row>
    <row r="138" spans="1:11">
      <c r="A138" s="1037"/>
      <c r="B138" s="1038"/>
      <c r="C138" s="1026"/>
      <c r="D138" s="1026"/>
      <c r="E138" s="1026"/>
      <c r="F138" s="1059"/>
      <c r="G138" s="1059"/>
      <c r="H138" s="1269"/>
      <c r="I138" s="1056"/>
      <c r="J138" s="1111"/>
      <c r="K138" s="1025"/>
    </row>
    <row r="139" spans="1:11">
      <c r="A139" s="1037"/>
      <c r="B139" s="1038"/>
      <c r="C139" s="1026"/>
      <c r="D139" s="1026"/>
      <c r="E139" s="1026"/>
      <c r="F139" s="1059"/>
      <c r="G139" s="1054"/>
      <c r="H139" s="1269"/>
      <c r="I139" s="1056"/>
      <c r="J139" s="1111"/>
      <c r="K139" s="1025"/>
    </row>
    <row r="140" spans="1:11" ht="15.75">
      <c r="A140" s="1037"/>
      <c r="B140" s="1038"/>
      <c r="C140" s="1026"/>
      <c r="D140" s="1026"/>
      <c r="E140" s="1026"/>
      <c r="F140" s="1059"/>
      <c r="G140" s="1054"/>
      <c r="H140" s="1269"/>
      <c r="I140" s="1056"/>
      <c r="J140" s="1111"/>
      <c r="K140" s="1115"/>
    </row>
    <row r="141" spans="1:11">
      <c r="A141" s="1037"/>
      <c r="B141" s="1038"/>
      <c r="C141" s="1026"/>
      <c r="D141" s="1026"/>
      <c r="E141" s="1026"/>
      <c r="F141" s="1059"/>
      <c r="G141" s="1054"/>
      <c r="H141" s="1269"/>
      <c r="I141" s="1056"/>
      <c r="J141" s="1111"/>
      <c r="K141" s="1025"/>
    </row>
    <row r="142" spans="1:11">
      <c r="A142" s="1037"/>
      <c r="B142" s="1038"/>
      <c r="C142" s="1026"/>
      <c r="D142" s="1026"/>
      <c r="E142" s="1026"/>
      <c r="F142" s="1059"/>
      <c r="G142" s="1059"/>
      <c r="H142" s="1269"/>
      <c r="I142" s="1056"/>
      <c r="J142" s="1111"/>
      <c r="K142" s="1025"/>
    </row>
    <row r="143" spans="1:11">
      <c r="A143" s="1037"/>
      <c r="B143" s="1038"/>
      <c r="C143" s="1026"/>
      <c r="D143" s="1026"/>
      <c r="E143" s="1026"/>
      <c r="F143" s="1059"/>
      <c r="G143" s="1059"/>
      <c r="H143" s="1269"/>
      <c r="I143" s="1056"/>
      <c r="J143" s="1111"/>
      <c r="K143" s="1025"/>
    </row>
    <row r="144" spans="1:11" ht="15.75">
      <c r="A144" s="1037"/>
      <c r="B144" s="1038"/>
      <c r="C144" s="1026"/>
      <c r="D144" s="1026"/>
      <c r="E144" s="1026"/>
      <c r="F144" s="1059"/>
      <c r="G144" s="1054"/>
      <c r="H144" s="1269"/>
      <c r="I144" s="1056"/>
      <c r="J144" s="1111"/>
      <c r="K144" s="1115"/>
    </row>
    <row r="145" spans="1:11" ht="15.75">
      <c r="A145" s="1037"/>
      <c r="B145" s="1038"/>
      <c r="C145" s="1026"/>
      <c r="D145" s="1026"/>
      <c r="E145" s="1026"/>
      <c r="F145" s="1059"/>
      <c r="G145" s="1054"/>
      <c r="H145" s="1269"/>
      <c r="I145" s="1056"/>
      <c r="J145" s="1111"/>
      <c r="K145" s="1115"/>
    </row>
    <row r="146" spans="1:11" ht="15.75">
      <c r="A146" s="1037"/>
      <c r="B146" s="1038"/>
      <c r="C146" s="1026"/>
      <c r="D146" s="1026"/>
      <c r="E146" s="1026"/>
      <c r="F146" s="1059"/>
      <c r="G146" s="1054"/>
      <c r="H146" s="1269"/>
      <c r="I146" s="1056"/>
      <c r="J146" s="1111"/>
      <c r="K146" s="1115"/>
    </row>
    <row r="147" spans="1:11" ht="15.75">
      <c r="A147" s="1037"/>
      <c r="B147" s="1038"/>
      <c r="C147" s="1026"/>
      <c r="D147" s="1026"/>
      <c r="E147" s="1026"/>
      <c r="F147" s="1059"/>
      <c r="G147" s="1054"/>
      <c r="H147" s="1269"/>
      <c r="I147" s="1056"/>
      <c r="J147" s="1111"/>
      <c r="K147" s="1115"/>
    </row>
    <row r="148" spans="1:11" ht="15.75">
      <c r="A148" s="1037"/>
      <c r="B148" s="1038"/>
      <c r="C148" s="1026"/>
      <c r="D148" s="1026"/>
      <c r="E148" s="1026"/>
      <c r="F148" s="1059"/>
      <c r="G148" s="1054"/>
      <c r="H148" s="1269"/>
      <c r="I148" s="1056"/>
      <c r="J148" s="1111"/>
      <c r="K148" s="1115"/>
    </row>
    <row r="149" spans="1:11">
      <c r="A149" s="1037"/>
      <c r="B149" s="1038"/>
      <c r="C149" s="1026"/>
      <c r="D149" s="1026"/>
      <c r="E149" s="1026"/>
      <c r="F149" s="1059"/>
      <c r="G149" s="1054"/>
      <c r="H149" s="1269"/>
      <c r="I149" s="1056"/>
      <c r="J149" s="1111"/>
      <c r="K149" s="1025"/>
    </row>
    <row r="150" spans="1:11">
      <c r="A150" s="1037"/>
      <c r="B150" s="1038"/>
      <c r="C150" s="1025"/>
      <c r="D150" s="1026"/>
      <c r="E150" s="1026"/>
      <c r="F150" s="1061"/>
      <c r="G150" s="1054"/>
      <c r="H150" s="1055"/>
      <c r="I150" s="1056"/>
      <c r="J150" s="1111"/>
      <c r="K150" s="1025"/>
    </row>
    <row r="151" spans="1:11">
      <c r="A151" s="1037"/>
      <c r="B151" s="1038"/>
      <c r="C151" s="1026"/>
      <c r="D151" s="1026"/>
      <c r="E151" s="1026"/>
      <c r="F151" s="1059"/>
      <c r="G151" s="1054"/>
      <c r="H151" s="1269"/>
      <c r="I151" s="1056"/>
      <c r="J151" s="1111"/>
      <c r="K151" s="1025"/>
    </row>
    <row r="152" spans="1:11">
      <c r="A152" s="1037"/>
      <c r="B152" s="1038"/>
      <c r="C152" s="1026"/>
      <c r="D152" s="1026"/>
      <c r="E152" s="1026"/>
      <c r="F152" s="1059"/>
      <c r="G152" s="1054"/>
      <c r="H152" s="1269"/>
      <c r="I152" s="1056"/>
      <c r="J152" s="1111"/>
      <c r="K152" s="1025"/>
    </row>
    <row r="153" spans="1:11">
      <c r="A153" s="1037"/>
      <c r="B153" s="1038"/>
      <c r="C153" s="1026"/>
      <c r="D153" s="1026"/>
      <c r="E153" s="1026"/>
      <c r="F153" s="1059"/>
      <c r="G153" s="1059"/>
      <c r="H153" s="1269"/>
      <c r="I153" s="1056"/>
      <c r="J153" s="1111"/>
      <c r="K153" s="1025"/>
    </row>
    <row r="154" spans="1:11">
      <c r="A154" s="1037"/>
      <c r="B154" s="1038"/>
      <c r="C154" s="1026"/>
      <c r="D154" s="1026"/>
      <c r="E154" s="1026"/>
      <c r="F154" s="1059"/>
      <c r="G154" s="1059"/>
      <c r="H154" s="1269"/>
      <c r="I154" s="1056"/>
      <c r="J154" s="1111"/>
      <c r="K154" s="1025"/>
    </row>
    <row r="155" spans="1:11" ht="15.75">
      <c r="A155" s="1037"/>
      <c r="B155" s="1038"/>
      <c r="C155" s="1026"/>
      <c r="D155" s="1026"/>
      <c r="E155" s="1026"/>
      <c r="F155" s="1059"/>
      <c r="G155" s="1054"/>
      <c r="H155" s="1269"/>
      <c r="I155" s="1056"/>
      <c r="J155" s="1111"/>
      <c r="K155" s="1115"/>
    </row>
    <row r="156" spans="1:11">
      <c r="A156" s="1037"/>
      <c r="B156" s="1038"/>
      <c r="C156" s="1026"/>
      <c r="D156" s="1026"/>
      <c r="E156" s="1026"/>
      <c r="F156" s="1059"/>
      <c r="G156" s="1054"/>
      <c r="H156" s="1269"/>
      <c r="I156" s="1056"/>
      <c r="J156" s="1111"/>
      <c r="K156" s="1025"/>
    </row>
    <row r="157" spans="1:11">
      <c r="A157" s="1037"/>
      <c r="B157" s="1038"/>
      <c r="C157" s="1026"/>
      <c r="D157" s="1026"/>
      <c r="E157" s="1026"/>
      <c r="F157" s="1059"/>
      <c r="G157" s="1059"/>
      <c r="H157" s="1269"/>
      <c r="I157" s="1056"/>
      <c r="J157" s="1111"/>
      <c r="K157" s="1025"/>
    </row>
    <row r="158" spans="1:11">
      <c r="A158" s="1037"/>
      <c r="B158" s="1038"/>
      <c r="C158" s="1026"/>
      <c r="D158" s="1026"/>
      <c r="E158" s="1026"/>
      <c r="F158" s="1059"/>
      <c r="G158" s="1059"/>
      <c r="H158" s="1269"/>
      <c r="I158" s="1056"/>
      <c r="J158" s="1111"/>
      <c r="K158" s="1025"/>
    </row>
    <row r="159" spans="1:11">
      <c r="A159" s="1037"/>
      <c r="B159" s="1038"/>
      <c r="C159" s="1026"/>
      <c r="D159" s="1026"/>
      <c r="E159" s="1026"/>
      <c r="F159" s="1059"/>
      <c r="G159" s="1054"/>
      <c r="H159" s="1269"/>
      <c r="I159" s="1056"/>
      <c r="J159" s="1111"/>
      <c r="K159" s="1025"/>
    </row>
    <row r="160" spans="1:11">
      <c r="A160" s="1037"/>
      <c r="B160" s="1038"/>
      <c r="C160" s="1026"/>
      <c r="D160" s="1026"/>
      <c r="E160" s="1026"/>
      <c r="F160" s="1059"/>
      <c r="G160" s="1054"/>
      <c r="H160" s="1269"/>
      <c r="I160" s="1056"/>
      <c r="J160" s="1111"/>
      <c r="K160" s="1025"/>
    </row>
    <row r="161" spans="1:11">
      <c r="A161" s="1037"/>
      <c r="B161" s="1038"/>
      <c r="C161" s="1026"/>
      <c r="D161" s="1026"/>
      <c r="E161" s="1026"/>
      <c r="F161" s="1059"/>
      <c r="G161" s="1054"/>
      <c r="H161" s="1269"/>
      <c r="I161" s="1056"/>
      <c r="J161" s="1111"/>
      <c r="K161" s="1025"/>
    </row>
    <row r="162" spans="1:11" ht="15.75">
      <c r="A162" s="1037"/>
      <c r="B162" s="1038"/>
      <c r="C162" s="1026"/>
      <c r="D162" s="1026"/>
      <c r="E162" s="1026"/>
      <c r="F162" s="1059"/>
      <c r="G162" s="1054"/>
      <c r="H162" s="1269"/>
      <c r="I162" s="1056"/>
      <c r="J162" s="1111"/>
      <c r="K162" s="1115"/>
    </row>
    <row r="163" spans="1:11">
      <c r="A163" s="1037"/>
      <c r="B163" s="1038"/>
      <c r="C163" s="1026"/>
      <c r="D163" s="1026"/>
      <c r="E163" s="1026"/>
      <c r="F163" s="1059"/>
      <c r="G163" s="1054"/>
      <c r="H163" s="1269"/>
      <c r="I163" s="1056"/>
      <c r="J163" s="1111"/>
      <c r="K163" s="1025"/>
    </row>
    <row r="164" spans="1:11">
      <c r="A164" s="1037"/>
      <c r="B164" s="1038"/>
      <c r="C164" s="290"/>
      <c r="D164" s="1026"/>
      <c r="E164" s="1026"/>
      <c r="F164" s="1059"/>
      <c r="G164" s="1054"/>
      <c r="H164" s="1269"/>
      <c r="I164" s="1056"/>
      <c r="J164" s="1111"/>
      <c r="K164" s="1025"/>
    </row>
    <row r="165" spans="1:11">
      <c r="A165" s="1037"/>
      <c r="B165" s="1038"/>
      <c r="C165" s="1026"/>
      <c r="D165" s="1026"/>
      <c r="E165" s="1026"/>
      <c r="F165" s="1059"/>
      <c r="G165" s="1054"/>
      <c r="H165" s="1269"/>
      <c r="I165" s="1056"/>
      <c r="J165" s="1111"/>
      <c r="K165" s="1025"/>
    </row>
    <row r="166" spans="1:11">
      <c r="A166" s="1037"/>
      <c r="B166" s="1038"/>
      <c r="C166" s="1026"/>
      <c r="D166" s="1026"/>
      <c r="E166" s="1026"/>
      <c r="F166" s="1059"/>
      <c r="G166" s="1054"/>
      <c r="H166" s="1269"/>
      <c r="I166" s="1056"/>
      <c r="J166" s="1111"/>
      <c r="K166" s="1025"/>
    </row>
    <row r="167" spans="1:11">
      <c r="A167" s="1037"/>
      <c r="B167" s="1038"/>
      <c r="C167" s="1026"/>
      <c r="D167" s="1026"/>
      <c r="E167" s="1026"/>
      <c r="F167" s="1059"/>
      <c r="G167" s="1054"/>
      <c r="H167" s="1269"/>
      <c r="I167" s="1056"/>
      <c r="J167" s="1111"/>
      <c r="K167" s="1025"/>
    </row>
    <row r="168" spans="1:11">
      <c r="A168" s="1037"/>
      <c r="B168" s="1038"/>
      <c r="C168" s="1026"/>
      <c r="D168" s="1026"/>
      <c r="E168" s="1026"/>
      <c r="F168" s="1059"/>
      <c r="G168" s="1054"/>
      <c r="H168" s="1269"/>
      <c r="I168" s="1056"/>
      <c r="J168" s="1111"/>
      <c r="K168" s="1025"/>
    </row>
    <row r="169" spans="1:11">
      <c r="A169" s="1037"/>
      <c r="B169" s="1038"/>
      <c r="C169" s="1026"/>
      <c r="D169" s="1026"/>
      <c r="E169" s="1026"/>
      <c r="F169" s="1059"/>
      <c r="G169" s="1054"/>
      <c r="H169" s="1269"/>
      <c r="I169" s="1056"/>
      <c r="J169" s="1111"/>
      <c r="K169" s="1025"/>
    </row>
    <row r="170" spans="1:11">
      <c r="A170" s="1037"/>
      <c r="B170" s="1038"/>
      <c r="C170" s="1026"/>
      <c r="D170" s="1026"/>
      <c r="E170" s="1026"/>
      <c r="F170" s="1059"/>
      <c r="G170" s="1054"/>
      <c r="H170" s="1269"/>
      <c r="I170" s="1056"/>
      <c r="J170" s="1111"/>
      <c r="K170" s="1025"/>
    </row>
    <row r="171" spans="1:11">
      <c r="A171" s="1037"/>
      <c r="B171" s="1038"/>
      <c r="C171" s="1026"/>
      <c r="D171" s="1026"/>
      <c r="E171" s="1026"/>
      <c r="F171" s="1059"/>
      <c r="G171" s="1054"/>
      <c r="H171" s="1269"/>
      <c r="I171" s="1056"/>
      <c r="J171" s="1111"/>
      <c r="K171" s="1025"/>
    </row>
    <row r="172" spans="1:11">
      <c r="A172" s="1037"/>
      <c r="B172" s="1038"/>
      <c r="C172" s="1026"/>
      <c r="D172" s="1026"/>
      <c r="E172" s="1026"/>
      <c r="F172" s="1059"/>
      <c r="G172" s="1054"/>
      <c r="H172" s="1269"/>
      <c r="I172" s="1056"/>
      <c r="J172" s="1111"/>
      <c r="K172" s="1025"/>
    </row>
    <row r="173" spans="1:11">
      <c r="A173" s="1037"/>
      <c r="B173" s="1038"/>
      <c r="C173" s="1026"/>
      <c r="D173" s="1026"/>
      <c r="E173" s="1026"/>
      <c r="F173" s="1059"/>
      <c r="G173" s="1059"/>
      <c r="H173" s="1269"/>
      <c r="I173" s="1056"/>
      <c r="J173" s="1111"/>
      <c r="K173" s="1025"/>
    </row>
    <row r="174" spans="1:11">
      <c r="A174" s="1037"/>
      <c r="B174" s="1038"/>
      <c r="C174" s="1026"/>
      <c r="D174" s="1026"/>
      <c r="E174" s="1026"/>
      <c r="F174" s="1059"/>
      <c r="G174" s="1059"/>
      <c r="H174" s="1269"/>
      <c r="I174" s="1056"/>
      <c r="J174" s="1111"/>
      <c r="K174" s="1025"/>
    </row>
    <row r="175" spans="1:11">
      <c r="A175" s="1037"/>
      <c r="B175" s="1038"/>
      <c r="C175" s="1026"/>
      <c r="D175" s="1026"/>
      <c r="E175" s="1026"/>
      <c r="F175" s="1059"/>
      <c r="G175" s="1054"/>
      <c r="H175" s="1269"/>
      <c r="I175" s="1056"/>
      <c r="J175" s="1111"/>
      <c r="K175" s="1025"/>
    </row>
    <row r="176" spans="1:11">
      <c r="A176" s="1037"/>
      <c r="B176" s="1038"/>
      <c r="C176" s="1026"/>
      <c r="D176" s="1026"/>
      <c r="E176" s="1026"/>
      <c r="F176" s="1059"/>
      <c r="G176" s="1054"/>
      <c r="H176" s="1269"/>
      <c r="I176" s="1056"/>
      <c r="J176" s="1111"/>
      <c r="K176" s="1025"/>
    </row>
    <row r="177" spans="1:11">
      <c r="A177" s="1037"/>
      <c r="B177" s="1038"/>
      <c r="C177" s="1026"/>
      <c r="D177" s="1026"/>
      <c r="E177" s="1026"/>
      <c r="F177" s="1059"/>
      <c r="G177" s="1054"/>
      <c r="H177" s="1269"/>
      <c r="I177" s="1056"/>
      <c r="J177" s="1111"/>
      <c r="K177" s="1025"/>
    </row>
    <row r="178" spans="1:11" ht="15.75">
      <c r="A178" s="1037"/>
      <c r="B178" s="1038"/>
      <c r="C178" s="1026"/>
      <c r="D178" s="1026"/>
      <c r="E178" s="1026"/>
      <c r="F178" s="1059"/>
      <c r="G178" s="1059"/>
      <c r="H178" s="1269"/>
      <c r="I178" s="1056"/>
      <c r="J178" s="1111"/>
      <c r="K178" s="1115"/>
    </row>
    <row r="179" spans="1:11">
      <c r="A179" s="1037"/>
      <c r="B179" s="1038"/>
      <c r="C179" s="1026"/>
      <c r="D179" s="1026"/>
      <c r="E179" s="1026"/>
      <c r="F179" s="1059"/>
      <c r="G179" s="1059"/>
      <c r="H179" s="1269"/>
      <c r="I179" s="1056"/>
      <c r="J179" s="1111"/>
      <c r="K179" s="1025"/>
    </row>
    <row r="180" spans="1:11" ht="15.75">
      <c r="A180" s="1037"/>
      <c r="B180" s="1038"/>
      <c r="C180" s="1026"/>
      <c r="D180" s="1026"/>
      <c r="E180" s="1026"/>
      <c r="F180" s="1059"/>
      <c r="G180" s="1054"/>
      <c r="H180" s="1269"/>
      <c r="I180" s="1056"/>
      <c r="J180" s="1111"/>
      <c r="K180" s="1115"/>
    </row>
    <row r="181" spans="1:11" ht="15.75">
      <c r="A181" s="1037"/>
      <c r="B181" s="1038"/>
      <c r="C181" s="1026"/>
      <c r="D181" s="1026"/>
      <c r="E181" s="1026"/>
      <c r="F181" s="1059"/>
      <c r="G181" s="1054"/>
      <c r="H181" s="1269"/>
      <c r="I181" s="1056"/>
      <c r="J181" s="1111"/>
      <c r="K181" s="1115"/>
    </row>
    <row r="182" spans="1:11" ht="15.75">
      <c r="A182" s="1037"/>
      <c r="B182" s="1038"/>
      <c r="C182" s="1026"/>
      <c r="D182" s="1026"/>
      <c r="E182" s="1026"/>
      <c r="F182" s="1059"/>
      <c r="G182" s="1054"/>
      <c r="H182" s="1269"/>
      <c r="I182" s="1056"/>
      <c r="J182" s="1111"/>
      <c r="K182" s="1115"/>
    </row>
    <row r="183" spans="1:11" ht="15.75">
      <c r="A183" s="1037"/>
      <c r="B183" s="1038"/>
      <c r="C183" s="1026"/>
      <c r="D183" s="1026"/>
      <c r="E183" s="1026"/>
      <c r="F183" s="1059"/>
      <c r="G183" s="1054"/>
      <c r="H183" s="1269"/>
      <c r="I183" s="1056"/>
      <c r="J183" s="1111"/>
      <c r="K183" s="1115"/>
    </row>
    <row r="184" spans="1:11" ht="15.75">
      <c r="A184" s="1037"/>
      <c r="B184" s="1038"/>
      <c r="C184" s="1026"/>
      <c r="D184" s="1026"/>
      <c r="E184" s="1026"/>
      <c r="F184" s="1059"/>
      <c r="G184" s="1059"/>
      <c r="H184" s="1269"/>
      <c r="I184" s="1056"/>
      <c r="J184" s="1111"/>
      <c r="K184" s="1115"/>
    </row>
    <row r="185" spans="1:11">
      <c r="A185" s="1037"/>
      <c r="B185" s="1038"/>
      <c r="C185" s="1026"/>
      <c r="D185" s="1026"/>
      <c r="E185" s="1026"/>
      <c r="F185" s="1059"/>
      <c r="G185" s="1059"/>
      <c r="H185" s="1269"/>
      <c r="I185" s="1056"/>
      <c r="J185" s="1111"/>
      <c r="K185" s="1025"/>
    </row>
    <row r="186" spans="1:11" ht="15.75">
      <c r="A186" s="1037"/>
      <c r="B186" s="1038"/>
      <c r="C186" s="1026"/>
      <c r="D186" s="1026"/>
      <c r="E186" s="1026"/>
      <c r="F186" s="1059"/>
      <c r="G186" s="1054"/>
      <c r="H186" s="1269"/>
      <c r="I186" s="1056"/>
      <c r="J186" s="1111"/>
      <c r="K186" s="1115"/>
    </row>
    <row r="187" spans="1:11">
      <c r="A187" s="1037"/>
      <c r="B187" s="1038"/>
      <c r="C187" s="1026"/>
      <c r="D187" s="1026"/>
      <c r="E187" s="1026"/>
      <c r="F187" s="1059"/>
      <c r="G187" s="1059"/>
      <c r="H187" s="1269"/>
      <c r="I187" s="1056"/>
      <c r="J187" s="1111"/>
      <c r="K187" s="1025"/>
    </row>
    <row r="188" spans="1:11">
      <c r="A188" s="1037"/>
      <c r="B188" s="1038"/>
      <c r="C188" s="1026"/>
      <c r="D188" s="1026"/>
      <c r="E188" s="1026"/>
      <c r="F188" s="1059"/>
      <c r="G188" s="1059"/>
      <c r="H188" s="1269"/>
      <c r="I188" s="1056"/>
      <c r="J188" s="1111"/>
      <c r="K188" s="1025"/>
    </row>
    <row r="189" spans="1:11">
      <c r="A189" s="1037"/>
      <c r="B189" s="1038"/>
      <c r="C189" s="1026"/>
      <c r="D189" s="1026"/>
      <c r="E189" s="1026"/>
      <c r="F189" s="1059"/>
      <c r="G189" s="1059"/>
      <c r="H189" s="1269"/>
      <c r="I189" s="1056"/>
      <c r="J189" s="1111"/>
      <c r="K189" s="1025"/>
    </row>
    <row r="190" spans="1:11">
      <c r="A190" s="1037"/>
      <c r="B190" s="1038"/>
      <c r="C190" s="1026"/>
      <c r="D190" s="1026"/>
      <c r="E190" s="1026"/>
      <c r="F190" s="1059"/>
      <c r="G190" s="1059"/>
      <c r="H190" s="1269"/>
      <c r="I190" s="1056"/>
      <c r="J190" s="1111"/>
      <c r="K190" s="1025"/>
    </row>
    <row r="191" spans="1:11">
      <c r="A191" s="1037"/>
      <c r="B191" s="1038"/>
      <c r="C191" s="1026"/>
      <c r="D191" s="1026"/>
      <c r="E191" s="1026"/>
      <c r="F191" s="1059"/>
      <c r="G191" s="1054"/>
      <c r="H191" s="1269"/>
      <c r="I191" s="1056"/>
      <c r="J191" s="1111"/>
      <c r="K191" s="1025"/>
    </row>
    <row r="192" spans="1:11">
      <c r="A192" s="1037"/>
      <c r="B192" s="1038"/>
      <c r="C192" s="1026"/>
      <c r="D192" s="1026"/>
      <c r="E192" s="1026"/>
      <c r="F192" s="1059"/>
      <c r="G192" s="1054"/>
      <c r="H192" s="1269"/>
      <c r="I192" s="1056"/>
      <c r="J192" s="1111"/>
      <c r="K192" s="1025"/>
    </row>
    <row r="193" spans="1:11">
      <c r="A193" s="1037"/>
      <c r="B193" s="1038"/>
      <c r="C193" s="1026"/>
      <c r="D193" s="1026"/>
      <c r="E193" s="1026"/>
      <c r="F193" s="1059"/>
      <c r="G193" s="1054"/>
      <c r="H193" s="1269"/>
      <c r="I193" s="1056"/>
      <c r="J193" s="1111"/>
      <c r="K193" s="1025"/>
    </row>
    <row r="194" spans="1:11">
      <c r="A194" s="1037"/>
      <c r="B194" s="1038"/>
      <c r="C194" s="1026"/>
      <c r="D194" s="1026"/>
      <c r="E194" s="1026"/>
      <c r="F194" s="1059"/>
      <c r="G194" s="1054"/>
      <c r="H194" s="1269"/>
      <c r="I194" s="1056"/>
      <c r="J194" s="1111"/>
      <c r="K194" s="1025"/>
    </row>
    <row r="195" spans="1:11">
      <c r="A195" s="1037"/>
      <c r="B195" s="1038"/>
      <c r="C195" s="1026"/>
      <c r="D195" s="1026"/>
      <c r="E195" s="1026"/>
      <c r="F195" s="1059"/>
      <c r="G195" s="1054"/>
      <c r="H195" s="1269"/>
      <c r="I195" s="1056"/>
      <c r="J195" s="1111"/>
      <c r="K195" s="1025"/>
    </row>
    <row r="196" spans="1:11">
      <c r="A196" s="1037"/>
      <c r="B196" s="1038"/>
      <c r="C196" s="1026"/>
      <c r="D196" s="1026"/>
      <c r="E196" s="1026"/>
      <c r="F196" s="1059"/>
      <c r="G196" s="1054"/>
      <c r="H196" s="1269"/>
      <c r="I196" s="1056"/>
      <c r="J196" s="1111"/>
      <c r="K196" s="1025"/>
    </row>
    <row r="197" spans="1:11">
      <c r="A197" s="1037"/>
      <c r="B197" s="1038"/>
      <c r="C197" s="1026"/>
      <c r="D197" s="1026"/>
      <c r="E197" s="1026"/>
      <c r="F197" s="1059"/>
      <c r="G197" s="1054"/>
      <c r="H197" s="1269"/>
      <c r="I197" s="1056"/>
      <c r="J197" s="1111"/>
      <c r="K197" s="1025"/>
    </row>
    <row r="198" spans="1:11">
      <c r="A198" s="1037"/>
      <c r="B198" s="1038"/>
      <c r="C198" s="1026"/>
      <c r="D198" s="1026"/>
      <c r="E198" s="1026"/>
      <c r="F198" s="1059"/>
      <c r="G198" s="1059"/>
      <c r="H198" s="1269"/>
      <c r="I198" s="1056"/>
      <c r="J198" s="1111"/>
      <c r="K198" s="1025"/>
    </row>
    <row r="199" spans="1:11">
      <c r="A199" s="1037"/>
      <c r="B199" s="1038"/>
      <c r="C199" s="1026"/>
      <c r="D199" s="1026"/>
      <c r="E199" s="1026"/>
      <c r="F199" s="1059"/>
      <c r="G199" s="1059"/>
      <c r="H199" s="1269"/>
      <c r="I199" s="1056"/>
      <c r="J199" s="1111"/>
      <c r="K199" s="1025"/>
    </row>
    <row r="200" spans="1:11" ht="15.75">
      <c r="A200" s="1037"/>
      <c r="B200" s="1038"/>
      <c r="C200" s="1026"/>
      <c r="D200" s="1026"/>
      <c r="E200" s="1026"/>
      <c r="F200" s="1059"/>
      <c r="G200" s="1054"/>
      <c r="H200" s="1269"/>
      <c r="I200" s="1056"/>
      <c r="J200" s="1111"/>
      <c r="K200" s="1115"/>
    </row>
    <row r="201" spans="1:11">
      <c r="A201" s="1037"/>
      <c r="B201" s="1038"/>
      <c r="C201" s="1026"/>
      <c r="D201" s="1026"/>
      <c r="E201" s="1026"/>
      <c r="F201" s="1059"/>
      <c r="G201" s="1054"/>
      <c r="H201" s="1269"/>
      <c r="I201" s="1056"/>
      <c r="J201" s="1111"/>
      <c r="K201" s="1025"/>
    </row>
    <row r="202" spans="1:11">
      <c r="A202" s="1037"/>
      <c r="B202" s="1038"/>
      <c r="C202" s="1025"/>
      <c r="D202" s="1025"/>
      <c r="E202" s="1025"/>
      <c r="F202" s="1061"/>
      <c r="G202" s="1054"/>
      <c r="H202" s="1269"/>
      <c r="I202" s="1056"/>
      <c r="J202" s="1111"/>
      <c r="K202" s="1025"/>
    </row>
    <row r="203" spans="1:11">
      <c r="A203" s="1037"/>
      <c r="B203" s="1038"/>
      <c r="C203" s="1026"/>
      <c r="D203" s="1026"/>
      <c r="E203" s="1026"/>
      <c r="F203" s="1061"/>
      <c r="G203" s="1054"/>
      <c r="H203" s="1269"/>
      <c r="I203" s="1056"/>
      <c r="J203" s="1111"/>
      <c r="K203" s="1025"/>
    </row>
    <row r="204" spans="1:11" ht="15.75">
      <c r="A204" s="1037"/>
      <c r="B204" s="1038"/>
      <c r="C204" s="1026"/>
      <c r="D204" s="1026"/>
      <c r="E204" s="1026"/>
      <c r="F204" s="1059"/>
      <c r="G204" s="1059"/>
      <c r="H204" s="1269"/>
      <c r="I204" s="1056"/>
      <c r="J204" s="1111"/>
      <c r="K204" s="1115"/>
    </row>
    <row r="205" spans="1:11">
      <c r="A205" s="1037"/>
      <c r="B205" s="1038"/>
      <c r="C205" s="1026"/>
      <c r="D205" s="1026"/>
      <c r="E205" s="1026"/>
      <c r="F205" s="1059"/>
      <c r="G205" s="1059"/>
      <c r="H205" s="1269"/>
      <c r="I205" s="1056"/>
      <c r="J205" s="1111"/>
      <c r="K205" s="1025"/>
    </row>
    <row r="206" spans="1:11" ht="15.75">
      <c r="A206" s="1037"/>
      <c r="B206" s="1038"/>
      <c r="C206" s="1026"/>
      <c r="D206" s="1026"/>
      <c r="E206" s="1026"/>
      <c r="F206" s="1059"/>
      <c r="G206" s="1054"/>
      <c r="H206" s="1269"/>
      <c r="I206" s="1056"/>
      <c r="J206" s="1111"/>
      <c r="K206" s="1115"/>
    </row>
    <row r="207" spans="1:11" ht="15.75">
      <c r="A207" s="1037"/>
      <c r="B207" s="1038"/>
      <c r="C207" s="1026"/>
      <c r="D207" s="1026"/>
      <c r="E207" s="1026"/>
      <c r="F207" s="1059"/>
      <c r="G207" s="1054"/>
      <c r="H207" s="1269"/>
      <c r="I207" s="1056"/>
      <c r="J207" s="1111"/>
      <c r="K207" s="1115"/>
    </row>
    <row r="208" spans="1:11" ht="15.75">
      <c r="A208" s="1037"/>
      <c r="B208" s="1038"/>
      <c r="C208" s="1026"/>
      <c r="D208" s="1026"/>
      <c r="E208" s="1026"/>
      <c r="F208" s="1059"/>
      <c r="G208" s="1054"/>
      <c r="H208" s="1269"/>
      <c r="I208" s="1056"/>
      <c r="J208" s="1111"/>
      <c r="K208" s="1115"/>
    </row>
    <row r="209" spans="1:11" ht="15.75">
      <c r="A209" s="1037"/>
      <c r="B209" s="1038"/>
      <c r="C209" s="1026"/>
      <c r="D209" s="1026"/>
      <c r="E209" s="1026"/>
      <c r="F209" s="1059"/>
      <c r="G209" s="1054"/>
      <c r="H209" s="1269"/>
      <c r="I209" s="1056"/>
      <c r="J209" s="1111"/>
      <c r="K209" s="1115"/>
    </row>
    <row r="210" spans="1:11" ht="15.75">
      <c r="A210" s="1037"/>
      <c r="B210" s="1038"/>
      <c r="C210" s="1026"/>
      <c r="D210" s="1026"/>
      <c r="E210" s="1026"/>
      <c r="F210" s="1059"/>
      <c r="G210" s="1054"/>
      <c r="H210" s="1269"/>
      <c r="I210" s="1056"/>
      <c r="J210" s="1111"/>
      <c r="K210" s="1115"/>
    </row>
    <row r="211" spans="1:11" ht="15.75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115"/>
    </row>
    <row r="212" spans="1:11" ht="15.75">
      <c r="A212" s="1037"/>
      <c r="B212" s="1038"/>
      <c r="C212" s="1026"/>
      <c r="D212" s="1026"/>
      <c r="E212" s="1026"/>
      <c r="F212" s="1059"/>
      <c r="G212" s="1054"/>
      <c r="H212" s="1269"/>
      <c r="I212" s="1056"/>
      <c r="J212" s="1111"/>
      <c r="K212" s="1115"/>
    </row>
    <row r="213" spans="1:11" ht="15.75">
      <c r="A213" s="1037"/>
      <c r="B213" s="1038"/>
      <c r="C213" s="1026"/>
      <c r="D213" s="1026"/>
      <c r="E213" s="1026"/>
      <c r="F213" s="1059"/>
      <c r="G213" s="1054"/>
      <c r="H213" s="1269"/>
      <c r="I213" s="1056"/>
      <c r="J213" s="1111"/>
      <c r="K213" s="1115"/>
    </row>
    <row r="214" spans="1:11" ht="15.75">
      <c r="A214" s="1037"/>
      <c r="B214" s="1038"/>
      <c r="C214" s="1026"/>
      <c r="D214" s="1026"/>
      <c r="F214" s="1059"/>
      <c r="G214" s="1054"/>
      <c r="H214" s="1269"/>
      <c r="I214" s="1056"/>
      <c r="J214" s="1111"/>
      <c r="K214" s="1115"/>
    </row>
    <row r="215" spans="1:11" ht="15.75">
      <c r="A215" s="1037"/>
      <c r="B215" s="1038"/>
      <c r="C215" s="1026"/>
      <c r="D215" s="1026"/>
      <c r="E215" s="1026"/>
      <c r="F215" s="1059"/>
      <c r="G215" s="1054"/>
      <c r="H215" s="1269"/>
      <c r="I215" s="1056"/>
      <c r="J215" s="1111"/>
      <c r="K215" s="1115"/>
    </row>
    <row r="216" spans="1:11" ht="15.75">
      <c r="A216" s="1037"/>
      <c r="B216" s="1038"/>
      <c r="C216" s="1026"/>
      <c r="D216" s="1026"/>
      <c r="E216" s="1026"/>
      <c r="F216" s="1059"/>
      <c r="G216" s="1054"/>
      <c r="H216" s="1269"/>
      <c r="I216" s="1056"/>
      <c r="J216" s="1111"/>
      <c r="K216" s="1115"/>
    </row>
    <row r="217" spans="1:11" ht="15.75">
      <c r="A217" s="1037"/>
      <c r="B217" s="1038"/>
      <c r="C217" s="1026"/>
      <c r="D217" s="1026"/>
      <c r="E217" s="1026"/>
      <c r="F217" s="1059"/>
      <c r="G217" s="1054"/>
      <c r="H217" s="1269"/>
      <c r="I217" s="1056"/>
      <c r="J217" s="1111"/>
      <c r="K217" s="1115"/>
    </row>
    <row r="218" spans="1:11" ht="15.75">
      <c r="A218" s="1037"/>
      <c r="B218" s="1038"/>
      <c r="C218" s="1026"/>
      <c r="D218" s="1026"/>
      <c r="E218" s="1026"/>
      <c r="F218" s="1059"/>
      <c r="G218" s="1054"/>
      <c r="H218" s="1269"/>
      <c r="I218" s="1056"/>
      <c r="J218" s="1111"/>
      <c r="K218" s="1115"/>
    </row>
    <row r="219" spans="1:11">
      <c r="A219" s="1037"/>
      <c r="B219" s="1038"/>
      <c r="C219" s="1026"/>
      <c r="D219" s="1026"/>
      <c r="E219" s="1026"/>
      <c r="F219" s="1059"/>
      <c r="G219" s="1054"/>
      <c r="H219" s="1269"/>
      <c r="I219" s="1056"/>
      <c r="J219" s="1111"/>
      <c r="K219" s="1025"/>
    </row>
    <row r="220" spans="1:11">
      <c r="A220" s="1039"/>
      <c r="B220" s="1039"/>
      <c r="C220" s="1025"/>
      <c r="D220" s="1025"/>
      <c r="E220" s="1025"/>
      <c r="F220" s="1061"/>
      <c r="G220" s="1062"/>
      <c r="H220" s="1269"/>
      <c r="I220" s="1056"/>
      <c r="J220" s="1111"/>
      <c r="K220" s="1025"/>
    </row>
    <row r="221" spans="1:11">
      <c r="A221" s="1039"/>
      <c r="B221" s="1039"/>
      <c r="C221" s="1025"/>
      <c r="D221" s="1025"/>
      <c r="E221" s="1025"/>
      <c r="F221" s="1061"/>
      <c r="G221" s="1062"/>
      <c r="H221" s="1269"/>
      <c r="I221" s="1056"/>
      <c r="J221" s="1111"/>
      <c r="K221" s="1025"/>
    </row>
    <row r="222" spans="1:11">
      <c r="A222" s="1039"/>
      <c r="B222" s="1039"/>
      <c r="C222" s="1025"/>
      <c r="D222" s="1025"/>
      <c r="E222" s="1025"/>
      <c r="F222" s="1061"/>
      <c r="G222" s="1062"/>
      <c r="H222" s="1269"/>
      <c r="I222" s="1056"/>
      <c r="J222" s="1111"/>
      <c r="K222" s="1025"/>
    </row>
    <row r="223" spans="1:11">
      <c r="A223" s="1039"/>
      <c r="B223" s="1039"/>
      <c r="C223" s="1025"/>
      <c r="D223" s="1025"/>
      <c r="E223" s="1025"/>
      <c r="F223" s="1061"/>
      <c r="G223" s="1062"/>
      <c r="H223" s="1269"/>
      <c r="I223" s="1056"/>
      <c r="J223" s="1111"/>
      <c r="K223" s="1025"/>
    </row>
    <row r="224" spans="1:11">
      <c r="A224" s="1039"/>
      <c r="B224" s="1039"/>
      <c r="C224" s="1025"/>
      <c r="D224" s="1025"/>
      <c r="E224" s="1025"/>
      <c r="F224" s="1061"/>
      <c r="G224" s="1062"/>
      <c r="H224" s="1269"/>
      <c r="I224" s="1056"/>
      <c r="J224" s="1111"/>
      <c r="K224" s="1025"/>
    </row>
    <row r="225" spans="1:11">
      <c r="A225" s="1039"/>
      <c r="B225" s="1039"/>
      <c r="C225" s="1025"/>
      <c r="D225" s="1025"/>
      <c r="E225" s="1025"/>
      <c r="F225" s="1061"/>
      <c r="G225" s="1062"/>
      <c r="H225" s="1269"/>
      <c r="I225" s="1056"/>
      <c r="J225" s="1111"/>
      <c r="K225" s="1025"/>
    </row>
    <row r="226" spans="1:11">
      <c r="A226" s="1039"/>
      <c r="B226" s="1039"/>
      <c r="C226" s="1025"/>
      <c r="D226" s="1025"/>
      <c r="E226" s="1025"/>
      <c r="F226" s="1061"/>
      <c r="G226" s="1062"/>
      <c r="H226" s="1269"/>
      <c r="I226" s="1056"/>
      <c r="J226" s="1111"/>
      <c r="K226" s="1025"/>
    </row>
    <row r="227" spans="1:11">
      <c r="A227" s="1039"/>
      <c r="B227" s="1039"/>
      <c r="C227" s="1025"/>
      <c r="D227" s="1025"/>
      <c r="E227" s="1025"/>
      <c r="F227" s="1061"/>
      <c r="G227" s="1062"/>
      <c r="H227" s="1269"/>
      <c r="I227" s="1056"/>
      <c r="J227" s="1111"/>
      <c r="K227" s="1025"/>
    </row>
    <row r="228" spans="1:11">
      <c r="A228" s="1039"/>
      <c r="B228" s="1039"/>
      <c r="C228" s="1025"/>
      <c r="D228" s="1025"/>
      <c r="E228" s="1025"/>
      <c r="F228" s="1061"/>
      <c r="G228" s="1062"/>
      <c r="H228" s="1269"/>
      <c r="I228" s="1056"/>
      <c r="J228" s="1111"/>
      <c r="K228" s="1025"/>
    </row>
    <row r="229" spans="1:11">
      <c r="A229" s="1039"/>
      <c r="B229" s="1039"/>
      <c r="C229" s="1025"/>
      <c r="D229" s="1025"/>
      <c r="E229" s="1025"/>
      <c r="F229" s="1061"/>
      <c r="G229" s="1062"/>
      <c r="H229" s="1269"/>
      <c r="I229" s="1056"/>
      <c r="J229" s="1111"/>
      <c r="K229" s="1025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1025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1025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1025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1025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1025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1025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1025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1025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1025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1025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1025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1025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1025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1025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1025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1025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1025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1025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1025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1025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1025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1025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1025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1025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1025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1025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1025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1025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1025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1025"/>
    </row>
    <row r="260" spans="1:11">
      <c r="A260" s="1039"/>
      <c r="B260" s="1039"/>
      <c r="C260" s="1025"/>
      <c r="D260" s="1025"/>
      <c r="E260" s="1025"/>
      <c r="F260" s="1061"/>
      <c r="G260" s="1062"/>
      <c r="H260" s="1269"/>
      <c r="I260" s="1056"/>
      <c r="J260" s="1111"/>
      <c r="K260" s="1025"/>
    </row>
    <row r="261" spans="1:11">
      <c r="A261" s="1039"/>
      <c r="B261" s="1039"/>
      <c r="C261" s="1025"/>
      <c r="D261" s="1025"/>
      <c r="E261" s="1025"/>
      <c r="F261" s="1061"/>
      <c r="G261" s="1062"/>
      <c r="H261" s="1269"/>
      <c r="I261" s="1056"/>
      <c r="J261" s="1111"/>
      <c r="K261" s="1025"/>
    </row>
    <row r="262" spans="1:11">
      <c r="A262" s="1039"/>
      <c r="B262" s="1039"/>
      <c r="C262" s="1025"/>
      <c r="D262" s="1025"/>
      <c r="E262" s="1025"/>
      <c r="F262" s="1061"/>
      <c r="G262" s="1062"/>
      <c r="H262" s="1269"/>
      <c r="I262" s="1056"/>
      <c r="J262" s="1111"/>
      <c r="K262" s="1025"/>
    </row>
    <row r="263" spans="1:11">
      <c r="A263" s="1039"/>
      <c r="B263" s="1039"/>
      <c r="C263" s="1025"/>
      <c r="D263" s="1025"/>
      <c r="E263" s="1025"/>
      <c r="F263" s="1061"/>
      <c r="G263" s="1062"/>
      <c r="H263" s="1269"/>
      <c r="I263" s="1056"/>
      <c r="J263" s="1111"/>
      <c r="K263" s="1025"/>
    </row>
    <row r="264" spans="1:11">
      <c r="A264" s="1039"/>
      <c r="B264" s="1039"/>
      <c r="C264" s="1025"/>
      <c r="D264" s="1025"/>
      <c r="E264" s="1025"/>
      <c r="F264" s="1061"/>
      <c r="G264" s="1062"/>
      <c r="H264" s="1269"/>
      <c r="I264" s="1056"/>
      <c r="J264" s="1111"/>
      <c r="K264" s="1025"/>
    </row>
    <row r="265" spans="1:11">
      <c r="A265" s="1039"/>
      <c r="B265" s="1039"/>
      <c r="C265" s="1025"/>
      <c r="D265" s="1025"/>
      <c r="E265" s="1025"/>
      <c r="F265" s="1061"/>
      <c r="G265" s="1062"/>
      <c r="H265" s="1269"/>
      <c r="I265" s="1056"/>
      <c r="J265" s="1111"/>
      <c r="K265" s="1025"/>
    </row>
    <row r="266" spans="1:11">
      <c r="A266" s="1039"/>
      <c r="B266" s="1039"/>
      <c r="C266" s="1025"/>
      <c r="D266" s="1025"/>
      <c r="E266" s="1025"/>
      <c r="F266" s="1061"/>
      <c r="G266" s="1062"/>
      <c r="H266" s="1269"/>
      <c r="I266" s="1056"/>
      <c r="J266" s="1111"/>
      <c r="K266" s="1025"/>
    </row>
    <row r="267" spans="1:11">
      <c r="A267" s="1025"/>
      <c r="B267" s="1025"/>
      <c r="C267" s="1025"/>
      <c r="D267" s="1025"/>
      <c r="E267" s="1025"/>
      <c r="F267" s="1025"/>
      <c r="G267" s="1025"/>
      <c r="H267" s="1269"/>
      <c r="I267" s="1056"/>
      <c r="J267" s="1111"/>
      <c r="K267" s="1025"/>
    </row>
    <row r="268" spans="1:11">
      <c r="A268" s="1025"/>
      <c r="B268" s="1025"/>
      <c r="C268" s="1025"/>
      <c r="D268" s="1025"/>
      <c r="E268" s="1025"/>
      <c r="F268" s="1025"/>
      <c r="G268" s="1025"/>
      <c r="H268" s="1269"/>
      <c r="I268" s="1056"/>
      <c r="J268" s="1111"/>
      <c r="K268" s="1025"/>
    </row>
    <row r="269" spans="1:11">
      <c r="A269" s="1025"/>
      <c r="B269" s="1025"/>
      <c r="C269" s="1025"/>
      <c r="D269" s="1025"/>
      <c r="E269" s="1025"/>
      <c r="F269" s="1025"/>
      <c r="G269" s="1025"/>
      <c r="H269" s="1269"/>
      <c r="I269" s="1056"/>
      <c r="J269" s="1111"/>
      <c r="K269" s="1025"/>
    </row>
    <row r="270" spans="1:11">
      <c r="A270" s="1025"/>
      <c r="B270" s="1025"/>
      <c r="C270" s="1025"/>
      <c r="D270" s="1025"/>
      <c r="E270" s="1025"/>
      <c r="F270" s="1025"/>
      <c r="G270" s="1025"/>
      <c r="H270" s="1269"/>
      <c r="I270" s="1056"/>
      <c r="J270" s="1111"/>
      <c r="K270" s="1025"/>
    </row>
    <row r="271" spans="1:11">
      <c r="A271" s="1025"/>
      <c r="B271" s="1025"/>
      <c r="C271" s="1025"/>
      <c r="D271" s="1025"/>
      <c r="E271" s="1025"/>
      <c r="F271" s="1025"/>
      <c r="G271" s="1025"/>
      <c r="H271" s="1269"/>
      <c r="I271" s="1056"/>
      <c r="J271" s="1111"/>
      <c r="K271" s="1025"/>
    </row>
    <row r="272" spans="1:11">
      <c r="A272" s="1025"/>
      <c r="B272" s="1025"/>
      <c r="C272" s="1025"/>
      <c r="D272" s="1025"/>
      <c r="E272" s="1025"/>
      <c r="F272" s="1025"/>
      <c r="G272" s="1025"/>
      <c r="H272" s="1269"/>
      <c r="I272" s="1056"/>
      <c r="J272" s="1111"/>
      <c r="K272" s="1025"/>
    </row>
    <row r="273" spans="1:11">
      <c r="A273" s="1025"/>
      <c r="B273" s="1025"/>
      <c r="C273" s="1025"/>
      <c r="D273" s="1025"/>
      <c r="E273" s="1025"/>
      <c r="F273" s="1025"/>
      <c r="G273" s="1025"/>
      <c r="H273" s="1269"/>
      <c r="I273" s="1056"/>
      <c r="J273" s="1111"/>
      <c r="K273" s="1025"/>
    </row>
    <row r="274" spans="1:11">
      <c r="A274" s="1025"/>
      <c r="B274" s="1025"/>
      <c r="C274" s="1025"/>
      <c r="D274" s="1025"/>
      <c r="E274" s="1025"/>
      <c r="F274" s="1025"/>
      <c r="G274" s="1025"/>
      <c r="H274" s="1269"/>
      <c r="I274" s="1056"/>
      <c r="J274" s="1111"/>
      <c r="K274" s="1025"/>
    </row>
    <row r="275" spans="1:11">
      <c r="A275" s="1025"/>
      <c r="B275" s="1025"/>
      <c r="C275" s="1025"/>
      <c r="D275" s="1025"/>
      <c r="E275" s="1025"/>
      <c r="F275" s="1025"/>
      <c r="G275" s="1025"/>
      <c r="H275" s="1269"/>
      <c r="I275" s="1056"/>
      <c r="J275" s="1111"/>
      <c r="K275" s="1025"/>
    </row>
    <row r="276" spans="1:11">
      <c r="A276" s="1025"/>
      <c r="B276" s="1025"/>
      <c r="C276" s="1025"/>
      <c r="D276" s="1025"/>
      <c r="E276" s="1025"/>
      <c r="F276" s="1025"/>
      <c r="G276" s="1025"/>
      <c r="H276" s="1269"/>
      <c r="I276" s="1056"/>
      <c r="J276" s="1111"/>
      <c r="K276" s="1025"/>
    </row>
    <row r="277" spans="1:11">
      <c r="A277" s="1025"/>
      <c r="B277" s="1025"/>
      <c r="C277" s="1025"/>
      <c r="D277" s="1025"/>
      <c r="E277" s="1025"/>
      <c r="F277" s="1025"/>
      <c r="G277" s="1025"/>
      <c r="H277" s="1269"/>
      <c r="I277" s="1056"/>
      <c r="J277" s="1111"/>
      <c r="K277" s="1025"/>
    </row>
    <row r="278" spans="1:11">
      <c r="A278" s="1025"/>
      <c r="B278" s="1025"/>
      <c r="C278" s="1025"/>
      <c r="D278" s="1025"/>
      <c r="E278" s="1025"/>
      <c r="F278" s="1025"/>
      <c r="G278" s="1025"/>
      <c r="H278" s="1269"/>
      <c r="I278" s="1056"/>
      <c r="J278" s="1111"/>
      <c r="K278" s="1025"/>
    </row>
    <row r="279" spans="1:11">
      <c r="A279" s="1025"/>
      <c r="B279" s="1025"/>
      <c r="C279" s="1025"/>
      <c r="D279" s="1025"/>
      <c r="E279" s="1025"/>
      <c r="F279" s="1025"/>
      <c r="G279" s="1025"/>
      <c r="H279" s="1269"/>
      <c r="I279" s="1056"/>
      <c r="J279" s="1111"/>
      <c r="K279" s="1025"/>
    </row>
    <row r="280" spans="1:11">
      <c r="A280" s="1025"/>
      <c r="B280" s="1025"/>
      <c r="C280" s="1025"/>
      <c r="D280" s="1025"/>
      <c r="E280" s="1025"/>
      <c r="F280" s="1025"/>
      <c r="G280" s="1025"/>
      <c r="H280" s="1269"/>
      <c r="I280" s="1056"/>
      <c r="J280" s="1111"/>
      <c r="K280" s="1025"/>
    </row>
    <row r="281" spans="1:11" ht="15.75" thickBot="1">
      <c r="A281" s="1037"/>
      <c r="B281" s="1038"/>
      <c r="C281" s="1026"/>
      <c r="D281" s="1026"/>
      <c r="E281" s="1026"/>
      <c r="F281" s="1059"/>
      <c r="G281" s="1054"/>
      <c r="H281" s="1269"/>
      <c r="I281" s="1056"/>
      <c r="J281" s="1111"/>
      <c r="K281" s="1025"/>
    </row>
    <row r="282" spans="1:11" ht="20.25" thickBot="1">
      <c r="A282" s="1552"/>
      <c r="B282" s="1553"/>
      <c r="C282" s="1553"/>
      <c r="D282" s="1553"/>
      <c r="E282" s="1553"/>
      <c r="F282" s="1554">
        <f>SUM(F161:F169,F171:F281)</f>
        <v>0</v>
      </c>
      <c r="G282" s="1553"/>
      <c r="H282" s="1558">
        <f>SUM(H61:H281)</f>
        <v>0</v>
      </c>
      <c r="I282" s="1554">
        <f>SUM(I161:I281)</f>
        <v>0</v>
      </c>
      <c r="J282" s="1111"/>
      <c r="K282" s="1115"/>
    </row>
  </sheetData>
  <autoFilter ref="A1:K25" xr:uid="{D84D80A9-1B72-465E-8CA2-794CBC5DA910}">
    <sortState xmlns:xlrd2="http://schemas.microsoft.com/office/spreadsheetml/2017/richdata2" ref="A2:K25">
      <sortCondition ref="B1:B25"/>
    </sortState>
  </autoFilter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DDD7-CE3C-4DA8-92F3-8397CFF04E89}">
  <dimension ref="A1:K282"/>
  <sheetViews>
    <sheetView zoomScale="85" zoomScaleNormal="85" workbookViewId="0">
      <pane ySplit="1" topLeftCell="A20" activePane="bottomLeft" state="frozen"/>
      <selection pane="bottomLeft" activeCell="H11" activeCellId="1" sqref="H2:H8 H11:H41"/>
    </sheetView>
  </sheetViews>
  <sheetFormatPr defaultColWidth="9.140625" defaultRowHeight="15"/>
  <cols>
    <col min="1" max="1" width="15.140625" style="1032" bestFit="1" customWidth="1"/>
    <col min="2" max="2" width="13.5703125" style="1032" customWidth="1"/>
    <col min="3" max="3" width="44.5703125" style="1032" bestFit="1" customWidth="1"/>
    <col min="4" max="4" width="22.28515625" style="1032" bestFit="1" customWidth="1"/>
    <col min="5" max="5" width="11.5703125" style="1032" customWidth="1"/>
    <col min="6" max="6" width="22" style="1032" bestFit="1" customWidth="1"/>
    <col min="7" max="7" width="15" style="1032" customWidth="1"/>
    <col min="8" max="8" width="24.85546875" style="1032" bestFit="1" customWidth="1"/>
    <col min="9" max="9" width="23.28515625" style="1032" bestFit="1" customWidth="1"/>
    <col min="10" max="10" width="13.140625" style="1032" customWidth="1"/>
    <col min="11" max="11" width="16.5703125" style="1032" customWidth="1"/>
    <col min="12" max="16384" width="9.140625" style="1032"/>
  </cols>
  <sheetData>
    <row r="1" spans="1:11" ht="14.25" customHeight="1">
      <c r="A1" s="1575" t="s">
        <v>2519</v>
      </c>
      <c r="B1" s="1576" t="s">
        <v>2</v>
      </c>
      <c r="C1" s="1576" t="s">
        <v>3</v>
      </c>
      <c r="D1" s="1576" t="s">
        <v>4</v>
      </c>
      <c r="E1" s="1576" t="s">
        <v>5</v>
      </c>
      <c r="F1" s="1577" t="s">
        <v>644</v>
      </c>
      <c r="G1" s="1578" t="s">
        <v>555</v>
      </c>
      <c r="H1" s="1579" t="s">
        <v>7</v>
      </c>
      <c r="I1" s="1580" t="s">
        <v>307</v>
      </c>
      <c r="J1" s="1578" t="s">
        <v>370</v>
      </c>
      <c r="K1" s="1290" t="s">
        <v>442</v>
      </c>
    </row>
    <row r="2" spans="1:11" s="1031" customFormat="1" ht="15.75">
      <c r="A2" s="1040">
        <v>45784</v>
      </c>
      <c r="B2" s="1042">
        <v>46149</v>
      </c>
      <c r="C2" s="1030" t="s">
        <v>2845</v>
      </c>
      <c r="D2" s="1030" t="s">
        <v>25</v>
      </c>
      <c r="E2" s="1030" t="s">
        <v>10</v>
      </c>
      <c r="F2" s="1072">
        <v>1319.17</v>
      </c>
      <c r="G2" s="1073">
        <v>0.1</v>
      </c>
      <c r="H2" s="1067">
        <v>118.17</v>
      </c>
      <c r="I2" s="1068">
        <v>118.17</v>
      </c>
      <c r="J2" s="1112" t="s">
        <v>1470</v>
      </c>
      <c r="K2" s="1601" t="s">
        <v>2010</v>
      </c>
    </row>
    <row r="3" spans="1:11" s="1031" customFormat="1" ht="15.75">
      <c r="A3" s="1040">
        <v>45789</v>
      </c>
      <c r="B3" s="1042">
        <v>46154</v>
      </c>
      <c r="C3" s="1030" t="s">
        <v>2568</v>
      </c>
      <c r="D3" s="1030" t="s">
        <v>448</v>
      </c>
      <c r="E3" s="1030" t="s">
        <v>19</v>
      </c>
      <c r="F3" s="1072">
        <v>2096.4</v>
      </c>
      <c r="G3" s="1073">
        <v>0.1</v>
      </c>
      <c r="H3" s="1067">
        <v>188.67</v>
      </c>
      <c r="I3" s="1068">
        <v>188.67</v>
      </c>
      <c r="J3" s="1112" t="s">
        <v>1470</v>
      </c>
      <c r="K3" s="1601" t="s">
        <v>2010</v>
      </c>
    </row>
    <row r="4" spans="1:11" s="1031" customFormat="1" ht="15.75">
      <c r="A4" s="1041">
        <v>45790</v>
      </c>
      <c r="B4" s="1041">
        <v>46155</v>
      </c>
      <c r="C4" s="1027" t="s">
        <v>2849</v>
      </c>
      <c r="D4" s="1027" t="s">
        <v>448</v>
      </c>
      <c r="E4" s="1027" t="s">
        <v>19</v>
      </c>
      <c r="F4" s="1065">
        <v>2149.2199999999998</v>
      </c>
      <c r="G4" s="1066">
        <v>0.15</v>
      </c>
      <c r="H4" s="1067">
        <v>290.14</v>
      </c>
      <c r="I4" s="1243">
        <v>29.01</v>
      </c>
      <c r="J4" s="1027" t="s">
        <v>1470</v>
      </c>
      <c r="K4" s="1117" t="s">
        <v>2010</v>
      </c>
    </row>
    <row r="5" spans="1:11" s="1031" customFormat="1">
      <c r="A5" s="1040">
        <v>45791</v>
      </c>
      <c r="B5" s="1042">
        <v>46156</v>
      </c>
      <c r="C5" s="1041" t="s">
        <v>2550</v>
      </c>
      <c r="D5" s="1042" t="s">
        <v>448</v>
      </c>
      <c r="E5" s="1042" t="s">
        <v>143</v>
      </c>
      <c r="F5" s="1120">
        <v>2364.75</v>
      </c>
      <c r="G5" s="1073">
        <v>0.22</v>
      </c>
      <c r="H5" s="1090">
        <v>468.22</v>
      </c>
      <c r="I5" s="1234">
        <v>46.82</v>
      </c>
      <c r="J5" s="1513" t="s">
        <v>1470</v>
      </c>
      <c r="K5" s="1041" t="s">
        <v>2015</v>
      </c>
    </row>
    <row r="6" spans="1:11" s="1027" customFormat="1" ht="15.75">
      <c r="A6" s="1041">
        <v>45792</v>
      </c>
      <c r="B6" s="1041">
        <v>46157</v>
      </c>
      <c r="C6" s="1027" t="s">
        <v>2853</v>
      </c>
      <c r="D6" s="1027" t="s">
        <v>448</v>
      </c>
      <c r="E6" s="1027" t="s">
        <v>10</v>
      </c>
      <c r="F6" s="1090">
        <v>2678.85</v>
      </c>
      <c r="G6" s="1066">
        <v>0.1</v>
      </c>
      <c r="H6" s="1090">
        <v>241.09</v>
      </c>
      <c r="I6" s="1243">
        <v>6</v>
      </c>
      <c r="J6" s="1027" t="s">
        <v>1470</v>
      </c>
      <c r="K6" s="1117" t="s">
        <v>2880</v>
      </c>
    </row>
    <row r="7" spans="1:11" s="1380" customFormat="1" ht="15.75">
      <c r="A7" s="1041">
        <v>45797</v>
      </c>
      <c r="B7" s="1041">
        <v>46167</v>
      </c>
      <c r="C7" s="1027" t="s">
        <v>2546</v>
      </c>
      <c r="D7" s="1027" t="s">
        <v>448</v>
      </c>
      <c r="E7" s="1027" t="s">
        <v>19</v>
      </c>
      <c r="F7" s="1065">
        <v>1281.68</v>
      </c>
      <c r="G7" s="1066">
        <v>0.1</v>
      </c>
      <c r="H7" s="1067">
        <v>115.35</v>
      </c>
      <c r="I7" s="1243">
        <v>11.53</v>
      </c>
      <c r="J7" s="1027" t="s">
        <v>1470</v>
      </c>
      <c r="K7" s="1117" t="s">
        <v>2015</v>
      </c>
    </row>
    <row r="8" spans="1:11" s="1600" customFormat="1" ht="15.75">
      <c r="A8" s="1124">
        <v>45807</v>
      </c>
      <c r="B8" s="1125">
        <v>46173</v>
      </c>
      <c r="C8" s="1028" t="s">
        <v>2869</v>
      </c>
      <c r="D8" s="1028" t="s">
        <v>25</v>
      </c>
      <c r="E8" s="1028" t="s">
        <v>362</v>
      </c>
      <c r="F8" s="1126">
        <v>2756.41</v>
      </c>
      <c r="G8" s="1127">
        <v>0.1</v>
      </c>
      <c r="H8" s="1128">
        <v>248.07</v>
      </c>
      <c r="I8" s="1129">
        <v>24.8</v>
      </c>
      <c r="J8" s="1130" t="s">
        <v>2070</v>
      </c>
      <c r="K8" s="1468" t="s">
        <v>2010</v>
      </c>
    </row>
    <row r="9" spans="1:11" ht="15.75">
      <c r="A9" s="1367">
        <v>45789</v>
      </c>
      <c r="B9" s="1390">
        <v>46154</v>
      </c>
      <c r="C9" s="1368" t="s">
        <v>2847</v>
      </c>
      <c r="D9" s="1368" t="s">
        <v>70</v>
      </c>
      <c r="E9" s="1368" t="s">
        <v>279</v>
      </c>
      <c r="F9" s="1478">
        <v>778.31</v>
      </c>
      <c r="G9" s="1430">
        <v>0.1</v>
      </c>
      <c r="H9" s="1340">
        <v>70.040000000000006</v>
      </c>
      <c r="I9" s="1369">
        <v>35.020000000000003</v>
      </c>
      <c r="J9" s="1370" t="s">
        <v>2848</v>
      </c>
      <c r="K9" s="1341" t="s">
        <v>2274</v>
      </c>
    </row>
    <row r="10" spans="1:11" ht="15" customHeight="1">
      <c r="A10" s="1367">
        <v>45791</v>
      </c>
      <c r="B10" s="1390">
        <v>46173</v>
      </c>
      <c r="C10" s="1368" t="s">
        <v>2851</v>
      </c>
      <c r="D10" s="1368" t="s">
        <v>70</v>
      </c>
      <c r="E10" s="1368" t="s">
        <v>279</v>
      </c>
      <c r="F10" s="1899">
        <v>838.32</v>
      </c>
      <c r="G10" s="1430">
        <v>0.1</v>
      </c>
      <c r="H10" s="1340">
        <v>75.44</v>
      </c>
      <c r="I10" s="1369">
        <v>37.72</v>
      </c>
      <c r="J10" s="1370" t="s">
        <v>2848</v>
      </c>
      <c r="K10" s="1341" t="s">
        <v>2010</v>
      </c>
    </row>
    <row r="11" spans="1:11" ht="15.75">
      <c r="A11" s="1037">
        <v>45779</v>
      </c>
      <c r="B11" s="1038">
        <v>46144</v>
      </c>
      <c r="C11" s="1026" t="s">
        <v>1970</v>
      </c>
      <c r="D11" s="1026" t="s">
        <v>25</v>
      </c>
      <c r="E11" s="1026" t="s">
        <v>1552</v>
      </c>
      <c r="F11" s="1053">
        <v>1830.59</v>
      </c>
      <c r="G11" s="1054">
        <v>0.1</v>
      </c>
      <c r="H11" s="1055">
        <v>164.75</v>
      </c>
      <c r="I11" s="1056"/>
      <c r="J11" s="1111"/>
      <c r="K11" s="1115" t="s">
        <v>2015</v>
      </c>
    </row>
    <row r="12" spans="1:11" ht="15.75">
      <c r="A12" s="1037">
        <v>45779</v>
      </c>
      <c r="B12" s="1038">
        <v>46144</v>
      </c>
      <c r="C12" s="1025" t="s">
        <v>2841</v>
      </c>
      <c r="D12" s="1025" t="s">
        <v>448</v>
      </c>
      <c r="E12" s="1025" t="s">
        <v>10</v>
      </c>
      <c r="F12" s="1061">
        <v>2503.0700000000002</v>
      </c>
      <c r="G12" s="1062">
        <v>0.1</v>
      </c>
      <c r="H12" s="1055">
        <v>225.27</v>
      </c>
      <c r="I12" s="1056"/>
      <c r="J12" s="1111"/>
      <c r="K12" s="1115" t="s">
        <v>2015</v>
      </c>
    </row>
    <row r="13" spans="1:11" ht="15.75">
      <c r="A13" s="1037">
        <v>45779</v>
      </c>
      <c r="B13" s="1038">
        <v>46145</v>
      </c>
      <c r="C13" s="1025" t="s">
        <v>2034</v>
      </c>
      <c r="D13" s="1025" t="s">
        <v>70</v>
      </c>
      <c r="E13" s="1025" t="s">
        <v>279</v>
      </c>
      <c r="F13" s="1061">
        <v>1911.71</v>
      </c>
      <c r="G13" s="1062">
        <v>0.1</v>
      </c>
      <c r="H13" s="1055">
        <v>170.05</v>
      </c>
      <c r="I13" s="1056"/>
      <c r="J13" s="1111"/>
      <c r="K13" s="1115" t="s">
        <v>2015</v>
      </c>
    </row>
    <row r="14" spans="1:11" ht="15.75">
      <c r="A14" s="1037">
        <v>45772</v>
      </c>
      <c r="B14" s="1038">
        <v>46146</v>
      </c>
      <c r="C14" s="1026" t="s">
        <v>2559</v>
      </c>
      <c r="D14" s="1026" t="s">
        <v>9</v>
      </c>
      <c r="E14" s="1025" t="s">
        <v>10</v>
      </c>
      <c r="F14" s="1061">
        <v>1157.42</v>
      </c>
      <c r="G14" s="1062">
        <v>0.15</v>
      </c>
      <c r="H14" s="1055">
        <v>156.25</v>
      </c>
      <c r="I14" s="1056"/>
      <c r="J14" s="1111"/>
      <c r="K14" s="1115" t="s">
        <v>2015</v>
      </c>
    </row>
    <row r="15" spans="1:11" ht="15.75">
      <c r="A15" s="1037">
        <v>45775</v>
      </c>
      <c r="B15" s="1038">
        <v>46146</v>
      </c>
      <c r="C15" s="1025" t="s">
        <v>2560</v>
      </c>
      <c r="D15" s="1026" t="s">
        <v>9</v>
      </c>
      <c r="E15" s="1025" t="s">
        <v>15</v>
      </c>
      <c r="F15" s="1061">
        <v>2303.67</v>
      </c>
      <c r="G15" s="1062">
        <v>0.15</v>
      </c>
      <c r="H15" s="1055">
        <v>310.99</v>
      </c>
      <c r="I15" s="1056"/>
      <c r="J15" s="1111"/>
      <c r="K15" s="1115" t="s">
        <v>2015</v>
      </c>
    </row>
    <row r="16" spans="1:11" ht="15.75">
      <c r="A16" s="1037">
        <v>45775</v>
      </c>
      <c r="B16" s="1038">
        <v>46146</v>
      </c>
      <c r="C16" s="1025" t="s">
        <v>2838</v>
      </c>
      <c r="D16" s="1026" t="s">
        <v>70</v>
      </c>
      <c r="E16" s="1025" t="s">
        <v>279</v>
      </c>
      <c r="F16" s="1061">
        <v>1567.82</v>
      </c>
      <c r="G16" s="1062">
        <v>0.2</v>
      </c>
      <c r="H16" s="1055">
        <v>282.2</v>
      </c>
      <c r="I16" s="1056"/>
      <c r="J16" s="1111"/>
      <c r="K16" s="1115" t="s">
        <v>2015</v>
      </c>
    </row>
    <row r="17" spans="1:11" ht="15.75">
      <c r="A17" s="1037">
        <v>45782</v>
      </c>
      <c r="B17" s="1038">
        <v>46147</v>
      </c>
      <c r="C17" s="1025" t="s">
        <v>2842</v>
      </c>
      <c r="D17" s="1026" t="s">
        <v>448</v>
      </c>
      <c r="E17" s="1025" t="s">
        <v>22</v>
      </c>
      <c r="F17" s="1061">
        <v>1450.25</v>
      </c>
      <c r="G17" s="1062">
        <v>0.1</v>
      </c>
      <c r="H17" s="1055">
        <v>130.52000000000001</v>
      </c>
      <c r="I17" s="1056"/>
      <c r="J17" s="1111"/>
      <c r="K17" s="1115" t="s">
        <v>2010</v>
      </c>
    </row>
    <row r="18" spans="1:11">
      <c r="A18" s="1039">
        <v>45782</v>
      </c>
      <c r="B18" s="1039">
        <v>46147</v>
      </c>
      <c r="C18" s="1025" t="s">
        <v>2843</v>
      </c>
      <c r="D18" s="1025" t="s">
        <v>9</v>
      </c>
      <c r="E18" s="1025" t="s">
        <v>19</v>
      </c>
      <c r="F18" s="1071">
        <v>3243.99</v>
      </c>
      <c r="G18" s="1062">
        <v>0.1</v>
      </c>
      <c r="H18" s="1055">
        <v>291.95</v>
      </c>
      <c r="I18" s="1056"/>
      <c r="J18" s="1111"/>
      <c r="K18" s="1025" t="s">
        <v>2015</v>
      </c>
    </row>
    <row r="19" spans="1:11">
      <c r="A19" s="1039">
        <v>45784</v>
      </c>
      <c r="B19" s="1039">
        <v>46149</v>
      </c>
      <c r="C19" s="1025" t="s">
        <v>2846</v>
      </c>
      <c r="D19" s="1025" t="s">
        <v>448</v>
      </c>
      <c r="E19" s="1025" t="s">
        <v>10</v>
      </c>
      <c r="F19" s="1023">
        <v>5206.33</v>
      </c>
      <c r="G19" s="1062">
        <v>0.1</v>
      </c>
      <c r="H19" s="1023">
        <v>468.56</v>
      </c>
      <c r="I19" s="1056"/>
      <c r="J19" s="1111"/>
      <c r="K19" s="1025" t="s">
        <v>2015</v>
      </c>
    </row>
    <row r="20" spans="1:11" ht="15.75">
      <c r="A20" s="1037">
        <v>45785</v>
      </c>
      <c r="B20" s="1039">
        <v>46151</v>
      </c>
      <c r="C20" s="1025" t="s">
        <v>2566</v>
      </c>
      <c r="D20" s="1026" t="s">
        <v>25</v>
      </c>
      <c r="E20" s="1025" t="s">
        <v>10</v>
      </c>
      <c r="F20" s="1061">
        <v>1003.32</v>
      </c>
      <c r="G20" s="1062">
        <v>0.15</v>
      </c>
      <c r="H20" s="1055">
        <v>135.44</v>
      </c>
      <c r="I20" s="1056"/>
      <c r="J20" s="1111"/>
      <c r="K20" s="1115" t="s">
        <v>2015</v>
      </c>
    </row>
    <row r="21" spans="1:11" ht="15.75">
      <c r="A21" s="1037">
        <v>45783</v>
      </c>
      <c r="B21" s="1039">
        <v>46151</v>
      </c>
      <c r="C21" s="1025" t="s">
        <v>2844</v>
      </c>
      <c r="D21" s="1026" t="s">
        <v>198</v>
      </c>
      <c r="E21" s="1025" t="s">
        <v>143</v>
      </c>
      <c r="F21" s="1061">
        <v>1599.61</v>
      </c>
      <c r="G21" s="1062">
        <v>0.1</v>
      </c>
      <c r="H21" s="1055">
        <v>143.96</v>
      </c>
      <c r="I21" s="1056"/>
      <c r="J21" s="1111"/>
      <c r="K21" s="1115" t="s">
        <v>2015</v>
      </c>
    </row>
    <row r="22" spans="1:11">
      <c r="A22" s="1037">
        <v>45785</v>
      </c>
      <c r="B22" s="1039">
        <v>46152</v>
      </c>
      <c r="C22" s="1025" t="s">
        <v>2567</v>
      </c>
      <c r="D22" s="1026" t="s">
        <v>9</v>
      </c>
      <c r="E22" s="1025" t="s">
        <v>1552</v>
      </c>
      <c r="F22" s="1061">
        <v>2071.4499999999998</v>
      </c>
      <c r="G22" s="1062">
        <v>0.2</v>
      </c>
      <c r="H22" s="1055">
        <v>372.86</v>
      </c>
      <c r="I22" s="1056"/>
      <c r="J22" s="1111"/>
      <c r="K22" s="1025" t="s">
        <v>2015</v>
      </c>
    </row>
    <row r="23" spans="1:11" ht="15.75">
      <c r="A23" s="1039">
        <v>45791</v>
      </c>
      <c r="B23" s="1039">
        <v>46156</v>
      </c>
      <c r="C23" s="1025" t="s">
        <v>2852</v>
      </c>
      <c r="D23" s="1025" t="s">
        <v>448</v>
      </c>
      <c r="E23" s="1025" t="s">
        <v>948</v>
      </c>
      <c r="F23" s="1023">
        <v>1955.73</v>
      </c>
      <c r="G23" s="1062">
        <v>0.1</v>
      </c>
      <c r="H23" s="1055">
        <v>176.01</v>
      </c>
      <c r="I23" s="1242"/>
      <c r="J23" s="1025"/>
      <c r="K23" s="1115" t="s">
        <v>2015</v>
      </c>
    </row>
    <row r="24" spans="1:11" ht="15.75">
      <c r="A24" s="1037">
        <v>45790</v>
      </c>
      <c r="B24" s="1039">
        <v>46156</v>
      </c>
      <c r="C24" s="1032" t="s">
        <v>2571</v>
      </c>
      <c r="D24" s="1026" t="s">
        <v>2685</v>
      </c>
      <c r="E24" s="1026" t="s">
        <v>22</v>
      </c>
      <c r="F24" s="1884">
        <v>2629.61</v>
      </c>
      <c r="G24" s="1062">
        <v>0.1</v>
      </c>
      <c r="H24" s="1055">
        <v>236.66</v>
      </c>
      <c r="I24" s="1056"/>
      <c r="J24" s="1111"/>
      <c r="K24" s="1115" t="s">
        <v>2015</v>
      </c>
    </row>
    <row r="25" spans="1:11" ht="15.75">
      <c r="A25" s="1037">
        <v>45793</v>
      </c>
      <c r="B25" s="1038">
        <v>46158</v>
      </c>
      <c r="C25" s="1025" t="s">
        <v>2855</v>
      </c>
      <c r="D25" s="1026" t="s">
        <v>9</v>
      </c>
      <c r="E25" s="1026" t="s">
        <v>10</v>
      </c>
      <c r="F25" s="1059">
        <v>2445.4699999999998</v>
      </c>
      <c r="G25" s="1054">
        <v>0.15</v>
      </c>
      <c r="H25" s="1055">
        <v>330.13</v>
      </c>
      <c r="I25" s="1056"/>
      <c r="J25" s="1111"/>
      <c r="K25" s="1115" t="s">
        <v>2015</v>
      </c>
    </row>
    <row r="26" spans="1:11" ht="15.75">
      <c r="A26" s="1037">
        <v>45793</v>
      </c>
      <c r="B26" s="1038">
        <v>46158</v>
      </c>
      <c r="C26" s="1025" t="s">
        <v>2856</v>
      </c>
      <c r="D26" s="1026" t="s">
        <v>9</v>
      </c>
      <c r="E26" s="1026" t="s">
        <v>19</v>
      </c>
      <c r="F26" s="1053">
        <v>2274.2800000000002</v>
      </c>
      <c r="G26" s="1054">
        <v>0.1</v>
      </c>
      <c r="H26" s="1055">
        <v>204.68</v>
      </c>
      <c r="I26" s="1056"/>
      <c r="J26" s="1111"/>
      <c r="K26" s="1115" t="s">
        <v>2015</v>
      </c>
    </row>
    <row r="27" spans="1:11" ht="15.75">
      <c r="A27" s="1037">
        <v>45793</v>
      </c>
      <c r="B27" s="1038">
        <v>46159</v>
      </c>
      <c r="C27" s="1025" t="s">
        <v>2854</v>
      </c>
      <c r="D27" s="1026" t="s">
        <v>21</v>
      </c>
      <c r="E27" s="1026" t="s">
        <v>279</v>
      </c>
      <c r="F27" s="1059">
        <v>810.28</v>
      </c>
      <c r="G27" s="1054">
        <v>0.2</v>
      </c>
      <c r="H27" s="1055">
        <v>145.85</v>
      </c>
      <c r="I27" s="1056"/>
      <c r="J27" s="1111"/>
      <c r="K27" s="1115" t="s">
        <v>2015</v>
      </c>
    </row>
    <row r="28" spans="1:11" ht="15.75">
      <c r="A28" s="1039">
        <v>45796</v>
      </c>
      <c r="B28" s="1039">
        <v>46161</v>
      </c>
      <c r="C28" s="1025" t="s">
        <v>2857</v>
      </c>
      <c r="D28" s="1025" t="s">
        <v>448</v>
      </c>
      <c r="E28" s="1025" t="s">
        <v>10</v>
      </c>
      <c r="F28" s="1023">
        <v>1374.38</v>
      </c>
      <c r="G28" s="1062">
        <v>0.15</v>
      </c>
      <c r="H28" s="1055">
        <v>185.54</v>
      </c>
      <c r="I28" s="1242"/>
      <c r="J28" s="1025"/>
      <c r="K28" s="1115" t="s">
        <v>2015</v>
      </c>
    </row>
    <row r="29" spans="1:11" ht="15.75">
      <c r="A29" s="1037">
        <v>45797</v>
      </c>
      <c r="B29" s="1038">
        <v>46162</v>
      </c>
      <c r="C29" s="1025" t="s">
        <v>2858</v>
      </c>
      <c r="D29" s="1026" t="s">
        <v>70</v>
      </c>
      <c r="E29" s="1026" t="s">
        <v>279</v>
      </c>
      <c r="F29" s="1059">
        <v>3222.01</v>
      </c>
      <c r="G29" s="1054">
        <v>0.15</v>
      </c>
      <c r="H29" s="1055">
        <v>483.3</v>
      </c>
      <c r="I29" s="1056"/>
      <c r="J29" s="1111"/>
      <c r="K29" s="1115" t="s">
        <v>2010</v>
      </c>
    </row>
    <row r="30" spans="1:11" ht="15.75">
      <c r="A30" s="1037">
        <v>45797</v>
      </c>
      <c r="B30" s="1038">
        <v>46162</v>
      </c>
      <c r="C30" s="1026" t="s">
        <v>2295</v>
      </c>
      <c r="D30" s="1026" t="s">
        <v>848</v>
      </c>
      <c r="E30" s="1026" t="s">
        <v>19</v>
      </c>
      <c r="F30" s="1059">
        <v>3540.89</v>
      </c>
      <c r="G30" s="1054">
        <v>0.15</v>
      </c>
      <c r="H30" s="1055">
        <v>478.02</v>
      </c>
      <c r="I30" s="1056"/>
      <c r="J30" s="1111"/>
      <c r="K30" s="1115" t="s">
        <v>2015</v>
      </c>
    </row>
    <row r="31" spans="1:11" ht="15.75">
      <c r="A31" s="1037">
        <v>45799</v>
      </c>
      <c r="B31" s="1038">
        <v>46163</v>
      </c>
      <c r="C31" s="1026" t="s">
        <v>2558</v>
      </c>
      <c r="D31" s="1026" t="s">
        <v>9</v>
      </c>
      <c r="E31" s="1026" t="s">
        <v>10</v>
      </c>
      <c r="F31" s="1059">
        <v>1830.76</v>
      </c>
      <c r="G31" s="1054">
        <v>0.15</v>
      </c>
      <c r="H31" s="1055">
        <v>247.96</v>
      </c>
      <c r="I31" s="1056"/>
      <c r="J31" s="1111"/>
      <c r="K31" s="1115" t="s">
        <v>2015</v>
      </c>
    </row>
    <row r="32" spans="1:11" ht="15.75">
      <c r="A32" s="1037">
        <v>45798</v>
      </c>
      <c r="B32" s="1038">
        <v>46163</v>
      </c>
      <c r="C32" s="1025" t="s">
        <v>2860</v>
      </c>
      <c r="D32" s="1026" t="s">
        <v>9</v>
      </c>
      <c r="E32" s="1026" t="s">
        <v>29</v>
      </c>
      <c r="F32" s="1059">
        <v>1547.87</v>
      </c>
      <c r="G32" s="1054">
        <v>0.1</v>
      </c>
      <c r="H32" s="1055">
        <v>139.30000000000001</v>
      </c>
      <c r="I32" s="1056"/>
      <c r="J32" s="1111"/>
      <c r="K32" s="1115" t="s">
        <v>2015</v>
      </c>
    </row>
    <row r="33" spans="1:11" ht="15.75">
      <c r="A33" s="1037">
        <v>45797</v>
      </c>
      <c r="B33" s="1038">
        <v>46164</v>
      </c>
      <c r="C33" s="1026" t="s">
        <v>2859</v>
      </c>
      <c r="D33" s="1026" t="s">
        <v>61</v>
      </c>
      <c r="E33" s="1025" t="s">
        <v>2682</v>
      </c>
      <c r="F33" s="1061">
        <v>3960.27</v>
      </c>
      <c r="G33" s="1062">
        <v>0.1</v>
      </c>
      <c r="H33" s="1055">
        <v>356.42</v>
      </c>
      <c r="I33" s="1056"/>
      <c r="J33" s="1111"/>
      <c r="K33" s="1115" t="s">
        <v>2015</v>
      </c>
    </row>
    <row r="34" spans="1:11" ht="15.75">
      <c r="A34" s="1037">
        <v>45791</v>
      </c>
      <c r="B34" s="1038">
        <v>46165</v>
      </c>
      <c r="C34" s="1026" t="s">
        <v>2850</v>
      </c>
      <c r="D34" s="1026" t="s">
        <v>21</v>
      </c>
      <c r="E34" s="1026" t="s">
        <v>19</v>
      </c>
      <c r="F34" s="1059">
        <v>2548.34</v>
      </c>
      <c r="G34" s="1054">
        <v>0.1</v>
      </c>
      <c r="H34" s="1055">
        <v>229.35</v>
      </c>
      <c r="I34" s="1056"/>
      <c r="J34" s="1111"/>
      <c r="K34" s="1115" t="s">
        <v>2015</v>
      </c>
    </row>
    <row r="35" spans="1:11" ht="15.75">
      <c r="A35" s="1037">
        <v>45796</v>
      </c>
      <c r="B35" s="1039">
        <v>46165</v>
      </c>
      <c r="C35" s="1025" t="s">
        <v>2579</v>
      </c>
      <c r="D35" s="1026" t="s">
        <v>61</v>
      </c>
      <c r="E35" s="1025" t="s">
        <v>2682</v>
      </c>
      <c r="F35" s="1061">
        <v>2033.94</v>
      </c>
      <c r="G35" s="1062">
        <v>0.1</v>
      </c>
      <c r="H35" s="1055">
        <v>183.05</v>
      </c>
      <c r="I35" s="1056"/>
      <c r="J35" s="1111"/>
      <c r="K35" s="1115" t="s">
        <v>2015</v>
      </c>
    </row>
    <row r="36" spans="1:11" s="1031" customFormat="1" ht="15.75">
      <c r="A36" s="1037">
        <v>45800</v>
      </c>
      <c r="B36" s="1038">
        <v>46166</v>
      </c>
      <c r="C36" s="1026" t="s">
        <v>2580</v>
      </c>
      <c r="D36" s="1026" t="s">
        <v>25</v>
      </c>
      <c r="E36" s="1026" t="s">
        <v>22</v>
      </c>
      <c r="F36" s="1071">
        <v>639.29999999999995</v>
      </c>
      <c r="G36" s="1054">
        <v>0.25</v>
      </c>
      <c r="H36" s="1055">
        <v>143.84</v>
      </c>
      <c r="I36" s="1056"/>
      <c r="J36" s="1111"/>
      <c r="K36" s="1115" t="s">
        <v>2015</v>
      </c>
    </row>
    <row r="37" spans="1:11" ht="15.75">
      <c r="A37" s="1037">
        <v>45803</v>
      </c>
      <c r="B37" s="1038">
        <v>46168</v>
      </c>
      <c r="C37" s="1026" t="s">
        <v>2862</v>
      </c>
      <c r="D37" s="1026" t="s">
        <v>848</v>
      </c>
      <c r="E37" s="1026" t="s">
        <v>2682</v>
      </c>
      <c r="F37" s="1053">
        <v>2785.78</v>
      </c>
      <c r="G37" s="1054">
        <v>0.15</v>
      </c>
      <c r="H37" s="1055">
        <v>376.08</v>
      </c>
      <c r="I37" s="1056"/>
      <c r="J37" s="1111"/>
      <c r="K37" s="1115" t="s">
        <v>2010</v>
      </c>
    </row>
    <row r="38" spans="1:11" s="1025" customFormat="1" ht="15.75">
      <c r="A38" s="1039">
        <v>45803</v>
      </c>
      <c r="B38" s="1039">
        <v>46169</v>
      </c>
      <c r="C38" s="1025" t="s">
        <v>2861</v>
      </c>
      <c r="D38" s="1025" t="s">
        <v>448</v>
      </c>
      <c r="E38" s="1025" t="s">
        <v>10</v>
      </c>
      <c r="F38" s="1061">
        <v>3585.54</v>
      </c>
      <c r="G38" s="1062">
        <v>0.1</v>
      </c>
      <c r="H38" s="1055">
        <v>322.69</v>
      </c>
      <c r="I38" s="1242"/>
      <c r="K38" s="1115" t="s">
        <v>2015</v>
      </c>
    </row>
    <row r="39" spans="1:11" ht="15.75">
      <c r="A39" s="1037">
        <v>45805</v>
      </c>
      <c r="B39" s="1038">
        <v>46170</v>
      </c>
      <c r="C39" s="1026" t="s">
        <v>2866</v>
      </c>
      <c r="D39" s="1026" t="s">
        <v>25</v>
      </c>
      <c r="E39" s="1026" t="s">
        <v>10</v>
      </c>
      <c r="F39" s="1059">
        <v>1588.38</v>
      </c>
      <c r="G39" s="1054">
        <v>0.1</v>
      </c>
      <c r="H39" s="1055">
        <v>142.94999999999999</v>
      </c>
      <c r="I39" s="1056"/>
      <c r="J39" s="1111"/>
      <c r="K39" s="1115" t="s">
        <v>2015</v>
      </c>
    </row>
    <row r="40" spans="1:11" ht="15.75">
      <c r="A40" s="1037">
        <v>45805</v>
      </c>
      <c r="B40" s="1038">
        <v>46171</v>
      </c>
      <c r="C40" s="1026" t="s">
        <v>2236</v>
      </c>
      <c r="D40" s="1026" t="s">
        <v>61</v>
      </c>
      <c r="E40" s="1026" t="s">
        <v>29</v>
      </c>
      <c r="F40" s="1059">
        <v>1516.21</v>
      </c>
      <c r="G40" s="1054">
        <v>0.15</v>
      </c>
      <c r="H40" s="1269">
        <v>204.68700000000001</v>
      </c>
      <c r="I40" s="1056"/>
      <c r="J40" s="1289"/>
      <c r="K40" s="1290" t="s">
        <v>2015</v>
      </c>
    </row>
    <row r="41" spans="1:11" s="1027" customFormat="1" ht="15.75">
      <c r="A41" s="1039">
        <v>45806</v>
      </c>
      <c r="B41" s="1039">
        <v>46172</v>
      </c>
      <c r="C41" s="1025" t="s">
        <v>2867</v>
      </c>
      <c r="D41" s="1025" t="s">
        <v>25</v>
      </c>
      <c r="E41" s="1025" t="s">
        <v>10</v>
      </c>
      <c r="F41" s="1061">
        <v>1598.74</v>
      </c>
      <c r="G41" s="1062">
        <v>0.15</v>
      </c>
      <c r="H41" s="1055">
        <v>215.82</v>
      </c>
      <c r="I41" s="1242"/>
      <c r="J41" s="1025"/>
      <c r="K41" s="1115" t="s">
        <v>2015</v>
      </c>
    </row>
    <row r="42" spans="1:11" ht="15.75">
      <c r="A42" s="1043"/>
      <c r="B42" s="1045"/>
      <c r="C42" s="1075"/>
      <c r="D42" s="1075"/>
      <c r="E42" s="1075"/>
      <c r="F42" s="1102"/>
      <c r="G42" s="1076"/>
      <c r="H42" s="1260"/>
      <c r="I42" s="1077"/>
      <c r="J42" s="1261"/>
      <c r="K42" s="1291"/>
    </row>
    <row r="43" spans="1:11" ht="15.75">
      <c r="A43" s="1037"/>
      <c r="B43" s="1038"/>
      <c r="C43" s="1026"/>
      <c r="D43" s="1026"/>
      <c r="E43" s="1026"/>
      <c r="F43" s="1059"/>
      <c r="G43" s="1054"/>
      <c r="H43" s="1088"/>
      <c r="I43" s="1089"/>
      <c r="J43" s="1111"/>
      <c r="K43" s="1115"/>
    </row>
    <row r="44" spans="1:11" ht="15.75">
      <c r="A44" s="1037"/>
      <c r="B44" s="1038"/>
      <c r="C44" s="1026"/>
      <c r="D44" s="1026"/>
      <c r="E44" s="1026"/>
      <c r="F44" s="1484"/>
      <c r="G44" s="1054"/>
      <c r="H44" s="1055"/>
      <c r="I44" s="1056"/>
      <c r="J44" s="1111"/>
      <c r="K44" s="1115"/>
    </row>
    <row r="45" spans="1:11" ht="15.75">
      <c r="A45" s="1037"/>
      <c r="B45" s="1038"/>
      <c r="C45" s="1026"/>
      <c r="D45" s="1026"/>
      <c r="E45" s="1026"/>
      <c r="F45" s="1059"/>
      <c r="G45" s="1054"/>
      <c r="H45" s="1055"/>
      <c r="I45" s="1056"/>
      <c r="J45" s="1111"/>
      <c r="K45" s="1115"/>
    </row>
    <row r="46" spans="1:11" ht="15.75">
      <c r="A46" s="1037"/>
      <c r="B46" s="1038"/>
      <c r="C46" s="1026"/>
      <c r="D46" s="1026"/>
      <c r="E46" s="1026"/>
      <c r="F46" s="1059"/>
      <c r="G46" s="1054"/>
      <c r="H46" s="1055"/>
      <c r="I46" s="1056"/>
      <c r="J46" s="1111"/>
      <c r="K46" s="1115"/>
    </row>
    <row r="47" spans="1:11" ht="15.75">
      <c r="A47" s="1037"/>
      <c r="B47" s="1038"/>
      <c r="C47" s="1026"/>
      <c r="D47" s="1026"/>
      <c r="E47" s="1026"/>
      <c r="F47" s="1059"/>
      <c r="G47" s="1054"/>
      <c r="H47" s="1055"/>
      <c r="I47" s="1056"/>
      <c r="J47" s="1111"/>
      <c r="K47" s="1115"/>
    </row>
    <row r="48" spans="1:11" ht="15.75">
      <c r="A48" s="1037"/>
      <c r="B48" s="1038"/>
      <c r="C48" s="1026"/>
      <c r="D48" s="1026"/>
      <c r="E48" s="1026"/>
      <c r="F48" s="1059"/>
      <c r="G48" s="1054"/>
      <c r="H48" s="1055"/>
      <c r="I48" s="1056"/>
      <c r="J48" s="1111"/>
      <c r="K48" s="1115"/>
    </row>
    <row r="49" spans="1:11" ht="15.75">
      <c r="A49" s="1037"/>
      <c r="B49" s="1038"/>
      <c r="C49" s="1026"/>
      <c r="D49" s="1026"/>
      <c r="E49" s="1026"/>
      <c r="F49" s="1059"/>
      <c r="G49" s="1054"/>
      <c r="H49" s="1055"/>
      <c r="I49" s="1056"/>
      <c r="J49" s="1111"/>
      <c r="K49" s="1115"/>
    </row>
    <row r="50" spans="1:11" ht="15.75">
      <c r="A50" s="1037"/>
      <c r="B50" s="1038"/>
      <c r="C50" s="1026"/>
      <c r="D50" s="1026"/>
      <c r="E50" s="1026"/>
      <c r="F50" s="1059"/>
      <c r="G50" s="1054"/>
      <c r="H50" s="1055"/>
      <c r="I50" s="1056"/>
      <c r="J50" s="1111"/>
      <c r="K50" s="1115"/>
    </row>
    <row r="51" spans="1:11" ht="15.75">
      <c r="A51" s="1037"/>
      <c r="B51" s="1038"/>
      <c r="C51" s="1026"/>
      <c r="D51" s="1026"/>
      <c r="E51" s="1026"/>
      <c r="F51" s="1059"/>
      <c r="G51" s="1054"/>
      <c r="H51" s="1055"/>
      <c r="I51" s="1056"/>
      <c r="J51" s="1111"/>
      <c r="K51" s="1115"/>
    </row>
    <row r="52" spans="1:11" ht="15.75">
      <c r="A52" s="1037"/>
      <c r="B52" s="1038"/>
      <c r="C52" s="1026"/>
      <c r="D52" s="1026"/>
      <c r="E52" s="1026"/>
      <c r="F52" s="1059"/>
      <c r="G52" s="1054"/>
      <c r="H52" s="1055"/>
      <c r="I52" s="1056"/>
      <c r="J52" s="1111"/>
      <c r="K52" s="1115"/>
    </row>
    <row r="53" spans="1:11" ht="15.75">
      <c r="A53" s="1037"/>
      <c r="B53" s="1038"/>
      <c r="C53" s="1026"/>
      <c r="D53" s="1026"/>
      <c r="E53" s="1026"/>
      <c r="F53" s="1059"/>
      <c r="G53" s="1054"/>
      <c r="H53" s="1055"/>
      <c r="I53" s="1056"/>
      <c r="J53" s="1111"/>
      <c r="K53" s="1115"/>
    </row>
    <row r="54" spans="1:11" ht="15.75">
      <c r="A54" s="1037"/>
      <c r="B54" s="1038"/>
      <c r="C54" s="1026"/>
      <c r="D54" s="1026"/>
      <c r="E54" s="1026"/>
      <c r="F54" s="1059"/>
      <c r="G54" s="1054"/>
      <c r="H54" s="1055"/>
      <c r="I54" s="1056"/>
      <c r="J54" s="1111"/>
      <c r="K54" s="1115"/>
    </row>
    <row r="55" spans="1:11" ht="15.75">
      <c r="A55" s="1037"/>
      <c r="B55" s="1038"/>
      <c r="C55" s="1026"/>
      <c r="D55" s="1026"/>
      <c r="E55" s="1026"/>
      <c r="F55" s="1059"/>
      <c r="G55" s="1054"/>
      <c r="H55" s="1055"/>
      <c r="I55" s="1056"/>
      <c r="J55" s="1111"/>
      <c r="K55" s="1115"/>
    </row>
    <row r="56" spans="1:11" ht="15.75">
      <c r="A56" s="1037"/>
      <c r="B56" s="1038"/>
      <c r="C56" s="1026"/>
      <c r="D56" s="1026"/>
      <c r="E56" s="1026"/>
      <c r="F56" s="1059"/>
      <c r="G56" s="1054"/>
      <c r="H56" s="1055"/>
      <c r="I56" s="1056"/>
      <c r="J56" s="1111"/>
      <c r="K56" s="1115"/>
    </row>
    <row r="57" spans="1:11" ht="15.75">
      <c r="A57" s="1037"/>
      <c r="B57" s="1038"/>
      <c r="C57" s="1026"/>
      <c r="D57" s="1026"/>
      <c r="E57" s="1026"/>
      <c r="F57" s="1059"/>
      <c r="G57" s="1054"/>
      <c r="H57" s="1055"/>
      <c r="I57" s="1056"/>
      <c r="J57" s="1111"/>
      <c r="K57" s="1115"/>
    </row>
    <row r="58" spans="1:11" ht="15.75">
      <c r="A58" s="1037"/>
      <c r="B58" s="1038"/>
      <c r="C58" s="1026"/>
      <c r="D58" s="1026"/>
      <c r="E58" s="1026"/>
      <c r="F58" s="1059"/>
      <c r="G58" s="1054"/>
      <c r="H58" s="1055"/>
      <c r="I58" s="1056"/>
      <c r="J58" s="1111"/>
      <c r="K58" s="1115"/>
    </row>
    <row r="59" spans="1:11" ht="16.5" thickBot="1">
      <c r="A59" s="1037"/>
      <c r="B59" s="1038"/>
      <c r="C59" s="1026"/>
      <c r="D59" s="1026"/>
      <c r="E59" s="1026"/>
      <c r="F59" s="1059"/>
      <c r="G59" s="1054"/>
      <c r="H59" s="1055"/>
      <c r="I59" s="1056"/>
      <c r="J59" s="1111"/>
      <c r="K59" s="1115"/>
    </row>
    <row r="60" spans="1:11" ht="20.25" thickBot="1">
      <c r="A60" s="1552"/>
      <c r="B60" s="1553"/>
      <c r="C60" s="1553"/>
      <c r="D60" s="1553"/>
      <c r="E60" s="1553"/>
      <c r="F60" s="1554">
        <f>SUM(F2:F5,F6:F59)</f>
        <v>84000.12000000001</v>
      </c>
      <c r="G60" s="1555"/>
      <c r="H60" s="1556">
        <f>SUM(H2:H59)</f>
        <v>9470.3270000000011</v>
      </c>
      <c r="I60" s="1557">
        <f>SUM(I2:I59)</f>
        <v>497.7399999999999</v>
      </c>
      <c r="J60" s="1111"/>
      <c r="K60" s="1115"/>
    </row>
    <row r="61" spans="1:11" ht="15.75" customHeight="1">
      <c r="A61" s="1037"/>
      <c r="B61" s="1038"/>
      <c r="C61" s="1026"/>
      <c r="D61" s="1026"/>
      <c r="E61" s="1026"/>
      <c r="F61" s="1059"/>
      <c r="G61" s="1054"/>
      <c r="H61" s="1269"/>
      <c r="I61" s="1056"/>
      <c r="J61" s="1111"/>
      <c r="K61" s="1115"/>
    </row>
    <row r="62" spans="1:11" ht="15.75" customHeight="1">
      <c r="A62" s="1037"/>
      <c r="B62" s="1037"/>
      <c r="C62" s="1026"/>
      <c r="D62" s="1026"/>
      <c r="E62" s="1026"/>
      <c r="F62" s="1059"/>
      <c r="G62" s="1054"/>
      <c r="H62" s="1269"/>
      <c r="I62" s="1056"/>
      <c r="J62" s="1111"/>
      <c r="K62" s="1115"/>
    </row>
    <row r="63" spans="1:11" ht="15.75" customHeight="1">
      <c r="A63" s="1037"/>
      <c r="B63" s="1038"/>
      <c r="C63" s="1026"/>
      <c r="D63" s="1026"/>
      <c r="E63" s="1026"/>
      <c r="F63" s="1059"/>
      <c r="G63" s="1054"/>
      <c r="H63" s="1269"/>
      <c r="I63" s="1056"/>
      <c r="J63" s="1111"/>
      <c r="K63" s="1115"/>
    </row>
    <row r="64" spans="1:11" ht="15.75" customHeight="1">
      <c r="A64" s="1037"/>
      <c r="B64" s="1038"/>
      <c r="C64" s="1026"/>
      <c r="D64" s="1026"/>
      <c r="E64" s="1026"/>
      <c r="F64" s="1059"/>
      <c r="G64" s="1054"/>
      <c r="H64" s="1269"/>
      <c r="I64" s="1056"/>
      <c r="J64" s="1111"/>
      <c r="K64" s="1115"/>
    </row>
    <row r="65" spans="1:11" ht="15.75" customHeight="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115"/>
    </row>
    <row r="66" spans="1:11" ht="15.75" customHeight="1">
      <c r="A66" s="1037"/>
      <c r="B66" s="1038"/>
      <c r="C66" s="1026"/>
      <c r="D66" s="1026"/>
      <c r="E66" s="1026"/>
      <c r="F66" s="1059"/>
      <c r="G66" s="1054"/>
      <c r="H66" s="1269"/>
      <c r="I66" s="1056"/>
      <c r="J66" s="1111"/>
      <c r="K66" s="1115"/>
    </row>
    <row r="67" spans="1:11" ht="15.75" customHeight="1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1115"/>
    </row>
    <row r="68" spans="1:11" ht="15.75" customHeight="1">
      <c r="A68" s="1037"/>
      <c r="B68" s="1038"/>
      <c r="C68" s="1026"/>
      <c r="D68" s="1026"/>
      <c r="E68" s="1026"/>
      <c r="F68" s="1059"/>
      <c r="G68" s="1054"/>
      <c r="H68" s="1269"/>
      <c r="I68" s="1056"/>
      <c r="J68" s="1111"/>
      <c r="K68" s="1115"/>
    </row>
    <row r="69" spans="1:11" ht="15.75" customHeight="1">
      <c r="A69" s="1037"/>
      <c r="B69" s="1038"/>
      <c r="C69" s="1026"/>
      <c r="D69" s="1026"/>
      <c r="E69" s="1026"/>
      <c r="F69" s="1059"/>
      <c r="G69" s="1054"/>
      <c r="H69" s="1269"/>
      <c r="I69" s="1056"/>
      <c r="J69" s="1111"/>
      <c r="K69" s="1115"/>
    </row>
    <row r="70" spans="1:11" ht="15.75" customHeight="1">
      <c r="A70" s="1037"/>
      <c r="B70" s="1038"/>
      <c r="C70" s="1026"/>
      <c r="D70" s="1026"/>
      <c r="E70" s="1026"/>
      <c r="F70" s="1059"/>
      <c r="G70" s="1054"/>
      <c r="H70" s="1269"/>
      <c r="I70" s="1056"/>
      <c r="J70" s="1111"/>
      <c r="K70" s="1025"/>
    </row>
    <row r="71" spans="1:11" ht="15.75" customHeight="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115"/>
    </row>
    <row r="72" spans="1:11" ht="15.75" customHeight="1">
      <c r="A72" s="1037"/>
      <c r="B72" s="1038"/>
      <c r="C72" s="1026"/>
      <c r="D72" s="1026"/>
      <c r="E72" s="1026"/>
      <c r="F72" s="1059"/>
      <c r="G72" s="1059"/>
      <c r="H72" s="1269"/>
      <c r="I72" s="1056"/>
      <c r="J72" s="1111"/>
      <c r="K72" s="1115"/>
    </row>
    <row r="73" spans="1:11" ht="15.75" customHeight="1">
      <c r="A73" s="1037"/>
      <c r="B73" s="1038"/>
      <c r="C73" s="1026"/>
      <c r="D73" s="1026"/>
      <c r="E73" s="1026"/>
      <c r="F73" s="1059"/>
      <c r="G73" s="1059"/>
      <c r="H73" s="1269"/>
      <c r="I73" s="1056"/>
      <c r="J73" s="1111"/>
      <c r="K73" s="1025"/>
    </row>
    <row r="74" spans="1:11" ht="15.75" customHeight="1">
      <c r="A74" s="1037"/>
      <c r="B74" s="1038"/>
      <c r="C74" s="1026"/>
      <c r="D74" s="1026"/>
      <c r="E74" s="1026"/>
      <c r="F74" s="1059"/>
      <c r="G74" s="1059"/>
      <c r="H74" s="1269"/>
      <c r="I74" s="1056"/>
      <c r="J74" s="1111"/>
      <c r="K74" s="1025"/>
    </row>
    <row r="75" spans="1:11" ht="15.75" customHeight="1">
      <c r="A75" s="1037"/>
      <c r="B75" s="1038"/>
      <c r="C75" s="1026"/>
      <c r="D75" s="1026"/>
      <c r="E75" s="1026"/>
      <c r="F75" s="1059"/>
      <c r="G75" s="1054"/>
      <c r="H75" s="1269"/>
      <c r="I75" s="1056"/>
      <c r="J75" s="1111"/>
      <c r="K75" s="1115"/>
    </row>
    <row r="76" spans="1:11" ht="15.75" customHeight="1">
      <c r="A76" s="1037"/>
      <c r="B76" s="1038"/>
      <c r="C76" s="1026"/>
      <c r="D76" s="1026"/>
      <c r="E76" s="1026"/>
      <c r="F76" s="1059"/>
      <c r="G76" s="1054"/>
      <c r="H76" s="1269"/>
      <c r="I76" s="1056"/>
      <c r="J76" s="1111"/>
      <c r="K76" s="1115"/>
    </row>
    <row r="77" spans="1:11" ht="15.75" customHeight="1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1115"/>
    </row>
    <row r="78" spans="1:11" ht="15.75">
      <c r="A78" s="1037"/>
      <c r="B78" s="1038"/>
      <c r="C78" s="1026"/>
      <c r="D78" s="1026"/>
      <c r="E78" s="1026"/>
      <c r="F78" s="1059"/>
      <c r="G78" s="1054"/>
      <c r="H78" s="1269"/>
      <c r="I78" s="1056"/>
      <c r="J78" s="1111"/>
      <c r="K78" s="1115"/>
    </row>
    <row r="79" spans="1:11" ht="15.75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1115"/>
    </row>
    <row r="80" spans="1:11" ht="15.75">
      <c r="A80" s="1037"/>
      <c r="B80" s="1038"/>
      <c r="C80" s="1025"/>
      <c r="D80" s="1025"/>
      <c r="E80" s="1025"/>
      <c r="F80" s="1059"/>
      <c r="G80" s="1062"/>
      <c r="H80" s="1055"/>
      <c r="I80" s="1056"/>
      <c r="J80" s="1111"/>
      <c r="K80" s="1115"/>
    </row>
    <row r="81" spans="1:11" ht="15.75">
      <c r="A81" s="1037"/>
      <c r="B81" s="1039"/>
      <c r="C81" s="1025"/>
      <c r="D81" s="1025"/>
      <c r="E81" s="1025"/>
      <c r="F81" s="1059"/>
      <c r="G81" s="1054"/>
      <c r="H81" s="1269"/>
      <c r="I81" s="1056"/>
      <c r="J81" s="1111"/>
      <c r="K81" s="1115"/>
    </row>
    <row r="82" spans="1:11" ht="15.75">
      <c r="A82" s="1037"/>
      <c r="B82" s="1038"/>
      <c r="C82" s="1026"/>
      <c r="D82" s="1026"/>
      <c r="E82" s="1026"/>
      <c r="F82" s="1059"/>
      <c r="G82" s="1054"/>
      <c r="H82" s="1269"/>
      <c r="I82" s="1056"/>
      <c r="J82" s="1111"/>
      <c r="K82" s="1115"/>
    </row>
    <row r="83" spans="1:11" ht="15.75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1115"/>
    </row>
    <row r="84" spans="1:11" ht="15.75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115"/>
    </row>
    <row r="85" spans="1:11" ht="15.75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115"/>
    </row>
    <row r="86" spans="1:11" ht="15.75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115"/>
    </row>
    <row r="87" spans="1:11" ht="15.75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5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115"/>
    </row>
    <row r="89" spans="1:11" ht="15.75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115"/>
    </row>
    <row r="90" spans="1:11" ht="15.75">
      <c r="A90" s="1037"/>
      <c r="B90" s="1038"/>
      <c r="C90" s="1026"/>
      <c r="D90" s="1026"/>
      <c r="E90" s="1026"/>
      <c r="F90" s="1059"/>
      <c r="G90" s="1054"/>
      <c r="H90" s="1269"/>
      <c r="I90" s="1056"/>
      <c r="J90" s="1111"/>
      <c r="K90" s="1115"/>
    </row>
    <row r="91" spans="1:11" ht="15.75">
      <c r="A91" s="1037"/>
      <c r="B91" s="1038"/>
      <c r="C91" s="1026"/>
      <c r="D91" s="1026"/>
      <c r="E91" s="1026"/>
      <c r="F91" s="1059"/>
      <c r="G91" s="1054"/>
      <c r="H91" s="1269"/>
      <c r="I91" s="1056"/>
      <c r="J91" s="1111"/>
      <c r="K91" s="1115"/>
    </row>
    <row r="92" spans="1:11" ht="15.75">
      <c r="A92" s="1037"/>
      <c r="B92" s="1038"/>
      <c r="C92" s="1026"/>
      <c r="D92" s="1026"/>
      <c r="E92" s="1026"/>
      <c r="F92" s="1059"/>
      <c r="G92" s="1054"/>
      <c r="H92" s="1269"/>
      <c r="I92" s="1056"/>
      <c r="J92" s="1111"/>
      <c r="K92" s="1115"/>
    </row>
    <row r="93" spans="1:11" ht="15.75">
      <c r="A93" s="1037"/>
      <c r="B93" s="1038"/>
      <c r="C93" s="1026"/>
      <c r="D93" s="1026"/>
      <c r="E93" s="1026"/>
      <c r="F93" s="1059"/>
      <c r="G93" s="1054"/>
      <c r="H93" s="1269"/>
      <c r="I93" s="1056"/>
      <c r="J93" s="1111"/>
      <c r="K93" s="1115"/>
    </row>
    <row r="94" spans="1:11" ht="15.75">
      <c r="A94" s="1037"/>
      <c r="B94" s="1038"/>
      <c r="C94" s="1026"/>
      <c r="D94" s="1026"/>
      <c r="E94" s="1026"/>
      <c r="F94" s="1059"/>
      <c r="G94" s="1054"/>
      <c r="H94" s="1269"/>
      <c r="I94" s="1056"/>
      <c r="J94" s="1111"/>
      <c r="K94" s="1115"/>
    </row>
    <row r="95" spans="1:11">
      <c r="A95" s="1037"/>
      <c r="B95" s="1038"/>
      <c r="C95" s="1026"/>
      <c r="D95" s="1026"/>
      <c r="E95" s="1026"/>
      <c r="F95" s="1059"/>
      <c r="G95" s="1059"/>
      <c r="H95" s="1269"/>
      <c r="I95" s="1056"/>
      <c r="J95" s="1111"/>
      <c r="K95" s="1025"/>
    </row>
    <row r="96" spans="1:11">
      <c r="A96" s="1037"/>
      <c r="B96" s="1038"/>
      <c r="C96" s="1026"/>
      <c r="D96" s="1026"/>
      <c r="E96" s="1026"/>
      <c r="F96" s="1059"/>
      <c r="G96" s="1059"/>
      <c r="H96" s="1269"/>
      <c r="I96" s="1056"/>
      <c r="J96" s="1111"/>
      <c r="K96" s="1025"/>
    </row>
    <row r="97" spans="1:11">
      <c r="A97" s="1037"/>
      <c r="B97" s="1038"/>
      <c r="C97" s="1026"/>
      <c r="D97" s="1026"/>
      <c r="E97" s="1026"/>
      <c r="F97" s="1059"/>
      <c r="G97" s="1059"/>
      <c r="H97" s="1269"/>
      <c r="I97" s="1056"/>
      <c r="J97" s="1111"/>
      <c r="K97" s="1025"/>
    </row>
    <row r="98" spans="1:11" ht="15.75">
      <c r="A98" s="1037"/>
      <c r="B98" s="1038"/>
      <c r="C98" s="1026"/>
      <c r="D98" s="1026"/>
      <c r="E98" s="1026"/>
      <c r="F98" s="1059"/>
      <c r="G98" s="1054"/>
      <c r="H98" s="1269"/>
      <c r="I98" s="1056"/>
      <c r="J98" s="1111"/>
      <c r="K98" s="1115"/>
    </row>
    <row r="99" spans="1:11">
      <c r="A99" s="1037"/>
      <c r="B99" s="1038"/>
      <c r="C99" s="1026"/>
      <c r="D99" s="1026"/>
      <c r="E99" s="1026"/>
      <c r="F99" s="1059"/>
      <c r="G99" s="1059"/>
      <c r="H99" s="1269"/>
      <c r="I99" s="1056"/>
      <c r="J99" s="1111"/>
      <c r="K99" s="1025"/>
    </row>
    <row r="100" spans="1:11">
      <c r="A100" s="1037"/>
      <c r="B100" s="1038"/>
      <c r="C100" s="1026"/>
      <c r="D100" s="1026"/>
      <c r="E100" s="1026"/>
      <c r="F100" s="1059"/>
      <c r="G100" s="1059"/>
      <c r="H100" s="1269"/>
      <c r="I100" s="1056"/>
      <c r="J100" s="1111"/>
      <c r="K100" s="1025"/>
    </row>
    <row r="101" spans="1:11">
      <c r="A101" s="1037"/>
      <c r="B101" s="1038"/>
      <c r="C101" s="1026"/>
      <c r="D101" s="1026"/>
      <c r="E101" s="1026"/>
      <c r="F101" s="1059"/>
      <c r="G101" s="1059"/>
      <c r="H101" s="1269"/>
      <c r="I101" s="1056"/>
      <c r="J101" s="1111"/>
      <c r="K101" s="1025"/>
    </row>
    <row r="102" spans="1:11" ht="15.75">
      <c r="A102" s="1037"/>
      <c r="B102" s="1038"/>
      <c r="C102" s="1026"/>
      <c r="D102" s="1026"/>
      <c r="E102" s="1026"/>
      <c r="F102" s="1059"/>
      <c r="G102" s="1054"/>
      <c r="H102" s="1269"/>
      <c r="I102" s="1056"/>
      <c r="J102" s="1111"/>
      <c r="K102" s="1115"/>
    </row>
    <row r="103" spans="1:11" ht="15.75">
      <c r="A103" s="1037"/>
      <c r="B103" s="1038"/>
      <c r="C103" s="1026"/>
      <c r="D103" s="1026"/>
      <c r="E103" s="1026"/>
      <c r="F103" s="1059"/>
      <c r="G103" s="1054"/>
      <c r="H103" s="1269"/>
      <c r="I103" s="1056"/>
      <c r="J103" s="1111"/>
      <c r="K103" s="1115"/>
    </row>
    <row r="104" spans="1:11">
      <c r="A104" s="1037"/>
      <c r="B104" s="1038"/>
      <c r="C104" s="1026"/>
      <c r="D104" s="1026"/>
      <c r="E104" s="1026"/>
      <c r="F104" s="1059"/>
      <c r="G104" s="1059"/>
      <c r="H104" s="1269"/>
      <c r="I104" s="1056"/>
      <c r="J104" s="1111"/>
      <c r="K104" s="1025"/>
    </row>
    <row r="105" spans="1:11">
      <c r="A105" s="1037"/>
      <c r="B105" s="1038"/>
      <c r="C105" s="1026"/>
      <c r="D105" s="1026"/>
      <c r="E105" s="1026"/>
      <c r="F105" s="1059"/>
      <c r="G105" s="1059"/>
      <c r="H105" s="1269"/>
      <c r="I105" s="1056"/>
      <c r="J105" s="1111"/>
      <c r="K105" s="1025"/>
    </row>
    <row r="106" spans="1:11">
      <c r="A106" s="1037"/>
      <c r="B106" s="1038"/>
      <c r="C106" s="1026"/>
      <c r="D106" s="1026"/>
      <c r="E106" s="1026"/>
      <c r="F106" s="1059"/>
      <c r="G106" s="1059"/>
      <c r="H106" s="1269"/>
      <c r="I106" s="1056"/>
      <c r="J106" s="1111"/>
      <c r="K106" s="1025"/>
    </row>
    <row r="107" spans="1:11">
      <c r="A107" s="1037"/>
      <c r="B107" s="1038"/>
      <c r="C107" s="1026"/>
      <c r="D107" s="1026"/>
      <c r="E107" s="1026"/>
      <c r="F107" s="1059"/>
      <c r="G107" s="1059"/>
      <c r="H107" s="1269"/>
      <c r="I107" s="1056"/>
      <c r="J107" s="1111"/>
      <c r="K107" s="1025"/>
    </row>
    <row r="108" spans="1:11">
      <c r="A108" s="1037"/>
      <c r="B108" s="1038"/>
      <c r="C108" s="1026"/>
      <c r="D108" s="1026"/>
      <c r="E108" s="1026"/>
      <c r="F108" s="1059"/>
      <c r="G108" s="1059"/>
      <c r="H108" s="1269"/>
      <c r="I108" s="1056"/>
      <c r="J108" s="1111"/>
      <c r="K108" s="1025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1025"/>
    </row>
    <row r="110" spans="1:11" ht="15.75">
      <c r="A110" s="1037"/>
      <c r="B110" s="1038"/>
      <c r="C110" s="1026"/>
      <c r="D110" s="1026"/>
      <c r="E110" s="1026"/>
      <c r="F110" s="1059"/>
      <c r="G110" s="1054"/>
      <c r="H110" s="1269"/>
      <c r="I110" s="1056"/>
      <c r="J110" s="1111"/>
      <c r="K110" s="1115"/>
    </row>
    <row r="111" spans="1:11">
      <c r="A111" s="1037"/>
      <c r="B111" s="1038"/>
      <c r="C111" s="1026"/>
      <c r="D111" s="1026"/>
      <c r="E111" s="1026"/>
      <c r="F111" s="1059"/>
      <c r="G111" s="1059"/>
      <c r="H111" s="1269"/>
      <c r="I111" s="1056"/>
      <c r="J111" s="1111"/>
      <c r="K111" s="1025"/>
    </row>
    <row r="112" spans="1:11">
      <c r="A112" s="1037"/>
      <c r="B112" s="1038"/>
      <c r="C112" s="1026"/>
      <c r="D112" s="1026"/>
      <c r="E112" s="1026"/>
      <c r="F112" s="1059"/>
      <c r="G112" s="1059"/>
      <c r="H112" s="1269"/>
      <c r="I112" s="1056"/>
      <c r="J112" s="1111"/>
      <c r="K112" s="1025"/>
    </row>
    <row r="113" spans="1:11">
      <c r="A113" s="1037"/>
      <c r="B113" s="1038"/>
      <c r="C113" s="1026"/>
      <c r="D113" s="1026"/>
      <c r="E113" s="1026"/>
      <c r="F113" s="1059"/>
      <c r="G113" s="1059"/>
      <c r="H113" s="1269"/>
      <c r="I113" s="1056"/>
      <c r="J113" s="1111"/>
      <c r="K113" s="1025"/>
    </row>
    <row r="114" spans="1:11" ht="15.75">
      <c r="A114" s="1037"/>
      <c r="B114" s="1038"/>
      <c r="C114" s="1026"/>
      <c r="D114" s="1026"/>
      <c r="E114" s="1026"/>
      <c r="F114" s="1059"/>
      <c r="G114" s="1059"/>
      <c r="H114" s="1269"/>
      <c r="I114" s="1056"/>
      <c r="J114" s="1111"/>
      <c r="K114" s="1115"/>
    </row>
    <row r="115" spans="1:11">
      <c r="A115" s="1037"/>
      <c r="B115" s="1038"/>
      <c r="C115" s="1026"/>
      <c r="D115" s="1026"/>
      <c r="E115" s="1026"/>
      <c r="F115" s="1059"/>
      <c r="G115" s="1059"/>
      <c r="H115" s="1269"/>
      <c r="I115" s="1056"/>
      <c r="J115" s="1111"/>
      <c r="K115" s="1025"/>
    </row>
    <row r="116" spans="1:11">
      <c r="A116" s="1037"/>
      <c r="B116" s="1038"/>
      <c r="C116" s="1026"/>
      <c r="D116" s="1026"/>
      <c r="E116" s="1026"/>
      <c r="F116" s="1059"/>
      <c r="G116" s="1059"/>
      <c r="H116" s="1269"/>
      <c r="I116" s="1056"/>
      <c r="J116" s="1111"/>
      <c r="K116" s="1025"/>
    </row>
    <row r="117" spans="1:11">
      <c r="A117" s="1037"/>
      <c r="B117" s="1038"/>
      <c r="C117" s="1026"/>
      <c r="D117" s="1026"/>
      <c r="E117" s="1026"/>
      <c r="F117" s="1059"/>
      <c r="G117" s="1059"/>
      <c r="H117" s="1269"/>
      <c r="I117" s="1056"/>
      <c r="J117" s="1111"/>
      <c r="K117" s="1025"/>
    </row>
    <row r="118" spans="1:11">
      <c r="A118" s="1037"/>
      <c r="B118" s="1038"/>
      <c r="C118" s="1026"/>
      <c r="D118" s="1026"/>
      <c r="E118" s="1026"/>
      <c r="F118" s="1059"/>
      <c r="G118" s="1059"/>
      <c r="H118" s="1269"/>
      <c r="I118" s="1056"/>
      <c r="J118" s="1111"/>
      <c r="K118" s="1025"/>
    </row>
    <row r="119" spans="1:11">
      <c r="A119" s="1037"/>
      <c r="B119" s="1038"/>
      <c r="C119" s="1026"/>
      <c r="D119" s="1026"/>
      <c r="E119" s="1026"/>
      <c r="F119" s="1059"/>
      <c r="G119" s="1054"/>
      <c r="H119" s="1269"/>
      <c r="I119" s="1056"/>
      <c r="J119" s="1111"/>
      <c r="K119" s="1025"/>
    </row>
    <row r="120" spans="1:11" ht="15.75">
      <c r="A120" s="1037"/>
      <c r="B120" s="1038"/>
      <c r="C120" s="1025"/>
      <c r="D120" s="1026"/>
      <c r="E120" s="1026"/>
      <c r="F120" s="1059"/>
      <c r="G120" s="1054"/>
      <c r="H120" s="1269"/>
      <c r="I120" s="1056"/>
      <c r="J120" s="1111"/>
      <c r="K120" s="1115"/>
    </row>
    <row r="121" spans="1:11" ht="15.75">
      <c r="A121" s="1037"/>
      <c r="B121" s="1038"/>
      <c r="C121" s="1026"/>
      <c r="D121" s="1026"/>
      <c r="E121" s="1026"/>
      <c r="F121" s="1059"/>
      <c r="G121" s="1054"/>
      <c r="H121" s="1269"/>
      <c r="I121" s="1056"/>
      <c r="J121" s="1111"/>
      <c r="K121" s="1115"/>
    </row>
    <row r="122" spans="1:11" ht="15.75">
      <c r="A122" s="1037"/>
      <c r="B122" s="1038"/>
      <c r="C122" s="1026"/>
      <c r="D122" s="1026"/>
      <c r="E122" s="1026"/>
      <c r="F122" s="1059"/>
      <c r="G122" s="1054"/>
      <c r="H122" s="1269"/>
      <c r="I122" s="1056"/>
      <c r="J122" s="1111"/>
      <c r="K122" s="1115"/>
    </row>
    <row r="123" spans="1:11" ht="15.75">
      <c r="A123" s="1037"/>
      <c r="B123" s="1038"/>
      <c r="C123" s="1026"/>
      <c r="D123" s="1026"/>
      <c r="E123" s="1026"/>
      <c r="F123" s="1059"/>
      <c r="G123" s="1054"/>
      <c r="H123" s="1269"/>
      <c r="I123" s="1056"/>
      <c r="J123" s="1111"/>
      <c r="K123" s="1115"/>
    </row>
    <row r="124" spans="1:11" ht="15.75">
      <c r="A124" s="1037"/>
      <c r="B124" s="1038"/>
      <c r="C124" s="1026"/>
      <c r="D124" s="1026"/>
      <c r="E124" s="1026"/>
      <c r="F124" s="1059"/>
      <c r="G124" s="1054"/>
      <c r="H124" s="1269"/>
      <c r="I124" s="1056"/>
      <c r="J124" s="1111"/>
      <c r="K124" s="1115"/>
    </row>
    <row r="125" spans="1:11">
      <c r="A125" s="1037"/>
      <c r="B125" s="1038"/>
      <c r="C125" s="1026"/>
      <c r="D125" s="1026"/>
      <c r="E125" s="1026"/>
      <c r="F125" s="1059"/>
      <c r="G125" s="1059"/>
      <c r="H125" s="1269"/>
      <c r="I125" s="1056"/>
      <c r="J125" s="1111"/>
      <c r="K125" s="1025"/>
    </row>
    <row r="126" spans="1:11">
      <c r="A126" s="1037"/>
      <c r="B126" s="1038"/>
      <c r="C126" s="1026"/>
      <c r="D126" s="1026"/>
      <c r="E126" s="1026"/>
      <c r="F126" s="1059"/>
      <c r="G126" s="1059"/>
      <c r="H126" s="1269"/>
      <c r="I126" s="1056"/>
      <c r="J126" s="1111"/>
      <c r="K126" s="1025"/>
    </row>
    <row r="127" spans="1:11" ht="15.75">
      <c r="A127" s="1037"/>
      <c r="B127" s="1038"/>
      <c r="C127" s="1026"/>
      <c r="D127" s="1026"/>
      <c r="E127" s="1026"/>
      <c r="F127" s="1059"/>
      <c r="G127" s="1054"/>
      <c r="H127" s="1269"/>
      <c r="I127" s="1056"/>
      <c r="J127" s="1111"/>
      <c r="K127" s="1115"/>
    </row>
    <row r="128" spans="1:11" ht="15.75">
      <c r="A128" s="1037"/>
      <c r="B128" s="1038"/>
      <c r="C128" s="1026"/>
      <c r="D128" s="1026"/>
      <c r="E128" s="1026"/>
      <c r="F128" s="1059"/>
      <c r="G128" s="1054"/>
      <c r="H128" s="1269"/>
      <c r="I128" s="1056"/>
      <c r="J128" s="1111"/>
      <c r="K128" s="1115"/>
    </row>
    <row r="129" spans="1:11" ht="15.75">
      <c r="A129" s="1037"/>
      <c r="B129" s="1038"/>
      <c r="C129" s="1026"/>
      <c r="D129" s="1026"/>
      <c r="E129" s="1026"/>
      <c r="F129" s="1059"/>
      <c r="G129" s="1054"/>
      <c r="H129" s="1269"/>
      <c r="I129" s="1056"/>
      <c r="J129" s="1111"/>
      <c r="K129" s="1115"/>
    </row>
    <row r="130" spans="1:11">
      <c r="A130" s="1037"/>
      <c r="B130" s="1038"/>
      <c r="C130" s="1026"/>
      <c r="D130" s="1026"/>
      <c r="E130" s="1026"/>
      <c r="F130" s="1059"/>
      <c r="G130" s="1054"/>
      <c r="H130" s="1269"/>
      <c r="I130" s="1056"/>
      <c r="J130" s="1111"/>
      <c r="K130" s="1025"/>
    </row>
    <row r="131" spans="1:11">
      <c r="A131" s="1037"/>
      <c r="B131" s="1038"/>
      <c r="C131" s="1026"/>
      <c r="D131" s="1026"/>
      <c r="E131" s="1026"/>
      <c r="F131" s="1059"/>
      <c r="G131" s="1054"/>
      <c r="H131" s="1269"/>
      <c r="I131" s="1056"/>
      <c r="J131" s="1111"/>
      <c r="K131" s="1025"/>
    </row>
    <row r="132" spans="1:11">
      <c r="A132" s="1037"/>
      <c r="B132" s="1038"/>
      <c r="C132" s="1026"/>
      <c r="D132" s="1026"/>
      <c r="E132" s="1026"/>
      <c r="F132" s="1059"/>
      <c r="G132" s="1059"/>
      <c r="H132" s="1269"/>
      <c r="I132" s="1056"/>
      <c r="J132" s="1111"/>
      <c r="K132" s="1025"/>
    </row>
    <row r="133" spans="1:11">
      <c r="A133" s="1037"/>
      <c r="B133" s="1038"/>
      <c r="C133" s="1026"/>
      <c r="D133" s="1026"/>
      <c r="E133" s="1026"/>
      <c r="F133" s="1059"/>
      <c r="G133" s="1059"/>
      <c r="H133" s="1269"/>
      <c r="I133" s="1056"/>
      <c r="J133" s="1111"/>
      <c r="K133" s="1025"/>
    </row>
    <row r="134" spans="1:11">
      <c r="A134" s="1037"/>
      <c r="B134" s="1038"/>
      <c r="C134" s="1026"/>
      <c r="D134" s="1026"/>
      <c r="E134" s="1026"/>
      <c r="F134" s="1059"/>
      <c r="G134" s="1059"/>
      <c r="H134" s="1269"/>
      <c r="I134" s="1056"/>
      <c r="J134" s="1111"/>
      <c r="K134" s="1025"/>
    </row>
    <row r="135" spans="1:11">
      <c r="A135" s="1037"/>
      <c r="B135" s="1038"/>
      <c r="C135" s="1026"/>
      <c r="D135" s="1026"/>
      <c r="E135" s="1026"/>
      <c r="F135" s="1059"/>
      <c r="G135" s="1059"/>
      <c r="H135" s="1269"/>
      <c r="I135" s="1056"/>
      <c r="J135" s="1111"/>
      <c r="K135" s="1025"/>
    </row>
    <row r="136" spans="1:11" ht="15.75">
      <c r="A136" s="1037"/>
      <c r="B136" s="1038"/>
      <c r="C136" s="1026"/>
      <c r="D136" s="1026"/>
      <c r="E136" s="1026"/>
      <c r="F136" s="1059"/>
      <c r="G136" s="1054"/>
      <c r="H136" s="1269"/>
      <c r="I136" s="1056"/>
      <c r="J136" s="1111"/>
      <c r="K136" s="1115"/>
    </row>
    <row r="137" spans="1:11" ht="15.75">
      <c r="A137" s="1037"/>
      <c r="B137" s="1038"/>
      <c r="C137" s="1026"/>
      <c r="D137" s="1026"/>
      <c r="E137" s="1026"/>
      <c r="F137" s="1059"/>
      <c r="G137" s="1059"/>
      <c r="H137" s="1269"/>
      <c r="I137" s="1056"/>
      <c r="J137" s="1111"/>
      <c r="K137" s="1115"/>
    </row>
    <row r="138" spans="1:11">
      <c r="A138" s="1037"/>
      <c r="B138" s="1038"/>
      <c r="C138" s="1026"/>
      <c r="D138" s="1026"/>
      <c r="E138" s="1026"/>
      <c r="F138" s="1059"/>
      <c r="G138" s="1059"/>
      <c r="H138" s="1269"/>
      <c r="I138" s="1056"/>
      <c r="J138" s="1111"/>
      <c r="K138" s="1025"/>
    </row>
    <row r="139" spans="1:11">
      <c r="A139" s="1037"/>
      <c r="B139" s="1038"/>
      <c r="C139" s="1026"/>
      <c r="D139" s="1026"/>
      <c r="E139" s="1026"/>
      <c r="F139" s="1059"/>
      <c r="G139" s="1054"/>
      <c r="H139" s="1269"/>
      <c r="I139" s="1056"/>
      <c r="J139" s="1111"/>
      <c r="K139" s="1025"/>
    </row>
    <row r="140" spans="1:11" ht="15.75">
      <c r="A140" s="1037"/>
      <c r="B140" s="1038"/>
      <c r="C140" s="1026"/>
      <c r="D140" s="1026"/>
      <c r="E140" s="1026"/>
      <c r="F140" s="1059"/>
      <c r="G140" s="1054"/>
      <c r="H140" s="1269"/>
      <c r="I140" s="1056"/>
      <c r="J140" s="1111"/>
      <c r="K140" s="1115"/>
    </row>
    <row r="141" spans="1:11">
      <c r="A141" s="1037"/>
      <c r="B141" s="1038"/>
      <c r="C141" s="1026"/>
      <c r="D141" s="1026"/>
      <c r="E141" s="1026"/>
      <c r="F141" s="1059"/>
      <c r="G141" s="1054"/>
      <c r="H141" s="1269"/>
      <c r="I141" s="1056"/>
      <c r="J141" s="1111"/>
      <c r="K141" s="1025"/>
    </row>
    <row r="142" spans="1:11">
      <c r="A142" s="1037"/>
      <c r="B142" s="1038"/>
      <c r="C142" s="1026"/>
      <c r="D142" s="1026"/>
      <c r="E142" s="1026"/>
      <c r="F142" s="1059"/>
      <c r="G142" s="1059"/>
      <c r="H142" s="1269"/>
      <c r="I142" s="1056"/>
      <c r="J142" s="1111"/>
      <c r="K142" s="1025"/>
    </row>
    <row r="143" spans="1:11">
      <c r="A143" s="1037"/>
      <c r="B143" s="1038"/>
      <c r="C143" s="1026"/>
      <c r="D143" s="1026"/>
      <c r="E143" s="1026"/>
      <c r="F143" s="1059"/>
      <c r="G143" s="1059"/>
      <c r="H143" s="1269"/>
      <c r="I143" s="1056"/>
      <c r="J143" s="1111"/>
      <c r="K143" s="1025"/>
    </row>
    <row r="144" spans="1:11" ht="15.75">
      <c r="A144" s="1037"/>
      <c r="B144" s="1038"/>
      <c r="C144" s="1026"/>
      <c r="D144" s="1026"/>
      <c r="E144" s="1026"/>
      <c r="F144" s="1059"/>
      <c r="G144" s="1054"/>
      <c r="H144" s="1269"/>
      <c r="I144" s="1056"/>
      <c r="J144" s="1111"/>
      <c r="K144" s="1115"/>
    </row>
    <row r="145" spans="1:11" ht="15.75">
      <c r="A145" s="1037"/>
      <c r="B145" s="1038"/>
      <c r="C145" s="1026"/>
      <c r="D145" s="1026"/>
      <c r="E145" s="1026"/>
      <c r="F145" s="1059"/>
      <c r="G145" s="1054"/>
      <c r="H145" s="1269"/>
      <c r="I145" s="1056"/>
      <c r="J145" s="1111"/>
      <c r="K145" s="1115"/>
    </row>
    <row r="146" spans="1:11" ht="15.75">
      <c r="A146" s="1037"/>
      <c r="B146" s="1038"/>
      <c r="C146" s="1026"/>
      <c r="D146" s="1026"/>
      <c r="E146" s="1026"/>
      <c r="F146" s="1059"/>
      <c r="G146" s="1054"/>
      <c r="H146" s="1269"/>
      <c r="I146" s="1056"/>
      <c r="J146" s="1111"/>
      <c r="K146" s="1115"/>
    </row>
    <row r="147" spans="1:11" ht="15.75">
      <c r="A147" s="1037"/>
      <c r="B147" s="1038"/>
      <c r="C147" s="1026"/>
      <c r="D147" s="1026"/>
      <c r="E147" s="1026"/>
      <c r="F147" s="1059"/>
      <c r="G147" s="1054"/>
      <c r="H147" s="1269"/>
      <c r="I147" s="1056"/>
      <c r="J147" s="1111"/>
      <c r="K147" s="1115"/>
    </row>
    <row r="148" spans="1:11" ht="15.75">
      <c r="A148" s="1037"/>
      <c r="B148" s="1038"/>
      <c r="C148" s="1026"/>
      <c r="D148" s="1026"/>
      <c r="E148" s="1026"/>
      <c r="F148" s="1059"/>
      <c r="G148" s="1054"/>
      <c r="H148" s="1269"/>
      <c r="I148" s="1056"/>
      <c r="J148" s="1111"/>
      <c r="K148" s="1115"/>
    </row>
    <row r="149" spans="1:11">
      <c r="A149" s="1037"/>
      <c r="B149" s="1038"/>
      <c r="C149" s="1026"/>
      <c r="D149" s="1026"/>
      <c r="E149" s="1026"/>
      <c r="F149" s="1059"/>
      <c r="G149" s="1054"/>
      <c r="H149" s="1269"/>
      <c r="I149" s="1056"/>
      <c r="J149" s="1111"/>
      <c r="K149" s="1025"/>
    </row>
    <row r="150" spans="1:11">
      <c r="A150" s="1037"/>
      <c r="B150" s="1038"/>
      <c r="C150" s="1025"/>
      <c r="D150" s="1026"/>
      <c r="E150" s="1026"/>
      <c r="F150" s="1061"/>
      <c r="G150" s="1054"/>
      <c r="H150" s="1055"/>
      <c r="I150" s="1056"/>
      <c r="J150" s="1111"/>
      <c r="K150" s="1025"/>
    </row>
    <row r="151" spans="1:11">
      <c r="A151" s="1037"/>
      <c r="B151" s="1038"/>
      <c r="C151" s="1026"/>
      <c r="D151" s="1026"/>
      <c r="E151" s="1026"/>
      <c r="F151" s="1059"/>
      <c r="G151" s="1054"/>
      <c r="H151" s="1269"/>
      <c r="I151" s="1056"/>
      <c r="J151" s="1111"/>
      <c r="K151" s="1025"/>
    </row>
    <row r="152" spans="1:11">
      <c r="A152" s="1037"/>
      <c r="B152" s="1038"/>
      <c r="C152" s="1026"/>
      <c r="D152" s="1026"/>
      <c r="E152" s="1026"/>
      <c r="F152" s="1059"/>
      <c r="G152" s="1054"/>
      <c r="H152" s="1269"/>
      <c r="I152" s="1056"/>
      <c r="J152" s="1111"/>
      <c r="K152" s="1025"/>
    </row>
    <row r="153" spans="1:11">
      <c r="A153" s="1037"/>
      <c r="B153" s="1038"/>
      <c r="C153" s="1026"/>
      <c r="D153" s="1026"/>
      <c r="E153" s="1026"/>
      <c r="F153" s="1059"/>
      <c r="G153" s="1059"/>
      <c r="H153" s="1269"/>
      <c r="I153" s="1056"/>
      <c r="J153" s="1111"/>
      <c r="K153" s="1025"/>
    </row>
    <row r="154" spans="1:11">
      <c r="A154" s="1037"/>
      <c r="B154" s="1038"/>
      <c r="C154" s="1026"/>
      <c r="D154" s="1026"/>
      <c r="E154" s="1026"/>
      <c r="F154" s="1059"/>
      <c r="G154" s="1059"/>
      <c r="H154" s="1269"/>
      <c r="I154" s="1056"/>
      <c r="J154" s="1111"/>
      <c r="K154" s="1025"/>
    </row>
    <row r="155" spans="1:11" ht="15.75">
      <c r="A155" s="1037"/>
      <c r="B155" s="1038"/>
      <c r="C155" s="1026"/>
      <c r="D155" s="1026"/>
      <c r="E155" s="1026"/>
      <c r="F155" s="1059"/>
      <c r="G155" s="1054"/>
      <c r="H155" s="1269"/>
      <c r="I155" s="1056"/>
      <c r="J155" s="1111"/>
      <c r="K155" s="1115"/>
    </row>
    <row r="156" spans="1:11">
      <c r="A156" s="1037"/>
      <c r="B156" s="1038"/>
      <c r="C156" s="1026"/>
      <c r="D156" s="1026"/>
      <c r="E156" s="1026"/>
      <c r="F156" s="1059"/>
      <c r="G156" s="1054"/>
      <c r="H156" s="1269"/>
      <c r="I156" s="1056"/>
      <c r="J156" s="1111"/>
      <c r="K156" s="1025"/>
    </row>
    <row r="157" spans="1:11">
      <c r="A157" s="1037"/>
      <c r="B157" s="1038"/>
      <c r="C157" s="1026"/>
      <c r="D157" s="1026"/>
      <c r="E157" s="1026"/>
      <c r="F157" s="1059"/>
      <c r="G157" s="1059"/>
      <c r="H157" s="1269"/>
      <c r="I157" s="1056"/>
      <c r="J157" s="1111"/>
      <c r="K157" s="1025"/>
    </row>
    <row r="158" spans="1:11">
      <c r="A158" s="1037"/>
      <c r="B158" s="1038"/>
      <c r="C158" s="1026"/>
      <c r="D158" s="1026"/>
      <c r="E158" s="1026"/>
      <c r="F158" s="1059"/>
      <c r="G158" s="1059"/>
      <c r="H158" s="1269"/>
      <c r="I158" s="1056"/>
      <c r="J158" s="1111"/>
      <c r="K158" s="1025"/>
    </row>
    <row r="159" spans="1:11">
      <c r="A159" s="1037"/>
      <c r="B159" s="1038"/>
      <c r="C159" s="1026"/>
      <c r="D159" s="1026"/>
      <c r="E159" s="1026"/>
      <c r="F159" s="1059"/>
      <c r="G159" s="1054"/>
      <c r="H159" s="1269"/>
      <c r="I159" s="1056"/>
      <c r="J159" s="1111"/>
      <c r="K159" s="1025"/>
    </row>
    <row r="160" spans="1:11">
      <c r="A160" s="1037"/>
      <c r="B160" s="1038"/>
      <c r="C160" s="1026"/>
      <c r="D160" s="1026"/>
      <c r="E160" s="1026"/>
      <c r="F160" s="1059"/>
      <c r="G160" s="1054"/>
      <c r="H160" s="1269"/>
      <c r="I160" s="1056"/>
      <c r="J160" s="1111"/>
      <c r="K160" s="1025"/>
    </row>
    <row r="161" spans="1:11">
      <c r="A161" s="1037"/>
      <c r="B161" s="1038"/>
      <c r="C161" s="1026"/>
      <c r="D161" s="1026"/>
      <c r="E161" s="1026"/>
      <c r="F161" s="1059"/>
      <c r="G161" s="1054"/>
      <c r="H161" s="1269"/>
      <c r="I161" s="1056"/>
      <c r="J161" s="1111"/>
      <c r="K161" s="1025"/>
    </row>
    <row r="162" spans="1:11" ht="15.75">
      <c r="A162" s="1037"/>
      <c r="B162" s="1038"/>
      <c r="C162" s="1026"/>
      <c r="D162" s="1026"/>
      <c r="E162" s="1026"/>
      <c r="F162" s="1059"/>
      <c r="G162" s="1054"/>
      <c r="H162" s="1269"/>
      <c r="I162" s="1056"/>
      <c r="J162" s="1111"/>
      <c r="K162" s="1115"/>
    </row>
    <row r="163" spans="1:11">
      <c r="A163" s="1037"/>
      <c r="B163" s="1038"/>
      <c r="C163" s="1026"/>
      <c r="D163" s="1026"/>
      <c r="E163" s="1026"/>
      <c r="F163" s="1059"/>
      <c r="G163" s="1054"/>
      <c r="H163" s="1269"/>
      <c r="I163" s="1056"/>
      <c r="J163" s="1111"/>
      <c r="K163" s="1025"/>
    </row>
    <row r="164" spans="1:11">
      <c r="A164" s="1037"/>
      <c r="B164" s="1038"/>
      <c r="C164" s="290"/>
      <c r="D164" s="1026"/>
      <c r="E164" s="1026"/>
      <c r="F164" s="1059"/>
      <c r="G164" s="1054"/>
      <c r="H164" s="1269"/>
      <c r="I164" s="1056"/>
      <c r="J164" s="1111"/>
      <c r="K164" s="1025"/>
    </row>
    <row r="165" spans="1:11">
      <c r="A165" s="1037"/>
      <c r="B165" s="1038"/>
      <c r="C165" s="1026"/>
      <c r="D165" s="1026"/>
      <c r="E165" s="1026"/>
      <c r="F165" s="1059"/>
      <c r="G165" s="1054"/>
      <c r="H165" s="1269"/>
      <c r="I165" s="1056"/>
      <c r="J165" s="1111"/>
      <c r="K165" s="1025"/>
    </row>
    <row r="166" spans="1:11">
      <c r="A166" s="1037"/>
      <c r="B166" s="1038"/>
      <c r="C166" s="1026"/>
      <c r="D166" s="1026"/>
      <c r="E166" s="1026"/>
      <c r="F166" s="1059"/>
      <c r="G166" s="1054"/>
      <c r="H166" s="1269"/>
      <c r="I166" s="1056"/>
      <c r="J166" s="1111"/>
      <c r="K166" s="1025"/>
    </row>
    <row r="167" spans="1:11">
      <c r="A167" s="1037"/>
      <c r="B167" s="1038"/>
      <c r="C167" s="1026"/>
      <c r="D167" s="1026"/>
      <c r="E167" s="1026"/>
      <c r="F167" s="1059"/>
      <c r="G167" s="1054"/>
      <c r="H167" s="1269"/>
      <c r="I167" s="1056"/>
      <c r="J167" s="1111"/>
      <c r="K167" s="1025"/>
    </row>
    <row r="168" spans="1:11">
      <c r="A168" s="1037"/>
      <c r="B168" s="1038"/>
      <c r="C168" s="1026"/>
      <c r="D168" s="1026"/>
      <c r="E168" s="1026"/>
      <c r="F168" s="1059"/>
      <c r="G168" s="1054"/>
      <c r="H168" s="1269"/>
      <c r="I168" s="1056"/>
      <c r="J168" s="1111"/>
      <c r="K168" s="1025"/>
    </row>
    <row r="169" spans="1:11">
      <c r="A169" s="1037"/>
      <c r="B169" s="1038"/>
      <c r="C169" s="1026"/>
      <c r="D169" s="1026"/>
      <c r="E169" s="1026"/>
      <c r="F169" s="1059"/>
      <c r="G169" s="1054"/>
      <c r="H169" s="1269"/>
      <c r="I169" s="1056"/>
      <c r="J169" s="1111"/>
      <c r="K169" s="1025"/>
    </row>
    <row r="170" spans="1:11">
      <c r="A170" s="1037"/>
      <c r="B170" s="1038"/>
      <c r="C170" s="1026"/>
      <c r="D170" s="1026"/>
      <c r="E170" s="1026"/>
      <c r="F170" s="1059"/>
      <c r="G170" s="1054"/>
      <c r="H170" s="1269"/>
      <c r="I170" s="1056"/>
      <c r="J170" s="1111"/>
      <c r="K170" s="1025"/>
    </row>
    <row r="171" spans="1:11">
      <c r="A171" s="1037"/>
      <c r="B171" s="1038"/>
      <c r="C171" s="1026"/>
      <c r="D171" s="1026"/>
      <c r="E171" s="1026"/>
      <c r="F171" s="1059"/>
      <c r="G171" s="1054"/>
      <c r="H171" s="1269"/>
      <c r="I171" s="1056"/>
      <c r="J171" s="1111"/>
      <c r="K171" s="1025"/>
    </row>
    <row r="172" spans="1:11">
      <c r="A172" s="1037"/>
      <c r="B172" s="1038"/>
      <c r="C172" s="1026"/>
      <c r="D172" s="1026"/>
      <c r="E172" s="1026"/>
      <c r="F172" s="1059"/>
      <c r="G172" s="1054"/>
      <c r="H172" s="1269"/>
      <c r="I172" s="1056"/>
      <c r="J172" s="1111"/>
      <c r="K172" s="1025"/>
    </row>
    <row r="173" spans="1:11">
      <c r="A173" s="1037"/>
      <c r="B173" s="1038"/>
      <c r="C173" s="1026"/>
      <c r="D173" s="1026"/>
      <c r="E173" s="1026"/>
      <c r="F173" s="1059"/>
      <c r="G173" s="1059"/>
      <c r="H173" s="1269"/>
      <c r="I173" s="1056"/>
      <c r="J173" s="1111"/>
      <c r="K173" s="1025"/>
    </row>
    <row r="174" spans="1:11">
      <c r="A174" s="1037"/>
      <c r="B174" s="1038"/>
      <c r="C174" s="1026"/>
      <c r="D174" s="1026"/>
      <c r="E174" s="1026"/>
      <c r="F174" s="1059"/>
      <c r="G174" s="1059"/>
      <c r="H174" s="1269"/>
      <c r="I174" s="1056"/>
      <c r="J174" s="1111"/>
      <c r="K174" s="1025"/>
    </row>
    <row r="175" spans="1:11">
      <c r="A175" s="1037"/>
      <c r="B175" s="1038"/>
      <c r="C175" s="1026"/>
      <c r="D175" s="1026"/>
      <c r="E175" s="1026"/>
      <c r="F175" s="1059"/>
      <c r="G175" s="1054"/>
      <c r="H175" s="1269"/>
      <c r="I175" s="1056"/>
      <c r="J175" s="1111"/>
      <c r="K175" s="1025"/>
    </row>
    <row r="176" spans="1:11">
      <c r="A176" s="1037"/>
      <c r="B176" s="1038"/>
      <c r="C176" s="1026"/>
      <c r="D176" s="1026"/>
      <c r="E176" s="1026"/>
      <c r="F176" s="1059"/>
      <c r="G176" s="1054"/>
      <c r="H176" s="1269"/>
      <c r="I176" s="1056"/>
      <c r="J176" s="1111"/>
      <c r="K176" s="1025"/>
    </row>
    <row r="177" spans="1:11">
      <c r="A177" s="1037"/>
      <c r="B177" s="1038"/>
      <c r="C177" s="1026"/>
      <c r="D177" s="1026"/>
      <c r="E177" s="1026"/>
      <c r="F177" s="1059"/>
      <c r="G177" s="1054"/>
      <c r="H177" s="1269"/>
      <c r="I177" s="1056"/>
      <c r="J177" s="1111"/>
      <c r="K177" s="1025"/>
    </row>
    <row r="178" spans="1:11" ht="15.75">
      <c r="A178" s="1037"/>
      <c r="B178" s="1038"/>
      <c r="C178" s="1026"/>
      <c r="D178" s="1026"/>
      <c r="E178" s="1026"/>
      <c r="F178" s="1059"/>
      <c r="G178" s="1059"/>
      <c r="H178" s="1269"/>
      <c r="I178" s="1056"/>
      <c r="J178" s="1111"/>
      <c r="K178" s="1115"/>
    </row>
    <row r="179" spans="1:11">
      <c r="A179" s="1037"/>
      <c r="B179" s="1038"/>
      <c r="C179" s="1026"/>
      <c r="D179" s="1026"/>
      <c r="E179" s="1026"/>
      <c r="F179" s="1059"/>
      <c r="G179" s="1059"/>
      <c r="H179" s="1269"/>
      <c r="I179" s="1056"/>
      <c r="J179" s="1111"/>
      <c r="K179" s="1025"/>
    </row>
    <row r="180" spans="1:11" ht="15.75">
      <c r="A180" s="1037"/>
      <c r="B180" s="1038"/>
      <c r="C180" s="1026"/>
      <c r="D180" s="1026"/>
      <c r="E180" s="1026"/>
      <c r="F180" s="1059"/>
      <c r="G180" s="1054"/>
      <c r="H180" s="1269"/>
      <c r="I180" s="1056"/>
      <c r="J180" s="1111"/>
      <c r="K180" s="1115"/>
    </row>
    <row r="181" spans="1:11" ht="15.75">
      <c r="A181" s="1037"/>
      <c r="B181" s="1038"/>
      <c r="C181" s="1026"/>
      <c r="D181" s="1026"/>
      <c r="E181" s="1026"/>
      <c r="F181" s="1059"/>
      <c r="G181" s="1054"/>
      <c r="H181" s="1269"/>
      <c r="I181" s="1056"/>
      <c r="J181" s="1111"/>
      <c r="K181" s="1115"/>
    </row>
    <row r="182" spans="1:11" ht="15.75">
      <c r="A182" s="1037"/>
      <c r="B182" s="1038"/>
      <c r="C182" s="1026"/>
      <c r="D182" s="1026"/>
      <c r="E182" s="1026"/>
      <c r="F182" s="1059"/>
      <c r="G182" s="1054"/>
      <c r="H182" s="1269"/>
      <c r="I182" s="1056"/>
      <c r="J182" s="1111"/>
      <c r="K182" s="1115"/>
    </row>
    <row r="183" spans="1:11" ht="15.75">
      <c r="A183" s="1037"/>
      <c r="B183" s="1038"/>
      <c r="C183" s="1026"/>
      <c r="D183" s="1026"/>
      <c r="E183" s="1026"/>
      <c r="F183" s="1059"/>
      <c r="G183" s="1054"/>
      <c r="H183" s="1269"/>
      <c r="I183" s="1056"/>
      <c r="J183" s="1111"/>
      <c r="K183" s="1115"/>
    </row>
    <row r="184" spans="1:11" ht="15.75">
      <c r="A184" s="1037"/>
      <c r="B184" s="1038"/>
      <c r="C184" s="1026"/>
      <c r="D184" s="1026"/>
      <c r="E184" s="1026"/>
      <c r="F184" s="1059"/>
      <c r="G184" s="1059"/>
      <c r="H184" s="1269"/>
      <c r="I184" s="1056"/>
      <c r="J184" s="1111"/>
      <c r="K184" s="1115"/>
    </row>
    <row r="185" spans="1:11">
      <c r="A185" s="1037"/>
      <c r="B185" s="1038"/>
      <c r="C185" s="1026"/>
      <c r="D185" s="1026"/>
      <c r="E185" s="1026"/>
      <c r="F185" s="1059"/>
      <c r="G185" s="1059"/>
      <c r="H185" s="1269"/>
      <c r="I185" s="1056"/>
      <c r="J185" s="1111"/>
      <c r="K185" s="1025"/>
    </row>
    <row r="186" spans="1:11" ht="15.75">
      <c r="A186" s="1037"/>
      <c r="B186" s="1038"/>
      <c r="C186" s="1026"/>
      <c r="D186" s="1026"/>
      <c r="E186" s="1026"/>
      <c r="F186" s="1059"/>
      <c r="G186" s="1054"/>
      <c r="H186" s="1269"/>
      <c r="I186" s="1056"/>
      <c r="J186" s="1111"/>
      <c r="K186" s="1115"/>
    </row>
    <row r="187" spans="1:11">
      <c r="A187" s="1037"/>
      <c r="B187" s="1038"/>
      <c r="C187" s="1026"/>
      <c r="D187" s="1026"/>
      <c r="E187" s="1026"/>
      <c r="F187" s="1059"/>
      <c r="G187" s="1059"/>
      <c r="H187" s="1269"/>
      <c r="I187" s="1056"/>
      <c r="J187" s="1111"/>
      <c r="K187" s="1025"/>
    </row>
    <row r="188" spans="1:11">
      <c r="A188" s="1037"/>
      <c r="B188" s="1038"/>
      <c r="C188" s="1026"/>
      <c r="D188" s="1026"/>
      <c r="E188" s="1026"/>
      <c r="F188" s="1059"/>
      <c r="G188" s="1059"/>
      <c r="H188" s="1269"/>
      <c r="I188" s="1056"/>
      <c r="J188" s="1111"/>
      <c r="K188" s="1025"/>
    </row>
    <row r="189" spans="1:11">
      <c r="A189" s="1037"/>
      <c r="B189" s="1038"/>
      <c r="C189" s="1026"/>
      <c r="D189" s="1026"/>
      <c r="E189" s="1026"/>
      <c r="F189" s="1059"/>
      <c r="G189" s="1059"/>
      <c r="H189" s="1269"/>
      <c r="I189" s="1056"/>
      <c r="J189" s="1111"/>
      <c r="K189" s="1025"/>
    </row>
    <row r="190" spans="1:11">
      <c r="A190" s="1037"/>
      <c r="B190" s="1038"/>
      <c r="C190" s="1026"/>
      <c r="D190" s="1026"/>
      <c r="E190" s="1026"/>
      <c r="F190" s="1059"/>
      <c r="G190" s="1059"/>
      <c r="H190" s="1269"/>
      <c r="I190" s="1056"/>
      <c r="J190" s="1111"/>
      <c r="K190" s="1025"/>
    </row>
    <row r="191" spans="1:11">
      <c r="A191" s="1037"/>
      <c r="B191" s="1038"/>
      <c r="C191" s="1026"/>
      <c r="D191" s="1026"/>
      <c r="E191" s="1026"/>
      <c r="F191" s="1059"/>
      <c r="G191" s="1054"/>
      <c r="H191" s="1269"/>
      <c r="I191" s="1056"/>
      <c r="J191" s="1111"/>
      <c r="K191" s="1025"/>
    </row>
    <row r="192" spans="1:11">
      <c r="A192" s="1037"/>
      <c r="B192" s="1038"/>
      <c r="C192" s="1026"/>
      <c r="D192" s="1026"/>
      <c r="E192" s="1026"/>
      <c r="F192" s="1059"/>
      <c r="G192" s="1054"/>
      <c r="H192" s="1269"/>
      <c r="I192" s="1056"/>
      <c r="J192" s="1111"/>
      <c r="K192" s="1025"/>
    </row>
    <row r="193" spans="1:11">
      <c r="A193" s="1037"/>
      <c r="B193" s="1038"/>
      <c r="C193" s="1026"/>
      <c r="D193" s="1026"/>
      <c r="E193" s="1026"/>
      <c r="F193" s="1059"/>
      <c r="G193" s="1054"/>
      <c r="H193" s="1269"/>
      <c r="I193" s="1056"/>
      <c r="J193" s="1111"/>
      <c r="K193" s="1025"/>
    </row>
    <row r="194" spans="1:11">
      <c r="A194" s="1037"/>
      <c r="B194" s="1038"/>
      <c r="C194" s="1026"/>
      <c r="D194" s="1026"/>
      <c r="E194" s="1026"/>
      <c r="F194" s="1059"/>
      <c r="G194" s="1054"/>
      <c r="H194" s="1269"/>
      <c r="I194" s="1056"/>
      <c r="J194" s="1111"/>
      <c r="K194" s="1025"/>
    </row>
    <row r="195" spans="1:11">
      <c r="A195" s="1037"/>
      <c r="B195" s="1038"/>
      <c r="C195" s="1026"/>
      <c r="D195" s="1026"/>
      <c r="E195" s="1026"/>
      <c r="F195" s="1059"/>
      <c r="G195" s="1054"/>
      <c r="H195" s="1269"/>
      <c r="I195" s="1056"/>
      <c r="J195" s="1111"/>
      <c r="K195" s="1025"/>
    </row>
    <row r="196" spans="1:11">
      <c r="A196" s="1037"/>
      <c r="B196" s="1038"/>
      <c r="C196" s="1026"/>
      <c r="D196" s="1026"/>
      <c r="E196" s="1026"/>
      <c r="F196" s="1059"/>
      <c r="G196" s="1054"/>
      <c r="H196" s="1269"/>
      <c r="I196" s="1056"/>
      <c r="J196" s="1111"/>
      <c r="K196" s="1025"/>
    </row>
    <row r="197" spans="1:11">
      <c r="A197" s="1037"/>
      <c r="B197" s="1038"/>
      <c r="C197" s="1026"/>
      <c r="D197" s="1026"/>
      <c r="E197" s="1026"/>
      <c r="F197" s="1059"/>
      <c r="G197" s="1054"/>
      <c r="H197" s="1269"/>
      <c r="I197" s="1056"/>
      <c r="J197" s="1111"/>
      <c r="K197" s="1025"/>
    </row>
    <row r="198" spans="1:11">
      <c r="A198" s="1037"/>
      <c r="B198" s="1038"/>
      <c r="C198" s="1026"/>
      <c r="D198" s="1026"/>
      <c r="E198" s="1026"/>
      <c r="F198" s="1059"/>
      <c r="G198" s="1059"/>
      <c r="H198" s="1269"/>
      <c r="I198" s="1056"/>
      <c r="J198" s="1111"/>
      <c r="K198" s="1025"/>
    </row>
    <row r="199" spans="1:11">
      <c r="A199" s="1037"/>
      <c r="B199" s="1038"/>
      <c r="C199" s="1026"/>
      <c r="D199" s="1026"/>
      <c r="E199" s="1026"/>
      <c r="F199" s="1059"/>
      <c r="G199" s="1059"/>
      <c r="H199" s="1269"/>
      <c r="I199" s="1056"/>
      <c r="J199" s="1111"/>
      <c r="K199" s="1025"/>
    </row>
    <row r="200" spans="1:11" ht="15.75">
      <c r="A200" s="1037"/>
      <c r="B200" s="1038"/>
      <c r="C200" s="1026"/>
      <c r="D200" s="1026"/>
      <c r="E200" s="1026"/>
      <c r="F200" s="1059"/>
      <c r="G200" s="1054"/>
      <c r="H200" s="1269"/>
      <c r="I200" s="1056"/>
      <c r="J200" s="1111"/>
      <c r="K200" s="1115"/>
    </row>
    <row r="201" spans="1:11">
      <c r="A201" s="1037"/>
      <c r="B201" s="1038"/>
      <c r="C201" s="1026"/>
      <c r="D201" s="1026"/>
      <c r="E201" s="1026"/>
      <c r="F201" s="1059"/>
      <c r="G201" s="1054"/>
      <c r="H201" s="1269"/>
      <c r="I201" s="1056"/>
      <c r="J201" s="1111"/>
      <c r="K201" s="1025"/>
    </row>
    <row r="202" spans="1:11">
      <c r="A202" s="1037"/>
      <c r="B202" s="1038"/>
      <c r="C202" s="1025"/>
      <c r="D202" s="1025"/>
      <c r="E202" s="1025"/>
      <c r="F202" s="1061"/>
      <c r="G202" s="1054"/>
      <c r="H202" s="1269"/>
      <c r="I202" s="1056"/>
      <c r="J202" s="1111"/>
      <c r="K202" s="1025"/>
    </row>
    <row r="203" spans="1:11">
      <c r="A203" s="1037"/>
      <c r="B203" s="1038"/>
      <c r="C203" s="1026"/>
      <c r="D203" s="1026"/>
      <c r="E203" s="1026"/>
      <c r="F203" s="1061"/>
      <c r="G203" s="1054"/>
      <c r="H203" s="1269"/>
      <c r="I203" s="1056"/>
      <c r="J203" s="1111"/>
      <c r="K203" s="1025"/>
    </row>
    <row r="204" spans="1:11" ht="15.75">
      <c r="A204" s="1037"/>
      <c r="B204" s="1038"/>
      <c r="C204" s="1026"/>
      <c r="D204" s="1026"/>
      <c r="E204" s="1026"/>
      <c r="F204" s="1059"/>
      <c r="G204" s="1059"/>
      <c r="H204" s="1269"/>
      <c r="I204" s="1056"/>
      <c r="J204" s="1111"/>
      <c r="K204" s="1115"/>
    </row>
    <row r="205" spans="1:11">
      <c r="A205" s="1037"/>
      <c r="B205" s="1038"/>
      <c r="C205" s="1026"/>
      <c r="D205" s="1026"/>
      <c r="E205" s="1026"/>
      <c r="F205" s="1059"/>
      <c r="G205" s="1059"/>
      <c r="H205" s="1269"/>
      <c r="I205" s="1056"/>
      <c r="J205" s="1111"/>
      <c r="K205" s="1025"/>
    </row>
    <row r="206" spans="1:11" ht="15.75">
      <c r="A206" s="1037"/>
      <c r="B206" s="1038"/>
      <c r="C206" s="1026"/>
      <c r="D206" s="1026"/>
      <c r="E206" s="1026"/>
      <c r="F206" s="1059"/>
      <c r="G206" s="1054"/>
      <c r="H206" s="1269"/>
      <c r="I206" s="1056"/>
      <c r="J206" s="1111"/>
      <c r="K206" s="1115"/>
    </row>
    <row r="207" spans="1:11" ht="15.75">
      <c r="A207" s="1037"/>
      <c r="B207" s="1038"/>
      <c r="C207" s="1026"/>
      <c r="D207" s="1026"/>
      <c r="E207" s="1026"/>
      <c r="F207" s="1059"/>
      <c r="G207" s="1054"/>
      <c r="H207" s="1269"/>
      <c r="I207" s="1056"/>
      <c r="J207" s="1111"/>
      <c r="K207" s="1115"/>
    </row>
    <row r="208" spans="1:11" ht="15.75">
      <c r="A208" s="1037"/>
      <c r="B208" s="1038"/>
      <c r="C208" s="1026"/>
      <c r="D208" s="1026"/>
      <c r="E208" s="1026"/>
      <c r="F208" s="1059"/>
      <c r="G208" s="1054"/>
      <c r="H208" s="1269"/>
      <c r="I208" s="1056"/>
      <c r="J208" s="1111"/>
      <c r="K208" s="1115"/>
    </row>
    <row r="209" spans="1:11" ht="15.75">
      <c r="A209" s="1037"/>
      <c r="B209" s="1038"/>
      <c r="C209" s="1026"/>
      <c r="D209" s="1026"/>
      <c r="E209" s="1026"/>
      <c r="F209" s="1059"/>
      <c r="G209" s="1054"/>
      <c r="H209" s="1269"/>
      <c r="I209" s="1056"/>
      <c r="J209" s="1111"/>
      <c r="K209" s="1115"/>
    </row>
    <row r="210" spans="1:11" ht="15.75">
      <c r="A210" s="1037"/>
      <c r="B210" s="1038"/>
      <c r="C210" s="1026"/>
      <c r="D210" s="1026"/>
      <c r="E210" s="1026"/>
      <c r="F210" s="1059"/>
      <c r="G210" s="1054"/>
      <c r="H210" s="1269"/>
      <c r="I210" s="1056"/>
      <c r="J210" s="1111"/>
      <c r="K210" s="1115"/>
    </row>
    <row r="211" spans="1:11" ht="15.75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115"/>
    </row>
    <row r="212" spans="1:11" ht="15.75">
      <c r="A212" s="1037"/>
      <c r="B212" s="1038"/>
      <c r="C212" s="1026"/>
      <c r="D212" s="1026"/>
      <c r="E212" s="1026"/>
      <c r="F212" s="1059"/>
      <c r="G212" s="1054"/>
      <c r="H212" s="1269"/>
      <c r="I212" s="1056"/>
      <c r="J212" s="1111"/>
      <c r="K212" s="1115"/>
    </row>
    <row r="213" spans="1:11" ht="15.75">
      <c r="A213" s="1037"/>
      <c r="B213" s="1038"/>
      <c r="C213" s="1026"/>
      <c r="D213" s="1026"/>
      <c r="E213" s="1026"/>
      <c r="F213" s="1059"/>
      <c r="G213" s="1054"/>
      <c r="H213" s="1269"/>
      <c r="I213" s="1056"/>
      <c r="J213" s="1111"/>
      <c r="K213" s="1115"/>
    </row>
    <row r="214" spans="1:11" ht="15.75">
      <c r="A214" s="1037"/>
      <c r="B214" s="1038"/>
      <c r="C214" s="1026"/>
      <c r="D214" s="1026"/>
      <c r="F214" s="1059"/>
      <c r="G214" s="1054"/>
      <c r="H214" s="1269"/>
      <c r="I214" s="1056"/>
      <c r="J214" s="1111"/>
      <c r="K214" s="1115"/>
    </row>
    <row r="215" spans="1:11" ht="15.75">
      <c r="A215" s="1037"/>
      <c r="B215" s="1038"/>
      <c r="C215" s="1026"/>
      <c r="D215" s="1026"/>
      <c r="E215" s="1026"/>
      <c r="F215" s="1059"/>
      <c r="G215" s="1054"/>
      <c r="H215" s="1269"/>
      <c r="I215" s="1056"/>
      <c r="J215" s="1111"/>
      <c r="K215" s="1115"/>
    </row>
    <row r="216" spans="1:11" ht="15.75">
      <c r="A216" s="1037"/>
      <c r="B216" s="1038"/>
      <c r="C216" s="1026"/>
      <c r="D216" s="1026"/>
      <c r="E216" s="1026"/>
      <c r="F216" s="1059"/>
      <c r="G216" s="1054"/>
      <c r="H216" s="1269"/>
      <c r="I216" s="1056"/>
      <c r="J216" s="1111"/>
      <c r="K216" s="1115"/>
    </row>
    <row r="217" spans="1:11" ht="15.75">
      <c r="A217" s="1037"/>
      <c r="B217" s="1038"/>
      <c r="C217" s="1026"/>
      <c r="D217" s="1026"/>
      <c r="E217" s="1026"/>
      <c r="F217" s="1059"/>
      <c r="G217" s="1054"/>
      <c r="H217" s="1269"/>
      <c r="I217" s="1056"/>
      <c r="J217" s="1111"/>
      <c r="K217" s="1115"/>
    </row>
    <row r="218" spans="1:11" ht="15.75">
      <c r="A218" s="1037"/>
      <c r="B218" s="1038"/>
      <c r="C218" s="1026"/>
      <c r="D218" s="1026"/>
      <c r="E218" s="1026"/>
      <c r="F218" s="1059"/>
      <c r="G218" s="1054"/>
      <c r="H218" s="1269"/>
      <c r="I218" s="1056"/>
      <c r="J218" s="1111"/>
      <c r="K218" s="1115"/>
    </row>
    <row r="219" spans="1:11">
      <c r="A219" s="1037"/>
      <c r="B219" s="1038"/>
      <c r="C219" s="1026"/>
      <c r="D219" s="1026"/>
      <c r="E219" s="1026"/>
      <c r="F219" s="1059"/>
      <c r="G219" s="1054"/>
      <c r="H219" s="1269"/>
      <c r="I219" s="1056"/>
      <c r="J219" s="1111"/>
      <c r="K219" s="1025"/>
    </row>
    <row r="220" spans="1:11">
      <c r="A220" s="1039"/>
      <c r="B220" s="1039"/>
      <c r="C220" s="1025"/>
      <c r="D220" s="1025"/>
      <c r="E220" s="1025"/>
      <c r="F220" s="1061"/>
      <c r="G220" s="1062"/>
      <c r="H220" s="1269"/>
      <c r="I220" s="1056"/>
      <c r="J220" s="1111"/>
      <c r="K220" s="1025"/>
    </row>
    <row r="221" spans="1:11">
      <c r="A221" s="1039"/>
      <c r="B221" s="1039"/>
      <c r="C221" s="1025"/>
      <c r="D221" s="1025"/>
      <c r="E221" s="1025"/>
      <c r="F221" s="1061"/>
      <c r="G221" s="1062"/>
      <c r="H221" s="1269"/>
      <c r="I221" s="1056"/>
      <c r="J221" s="1111"/>
      <c r="K221" s="1025"/>
    </row>
    <row r="222" spans="1:11">
      <c r="A222" s="1039"/>
      <c r="B222" s="1039"/>
      <c r="C222" s="1025"/>
      <c r="D222" s="1025"/>
      <c r="E222" s="1025"/>
      <c r="F222" s="1061"/>
      <c r="G222" s="1062"/>
      <c r="H222" s="1269"/>
      <c r="I222" s="1056"/>
      <c r="J222" s="1111"/>
      <c r="K222" s="1025"/>
    </row>
    <row r="223" spans="1:11">
      <c r="A223" s="1039"/>
      <c r="B223" s="1039"/>
      <c r="C223" s="1025"/>
      <c r="D223" s="1025"/>
      <c r="E223" s="1025"/>
      <c r="F223" s="1061"/>
      <c r="G223" s="1062"/>
      <c r="H223" s="1269"/>
      <c r="I223" s="1056"/>
      <c r="J223" s="1111"/>
      <c r="K223" s="1025"/>
    </row>
    <row r="224" spans="1:11">
      <c r="A224" s="1039"/>
      <c r="B224" s="1039"/>
      <c r="C224" s="1025"/>
      <c r="D224" s="1025"/>
      <c r="E224" s="1025"/>
      <c r="F224" s="1061"/>
      <c r="G224" s="1062"/>
      <c r="H224" s="1269"/>
      <c r="I224" s="1056"/>
      <c r="J224" s="1111"/>
      <c r="K224" s="1025"/>
    </row>
    <row r="225" spans="1:11">
      <c r="A225" s="1039"/>
      <c r="B225" s="1039"/>
      <c r="C225" s="1025"/>
      <c r="D225" s="1025"/>
      <c r="E225" s="1025"/>
      <c r="F225" s="1061"/>
      <c r="G225" s="1062"/>
      <c r="H225" s="1269"/>
      <c r="I225" s="1056"/>
      <c r="J225" s="1111"/>
      <c r="K225" s="1025"/>
    </row>
    <row r="226" spans="1:11">
      <c r="A226" s="1039"/>
      <c r="B226" s="1039"/>
      <c r="C226" s="1025"/>
      <c r="D226" s="1025"/>
      <c r="E226" s="1025"/>
      <c r="F226" s="1061"/>
      <c r="G226" s="1062"/>
      <c r="H226" s="1269"/>
      <c r="I226" s="1056"/>
      <c r="J226" s="1111"/>
      <c r="K226" s="1025"/>
    </row>
    <row r="227" spans="1:11">
      <c r="A227" s="1039"/>
      <c r="B227" s="1039"/>
      <c r="C227" s="1025"/>
      <c r="D227" s="1025"/>
      <c r="E227" s="1025"/>
      <c r="F227" s="1061"/>
      <c r="G227" s="1062"/>
      <c r="H227" s="1269"/>
      <c r="I227" s="1056"/>
      <c r="J227" s="1111"/>
      <c r="K227" s="1025"/>
    </row>
    <row r="228" spans="1:11">
      <c r="A228" s="1039"/>
      <c r="B228" s="1039"/>
      <c r="C228" s="1025"/>
      <c r="D228" s="1025"/>
      <c r="E228" s="1025"/>
      <c r="F228" s="1061"/>
      <c r="G228" s="1062"/>
      <c r="H228" s="1269"/>
      <c r="I228" s="1056"/>
      <c r="J228" s="1111"/>
      <c r="K228" s="1025"/>
    </row>
    <row r="229" spans="1:11">
      <c r="A229" s="1039"/>
      <c r="B229" s="1039"/>
      <c r="C229" s="1025"/>
      <c r="D229" s="1025"/>
      <c r="E229" s="1025"/>
      <c r="F229" s="1061"/>
      <c r="G229" s="1062"/>
      <c r="H229" s="1269"/>
      <c r="I229" s="1056"/>
      <c r="J229" s="1111"/>
      <c r="K229" s="1025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1025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1025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1025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1025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1025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1025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1025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1025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1025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1025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1025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1025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1025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1025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1025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1025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1025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1025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1025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1025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1025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1025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1025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1025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1025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1025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1025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1025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1025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1025"/>
    </row>
    <row r="260" spans="1:11">
      <c r="A260" s="1039"/>
      <c r="B260" s="1039"/>
      <c r="C260" s="1025"/>
      <c r="D260" s="1025"/>
      <c r="E260" s="1025"/>
      <c r="F260" s="1061"/>
      <c r="G260" s="1062"/>
      <c r="H260" s="1269"/>
      <c r="I260" s="1056"/>
      <c r="J260" s="1111"/>
      <c r="K260" s="1025"/>
    </row>
    <row r="261" spans="1:11">
      <c r="A261" s="1039"/>
      <c r="B261" s="1039"/>
      <c r="C261" s="1025"/>
      <c r="D261" s="1025"/>
      <c r="E261" s="1025"/>
      <c r="F261" s="1061"/>
      <c r="G261" s="1062"/>
      <c r="H261" s="1269"/>
      <c r="I261" s="1056"/>
      <c r="J261" s="1111"/>
      <c r="K261" s="1025"/>
    </row>
    <row r="262" spans="1:11">
      <c r="A262" s="1039"/>
      <c r="B262" s="1039"/>
      <c r="C262" s="1025"/>
      <c r="D262" s="1025"/>
      <c r="E262" s="1025"/>
      <c r="F262" s="1061"/>
      <c r="G262" s="1062"/>
      <c r="H262" s="1269"/>
      <c r="I262" s="1056"/>
      <c r="J262" s="1111"/>
      <c r="K262" s="1025"/>
    </row>
    <row r="263" spans="1:11">
      <c r="A263" s="1039"/>
      <c r="B263" s="1039"/>
      <c r="C263" s="1025"/>
      <c r="D263" s="1025"/>
      <c r="E263" s="1025"/>
      <c r="F263" s="1061"/>
      <c r="G263" s="1062"/>
      <c r="H263" s="1269"/>
      <c r="I263" s="1056"/>
      <c r="J263" s="1111"/>
      <c r="K263" s="1025"/>
    </row>
    <row r="264" spans="1:11">
      <c r="A264" s="1039"/>
      <c r="B264" s="1039"/>
      <c r="C264" s="1025"/>
      <c r="D264" s="1025"/>
      <c r="E264" s="1025"/>
      <c r="F264" s="1061"/>
      <c r="G264" s="1062"/>
      <c r="H264" s="1269"/>
      <c r="I264" s="1056"/>
      <c r="J264" s="1111"/>
      <c r="K264" s="1025"/>
    </row>
    <row r="265" spans="1:11">
      <c r="A265" s="1039"/>
      <c r="B265" s="1039"/>
      <c r="C265" s="1025"/>
      <c r="D265" s="1025"/>
      <c r="E265" s="1025"/>
      <c r="F265" s="1061"/>
      <c r="G265" s="1062"/>
      <c r="H265" s="1269"/>
      <c r="I265" s="1056"/>
      <c r="J265" s="1111"/>
      <c r="K265" s="1025"/>
    </row>
    <row r="266" spans="1:11">
      <c r="A266" s="1039"/>
      <c r="B266" s="1039"/>
      <c r="C266" s="1025"/>
      <c r="D266" s="1025"/>
      <c r="E266" s="1025"/>
      <c r="F266" s="1061"/>
      <c r="G266" s="1062"/>
      <c r="H266" s="1269"/>
      <c r="I266" s="1056"/>
      <c r="J266" s="1111"/>
      <c r="K266" s="1025"/>
    </row>
    <row r="267" spans="1:11">
      <c r="A267" s="1025"/>
      <c r="B267" s="1025"/>
      <c r="C267" s="1025"/>
      <c r="D267" s="1025"/>
      <c r="E267" s="1025"/>
      <c r="F267" s="1025"/>
      <c r="G267" s="1025"/>
      <c r="H267" s="1269"/>
      <c r="I267" s="1056"/>
      <c r="J267" s="1111"/>
      <c r="K267" s="1025"/>
    </row>
    <row r="268" spans="1:11">
      <c r="A268" s="1025"/>
      <c r="B268" s="1025"/>
      <c r="C268" s="1025"/>
      <c r="D268" s="1025"/>
      <c r="E268" s="1025"/>
      <c r="F268" s="1025"/>
      <c r="G268" s="1025"/>
      <c r="H268" s="1269"/>
      <c r="I268" s="1056"/>
      <c r="J268" s="1111"/>
      <c r="K268" s="1025"/>
    </row>
    <row r="269" spans="1:11">
      <c r="A269" s="1025"/>
      <c r="B269" s="1025"/>
      <c r="C269" s="1025"/>
      <c r="D269" s="1025"/>
      <c r="E269" s="1025"/>
      <c r="F269" s="1025"/>
      <c r="G269" s="1025"/>
      <c r="H269" s="1269"/>
      <c r="I269" s="1056"/>
      <c r="J269" s="1111"/>
      <c r="K269" s="1025"/>
    </row>
    <row r="270" spans="1:11">
      <c r="A270" s="1025"/>
      <c r="B270" s="1025"/>
      <c r="C270" s="1025"/>
      <c r="D270" s="1025"/>
      <c r="E270" s="1025"/>
      <c r="F270" s="1025"/>
      <c r="G270" s="1025"/>
      <c r="H270" s="1269"/>
      <c r="I270" s="1056"/>
      <c r="J270" s="1111"/>
      <c r="K270" s="1025"/>
    </row>
    <row r="271" spans="1:11">
      <c r="A271" s="1025"/>
      <c r="B271" s="1025"/>
      <c r="C271" s="1025"/>
      <c r="D271" s="1025"/>
      <c r="E271" s="1025"/>
      <c r="F271" s="1025"/>
      <c r="G271" s="1025"/>
      <c r="H271" s="1269"/>
      <c r="I271" s="1056"/>
      <c r="J271" s="1111"/>
      <c r="K271" s="1025"/>
    </row>
    <row r="272" spans="1:11">
      <c r="A272" s="1025"/>
      <c r="B272" s="1025"/>
      <c r="C272" s="1025"/>
      <c r="D272" s="1025"/>
      <c r="E272" s="1025"/>
      <c r="F272" s="1025"/>
      <c r="G272" s="1025"/>
      <c r="H272" s="1269"/>
      <c r="I272" s="1056"/>
      <c r="J272" s="1111"/>
      <c r="K272" s="1025"/>
    </row>
    <row r="273" spans="1:11">
      <c r="A273" s="1025"/>
      <c r="B273" s="1025"/>
      <c r="C273" s="1025"/>
      <c r="D273" s="1025"/>
      <c r="E273" s="1025"/>
      <c r="F273" s="1025"/>
      <c r="G273" s="1025"/>
      <c r="H273" s="1269"/>
      <c r="I273" s="1056"/>
      <c r="J273" s="1111"/>
      <c r="K273" s="1025"/>
    </row>
    <row r="274" spans="1:11">
      <c r="A274" s="1025"/>
      <c r="B274" s="1025"/>
      <c r="C274" s="1025"/>
      <c r="D274" s="1025"/>
      <c r="E274" s="1025"/>
      <c r="F274" s="1025"/>
      <c r="G274" s="1025"/>
      <c r="H274" s="1269"/>
      <c r="I274" s="1056"/>
      <c r="J274" s="1111"/>
      <c r="K274" s="1025"/>
    </row>
    <row r="275" spans="1:11">
      <c r="A275" s="1025"/>
      <c r="B275" s="1025"/>
      <c r="C275" s="1025"/>
      <c r="D275" s="1025"/>
      <c r="E275" s="1025"/>
      <c r="F275" s="1025"/>
      <c r="G275" s="1025"/>
      <c r="H275" s="1269"/>
      <c r="I275" s="1056"/>
      <c r="J275" s="1111"/>
      <c r="K275" s="1025"/>
    </row>
    <row r="276" spans="1:11">
      <c r="A276" s="1025"/>
      <c r="B276" s="1025"/>
      <c r="C276" s="1025"/>
      <c r="D276" s="1025"/>
      <c r="E276" s="1025"/>
      <c r="F276" s="1025"/>
      <c r="G276" s="1025"/>
      <c r="H276" s="1269"/>
      <c r="I276" s="1056"/>
      <c r="J276" s="1111"/>
      <c r="K276" s="1025"/>
    </row>
    <row r="277" spans="1:11">
      <c r="A277" s="1025"/>
      <c r="B277" s="1025"/>
      <c r="C277" s="1025"/>
      <c r="D277" s="1025"/>
      <c r="E277" s="1025"/>
      <c r="F277" s="1025"/>
      <c r="G277" s="1025"/>
      <c r="H277" s="1269"/>
      <c r="I277" s="1056"/>
      <c r="J277" s="1111"/>
      <c r="K277" s="1025"/>
    </row>
    <row r="278" spans="1:11">
      <c r="A278" s="1025"/>
      <c r="B278" s="1025"/>
      <c r="C278" s="1025"/>
      <c r="D278" s="1025"/>
      <c r="E278" s="1025"/>
      <c r="F278" s="1025"/>
      <c r="G278" s="1025"/>
      <c r="H278" s="1269"/>
      <c r="I278" s="1056"/>
      <c r="J278" s="1111"/>
      <c r="K278" s="1025"/>
    </row>
    <row r="279" spans="1:11">
      <c r="A279" s="1025"/>
      <c r="B279" s="1025"/>
      <c r="C279" s="1025"/>
      <c r="D279" s="1025"/>
      <c r="E279" s="1025"/>
      <c r="F279" s="1025"/>
      <c r="G279" s="1025"/>
      <c r="H279" s="1269"/>
      <c r="I279" s="1056"/>
      <c r="J279" s="1111"/>
      <c r="K279" s="1025"/>
    </row>
    <row r="280" spans="1:11">
      <c r="A280" s="1025"/>
      <c r="B280" s="1025"/>
      <c r="C280" s="1025"/>
      <c r="D280" s="1025"/>
      <c r="E280" s="1025"/>
      <c r="F280" s="1025"/>
      <c r="G280" s="1025"/>
      <c r="H280" s="1269"/>
      <c r="I280" s="1056"/>
      <c r="J280" s="1111"/>
      <c r="K280" s="1025"/>
    </row>
    <row r="281" spans="1:11" ht="15.75" thickBot="1">
      <c r="A281" s="1037"/>
      <c r="B281" s="1038"/>
      <c r="C281" s="1026"/>
      <c r="D281" s="1026"/>
      <c r="E281" s="1026"/>
      <c r="F281" s="1059"/>
      <c r="G281" s="1054"/>
      <c r="H281" s="1269"/>
      <c r="I281" s="1056"/>
      <c r="J281" s="1111"/>
      <c r="K281" s="1025"/>
    </row>
    <row r="282" spans="1:11" ht="20.25" thickBot="1">
      <c r="A282" s="1552"/>
      <c r="B282" s="1553"/>
      <c r="C282" s="1553"/>
      <c r="D282" s="1553"/>
      <c r="E282" s="1553"/>
      <c r="F282" s="1554">
        <f>SUM(F161:F169,F171:F281)</f>
        <v>0</v>
      </c>
      <c r="G282" s="1553"/>
      <c r="H282" s="1558">
        <f>SUM(H61:H281)</f>
        <v>0</v>
      </c>
      <c r="I282" s="1554">
        <f>SUM(I161:I281)</f>
        <v>0</v>
      </c>
      <c r="J282" s="1111"/>
      <c r="K282" s="1115"/>
    </row>
  </sheetData>
  <autoFilter ref="A1:K1" xr:uid="{5262DDD7-CE3C-4DA8-92F3-8397CFF04E89}">
    <sortState xmlns:xlrd2="http://schemas.microsoft.com/office/spreadsheetml/2017/richdata2" ref="A2:K41">
      <sortCondition ref="J1"/>
    </sortState>
  </autoFilter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17CD5-0D57-4040-A47C-7DBAEA326DFF}">
  <sheetPr filterMode="1"/>
  <dimension ref="A1:K282"/>
  <sheetViews>
    <sheetView zoomScale="85" zoomScaleNormal="85" workbookViewId="0">
      <pane ySplit="1" topLeftCell="A13" activePane="bottomLeft" state="frozen"/>
      <selection pane="bottomLeft" activeCell="C24" sqref="C24"/>
    </sheetView>
  </sheetViews>
  <sheetFormatPr defaultColWidth="9.140625" defaultRowHeight="15"/>
  <cols>
    <col min="1" max="1" width="15.140625" style="1032" bestFit="1" customWidth="1"/>
    <col min="2" max="2" width="13.5703125" style="1032" customWidth="1"/>
    <col min="3" max="3" width="44.5703125" style="1032" bestFit="1" customWidth="1"/>
    <col min="4" max="4" width="22.28515625" style="1032" bestFit="1" customWidth="1"/>
    <col min="5" max="5" width="11.5703125" style="1032" customWidth="1"/>
    <col min="6" max="6" width="22" style="1032" bestFit="1" customWidth="1"/>
    <col min="7" max="7" width="15" style="1032" customWidth="1"/>
    <col min="8" max="8" width="24.85546875" style="1032" bestFit="1" customWidth="1"/>
    <col min="9" max="9" width="23.28515625" style="1032" bestFit="1" customWidth="1"/>
    <col min="10" max="10" width="13.140625" style="1032" customWidth="1"/>
    <col min="11" max="11" width="16.5703125" style="1032" customWidth="1"/>
    <col min="12" max="16384" width="9.140625" style="1032"/>
  </cols>
  <sheetData>
    <row r="1" spans="1:11" ht="14.25" customHeight="1">
      <c r="A1" s="1575" t="s">
        <v>2519</v>
      </c>
      <c r="B1" s="1576" t="s">
        <v>2</v>
      </c>
      <c r="C1" s="1576" t="s">
        <v>3</v>
      </c>
      <c r="D1" s="1576" t="s">
        <v>4</v>
      </c>
      <c r="E1" s="1576" t="s">
        <v>5</v>
      </c>
      <c r="F1" s="1577" t="s">
        <v>644</v>
      </c>
      <c r="G1" s="1578" t="s">
        <v>555</v>
      </c>
      <c r="H1" s="1579" t="s">
        <v>7</v>
      </c>
      <c r="I1" s="1580" t="s">
        <v>307</v>
      </c>
      <c r="J1" s="1578" t="s">
        <v>370</v>
      </c>
      <c r="K1" s="1290" t="s">
        <v>442</v>
      </c>
    </row>
    <row r="2" spans="1:11" s="1613" customFormat="1" ht="15.75">
      <c r="A2" s="1037">
        <v>45804</v>
      </c>
      <c r="B2" s="1038">
        <v>46174</v>
      </c>
      <c r="C2" s="1026" t="s">
        <v>2863</v>
      </c>
      <c r="D2" s="1026" t="s">
        <v>70</v>
      </c>
      <c r="E2" s="1026" t="s">
        <v>279</v>
      </c>
      <c r="F2" s="1059">
        <v>712.65</v>
      </c>
      <c r="G2" s="1054">
        <v>0.1</v>
      </c>
      <c r="H2" s="1055">
        <v>64.13</v>
      </c>
      <c r="I2" s="1056"/>
      <c r="J2" s="1111"/>
      <c r="K2" s="1551" t="s">
        <v>2015</v>
      </c>
    </row>
    <row r="3" spans="1:11" s="1031" customFormat="1" ht="15.75">
      <c r="A3" s="1040">
        <v>45803</v>
      </c>
      <c r="B3" s="1042">
        <v>46175</v>
      </c>
      <c r="C3" s="1030" t="s">
        <v>2305</v>
      </c>
      <c r="D3" s="1030" t="s">
        <v>9</v>
      </c>
      <c r="E3" s="1030" t="s">
        <v>22</v>
      </c>
      <c r="F3" s="1120">
        <v>925.91</v>
      </c>
      <c r="G3" s="1073">
        <v>0.15</v>
      </c>
      <c r="H3" s="1067">
        <v>124.99</v>
      </c>
      <c r="I3" s="1068">
        <v>12.49</v>
      </c>
      <c r="J3" s="1112" t="s">
        <v>2070</v>
      </c>
      <c r="K3" s="1601" t="s">
        <v>2015</v>
      </c>
    </row>
    <row r="4" spans="1:11" s="1031" customFormat="1" ht="15.75">
      <c r="A4" s="1041">
        <v>45805</v>
      </c>
      <c r="B4" s="1041">
        <v>46176</v>
      </c>
      <c r="C4" s="1027" t="s">
        <v>2865</v>
      </c>
      <c r="D4" s="1027" t="s">
        <v>448</v>
      </c>
      <c r="E4" s="1027" t="s">
        <v>279</v>
      </c>
      <c r="F4" s="1065">
        <v>2164.31</v>
      </c>
      <c r="G4" s="1066">
        <v>0.1</v>
      </c>
      <c r="H4" s="1067">
        <v>194.78</v>
      </c>
      <c r="I4" s="1243">
        <v>19.47</v>
      </c>
      <c r="J4" s="1027" t="s">
        <v>2070</v>
      </c>
      <c r="K4" s="1117" t="s">
        <v>2015</v>
      </c>
    </row>
    <row r="5" spans="1:11" s="1031" customFormat="1" ht="15.75">
      <c r="A5" s="1604">
        <v>45804</v>
      </c>
      <c r="B5" s="1605">
        <v>46176</v>
      </c>
      <c r="C5" s="1606" t="s">
        <v>2864</v>
      </c>
      <c r="D5" s="1614" t="s">
        <v>448</v>
      </c>
      <c r="E5" s="1614" t="s">
        <v>279</v>
      </c>
      <c r="F5" s="1615">
        <v>1505.8</v>
      </c>
      <c r="G5" s="1616">
        <v>0.1</v>
      </c>
      <c r="H5" s="1609">
        <v>135.52000000000001</v>
      </c>
      <c r="I5" s="1610">
        <v>67.760000000000005</v>
      </c>
      <c r="J5" s="1611" t="s">
        <v>1577</v>
      </c>
      <c r="K5" s="1612" t="s">
        <v>2015</v>
      </c>
    </row>
    <row r="6" spans="1:11" s="1027" customFormat="1" ht="15.75">
      <c r="A6" s="1039">
        <v>45807</v>
      </c>
      <c r="B6" s="1039">
        <v>46177</v>
      </c>
      <c r="C6" s="1025" t="s">
        <v>727</v>
      </c>
      <c r="D6" s="1025" t="s">
        <v>448</v>
      </c>
      <c r="E6" s="1025" t="s">
        <v>948</v>
      </c>
      <c r="F6" s="1061">
        <v>1757.65</v>
      </c>
      <c r="G6" s="1062">
        <v>0.15</v>
      </c>
      <c r="H6" s="1055">
        <v>237.28</v>
      </c>
      <c r="I6" s="1242"/>
      <c r="J6" s="1025"/>
      <c r="K6" s="1115" t="s">
        <v>2015</v>
      </c>
    </row>
    <row r="7" spans="1:11" s="1027" customFormat="1" ht="15.75">
      <c r="A7" s="1039">
        <v>45807</v>
      </c>
      <c r="B7" s="1039">
        <v>46178</v>
      </c>
      <c r="C7" s="1025" t="s">
        <v>2868</v>
      </c>
      <c r="D7" s="1025" t="s">
        <v>70</v>
      </c>
      <c r="E7" s="1025" t="s">
        <v>279</v>
      </c>
      <c r="F7" s="1061">
        <v>938.64</v>
      </c>
      <c r="G7" s="1062">
        <v>0.1</v>
      </c>
      <c r="H7" s="1055">
        <v>84.47</v>
      </c>
      <c r="I7" s="1242"/>
      <c r="J7" s="1025"/>
      <c r="K7" s="1115" t="s">
        <v>2015</v>
      </c>
    </row>
    <row r="8" spans="1:11" s="1031" customFormat="1" ht="15.75">
      <c r="A8" s="1124">
        <v>45814</v>
      </c>
      <c r="B8" s="1125">
        <v>46179</v>
      </c>
      <c r="C8" s="1028" t="s">
        <v>2875</v>
      </c>
      <c r="D8" s="1028" t="s">
        <v>448</v>
      </c>
      <c r="E8" s="1028" t="s">
        <v>19</v>
      </c>
      <c r="F8" s="1126">
        <v>1587.31</v>
      </c>
      <c r="G8" s="1127">
        <v>0.15</v>
      </c>
      <c r="H8" s="1128">
        <v>214.28</v>
      </c>
      <c r="I8" s="1129">
        <v>21.42</v>
      </c>
      <c r="J8" s="1130" t="s">
        <v>2070</v>
      </c>
      <c r="K8" s="1468" t="s">
        <v>2015</v>
      </c>
    </row>
    <row r="9" spans="1:11" s="1031" customFormat="1" ht="15.75">
      <c r="A9" s="1040">
        <v>45813</v>
      </c>
      <c r="B9" s="1042">
        <v>46180</v>
      </c>
      <c r="C9" s="1030" t="s">
        <v>2872</v>
      </c>
      <c r="D9" s="1030" t="s">
        <v>21</v>
      </c>
      <c r="E9" s="1030" t="s">
        <v>279</v>
      </c>
      <c r="F9" s="1072">
        <v>6459.79</v>
      </c>
      <c r="G9" s="1073">
        <v>0.11</v>
      </c>
      <c r="H9" s="1067">
        <v>639.51</v>
      </c>
      <c r="I9" s="1068">
        <v>63.95</v>
      </c>
      <c r="J9" s="1112" t="s">
        <v>2070</v>
      </c>
      <c r="K9" s="1117" t="s">
        <v>2015</v>
      </c>
    </row>
    <row r="10" spans="1:11" s="1031" customFormat="1" ht="15" customHeight="1">
      <c r="A10" s="1037">
        <v>45813</v>
      </c>
      <c r="B10" s="1038">
        <v>46182</v>
      </c>
      <c r="C10" s="1026" t="s">
        <v>2871</v>
      </c>
      <c r="D10" s="1026" t="s">
        <v>1862</v>
      </c>
      <c r="E10" s="1026" t="s">
        <v>19</v>
      </c>
      <c r="F10" s="1059">
        <v>1373.2</v>
      </c>
      <c r="G10" s="1054">
        <v>0.1</v>
      </c>
      <c r="H10" s="1055">
        <v>123.58</v>
      </c>
      <c r="I10" s="1056"/>
      <c r="J10" s="1111"/>
      <c r="K10" s="1025" t="s">
        <v>2015</v>
      </c>
    </row>
    <row r="11" spans="1:11" s="1613" customFormat="1" ht="15.75">
      <c r="A11" s="1037">
        <v>45814</v>
      </c>
      <c r="B11" s="1038">
        <v>46182</v>
      </c>
      <c r="C11" s="1026" t="s">
        <v>2874</v>
      </c>
      <c r="D11" s="1026" t="s">
        <v>14</v>
      </c>
      <c r="E11" s="1026" t="s">
        <v>279</v>
      </c>
      <c r="F11" s="1059">
        <v>4128.79</v>
      </c>
      <c r="G11" s="1054">
        <v>0.2</v>
      </c>
      <c r="H11" s="1055">
        <v>743.18</v>
      </c>
      <c r="I11" s="1056"/>
      <c r="J11" s="1111"/>
      <c r="K11" s="1115" t="s">
        <v>2015</v>
      </c>
    </row>
    <row r="12" spans="1:11" s="1613" customFormat="1" ht="15.75">
      <c r="A12" s="1604">
        <v>45819</v>
      </c>
      <c r="B12" s="1605">
        <v>46184</v>
      </c>
      <c r="C12" s="1606" t="s">
        <v>2882</v>
      </c>
      <c r="D12" s="1606" t="s">
        <v>25</v>
      </c>
      <c r="E12" s="1606" t="s">
        <v>19</v>
      </c>
      <c r="F12" s="1607">
        <v>143.91</v>
      </c>
      <c r="G12" s="1608">
        <v>0.15</v>
      </c>
      <c r="H12" s="1609">
        <v>12.95</v>
      </c>
      <c r="I12" s="1610">
        <v>6.47</v>
      </c>
      <c r="J12" s="1611" t="s">
        <v>1577</v>
      </c>
      <c r="K12" s="1612" t="s">
        <v>2015</v>
      </c>
    </row>
    <row r="13" spans="1:11" s="1613" customFormat="1">
      <c r="A13" s="1037">
        <v>45813</v>
      </c>
      <c r="B13" s="1038">
        <v>46184</v>
      </c>
      <c r="C13" s="1025" t="s">
        <v>2873</v>
      </c>
      <c r="D13" s="1025" t="s">
        <v>448</v>
      </c>
      <c r="E13" s="1025" t="s">
        <v>948</v>
      </c>
      <c r="F13" s="1023">
        <v>2126.9699999999998</v>
      </c>
      <c r="G13" s="1062">
        <v>0.1</v>
      </c>
      <c r="H13" s="1023">
        <v>191.42</v>
      </c>
      <c r="I13" s="1056"/>
      <c r="J13" s="1111"/>
      <c r="K13" s="1025" t="s">
        <v>2015</v>
      </c>
    </row>
    <row r="14" spans="1:11" s="1613" customFormat="1" ht="15.75" hidden="1">
      <c r="A14" s="1604">
        <v>45811</v>
      </c>
      <c r="B14" s="1605">
        <v>46185</v>
      </c>
      <c r="C14" s="1614" t="s">
        <v>2885</v>
      </c>
      <c r="D14" s="1614" t="s">
        <v>448</v>
      </c>
      <c r="E14" s="1606" t="s">
        <v>279</v>
      </c>
      <c r="F14" s="1607">
        <v>1018.67</v>
      </c>
      <c r="G14" s="1608">
        <v>0.15</v>
      </c>
      <c r="H14" s="1609">
        <v>165.02</v>
      </c>
      <c r="I14" s="1610">
        <v>82.51</v>
      </c>
      <c r="J14" s="1611" t="s">
        <v>2870</v>
      </c>
      <c r="K14" s="1612" t="s">
        <v>2010</v>
      </c>
    </row>
    <row r="15" spans="1:11" ht="15.75">
      <c r="A15" s="1037">
        <v>45821</v>
      </c>
      <c r="B15" s="1038">
        <v>46186</v>
      </c>
      <c r="C15" s="1025" t="s">
        <v>2881</v>
      </c>
      <c r="D15" s="1026" t="s">
        <v>14</v>
      </c>
      <c r="E15" s="1025" t="s">
        <v>22</v>
      </c>
      <c r="F15" s="1617">
        <v>1504.39</v>
      </c>
      <c r="G15" s="1062">
        <v>0.15</v>
      </c>
      <c r="H15" s="1055">
        <v>203.09</v>
      </c>
      <c r="I15" s="1056"/>
      <c r="J15" s="1111"/>
      <c r="K15" s="1115" t="s">
        <v>2015</v>
      </c>
    </row>
    <row r="16" spans="1:11">
      <c r="A16" s="1037">
        <v>45814</v>
      </c>
      <c r="B16" s="1038">
        <v>46187</v>
      </c>
      <c r="C16" s="1025" t="s">
        <v>2876</v>
      </c>
      <c r="D16" s="1026" t="s">
        <v>25</v>
      </c>
      <c r="E16" s="1025" t="s">
        <v>19</v>
      </c>
      <c r="F16" s="1061">
        <v>1748.1</v>
      </c>
      <c r="G16" s="1062">
        <v>0.15</v>
      </c>
      <c r="H16" s="1055">
        <v>235.99</v>
      </c>
      <c r="I16" s="1056"/>
      <c r="J16" s="1111"/>
      <c r="K16" s="1025" t="s">
        <v>2015</v>
      </c>
    </row>
    <row r="17" spans="1:11" s="1031" customFormat="1" ht="15.75">
      <c r="A17" s="1040">
        <v>45817</v>
      </c>
      <c r="B17" s="1042">
        <v>46188</v>
      </c>
      <c r="C17" s="1027" t="s">
        <v>2879</v>
      </c>
      <c r="D17" s="1030" t="s">
        <v>9</v>
      </c>
      <c r="E17" s="1027" t="s">
        <v>22</v>
      </c>
      <c r="F17" s="1065">
        <v>1660.75</v>
      </c>
      <c r="G17" s="1066">
        <v>0.15</v>
      </c>
      <c r="H17" s="1067">
        <v>224.2</v>
      </c>
      <c r="I17" s="1068">
        <v>22.42</v>
      </c>
      <c r="J17" s="1112" t="s">
        <v>2070</v>
      </c>
      <c r="K17" s="1117" t="s">
        <v>2015</v>
      </c>
    </row>
    <row r="18" spans="1:11" ht="15.75">
      <c r="A18" s="1618">
        <v>45817</v>
      </c>
      <c r="B18" s="1618">
        <v>46190</v>
      </c>
      <c r="C18" s="1606" t="s">
        <v>2878</v>
      </c>
      <c r="D18" s="1606" t="s">
        <v>21</v>
      </c>
      <c r="E18" s="1606" t="s">
        <v>279</v>
      </c>
      <c r="F18" s="1620">
        <v>672.29</v>
      </c>
      <c r="G18" s="1608">
        <v>0.1</v>
      </c>
      <c r="H18" s="1609">
        <v>60.49</v>
      </c>
      <c r="I18" s="1610">
        <v>30.24</v>
      </c>
      <c r="J18" s="1611" t="s">
        <v>1577</v>
      </c>
      <c r="K18" s="1612" t="s">
        <v>2015</v>
      </c>
    </row>
    <row r="19" spans="1:11" ht="15.75">
      <c r="A19" s="1039">
        <v>45826</v>
      </c>
      <c r="B19" s="1039">
        <v>46191</v>
      </c>
      <c r="C19" s="1025" t="s">
        <v>2524</v>
      </c>
      <c r="D19" s="1025" t="s">
        <v>448</v>
      </c>
      <c r="E19" s="1025" t="s">
        <v>29</v>
      </c>
      <c r="F19" s="1023">
        <v>3802.04</v>
      </c>
      <c r="G19" s="1062">
        <v>0.14000000000000001</v>
      </c>
      <c r="H19" s="1023">
        <v>479.05</v>
      </c>
      <c r="I19" s="1056"/>
      <c r="J19" s="1111"/>
      <c r="K19" s="1115" t="s">
        <v>2015</v>
      </c>
    </row>
    <row r="20" spans="1:11" ht="15.75">
      <c r="A20" s="1037">
        <v>45828</v>
      </c>
      <c r="B20" s="1039">
        <v>46193</v>
      </c>
      <c r="C20" s="1025" t="s">
        <v>2888</v>
      </c>
      <c r="D20" s="1026" t="s">
        <v>9</v>
      </c>
      <c r="E20" s="1025" t="s">
        <v>22</v>
      </c>
      <c r="F20" s="1061">
        <v>677.31</v>
      </c>
      <c r="G20" s="1062">
        <v>0.15</v>
      </c>
      <c r="H20" s="1055">
        <v>91.43</v>
      </c>
      <c r="I20" s="1056"/>
      <c r="J20" s="1111"/>
      <c r="K20" s="1115" t="s">
        <v>2015</v>
      </c>
    </row>
    <row r="21" spans="1:11" ht="15.75">
      <c r="A21" s="1604">
        <v>45829</v>
      </c>
      <c r="B21" s="1618">
        <v>46194</v>
      </c>
      <c r="C21" s="1606" t="s">
        <v>2886</v>
      </c>
      <c r="D21" s="1614" t="s">
        <v>448</v>
      </c>
      <c r="E21" s="1606" t="s">
        <v>545</v>
      </c>
      <c r="F21" s="1607"/>
      <c r="G21" s="1608"/>
      <c r="H21" s="1609"/>
      <c r="I21" s="1610"/>
      <c r="J21" s="1611" t="s">
        <v>1577</v>
      </c>
      <c r="K21" s="1612" t="s">
        <v>2015</v>
      </c>
    </row>
    <row r="22" spans="1:11" ht="15.75">
      <c r="A22" s="1037">
        <v>45824</v>
      </c>
      <c r="B22" s="1039">
        <v>46194</v>
      </c>
      <c r="C22" s="1025" t="s">
        <v>2609</v>
      </c>
      <c r="D22" s="1026" t="s">
        <v>25</v>
      </c>
      <c r="E22" s="1025" t="s">
        <v>1310</v>
      </c>
      <c r="F22" s="1023">
        <v>2475.0700000000002</v>
      </c>
      <c r="G22" s="1062">
        <v>0.1</v>
      </c>
      <c r="H22" s="1055">
        <v>222.75</v>
      </c>
      <c r="I22" s="1056"/>
      <c r="J22" s="1111"/>
      <c r="K22" s="1115" t="s">
        <v>2015</v>
      </c>
    </row>
    <row r="23" spans="1:11">
      <c r="A23" s="1039">
        <v>45825</v>
      </c>
      <c r="B23" s="1039">
        <v>46194</v>
      </c>
      <c r="C23" s="1039" t="s">
        <v>2883</v>
      </c>
      <c r="D23" s="1039" t="s">
        <v>9</v>
      </c>
      <c r="E23" s="1039" t="s">
        <v>29</v>
      </c>
      <c r="F23" s="1023">
        <v>1996.15</v>
      </c>
      <c r="G23" s="1062">
        <v>0.2</v>
      </c>
      <c r="H23" s="1023">
        <v>359.3</v>
      </c>
      <c r="I23" s="1023"/>
      <c r="J23" s="1039"/>
      <c r="K23" s="1039" t="s">
        <v>2015</v>
      </c>
    </row>
    <row r="24" spans="1:11" ht="15.75">
      <c r="A24" s="1037">
        <v>45828</v>
      </c>
      <c r="B24" s="1039">
        <v>46195</v>
      </c>
      <c r="C24" s="1032" t="s">
        <v>2887</v>
      </c>
      <c r="D24" s="1026" t="s">
        <v>14</v>
      </c>
      <c r="E24" s="1026" t="s">
        <v>19</v>
      </c>
      <c r="F24" s="1104">
        <v>1256.56</v>
      </c>
      <c r="G24" s="1062">
        <v>0.15</v>
      </c>
      <c r="H24" s="1055">
        <v>169.63</v>
      </c>
      <c r="I24" s="1056"/>
      <c r="J24" s="1111"/>
      <c r="K24" s="1115" t="s">
        <v>2015</v>
      </c>
    </row>
    <row r="25" spans="1:11" ht="15.75">
      <c r="A25" s="1040">
        <v>45831</v>
      </c>
      <c r="B25" s="1042">
        <v>46196</v>
      </c>
      <c r="C25" s="1027" t="s">
        <v>2891</v>
      </c>
      <c r="D25" s="1030" t="s">
        <v>448</v>
      </c>
      <c r="E25" s="1030" t="s">
        <v>279</v>
      </c>
      <c r="F25" s="1072">
        <v>1127.3699999999999</v>
      </c>
      <c r="G25" s="1073">
        <v>0.1</v>
      </c>
      <c r="H25" s="1067">
        <v>101.46</v>
      </c>
      <c r="I25" s="1068">
        <v>10.14</v>
      </c>
      <c r="J25" s="1112" t="s">
        <v>2070</v>
      </c>
      <c r="K25" s="1117" t="s">
        <v>2015</v>
      </c>
    </row>
    <row r="26" spans="1:11" ht="15.75">
      <c r="A26" s="1037">
        <v>45831</v>
      </c>
      <c r="B26" s="1038">
        <v>46196</v>
      </c>
      <c r="C26" s="1025" t="s">
        <v>2889</v>
      </c>
      <c r="D26" s="1026" t="s">
        <v>9</v>
      </c>
      <c r="E26" s="1026" t="s">
        <v>1310</v>
      </c>
      <c r="F26" s="1059">
        <v>2589.3000000000002</v>
      </c>
      <c r="G26" s="1054">
        <v>0.15</v>
      </c>
      <c r="H26" s="1055">
        <v>0.55000000000000004</v>
      </c>
      <c r="I26" s="1056"/>
      <c r="J26" s="1111"/>
      <c r="K26" s="1115" t="s">
        <v>2015</v>
      </c>
    </row>
    <row r="27" spans="1:11" ht="15.75">
      <c r="A27" s="1037">
        <v>45831</v>
      </c>
      <c r="B27" s="1038">
        <v>46197</v>
      </c>
      <c r="C27" s="1025" t="s">
        <v>2890</v>
      </c>
      <c r="D27" s="1026" t="s">
        <v>9</v>
      </c>
      <c r="E27" s="1026" t="s">
        <v>1310</v>
      </c>
      <c r="F27" s="1059">
        <v>3134.55</v>
      </c>
      <c r="G27" s="1054">
        <v>0.15</v>
      </c>
      <c r="H27" s="1055">
        <v>423.16</v>
      </c>
      <c r="I27" s="1056"/>
      <c r="J27" s="1111"/>
      <c r="K27" s="1115" t="s">
        <v>2015</v>
      </c>
    </row>
    <row r="28" spans="1:11" ht="15.75" hidden="1">
      <c r="A28" s="1041">
        <v>45833</v>
      </c>
      <c r="B28" s="1041">
        <v>46198</v>
      </c>
      <c r="C28" s="1027" t="s">
        <v>2892</v>
      </c>
      <c r="D28" s="1027" t="s">
        <v>2472</v>
      </c>
      <c r="E28" s="1027" t="s">
        <v>19</v>
      </c>
      <c r="F28" s="1619">
        <v>4499.92</v>
      </c>
      <c r="G28" s="1066">
        <v>0.17</v>
      </c>
      <c r="H28" s="1067">
        <v>688.48</v>
      </c>
      <c r="I28" s="1243">
        <v>68.84</v>
      </c>
      <c r="J28" s="1027" t="s">
        <v>2070</v>
      </c>
      <c r="K28" s="1117" t="s">
        <v>2010</v>
      </c>
    </row>
    <row r="29" spans="1:11" ht="15.75">
      <c r="A29" s="1037">
        <v>45834</v>
      </c>
      <c r="B29" s="1038">
        <v>46199</v>
      </c>
      <c r="C29" s="1025" t="s">
        <v>2613</v>
      </c>
      <c r="D29" s="1026" t="s">
        <v>14</v>
      </c>
      <c r="E29" s="1026" t="s">
        <v>948</v>
      </c>
      <c r="F29" s="1059">
        <v>1167.03</v>
      </c>
      <c r="G29" s="1054">
        <v>0.2</v>
      </c>
      <c r="H29" s="1055">
        <v>233.4</v>
      </c>
      <c r="I29" s="1056"/>
      <c r="J29" s="1111"/>
      <c r="K29" s="1115" t="s">
        <v>2015</v>
      </c>
    </row>
    <row r="30" spans="1:11" ht="15.75" hidden="1">
      <c r="A30" s="1040">
        <v>45835</v>
      </c>
      <c r="B30" s="1042">
        <v>46200</v>
      </c>
      <c r="C30" s="1030" t="s">
        <v>2895</v>
      </c>
      <c r="D30" s="1030" t="s">
        <v>448</v>
      </c>
      <c r="E30" s="1030" t="s">
        <v>1582</v>
      </c>
      <c r="F30" s="1072">
        <v>2596.79</v>
      </c>
      <c r="G30" s="1073">
        <v>0.15</v>
      </c>
      <c r="H30" s="1067">
        <v>350.56</v>
      </c>
      <c r="I30" s="1068">
        <v>35.049999999999997</v>
      </c>
      <c r="J30" s="1112" t="s">
        <v>2070</v>
      </c>
      <c r="K30" s="1117" t="s">
        <v>2356</v>
      </c>
    </row>
    <row r="31" spans="1:11" ht="15.75">
      <c r="A31" s="1037">
        <v>45828</v>
      </c>
      <c r="B31" s="1038">
        <v>46201</v>
      </c>
      <c r="C31" s="1026" t="s">
        <v>2614</v>
      </c>
      <c r="D31" s="1026" t="s">
        <v>448</v>
      </c>
      <c r="E31" s="1026" t="s">
        <v>19</v>
      </c>
      <c r="F31" s="1059">
        <v>912.92</v>
      </c>
      <c r="G31" s="1054">
        <v>0.15</v>
      </c>
      <c r="H31" s="1055">
        <v>123.24</v>
      </c>
      <c r="I31" s="1056"/>
      <c r="J31" s="1111"/>
      <c r="K31" s="1115" t="s">
        <v>2015</v>
      </c>
    </row>
    <row r="32" spans="1:11" ht="15.75">
      <c r="A32" s="1037">
        <v>45835</v>
      </c>
      <c r="B32" s="1038">
        <v>46202</v>
      </c>
      <c r="C32" s="1025" t="s">
        <v>2251</v>
      </c>
      <c r="D32" s="1026" t="s">
        <v>448</v>
      </c>
      <c r="E32" s="1026" t="s">
        <v>143</v>
      </c>
      <c r="F32" s="1059">
        <v>1298.46</v>
      </c>
      <c r="G32" s="1054">
        <v>0.1</v>
      </c>
      <c r="H32" s="1055">
        <v>116.86</v>
      </c>
      <c r="I32" s="1056"/>
      <c r="J32" s="1111"/>
      <c r="K32" s="1115" t="s">
        <v>2015</v>
      </c>
    </row>
    <row r="33" spans="1:11" ht="15.75" hidden="1">
      <c r="A33" s="1037">
        <v>45814</v>
      </c>
      <c r="B33" s="1038" t="s">
        <v>1805</v>
      </c>
      <c r="C33" s="1026" t="s">
        <v>2877</v>
      </c>
      <c r="D33" s="1026" t="s">
        <v>70</v>
      </c>
      <c r="E33" s="1025" t="s">
        <v>279</v>
      </c>
      <c r="F33" s="1061">
        <v>993.41</v>
      </c>
      <c r="G33" s="1062">
        <v>0.1</v>
      </c>
      <c r="H33" s="1055">
        <v>89.4</v>
      </c>
      <c r="I33" s="1056"/>
      <c r="J33" s="1111"/>
      <c r="K33" s="1115" t="s">
        <v>1805</v>
      </c>
    </row>
    <row r="34" spans="1:11" ht="15.75" hidden="1">
      <c r="A34" s="1037">
        <v>45826</v>
      </c>
      <c r="B34" s="1038" t="s">
        <v>1805</v>
      </c>
      <c r="C34" s="1026" t="s">
        <v>2884</v>
      </c>
      <c r="D34" s="1026" t="s">
        <v>149</v>
      </c>
      <c r="E34" s="1026" t="s">
        <v>279</v>
      </c>
      <c r="F34" s="1053">
        <v>317.18</v>
      </c>
      <c r="G34" s="1054">
        <v>0.2</v>
      </c>
      <c r="H34" s="1055">
        <v>57.09</v>
      </c>
      <c r="I34" s="1056"/>
      <c r="J34" s="1111"/>
      <c r="K34" s="1115" t="s">
        <v>1805</v>
      </c>
    </row>
    <row r="35" spans="1:11" ht="15.75" hidden="1">
      <c r="A35" s="1037">
        <v>45835</v>
      </c>
      <c r="B35" s="1039" t="s">
        <v>1805</v>
      </c>
      <c r="C35" s="1025" t="s">
        <v>2893</v>
      </c>
      <c r="D35" s="1026" t="s">
        <v>33</v>
      </c>
      <c r="E35" s="1025" t="s">
        <v>29</v>
      </c>
      <c r="F35" s="1061">
        <v>591.88</v>
      </c>
      <c r="G35" s="1062">
        <v>0.1</v>
      </c>
      <c r="H35" s="1055">
        <v>79.900000000000006</v>
      </c>
      <c r="I35" s="1056"/>
      <c r="J35" s="1111"/>
      <c r="K35" s="1115" t="s">
        <v>1805</v>
      </c>
    </row>
    <row r="36" spans="1:11" ht="15.75">
      <c r="A36" s="1037">
        <v>45835</v>
      </c>
      <c r="B36" s="1038" t="s">
        <v>1805</v>
      </c>
      <c r="C36" s="1026" t="s">
        <v>2894</v>
      </c>
      <c r="D36" s="1026" t="s">
        <v>25</v>
      </c>
      <c r="E36" s="1026" t="s">
        <v>1310</v>
      </c>
      <c r="F36" s="1071">
        <v>326.33</v>
      </c>
      <c r="G36" s="1054">
        <v>0.1</v>
      </c>
      <c r="H36" s="1055">
        <v>29.36</v>
      </c>
      <c r="I36" s="1056"/>
      <c r="J36" s="1111"/>
      <c r="K36" s="1115" t="s">
        <v>2015</v>
      </c>
    </row>
    <row r="37" spans="1:11" ht="15.75">
      <c r="A37" s="1037"/>
      <c r="B37" s="1038"/>
      <c r="C37" s="1026"/>
      <c r="D37" s="1026"/>
      <c r="E37" s="1026"/>
      <c r="F37" s="1053"/>
      <c r="G37" s="1054"/>
      <c r="H37" s="1055"/>
      <c r="I37" s="1056"/>
      <c r="J37" s="1111"/>
      <c r="K37" s="1115"/>
    </row>
    <row r="38" spans="1:11" ht="15.75">
      <c r="A38" s="1037"/>
      <c r="B38" s="1038"/>
      <c r="C38" s="1026"/>
      <c r="D38" s="1026"/>
      <c r="E38" s="1026"/>
      <c r="F38" s="1059"/>
      <c r="G38" s="1054"/>
      <c r="H38" s="1055"/>
      <c r="I38" s="1056"/>
      <c r="J38" s="1111"/>
      <c r="K38" s="1115"/>
    </row>
    <row r="39" spans="1:11" ht="15.75">
      <c r="A39" s="1037"/>
      <c r="B39" s="1038"/>
      <c r="C39" s="1026"/>
      <c r="D39" s="1026"/>
      <c r="E39" s="1026"/>
      <c r="F39" s="1059"/>
      <c r="G39" s="1054"/>
      <c r="H39" s="1055"/>
      <c r="I39" s="1056"/>
      <c r="J39" s="1111"/>
      <c r="K39" s="1115"/>
    </row>
    <row r="40" spans="1:11" ht="15.75">
      <c r="A40" s="1037"/>
      <c r="B40" s="1038"/>
      <c r="C40" s="1025"/>
      <c r="D40" s="1026"/>
      <c r="E40" s="1026"/>
      <c r="F40" s="1059"/>
      <c r="G40" s="1054"/>
      <c r="H40" s="1055"/>
      <c r="I40" s="1056"/>
      <c r="J40" s="1111"/>
      <c r="K40" s="1115"/>
    </row>
    <row r="41" spans="1:11" ht="15.75">
      <c r="A41" s="1037"/>
      <c r="B41" s="1038"/>
      <c r="C41" s="1025"/>
      <c r="D41" s="1026"/>
      <c r="E41" s="1026"/>
      <c r="F41" s="1059"/>
      <c r="G41" s="1054"/>
      <c r="H41" s="1055"/>
      <c r="I41" s="1056"/>
      <c r="J41" s="1111"/>
      <c r="K41" s="1115"/>
    </row>
    <row r="42" spans="1:11" ht="15.75">
      <c r="A42" s="1037"/>
      <c r="B42" s="1038"/>
      <c r="C42" s="1026"/>
      <c r="D42" s="1026"/>
      <c r="E42" s="1026"/>
      <c r="F42" s="1059"/>
      <c r="G42" s="1054"/>
      <c r="H42" s="1055"/>
      <c r="I42" s="1056"/>
      <c r="J42" s="1111"/>
      <c r="K42" s="1115"/>
    </row>
    <row r="43" spans="1:11" ht="15.75">
      <c r="A43" s="1037"/>
      <c r="B43" s="1038"/>
      <c r="C43" s="1026"/>
      <c r="D43" s="1026"/>
      <c r="E43" s="1026"/>
      <c r="F43" s="1059"/>
      <c r="G43" s="1054"/>
      <c r="H43" s="1088"/>
      <c r="I43" s="1089"/>
      <c r="J43" s="1111"/>
      <c r="K43" s="1115"/>
    </row>
    <row r="44" spans="1:11" ht="15.75">
      <c r="A44" s="1037"/>
      <c r="B44" s="1038"/>
      <c r="C44" s="1026"/>
      <c r="D44" s="1026"/>
      <c r="E44" s="1026"/>
      <c r="F44" s="1484"/>
      <c r="G44" s="1054"/>
      <c r="H44" s="1055"/>
      <c r="I44" s="1056"/>
      <c r="J44" s="1111"/>
      <c r="K44" s="1115"/>
    </row>
    <row r="45" spans="1:11" ht="15.75">
      <c r="A45" s="1037"/>
      <c r="B45" s="1038"/>
      <c r="C45" s="1026"/>
      <c r="D45" s="1026"/>
      <c r="E45" s="1026"/>
      <c r="F45" s="1059"/>
      <c r="G45" s="1054"/>
      <c r="H45" s="1055"/>
      <c r="I45" s="1056"/>
      <c r="J45" s="1111"/>
      <c r="K45" s="1115"/>
    </row>
    <row r="46" spans="1:11" ht="15.75">
      <c r="A46" s="1037"/>
      <c r="B46" s="1038"/>
      <c r="C46" s="1026"/>
      <c r="D46" s="1026"/>
      <c r="E46" s="1026"/>
      <c r="F46" s="1059"/>
      <c r="G46" s="1054"/>
      <c r="H46" s="1055"/>
      <c r="I46" s="1056"/>
      <c r="J46" s="1111"/>
      <c r="K46" s="1115"/>
    </row>
    <row r="47" spans="1:11" ht="15.75">
      <c r="A47" s="1037"/>
      <c r="B47" s="1038"/>
      <c r="C47" s="1026"/>
      <c r="D47" s="1026"/>
      <c r="E47" s="1026"/>
      <c r="F47" s="1059"/>
      <c r="G47" s="1054"/>
      <c r="H47" s="1055"/>
      <c r="I47" s="1056"/>
      <c r="J47" s="1111"/>
      <c r="K47" s="1115"/>
    </row>
    <row r="48" spans="1:11" ht="15.75">
      <c r="A48" s="1037"/>
      <c r="B48" s="1038"/>
      <c r="C48" s="1026"/>
      <c r="D48" s="1026"/>
      <c r="E48" s="1026"/>
      <c r="F48" s="1059"/>
      <c r="G48" s="1054"/>
      <c r="H48" s="1055"/>
      <c r="I48" s="1056"/>
      <c r="J48" s="1111"/>
      <c r="K48" s="1115"/>
    </row>
    <row r="49" spans="1:11" ht="15.75">
      <c r="A49" s="1037"/>
      <c r="B49" s="1038"/>
      <c r="C49" s="1026"/>
      <c r="D49" s="1026"/>
      <c r="E49" s="1026"/>
      <c r="F49" s="1059"/>
      <c r="G49" s="1054"/>
      <c r="H49" s="1055"/>
      <c r="I49" s="1056"/>
      <c r="J49" s="1111"/>
      <c r="K49" s="1115"/>
    </row>
    <row r="50" spans="1:11" ht="15.75">
      <c r="A50" s="1037"/>
      <c r="B50" s="1038"/>
      <c r="C50" s="1026"/>
      <c r="D50" s="1026"/>
      <c r="E50" s="1026"/>
      <c r="F50" s="1059"/>
      <c r="G50" s="1054"/>
      <c r="H50" s="1055"/>
      <c r="I50" s="1056"/>
      <c r="J50" s="1111"/>
      <c r="K50" s="1115"/>
    </row>
    <row r="51" spans="1:11" ht="15.75">
      <c r="A51" s="1037"/>
      <c r="B51" s="1038"/>
      <c r="C51" s="1026"/>
      <c r="D51" s="1026"/>
      <c r="E51" s="1026"/>
      <c r="F51" s="1059"/>
      <c r="G51" s="1054"/>
      <c r="H51" s="1055"/>
      <c r="I51" s="1056"/>
      <c r="J51" s="1111"/>
      <c r="K51" s="1115"/>
    </row>
    <row r="52" spans="1:11" ht="15.75">
      <c r="A52" s="1037"/>
      <c r="B52" s="1038"/>
      <c r="C52" s="1026"/>
      <c r="D52" s="1026"/>
      <c r="E52" s="1026"/>
      <c r="F52" s="1059"/>
      <c r="G52" s="1054"/>
      <c r="H52" s="1055"/>
      <c r="I52" s="1056"/>
      <c r="J52" s="1111"/>
      <c r="K52" s="1115"/>
    </row>
    <row r="53" spans="1:11" ht="15.75">
      <c r="A53" s="1037"/>
      <c r="B53" s="1038"/>
      <c r="C53" s="1026"/>
      <c r="D53" s="1026"/>
      <c r="E53" s="1026"/>
      <c r="F53" s="1059"/>
      <c r="G53" s="1054"/>
      <c r="H53" s="1055"/>
      <c r="I53" s="1056"/>
      <c r="J53" s="1111"/>
      <c r="K53" s="1115"/>
    </row>
    <row r="54" spans="1:11" ht="15.75">
      <c r="A54" s="1037"/>
      <c r="B54" s="1038"/>
      <c r="C54" s="1026"/>
      <c r="D54" s="1026"/>
      <c r="E54" s="1026"/>
      <c r="F54" s="1059"/>
      <c r="G54" s="1054"/>
      <c r="H54" s="1055"/>
      <c r="I54" s="1056"/>
      <c r="J54" s="1111"/>
      <c r="K54" s="1115"/>
    </row>
    <row r="55" spans="1:11" ht="15.75">
      <c r="A55" s="1037"/>
      <c r="B55" s="1038"/>
      <c r="C55" s="1026"/>
      <c r="D55" s="1026"/>
      <c r="E55" s="1026"/>
      <c r="F55" s="1059"/>
      <c r="G55" s="1054"/>
      <c r="H55" s="1055"/>
      <c r="I55" s="1056"/>
      <c r="J55" s="1111"/>
      <c r="K55" s="1115"/>
    </row>
    <row r="56" spans="1:11" ht="15.75">
      <c r="A56" s="1037"/>
      <c r="B56" s="1038"/>
      <c r="C56" s="1026"/>
      <c r="D56" s="1026"/>
      <c r="E56" s="1026"/>
      <c r="F56" s="1059"/>
      <c r="G56" s="1054"/>
      <c r="H56" s="1055"/>
      <c r="I56" s="1056"/>
      <c r="J56" s="1111"/>
      <c r="K56" s="1115"/>
    </row>
    <row r="57" spans="1:11" ht="15.75">
      <c r="A57" s="1037"/>
      <c r="B57" s="1038"/>
      <c r="C57" s="1026"/>
      <c r="D57" s="1026"/>
      <c r="E57" s="1026"/>
      <c r="F57" s="1059"/>
      <c r="G57" s="1054"/>
      <c r="H57" s="1055"/>
      <c r="I57" s="1056"/>
      <c r="J57" s="1111"/>
      <c r="K57" s="1115"/>
    </row>
    <row r="58" spans="1:11" ht="15.75">
      <c r="A58" s="1037"/>
      <c r="B58" s="1038"/>
      <c r="C58" s="1026"/>
      <c r="D58" s="1026"/>
      <c r="E58" s="1026"/>
      <c r="F58" s="1059"/>
      <c r="G58" s="1054"/>
      <c r="H58" s="1055"/>
      <c r="I58" s="1056"/>
      <c r="J58" s="1111"/>
      <c r="K58" s="1115"/>
    </row>
    <row r="59" spans="1:11" ht="16.5" thickBot="1">
      <c r="A59" s="1037"/>
      <c r="B59" s="1038"/>
      <c r="C59" s="1026"/>
      <c r="D59" s="1026"/>
      <c r="E59" s="1026"/>
      <c r="F59" s="1059"/>
      <c r="G59" s="1054"/>
      <c r="H59" s="1055"/>
      <c r="I59" s="1056"/>
      <c r="J59" s="1111"/>
      <c r="K59" s="1115"/>
    </row>
    <row r="60" spans="1:11" ht="20.25" thickBot="1">
      <c r="A60" s="1552"/>
      <c r="B60" s="1553"/>
      <c r="C60" s="1553"/>
      <c r="D60" s="1553"/>
      <c r="E60" s="1553"/>
      <c r="F60" s="1554">
        <f>SUM(F2:F5,F6:F59)</f>
        <v>60191.4</v>
      </c>
      <c r="G60" s="1555"/>
      <c r="H60" s="1556">
        <f>SUM(H2:H59)</f>
        <v>7270.4999999999991</v>
      </c>
      <c r="I60" s="1557">
        <f>SUM(I2:I59)</f>
        <v>440.76000000000005</v>
      </c>
      <c r="J60" s="1111"/>
      <c r="K60" s="1115"/>
    </row>
    <row r="61" spans="1:11" ht="15.75" customHeight="1">
      <c r="A61" s="1037"/>
      <c r="B61" s="1038"/>
      <c r="C61" s="1026"/>
      <c r="D61" s="1026"/>
      <c r="E61" s="1026"/>
      <c r="F61" s="1059"/>
      <c r="G61" s="1054"/>
      <c r="H61" s="1269"/>
      <c r="I61" s="1056"/>
      <c r="J61" s="1111"/>
      <c r="K61" s="1115"/>
    </row>
    <row r="62" spans="1:11" ht="15.75" customHeight="1">
      <c r="A62" s="1037"/>
      <c r="B62" s="1037"/>
      <c r="C62" s="1026"/>
      <c r="D62" s="1026"/>
      <c r="E62" s="1026"/>
      <c r="F62" s="1059"/>
      <c r="G62" s="1054"/>
      <c r="H62" s="1269"/>
      <c r="I62" s="1056"/>
      <c r="J62" s="1111"/>
      <c r="K62" s="1115"/>
    </row>
    <row r="63" spans="1:11" ht="15.75" customHeight="1">
      <c r="A63" s="1037"/>
      <c r="B63" s="1038"/>
      <c r="C63" s="1026"/>
      <c r="D63" s="1026"/>
      <c r="E63" s="1026"/>
      <c r="F63" s="1059"/>
      <c r="G63" s="1054"/>
      <c r="H63" s="1269"/>
      <c r="I63" s="1056"/>
      <c r="J63" s="1111"/>
      <c r="K63" s="1115"/>
    </row>
    <row r="64" spans="1:11" ht="15.75" customHeight="1">
      <c r="A64" s="1037"/>
      <c r="B64" s="1038"/>
      <c r="C64" s="1026"/>
      <c r="D64" s="1026"/>
      <c r="E64" s="1026"/>
      <c r="F64" s="1059"/>
      <c r="G64" s="1054"/>
      <c r="H64" s="1269"/>
      <c r="I64" s="1056"/>
      <c r="J64" s="1111"/>
      <c r="K64" s="1115"/>
    </row>
    <row r="65" spans="1:11" ht="15.75" customHeight="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115"/>
    </row>
    <row r="66" spans="1:11" ht="15.75" customHeight="1">
      <c r="A66" s="1037"/>
      <c r="B66" s="1038"/>
      <c r="C66" s="1026"/>
      <c r="D66" s="1026"/>
      <c r="E66" s="1026"/>
      <c r="F66" s="1059"/>
      <c r="G66" s="1054"/>
      <c r="H66" s="1269"/>
      <c r="I66" s="1056"/>
      <c r="J66" s="1111"/>
      <c r="K66" s="1115"/>
    </row>
    <row r="67" spans="1:11" ht="15.75" customHeight="1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1115"/>
    </row>
    <row r="68" spans="1:11" ht="15.75" customHeight="1">
      <c r="A68" s="1037"/>
      <c r="B68" s="1038"/>
      <c r="C68" s="1026"/>
      <c r="D68" s="1026"/>
      <c r="E68" s="1026"/>
      <c r="F68" s="1059"/>
      <c r="G68" s="1054"/>
      <c r="H68" s="1269"/>
      <c r="I68" s="1056"/>
      <c r="J68" s="1111"/>
      <c r="K68" s="1115"/>
    </row>
    <row r="69" spans="1:11" ht="15.75" customHeight="1">
      <c r="A69" s="1037"/>
      <c r="B69" s="1038"/>
      <c r="C69" s="1026"/>
      <c r="D69" s="1026"/>
      <c r="E69" s="1026"/>
      <c r="F69" s="1059"/>
      <c r="G69" s="1054"/>
      <c r="H69" s="1269"/>
      <c r="I69" s="1056"/>
      <c r="J69" s="1111"/>
      <c r="K69" s="1115"/>
    </row>
    <row r="70" spans="1:11" ht="15.75" customHeight="1">
      <c r="A70" s="1037"/>
      <c r="B70" s="1038"/>
      <c r="C70" s="1026"/>
      <c r="D70" s="1026"/>
      <c r="E70" s="1026"/>
      <c r="F70" s="1059"/>
      <c r="G70" s="1054"/>
      <c r="H70" s="1269"/>
      <c r="I70" s="1056"/>
      <c r="J70" s="1111"/>
      <c r="K70" s="1025"/>
    </row>
    <row r="71" spans="1:11" ht="15.75" customHeight="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115"/>
    </row>
    <row r="72" spans="1:11" ht="15.75" customHeight="1">
      <c r="A72" s="1037"/>
      <c r="B72" s="1038"/>
      <c r="C72" s="1026"/>
      <c r="D72" s="1026"/>
      <c r="E72" s="1026"/>
      <c r="F72" s="1059"/>
      <c r="G72" s="1059"/>
      <c r="H72" s="1269"/>
      <c r="I72" s="1056"/>
      <c r="J72" s="1111"/>
      <c r="K72" s="1115"/>
    </row>
    <row r="73" spans="1:11" ht="15.75" customHeight="1">
      <c r="A73" s="1037"/>
      <c r="B73" s="1038"/>
      <c r="C73" s="1026"/>
      <c r="D73" s="1026"/>
      <c r="E73" s="1026"/>
      <c r="F73" s="1059"/>
      <c r="G73" s="1059"/>
      <c r="H73" s="1269"/>
      <c r="I73" s="1056"/>
      <c r="J73" s="1111"/>
      <c r="K73" s="1025"/>
    </row>
    <row r="74" spans="1:11" ht="15.75" customHeight="1">
      <c r="A74" s="1037"/>
      <c r="B74" s="1038"/>
      <c r="C74" s="1026"/>
      <c r="D74" s="1026"/>
      <c r="E74" s="1026"/>
      <c r="F74" s="1059"/>
      <c r="G74" s="1059"/>
      <c r="H74" s="1269"/>
      <c r="I74" s="1056"/>
      <c r="J74" s="1111"/>
      <c r="K74" s="1025"/>
    </row>
    <row r="75" spans="1:11" ht="15.75" customHeight="1">
      <c r="A75" s="1037"/>
      <c r="B75" s="1038"/>
      <c r="C75" s="1026"/>
      <c r="D75" s="1026"/>
      <c r="E75" s="1026"/>
      <c r="F75" s="1059"/>
      <c r="G75" s="1054"/>
      <c r="H75" s="1269"/>
      <c r="I75" s="1056"/>
      <c r="J75" s="1111"/>
      <c r="K75" s="1115"/>
    </row>
    <row r="76" spans="1:11" ht="15.75" customHeight="1">
      <c r="A76" s="1037"/>
      <c r="B76" s="1038"/>
      <c r="C76" s="1026"/>
      <c r="D76" s="1026"/>
      <c r="E76" s="1026"/>
      <c r="F76" s="1059"/>
      <c r="G76" s="1054"/>
      <c r="H76" s="1269"/>
      <c r="I76" s="1056"/>
      <c r="J76" s="1111"/>
      <c r="K76" s="1115"/>
    </row>
    <row r="77" spans="1:11" ht="15.75" customHeight="1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1115"/>
    </row>
    <row r="78" spans="1:11" ht="15.75">
      <c r="A78" s="1037"/>
      <c r="B78" s="1038"/>
      <c r="C78" s="1026"/>
      <c r="D78" s="1026"/>
      <c r="E78" s="1026"/>
      <c r="F78" s="1059"/>
      <c r="G78" s="1054"/>
      <c r="H78" s="1269"/>
      <c r="I78" s="1056"/>
      <c r="J78" s="1111"/>
      <c r="K78" s="1115"/>
    </row>
    <row r="79" spans="1:11" ht="15.75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1115"/>
    </row>
    <row r="80" spans="1:11" ht="15.75">
      <c r="A80" s="1037"/>
      <c r="B80" s="1038"/>
      <c r="C80" s="1025"/>
      <c r="D80" s="1025"/>
      <c r="E80" s="1025"/>
      <c r="F80" s="1059"/>
      <c r="G80" s="1062"/>
      <c r="H80" s="1055"/>
      <c r="I80" s="1056"/>
      <c r="J80" s="1111"/>
      <c r="K80" s="1115"/>
    </row>
    <row r="81" spans="1:11" ht="15.75">
      <c r="A81" s="1037"/>
      <c r="B81" s="1039"/>
      <c r="C81" s="1025"/>
      <c r="D81" s="1025"/>
      <c r="E81" s="1025"/>
      <c r="F81" s="1059"/>
      <c r="G81" s="1054"/>
      <c r="H81" s="1269"/>
      <c r="I81" s="1056"/>
      <c r="J81" s="1111"/>
      <c r="K81" s="1115"/>
    </row>
    <row r="82" spans="1:11" ht="15.75">
      <c r="A82" s="1037"/>
      <c r="B82" s="1038"/>
      <c r="C82" s="1026"/>
      <c r="D82" s="1026"/>
      <c r="E82" s="1026"/>
      <c r="F82" s="1059"/>
      <c r="G82" s="1054"/>
      <c r="H82" s="1269"/>
      <c r="I82" s="1056"/>
      <c r="J82" s="1111"/>
      <c r="K82" s="1115"/>
    </row>
    <row r="83" spans="1:11" ht="15.75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1115"/>
    </row>
    <row r="84" spans="1:11" ht="15.75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115"/>
    </row>
    <row r="85" spans="1:11" ht="15.75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115"/>
    </row>
    <row r="86" spans="1:11" ht="15.75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115"/>
    </row>
    <row r="87" spans="1:11" ht="15.75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5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115"/>
    </row>
    <row r="89" spans="1:11" ht="15.75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115"/>
    </row>
    <row r="90" spans="1:11" ht="15.75">
      <c r="A90" s="1037"/>
      <c r="B90" s="1038"/>
      <c r="C90" s="1026"/>
      <c r="D90" s="1026"/>
      <c r="E90" s="1026"/>
      <c r="F90" s="1059"/>
      <c r="G90" s="1054"/>
      <c r="H90" s="1269"/>
      <c r="I90" s="1056"/>
      <c r="J90" s="1111"/>
      <c r="K90" s="1115"/>
    </row>
    <row r="91" spans="1:11" ht="15.75">
      <c r="A91" s="1037"/>
      <c r="B91" s="1038"/>
      <c r="C91" s="1026"/>
      <c r="D91" s="1026"/>
      <c r="E91" s="1026"/>
      <c r="F91" s="1059"/>
      <c r="G91" s="1054"/>
      <c r="H91" s="1269"/>
      <c r="I91" s="1056"/>
      <c r="J91" s="1111"/>
      <c r="K91" s="1115"/>
    </row>
    <row r="92" spans="1:11" ht="15.75">
      <c r="A92" s="1037"/>
      <c r="B92" s="1038"/>
      <c r="C92" s="1026"/>
      <c r="D92" s="1026"/>
      <c r="E92" s="1026"/>
      <c r="F92" s="1059"/>
      <c r="G92" s="1054"/>
      <c r="H92" s="1269"/>
      <c r="I92" s="1056"/>
      <c r="J92" s="1111"/>
      <c r="K92" s="1115"/>
    </row>
    <row r="93" spans="1:11" ht="15.75">
      <c r="A93" s="1037"/>
      <c r="B93" s="1038"/>
      <c r="C93" s="1026"/>
      <c r="D93" s="1026"/>
      <c r="E93" s="1026"/>
      <c r="F93" s="1059"/>
      <c r="G93" s="1054"/>
      <c r="H93" s="1269"/>
      <c r="I93" s="1056"/>
      <c r="J93" s="1111"/>
      <c r="K93" s="1115"/>
    </row>
    <row r="94" spans="1:11" ht="15.75">
      <c r="A94" s="1037"/>
      <c r="B94" s="1038"/>
      <c r="C94" s="1026"/>
      <c r="D94" s="1026"/>
      <c r="E94" s="1026"/>
      <c r="F94" s="1059"/>
      <c r="G94" s="1054"/>
      <c r="H94" s="1269"/>
      <c r="I94" s="1056"/>
      <c r="J94" s="1111"/>
      <c r="K94" s="1115"/>
    </row>
    <row r="95" spans="1:11">
      <c r="A95" s="1037"/>
      <c r="B95" s="1038"/>
      <c r="C95" s="1026"/>
      <c r="D95" s="1026"/>
      <c r="E95" s="1026"/>
      <c r="F95" s="1059"/>
      <c r="G95" s="1059"/>
      <c r="H95" s="1269"/>
      <c r="I95" s="1056"/>
      <c r="J95" s="1111"/>
      <c r="K95" s="1025"/>
    </row>
    <row r="96" spans="1:11">
      <c r="A96" s="1037"/>
      <c r="B96" s="1038"/>
      <c r="C96" s="1026"/>
      <c r="D96" s="1026"/>
      <c r="E96" s="1026"/>
      <c r="F96" s="1059"/>
      <c r="G96" s="1059"/>
      <c r="H96" s="1269"/>
      <c r="I96" s="1056"/>
      <c r="J96" s="1111"/>
      <c r="K96" s="1025"/>
    </row>
    <row r="97" spans="1:11">
      <c r="A97" s="1037"/>
      <c r="B97" s="1038"/>
      <c r="C97" s="1026"/>
      <c r="D97" s="1026"/>
      <c r="E97" s="1026"/>
      <c r="F97" s="1059"/>
      <c r="G97" s="1059"/>
      <c r="H97" s="1269"/>
      <c r="I97" s="1056"/>
      <c r="J97" s="1111"/>
      <c r="K97" s="1025"/>
    </row>
    <row r="98" spans="1:11" ht="15.75">
      <c r="A98" s="1037"/>
      <c r="B98" s="1038"/>
      <c r="C98" s="1026"/>
      <c r="D98" s="1026"/>
      <c r="E98" s="1026"/>
      <c r="F98" s="1059"/>
      <c r="G98" s="1054"/>
      <c r="H98" s="1269"/>
      <c r="I98" s="1056"/>
      <c r="J98" s="1111"/>
      <c r="K98" s="1115"/>
    </row>
    <row r="99" spans="1:11">
      <c r="A99" s="1037"/>
      <c r="B99" s="1038"/>
      <c r="C99" s="1026"/>
      <c r="D99" s="1026"/>
      <c r="E99" s="1026"/>
      <c r="F99" s="1059"/>
      <c r="G99" s="1059"/>
      <c r="H99" s="1269"/>
      <c r="I99" s="1056"/>
      <c r="J99" s="1111"/>
      <c r="K99" s="1025"/>
    </row>
    <row r="100" spans="1:11">
      <c r="A100" s="1037"/>
      <c r="B100" s="1038"/>
      <c r="C100" s="1026"/>
      <c r="D100" s="1026"/>
      <c r="E100" s="1026"/>
      <c r="F100" s="1059"/>
      <c r="G100" s="1059"/>
      <c r="H100" s="1269"/>
      <c r="I100" s="1056"/>
      <c r="J100" s="1111"/>
      <c r="K100" s="1025"/>
    </row>
    <row r="101" spans="1:11">
      <c r="A101" s="1037"/>
      <c r="B101" s="1038"/>
      <c r="C101" s="1026"/>
      <c r="D101" s="1026"/>
      <c r="E101" s="1026"/>
      <c r="F101" s="1059"/>
      <c r="G101" s="1059"/>
      <c r="H101" s="1269"/>
      <c r="I101" s="1056"/>
      <c r="J101" s="1111"/>
      <c r="K101" s="1025"/>
    </row>
    <row r="102" spans="1:11" ht="15.75">
      <c r="A102" s="1037"/>
      <c r="B102" s="1038"/>
      <c r="C102" s="1026"/>
      <c r="D102" s="1026"/>
      <c r="E102" s="1026"/>
      <c r="F102" s="1059"/>
      <c r="G102" s="1054"/>
      <c r="H102" s="1269"/>
      <c r="I102" s="1056"/>
      <c r="J102" s="1111"/>
      <c r="K102" s="1115"/>
    </row>
    <row r="103" spans="1:11" ht="15.75">
      <c r="A103" s="1037"/>
      <c r="B103" s="1038"/>
      <c r="C103" s="1026"/>
      <c r="D103" s="1026"/>
      <c r="E103" s="1026"/>
      <c r="F103" s="1059"/>
      <c r="G103" s="1054"/>
      <c r="H103" s="1269"/>
      <c r="I103" s="1056"/>
      <c r="J103" s="1111"/>
      <c r="K103" s="1115"/>
    </row>
    <row r="104" spans="1:11">
      <c r="A104" s="1037"/>
      <c r="B104" s="1038"/>
      <c r="C104" s="1026"/>
      <c r="D104" s="1026"/>
      <c r="E104" s="1026"/>
      <c r="F104" s="1059"/>
      <c r="G104" s="1059"/>
      <c r="H104" s="1269"/>
      <c r="I104" s="1056"/>
      <c r="J104" s="1111"/>
      <c r="K104" s="1025"/>
    </row>
    <row r="105" spans="1:11">
      <c r="A105" s="1037"/>
      <c r="B105" s="1038"/>
      <c r="C105" s="1026"/>
      <c r="D105" s="1026"/>
      <c r="E105" s="1026"/>
      <c r="F105" s="1059"/>
      <c r="G105" s="1059"/>
      <c r="H105" s="1269"/>
      <c r="I105" s="1056"/>
      <c r="J105" s="1111"/>
      <c r="K105" s="1025"/>
    </row>
    <row r="106" spans="1:11">
      <c r="A106" s="1037"/>
      <c r="B106" s="1038"/>
      <c r="C106" s="1026"/>
      <c r="D106" s="1026"/>
      <c r="E106" s="1026"/>
      <c r="F106" s="1059"/>
      <c r="G106" s="1059"/>
      <c r="H106" s="1269"/>
      <c r="I106" s="1056"/>
      <c r="J106" s="1111"/>
      <c r="K106" s="1025"/>
    </row>
    <row r="107" spans="1:11">
      <c r="A107" s="1037"/>
      <c r="B107" s="1038"/>
      <c r="C107" s="1026"/>
      <c r="D107" s="1026"/>
      <c r="E107" s="1026"/>
      <c r="F107" s="1059"/>
      <c r="G107" s="1059"/>
      <c r="H107" s="1269"/>
      <c r="I107" s="1056"/>
      <c r="J107" s="1111"/>
      <c r="K107" s="1025"/>
    </row>
    <row r="108" spans="1:11">
      <c r="A108" s="1037"/>
      <c r="B108" s="1038"/>
      <c r="C108" s="1026"/>
      <c r="D108" s="1026"/>
      <c r="E108" s="1026"/>
      <c r="F108" s="1059"/>
      <c r="G108" s="1059"/>
      <c r="H108" s="1269"/>
      <c r="I108" s="1056"/>
      <c r="J108" s="1111"/>
      <c r="K108" s="1025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1025"/>
    </row>
    <row r="110" spans="1:11" ht="15.75">
      <c r="A110" s="1037"/>
      <c r="B110" s="1038"/>
      <c r="C110" s="1026"/>
      <c r="D110" s="1026"/>
      <c r="E110" s="1026"/>
      <c r="F110" s="1059"/>
      <c r="G110" s="1054"/>
      <c r="H110" s="1269"/>
      <c r="I110" s="1056"/>
      <c r="J110" s="1111"/>
      <c r="K110" s="1115"/>
    </row>
    <row r="111" spans="1:11">
      <c r="A111" s="1037"/>
      <c r="B111" s="1038"/>
      <c r="C111" s="1026"/>
      <c r="D111" s="1026"/>
      <c r="E111" s="1026"/>
      <c r="F111" s="1059"/>
      <c r="G111" s="1059"/>
      <c r="H111" s="1269"/>
      <c r="I111" s="1056"/>
      <c r="J111" s="1111"/>
      <c r="K111" s="1025"/>
    </row>
    <row r="112" spans="1:11">
      <c r="A112" s="1037"/>
      <c r="B112" s="1038"/>
      <c r="C112" s="1026"/>
      <c r="D112" s="1026"/>
      <c r="E112" s="1026"/>
      <c r="F112" s="1059"/>
      <c r="G112" s="1059"/>
      <c r="H112" s="1269"/>
      <c r="I112" s="1056"/>
      <c r="J112" s="1111"/>
      <c r="K112" s="1025"/>
    </row>
    <row r="113" spans="1:11">
      <c r="A113" s="1037"/>
      <c r="B113" s="1038"/>
      <c r="C113" s="1026"/>
      <c r="D113" s="1026"/>
      <c r="E113" s="1026"/>
      <c r="F113" s="1059"/>
      <c r="G113" s="1059"/>
      <c r="H113" s="1269"/>
      <c r="I113" s="1056"/>
      <c r="J113" s="1111"/>
      <c r="K113" s="1025"/>
    </row>
    <row r="114" spans="1:11" ht="15.75">
      <c r="A114" s="1037"/>
      <c r="B114" s="1038"/>
      <c r="C114" s="1026"/>
      <c r="D114" s="1026"/>
      <c r="E114" s="1026"/>
      <c r="F114" s="1059"/>
      <c r="G114" s="1059"/>
      <c r="H114" s="1269"/>
      <c r="I114" s="1056"/>
      <c r="J114" s="1111"/>
      <c r="K114" s="1115"/>
    </row>
    <row r="115" spans="1:11">
      <c r="A115" s="1037"/>
      <c r="B115" s="1038"/>
      <c r="C115" s="1026"/>
      <c r="D115" s="1026"/>
      <c r="E115" s="1026"/>
      <c r="F115" s="1059"/>
      <c r="G115" s="1059"/>
      <c r="H115" s="1269"/>
      <c r="I115" s="1056"/>
      <c r="J115" s="1111"/>
      <c r="K115" s="1025"/>
    </row>
    <row r="116" spans="1:11">
      <c r="A116" s="1037"/>
      <c r="B116" s="1038"/>
      <c r="C116" s="1026"/>
      <c r="D116" s="1026"/>
      <c r="E116" s="1026"/>
      <c r="F116" s="1059"/>
      <c r="G116" s="1059"/>
      <c r="H116" s="1269"/>
      <c r="I116" s="1056"/>
      <c r="J116" s="1111"/>
      <c r="K116" s="1025"/>
    </row>
    <row r="117" spans="1:11">
      <c r="A117" s="1037"/>
      <c r="B117" s="1038"/>
      <c r="C117" s="1026"/>
      <c r="D117" s="1026"/>
      <c r="E117" s="1026"/>
      <c r="F117" s="1059"/>
      <c r="G117" s="1059"/>
      <c r="H117" s="1269"/>
      <c r="I117" s="1056"/>
      <c r="J117" s="1111"/>
      <c r="K117" s="1025"/>
    </row>
    <row r="118" spans="1:11">
      <c r="A118" s="1037"/>
      <c r="B118" s="1038"/>
      <c r="C118" s="1026"/>
      <c r="D118" s="1026"/>
      <c r="E118" s="1026"/>
      <c r="F118" s="1059"/>
      <c r="G118" s="1059"/>
      <c r="H118" s="1269"/>
      <c r="I118" s="1056"/>
      <c r="J118" s="1111"/>
      <c r="K118" s="1025"/>
    </row>
    <row r="119" spans="1:11">
      <c r="A119" s="1037"/>
      <c r="B119" s="1038"/>
      <c r="C119" s="1026"/>
      <c r="D119" s="1026"/>
      <c r="E119" s="1026"/>
      <c r="F119" s="1059"/>
      <c r="G119" s="1054"/>
      <c r="H119" s="1269"/>
      <c r="I119" s="1056"/>
      <c r="J119" s="1111"/>
      <c r="K119" s="1025"/>
    </row>
    <row r="120" spans="1:11" ht="15.75">
      <c r="A120" s="1037"/>
      <c r="B120" s="1038"/>
      <c r="C120" s="1025"/>
      <c r="D120" s="1026"/>
      <c r="E120" s="1026"/>
      <c r="F120" s="1059"/>
      <c r="G120" s="1054"/>
      <c r="H120" s="1269"/>
      <c r="I120" s="1056"/>
      <c r="J120" s="1111"/>
      <c r="K120" s="1115"/>
    </row>
    <row r="121" spans="1:11" ht="15.75">
      <c r="A121" s="1037"/>
      <c r="B121" s="1038"/>
      <c r="C121" s="1026"/>
      <c r="D121" s="1026"/>
      <c r="E121" s="1026"/>
      <c r="F121" s="1059"/>
      <c r="G121" s="1054"/>
      <c r="H121" s="1269"/>
      <c r="I121" s="1056"/>
      <c r="J121" s="1111"/>
      <c r="K121" s="1115"/>
    </row>
    <row r="122" spans="1:11" ht="15.75">
      <c r="A122" s="1037"/>
      <c r="B122" s="1038"/>
      <c r="C122" s="1026"/>
      <c r="D122" s="1026"/>
      <c r="E122" s="1026"/>
      <c r="F122" s="1059"/>
      <c r="G122" s="1054"/>
      <c r="H122" s="1269"/>
      <c r="I122" s="1056"/>
      <c r="J122" s="1111"/>
      <c r="K122" s="1115"/>
    </row>
    <row r="123" spans="1:11" ht="15.75">
      <c r="A123" s="1037"/>
      <c r="B123" s="1038"/>
      <c r="C123" s="1026"/>
      <c r="D123" s="1026"/>
      <c r="E123" s="1026"/>
      <c r="F123" s="1059"/>
      <c r="G123" s="1054"/>
      <c r="H123" s="1269"/>
      <c r="I123" s="1056"/>
      <c r="J123" s="1111"/>
      <c r="K123" s="1115"/>
    </row>
    <row r="124" spans="1:11" ht="15.75">
      <c r="A124" s="1037"/>
      <c r="B124" s="1038"/>
      <c r="C124" s="1026"/>
      <c r="D124" s="1026"/>
      <c r="E124" s="1026"/>
      <c r="F124" s="1059"/>
      <c r="G124" s="1054"/>
      <c r="H124" s="1269"/>
      <c r="I124" s="1056"/>
      <c r="J124" s="1111"/>
      <c r="K124" s="1115"/>
    </row>
    <row r="125" spans="1:11">
      <c r="A125" s="1037"/>
      <c r="B125" s="1038"/>
      <c r="C125" s="1026"/>
      <c r="D125" s="1026"/>
      <c r="E125" s="1026"/>
      <c r="F125" s="1059"/>
      <c r="G125" s="1059"/>
      <c r="H125" s="1269"/>
      <c r="I125" s="1056"/>
      <c r="J125" s="1111"/>
      <c r="K125" s="1025"/>
    </row>
    <row r="126" spans="1:11">
      <c r="A126" s="1037"/>
      <c r="B126" s="1038"/>
      <c r="C126" s="1026"/>
      <c r="D126" s="1026"/>
      <c r="E126" s="1026"/>
      <c r="F126" s="1059"/>
      <c r="G126" s="1059"/>
      <c r="H126" s="1269"/>
      <c r="I126" s="1056"/>
      <c r="J126" s="1111"/>
      <c r="K126" s="1025"/>
    </row>
    <row r="127" spans="1:11" ht="15.75">
      <c r="A127" s="1037"/>
      <c r="B127" s="1038"/>
      <c r="C127" s="1026"/>
      <c r="D127" s="1026"/>
      <c r="E127" s="1026"/>
      <c r="F127" s="1059"/>
      <c r="G127" s="1054"/>
      <c r="H127" s="1269"/>
      <c r="I127" s="1056"/>
      <c r="J127" s="1111"/>
      <c r="K127" s="1115"/>
    </row>
    <row r="128" spans="1:11" ht="15.75">
      <c r="A128" s="1037"/>
      <c r="B128" s="1038"/>
      <c r="C128" s="1026"/>
      <c r="D128" s="1026"/>
      <c r="E128" s="1026"/>
      <c r="F128" s="1059"/>
      <c r="G128" s="1054"/>
      <c r="H128" s="1269"/>
      <c r="I128" s="1056"/>
      <c r="J128" s="1111"/>
      <c r="K128" s="1115"/>
    </row>
    <row r="129" spans="1:11" ht="15.75">
      <c r="A129" s="1037"/>
      <c r="B129" s="1038"/>
      <c r="C129" s="1026"/>
      <c r="D129" s="1026"/>
      <c r="E129" s="1026"/>
      <c r="F129" s="1059"/>
      <c r="G129" s="1054"/>
      <c r="H129" s="1269"/>
      <c r="I129" s="1056"/>
      <c r="J129" s="1111"/>
      <c r="K129" s="1115"/>
    </row>
    <row r="130" spans="1:11">
      <c r="A130" s="1037"/>
      <c r="B130" s="1038"/>
      <c r="C130" s="1026"/>
      <c r="D130" s="1026"/>
      <c r="E130" s="1026"/>
      <c r="F130" s="1059"/>
      <c r="G130" s="1054"/>
      <c r="H130" s="1269"/>
      <c r="I130" s="1056"/>
      <c r="J130" s="1111"/>
      <c r="K130" s="1025"/>
    </row>
    <row r="131" spans="1:11">
      <c r="A131" s="1037"/>
      <c r="B131" s="1038"/>
      <c r="C131" s="1026"/>
      <c r="D131" s="1026"/>
      <c r="E131" s="1026"/>
      <c r="F131" s="1059"/>
      <c r="G131" s="1054"/>
      <c r="H131" s="1269"/>
      <c r="I131" s="1056"/>
      <c r="J131" s="1111"/>
      <c r="K131" s="1025"/>
    </row>
    <row r="132" spans="1:11">
      <c r="A132" s="1037"/>
      <c r="B132" s="1038"/>
      <c r="C132" s="1026"/>
      <c r="D132" s="1026"/>
      <c r="E132" s="1026"/>
      <c r="F132" s="1059"/>
      <c r="G132" s="1059"/>
      <c r="H132" s="1269"/>
      <c r="I132" s="1056"/>
      <c r="J132" s="1111"/>
      <c r="K132" s="1025"/>
    </row>
    <row r="133" spans="1:11">
      <c r="A133" s="1037"/>
      <c r="B133" s="1038"/>
      <c r="C133" s="1026"/>
      <c r="D133" s="1026"/>
      <c r="E133" s="1026"/>
      <c r="F133" s="1059"/>
      <c r="G133" s="1059"/>
      <c r="H133" s="1269"/>
      <c r="I133" s="1056"/>
      <c r="J133" s="1111"/>
      <c r="K133" s="1025"/>
    </row>
    <row r="134" spans="1:11">
      <c r="A134" s="1037"/>
      <c r="B134" s="1038"/>
      <c r="C134" s="1026"/>
      <c r="D134" s="1026"/>
      <c r="E134" s="1026"/>
      <c r="F134" s="1059"/>
      <c r="G134" s="1059"/>
      <c r="H134" s="1269"/>
      <c r="I134" s="1056"/>
      <c r="J134" s="1111"/>
      <c r="K134" s="1025"/>
    </row>
    <row r="135" spans="1:11">
      <c r="A135" s="1037"/>
      <c r="B135" s="1038"/>
      <c r="C135" s="1026"/>
      <c r="D135" s="1026"/>
      <c r="E135" s="1026"/>
      <c r="F135" s="1059"/>
      <c r="G135" s="1059"/>
      <c r="H135" s="1269"/>
      <c r="I135" s="1056"/>
      <c r="J135" s="1111"/>
      <c r="K135" s="1025"/>
    </row>
    <row r="136" spans="1:11" ht="15.75">
      <c r="A136" s="1037"/>
      <c r="B136" s="1038"/>
      <c r="C136" s="1026"/>
      <c r="D136" s="1026"/>
      <c r="E136" s="1026"/>
      <c r="F136" s="1059"/>
      <c r="G136" s="1054"/>
      <c r="H136" s="1269"/>
      <c r="I136" s="1056"/>
      <c r="J136" s="1111"/>
      <c r="K136" s="1115"/>
    </row>
    <row r="137" spans="1:11" ht="15.75">
      <c r="A137" s="1037"/>
      <c r="B137" s="1038"/>
      <c r="C137" s="1026"/>
      <c r="D137" s="1026"/>
      <c r="E137" s="1026"/>
      <c r="F137" s="1059"/>
      <c r="G137" s="1059"/>
      <c r="H137" s="1269"/>
      <c r="I137" s="1056"/>
      <c r="J137" s="1111"/>
      <c r="K137" s="1115"/>
    </row>
    <row r="138" spans="1:11">
      <c r="A138" s="1037"/>
      <c r="B138" s="1038"/>
      <c r="C138" s="1026"/>
      <c r="D138" s="1026"/>
      <c r="E138" s="1026"/>
      <c r="F138" s="1059"/>
      <c r="G138" s="1059"/>
      <c r="H138" s="1269"/>
      <c r="I138" s="1056"/>
      <c r="J138" s="1111"/>
      <c r="K138" s="1025"/>
    </row>
    <row r="139" spans="1:11">
      <c r="A139" s="1037"/>
      <c r="B139" s="1038"/>
      <c r="C139" s="1026"/>
      <c r="D139" s="1026"/>
      <c r="E139" s="1026"/>
      <c r="F139" s="1059"/>
      <c r="G139" s="1054"/>
      <c r="H139" s="1269"/>
      <c r="I139" s="1056"/>
      <c r="J139" s="1111"/>
      <c r="K139" s="1025"/>
    </row>
    <row r="140" spans="1:11" ht="15.75">
      <c r="A140" s="1037"/>
      <c r="B140" s="1038"/>
      <c r="C140" s="1026"/>
      <c r="D140" s="1026"/>
      <c r="E140" s="1026"/>
      <c r="F140" s="1059"/>
      <c r="G140" s="1054"/>
      <c r="H140" s="1269"/>
      <c r="I140" s="1056"/>
      <c r="J140" s="1111"/>
      <c r="K140" s="1115"/>
    </row>
    <row r="141" spans="1:11">
      <c r="A141" s="1037"/>
      <c r="B141" s="1038"/>
      <c r="C141" s="1026"/>
      <c r="D141" s="1026"/>
      <c r="E141" s="1026"/>
      <c r="F141" s="1059"/>
      <c r="G141" s="1054"/>
      <c r="H141" s="1269"/>
      <c r="I141" s="1056"/>
      <c r="J141" s="1111"/>
      <c r="K141" s="1025"/>
    </row>
    <row r="142" spans="1:11">
      <c r="A142" s="1037"/>
      <c r="B142" s="1038"/>
      <c r="C142" s="1026"/>
      <c r="D142" s="1026"/>
      <c r="E142" s="1026"/>
      <c r="F142" s="1059"/>
      <c r="G142" s="1059"/>
      <c r="H142" s="1269"/>
      <c r="I142" s="1056"/>
      <c r="J142" s="1111"/>
      <c r="K142" s="1025"/>
    </row>
    <row r="143" spans="1:11">
      <c r="A143" s="1037"/>
      <c r="B143" s="1038"/>
      <c r="C143" s="1026"/>
      <c r="D143" s="1026"/>
      <c r="E143" s="1026"/>
      <c r="F143" s="1059"/>
      <c r="G143" s="1059"/>
      <c r="H143" s="1269"/>
      <c r="I143" s="1056"/>
      <c r="J143" s="1111"/>
      <c r="K143" s="1025"/>
    </row>
    <row r="144" spans="1:11" ht="15.75">
      <c r="A144" s="1037"/>
      <c r="B144" s="1038"/>
      <c r="C144" s="1026"/>
      <c r="D144" s="1026"/>
      <c r="E144" s="1026"/>
      <c r="F144" s="1059"/>
      <c r="G144" s="1054"/>
      <c r="H144" s="1269"/>
      <c r="I144" s="1056"/>
      <c r="J144" s="1111"/>
      <c r="K144" s="1115"/>
    </row>
    <row r="145" spans="1:11" ht="15.75">
      <c r="A145" s="1037"/>
      <c r="B145" s="1038"/>
      <c r="C145" s="1026"/>
      <c r="D145" s="1026"/>
      <c r="E145" s="1026"/>
      <c r="F145" s="1059"/>
      <c r="G145" s="1054"/>
      <c r="H145" s="1269"/>
      <c r="I145" s="1056"/>
      <c r="J145" s="1111"/>
      <c r="K145" s="1115"/>
    </row>
    <row r="146" spans="1:11" ht="15.75">
      <c r="A146" s="1037"/>
      <c r="B146" s="1038"/>
      <c r="C146" s="1026"/>
      <c r="D146" s="1026"/>
      <c r="E146" s="1026"/>
      <c r="F146" s="1059"/>
      <c r="G146" s="1054"/>
      <c r="H146" s="1269"/>
      <c r="I146" s="1056"/>
      <c r="J146" s="1111"/>
      <c r="K146" s="1115"/>
    </row>
    <row r="147" spans="1:11" ht="15.75">
      <c r="A147" s="1037"/>
      <c r="B147" s="1038"/>
      <c r="C147" s="1026"/>
      <c r="D147" s="1026"/>
      <c r="E147" s="1026"/>
      <c r="F147" s="1059"/>
      <c r="G147" s="1054"/>
      <c r="H147" s="1269"/>
      <c r="I147" s="1056"/>
      <c r="J147" s="1111"/>
      <c r="K147" s="1115"/>
    </row>
    <row r="148" spans="1:11" ht="15.75">
      <c r="A148" s="1037"/>
      <c r="B148" s="1038"/>
      <c r="C148" s="1026"/>
      <c r="D148" s="1026"/>
      <c r="E148" s="1026"/>
      <c r="F148" s="1059"/>
      <c r="G148" s="1054"/>
      <c r="H148" s="1269"/>
      <c r="I148" s="1056"/>
      <c r="J148" s="1111"/>
      <c r="K148" s="1115"/>
    </row>
    <row r="149" spans="1:11">
      <c r="A149" s="1037"/>
      <c r="B149" s="1038"/>
      <c r="C149" s="1026"/>
      <c r="D149" s="1026"/>
      <c r="E149" s="1026"/>
      <c r="F149" s="1059"/>
      <c r="G149" s="1054"/>
      <c r="H149" s="1269"/>
      <c r="I149" s="1056"/>
      <c r="J149" s="1111"/>
      <c r="K149" s="1025"/>
    </row>
    <row r="150" spans="1:11">
      <c r="A150" s="1037"/>
      <c r="B150" s="1038"/>
      <c r="C150" s="1025"/>
      <c r="D150" s="1026"/>
      <c r="E150" s="1026"/>
      <c r="F150" s="1061"/>
      <c r="G150" s="1054"/>
      <c r="H150" s="1055"/>
      <c r="I150" s="1056"/>
      <c r="J150" s="1111"/>
      <c r="K150" s="1025"/>
    </row>
    <row r="151" spans="1:11">
      <c r="A151" s="1037"/>
      <c r="B151" s="1038"/>
      <c r="C151" s="1026"/>
      <c r="D151" s="1026"/>
      <c r="E151" s="1026"/>
      <c r="F151" s="1059"/>
      <c r="G151" s="1054"/>
      <c r="H151" s="1269"/>
      <c r="I151" s="1056"/>
      <c r="J151" s="1111"/>
      <c r="K151" s="1025"/>
    </row>
    <row r="152" spans="1:11">
      <c r="A152" s="1037"/>
      <c r="B152" s="1038"/>
      <c r="C152" s="1026"/>
      <c r="D152" s="1026"/>
      <c r="E152" s="1026"/>
      <c r="F152" s="1059"/>
      <c r="G152" s="1054"/>
      <c r="H152" s="1269"/>
      <c r="I152" s="1056"/>
      <c r="J152" s="1111"/>
      <c r="K152" s="1025"/>
    </row>
    <row r="153" spans="1:11">
      <c r="A153" s="1037"/>
      <c r="B153" s="1038"/>
      <c r="C153" s="1026"/>
      <c r="D153" s="1026"/>
      <c r="E153" s="1026"/>
      <c r="F153" s="1059"/>
      <c r="G153" s="1059"/>
      <c r="H153" s="1269"/>
      <c r="I153" s="1056"/>
      <c r="J153" s="1111"/>
      <c r="K153" s="1025"/>
    </row>
    <row r="154" spans="1:11">
      <c r="A154" s="1037"/>
      <c r="B154" s="1038"/>
      <c r="C154" s="1026"/>
      <c r="D154" s="1026"/>
      <c r="E154" s="1026"/>
      <c r="F154" s="1059"/>
      <c r="G154" s="1059"/>
      <c r="H154" s="1269"/>
      <c r="I154" s="1056"/>
      <c r="J154" s="1111"/>
      <c r="K154" s="1025"/>
    </row>
    <row r="155" spans="1:11" ht="15.75">
      <c r="A155" s="1037"/>
      <c r="B155" s="1038"/>
      <c r="C155" s="1026"/>
      <c r="D155" s="1026"/>
      <c r="E155" s="1026"/>
      <c r="F155" s="1059"/>
      <c r="G155" s="1054"/>
      <c r="H155" s="1269"/>
      <c r="I155" s="1056"/>
      <c r="J155" s="1111"/>
      <c r="K155" s="1115"/>
    </row>
    <row r="156" spans="1:11">
      <c r="A156" s="1037"/>
      <c r="B156" s="1038"/>
      <c r="C156" s="1026"/>
      <c r="D156" s="1026"/>
      <c r="E156" s="1026"/>
      <c r="F156" s="1059"/>
      <c r="G156" s="1054"/>
      <c r="H156" s="1269"/>
      <c r="I156" s="1056"/>
      <c r="J156" s="1111"/>
      <c r="K156" s="1025"/>
    </row>
    <row r="157" spans="1:11">
      <c r="A157" s="1037"/>
      <c r="B157" s="1038"/>
      <c r="C157" s="1026"/>
      <c r="D157" s="1026"/>
      <c r="E157" s="1026"/>
      <c r="F157" s="1059"/>
      <c r="G157" s="1059"/>
      <c r="H157" s="1269"/>
      <c r="I157" s="1056"/>
      <c r="J157" s="1111"/>
      <c r="K157" s="1025"/>
    </row>
    <row r="158" spans="1:11">
      <c r="A158" s="1037"/>
      <c r="B158" s="1038"/>
      <c r="C158" s="1026"/>
      <c r="D158" s="1026"/>
      <c r="E158" s="1026"/>
      <c r="F158" s="1059"/>
      <c r="G158" s="1059"/>
      <c r="H158" s="1269"/>
      <c r="I158" s="1056"/>
      <c r="J158" s="1111"/>
      <c r="K158" s="1025"/>
    </row>
    <row r="159" spans="1:11">
      <c r="A159" s="1037"/>
      <c r="B159" s="1038"/>
      <c r="C159" s="1026"/>
      <c r="D159" s="1026"/>
      <c r="E159" s="1026"/>
      <c r="F159" s="1059"/>
      <c r="G159" s="1054"/>
      <c r="H159" s="1269"/>
      <c r="I159" s="1056"/>
      <c r="J159" s="1111"/>
      <c r="K159" s="1025"/>
    </row>
    <row r="160" spans="1:11">
      <c r="A160" s="1037"/>
      <c r="B160" s="1038"/>
      <c r="C160" s="1026"/>
      <c r="D160" s="1026"/>
      <c r="E160" s="1026"/>
      <c r="F160" s="1059"/>
      <c r="G160" s="1054"/>
      <c r="H160" s="1269"/>
      <c r="I160" s="1056"/>
      <c r="J160" s="1111"/>
      <c r="K160" s="1025"/>
    </row>
    <row r="161" spans="1:11">
      <c r="A161" s="1037"/>
      <c r="B161" s="1038"/>
      <c r="C161" s="1026"/>
      <c r="D161" s="1026"/>
      <c r="E161" s="1026"/>
      <c r="F161" s="1059"/>
      <c r="G161" s="1054"/>
      <c r="H161" s="1269"/>
      <c r="I161" s="1056"/>
      <c r="J161" s="1111"/>
      <c r="K161" s="1025"/>
    </row>
    <row r="162" spans="1:11" ht="15.75">
      <c r="A162" s="1037"/>
      <c r="B162" s="1038"/>
      <c r="C162" s="1026"/>
      <c r="D162" s="1026"/>
      <c r="E162" s="1026"/>
      <c r="F162" s="1059"/>
      <c r="G162" s="1054"/>
      <c r="H162" s="1269"/>
      <c r="I162" s="1056"/>
      <c r="J162" s="1111"/>
      <c r="K162" s="1115"/>
    </row>
    <row r="163" spans="1:11">
      <c r="A163" s="1037"/>
      <c r="B163" s="1038"/>
      <c r="C163" s="1026"/>
      <c r="D163" s="1026"/>
      <c r="E163" s="1026"/>
      <c r="F163" s="1059"/>
      <c r="G163" s="1054"/>
      <c r="H163" s="1269"/>
      <c r="I163" s="1056"/>
      <c r="J163" s="1111"/>
      <c r="K163" s="1025"/>
    </row>
    <row r="164" spans="1:11">
      <c r="A164" s="1037"/>
      <c r="B164" s="1038"/>
      <c r="C164" s="290"/>
      <c r="D164" s="1026"/>
      <c r="E164" s="1026"/>
      <c r="F164" s="1059"/>
      <c r="G164" s="1054"/>
      <c r="H164" s="1269"/>
      <c r="I164" s="1056"/>
      <c r="J164" s="1111"/>
      <c r="K164" s="1025"/>
    </row>
    <row r="165" spans="1:11">
      <c r="A165" s="1037"/>
      <c r="B165" s="1038"/>
      <c r="C165" s="1026"/>
      <c r="D165" s="1026"/>
      <c r="E165" s="1026"/>
      <c r="F165" s="1059"/>
      <c r="G165" s="1054"/>
      <c r="H165" s="1269"/>
      <c r="I165" s="1056"/>
      <c r="J165" s="1111"/>
      <c r="K165" s="1025"/>
    </row>
    <row r="166" spans="1:11">
      <c r="A166" s="1037"/>
      <c r="B166" s="1038"/>
      <c r="C166" s="1026"/>
      <c r="D166" s="1026"/>
      <c r="E166" s="1026"/>
      <c r="F166" s="1059"/>
      <c r="G166" s="1054"/>
      <c r="H166" s="1269"/>
      <c r="I166" s="1056"/>
      <c r="J166" s="1111"/>
      <c r="K166" s="1025"/>
    </row>
    <row r="167" spans="1:11">
      <c r="A167" s="1037"/>
      <c r="B167" s="1038"/>
      <c r="C167" s="1026"/>
      <c r="D167" s="1026"/>
      <c r="E167" s="1026"/>
      <c r="F167" s="1059"/>
      <c r="G167" s="1054"/>
      <c r="H167" s="1269"/>
      <c r="I167" s="1056"/>
      <c r="J167" s="1111"/>
      <c r="K167" s="1025"/>
    </row>
    <row r="168" spans="1:11">
      <c r="A168" s="1037"/>
      <c r="B168" s="1038"/>
      <c r="C168" s="1026"/>
      <c r="D168" s="1026"/>
      <c r="E168" s="1026"/>
      <c r="F168" s="1059"/>
      <c r="G168" s="1054"/>
      <c r="H168" s="1269"/>
      <c r="I168" s="1056"/>
      <c r="J168" s="1111"/>
      <c r="K168" s="1025"/>
    </row>
    <row r="169" spans="1:11">
      <c r="A169" s="1037"/>
      <c r="B169" s="1038"/>
      <c r="C169" s="1026"/>
      <c r="D169" s="1026"/>
      <c r="E169" s="1026"/>
      <c r="F169" s="1059"/>
      <c r="G169" s="1054"/>
      <c r="H169" s="1269"/>
      <c r="I169" s="1056"/>
      <c r="J169" s="1111"/>
      <c r="K169" s="1025"/>
    </row>
    <row r="170" spans="1:11">
      <c r="A170" s="1037"/>
      <c r="B170" s="1038"/>
      <c r="C170" s="1026"/>
      <c r="D170" s="1026"/>
      <c r="E170" s="1026"/>
      <c r="F170" s="1059"/>
      <c r="G170" s="1054"/>
      <c r="H170" s="1269"/>
      <c r="I170" s="1056"/>
      <c r="J170" s="1111"/>
      <c r="K170" s="1025"/>
    </row>
    <row r="171" spans="1:11">
      <c r="A171" s="1037"/>
      <c r="B171" s="1038"/>
      <c r="C171" s="1026"/>
      <c r="D171" s="1026"/>
      <c r="E171" s="1026"/>
      <c r="F171" s="1059"/>
      <c r="G171" s="1054"/>
      <c r="H171" s="1269"/>
      <c r="I171" s="1056"/>
      <c r="J171" s="1111"/>
      <c r="K171" s="1025"/>
    </row>
    <row r="172" spans="1:11">
      <c r="A172" s="1037"/>
      <c r="B172" s="1038"/>
      <c r="C172" s="1026"/>
      <c r="D172" s="1026"/>
      <c r="E172" s="1026"/>
      <c r="F172" s="1059"/>
      <c r="G172" s="1054"/>
      <c r="H172" s="1269"/>
      <c r="I172" s="1056"/>
      <c r="J172" s="1111"/>
      <c r="K172" s="1025"/>
    </row>
    <row r="173" spans="1:11">
      <c r="A173" s="1037"/>
      <c r="B173" s="1038"/>
      <c r="C173" s="1026"/>
      <c r="D173" s="1026"/>
      <c r="E173" s="1026"/>
      <c r="F173" s="1059"/>
      <c r="G173" s="1059"/>
      <c r="H173" s="1269"/>
      <c r="I173" s="1056"/>
      <c r="J173" s="1111"/>
      <c r="K173" s="1025"/>
    </row>
    <row r="174" spans="1:11">
      <c r="A174" s="1037"/>
      <c r="B174" s="1038"/>
      <c r="C174" s="1026"/>
      <c r="D174" s="1026"/>
      <c r="E174" s="1026"/>
      <c r="F174" s="1059"/>
      <c r="G174" s="1059"/>
      <c r="H174" s="1269"/>
      <c r="I174" s="1056"/>
      <c r="J174" s="1111"/>
      <c r="K174" s="1025"/>
    </row>
    <row r="175" spans="1:11">
      <c r="A175" s="1037"/>
      <c r="B175" s="1038"/>
      <c r="C175" s="1026"/>
      <c r="D175" s="1026"/>
      <c r="E175" s="1026"/>
      <c r="F175" s="1059"/>
      <c r="G175" s="1054"/>
      <c r="H175" s="1269"/>
      <c r="I175" s="1056"/>
      <c r="J175" s="1111"/>
      <c r="K175" s="1025"/>
    </row>
    <row r="176" spans="1:11">
      <c r="A176" s="1037"/>
      <c r="B176" s="1038"/>
      <c r="C176" s="1026"/>
      <c r="D176" s="1026"/>
      <c r="E176" s="1026"/>
      <c r="F176" s="1059"/>
      <c r="G176" s="1054"/>
      <c r="H176" s="1269"/>
      <c r="I176" s="1056"/>
      <c r="J176" s="1111"/>
      <c r="K176" s="1025"/>
    </row>
    <row r="177" spans="1:11">
      <c r="A177" s="1037"/>
      <c r="B177" s="1038"/>
      <c r="C177" s="1026"/>
      <c r="D177" s="1026"/>
      <c r="E177" s="1026"/>
      <c r="F177" s="1059"/>
      <c r="G177" s="1054"/>
      <c r="H177" s="1269"/>
      <c r="I177" s="1056"/>
      <c r="J177" s="1111"/>
      <c r="K177" s="1025"/>
    </row>
    <row r="178" spans="1:11" ht="15.75">
      <c r="A178" s="1037"/>
      <c r="B178" s="1038"/>
      <c r="C178" s="1026"/>
      <c r="D178" s="1026"/>
      <c r="E178" s="1026"/>
      <c r="F178" s="1059"/>
      <c r="G178" s="1059"/>
      <c r="H178" s="1269"/>
      <c r="I178" s="1056"/>
      <c r="J178" s="1111"/>
      <c r="K178" s="1115"/>
    </row>
    <row r="179" spans="1:11">
      <c r="A179" s="1037"/>
      <c r="B179" s="1038"/>
      <c r="C179" s="1026"/>
      <c r="D179" s="1026"/>
      <c r="E179" s="1026"/>
      <c r="F179" s="1059"/>
      <c r="G179" s="1059"/>
      <c r="H179" s="1269"/>
      <c r="I179" s="1056"/>
      <c r="J179" s="1111"/>
      <c r="K179" s="1025"/>
    </row>
    <row r="180" spans="1:11" ht="15.75">
      <c r="A180" s="1037"/>
      <c r="B180" s="1038"/>
      <c r="C180" s="1026"/>
      <c r="D180" s="1026"/>
      <c r="E180" s="1026"/>
      <c r="F180" s="1059"/>
      <c r="G180" s="1054"/>
      <c r="H180" s="1269"/>
      <c r="I180" s="1056"/>
      <c r="J180" s="1111"/>
      <c r="K180" s="1115"/>
    </row>
    <row r="181" spans="1:11" ht="15.75">
      <c r="A181" s="1037"/>
      <c r="B181" s="1038"/>
      <c r="C181" s="1026"/>
      <c r="D181" s="1026"/>
      <c r="E181" s="1026"/>
      <c r="F181" s="1059"/>
      <c r="G181" s="1054"/>
      <c r="H181" s="1269"/>
      <c r="I181" s="1056"/>
      <c r="J181" s="1111"/>
      <c r="K181" s="1115"/>
    </row>
    <row r="182" spans="1:11" ht="15.75">
      <c r="A182" s="1037"/>
      <c r="B182" s="1038"/>
      <c r="C182" s="1026"/>
      <c r="D182" s="1026"/>
      <c r="E182" s="1026"/>
      <c r="F182" s="1059"/>
      <c r="G182" s="1054"/>
      <c r="H182" s="1269"/>
      <c r="I182" s="1056"/>
      <c r="J182" s="1111"/>
      <c r="K182" s="1115"/>
    </row>
    <row r="183" spans="1:11" ht="15.75">
      <c r="A183" s="1037"/>
      <c r="B183" s="1038"/>
      <c r="C183" s="1026"/>
      <c r="D183" s="1026"/>
      <c r="E183" s="1026"/>
      <c r="F183" s="1059"/>
      <c r="G183" s="1054"/>
      <c r="H183" s="1269"/>
      <c r="I183" s="1056"/>
      <c r="J183" s="1111"/>
      <c r="K183" s="1115"/>
    </row>
    <row r="184" spans="1:11" ht="15.75">
      <c r="A184" s="1037"/>
      <c r="B184" s="1038"/>
      <c r="C184" s="1026"/>
      <c r="D184" s="1026"/>
      <c r="E184" s="1026"/>
      <c r="F184" s="1059"/>
      <c r="G184" s="1059"/>
      <c r="H184" s="1269"/>
      <c r="I184" s="1056"/>
      <c r="J184" s="1111"/>
      <c r="K184" s="1115"/>
    </row>
    <row r="185" spans="1:11">
      <c r="A185" s="1037"/>
      <c r="B185" s="1038"/>
      <c r="C185" s="1026"/>
      <c r="D185" s="1026"/>
      <c r="E185" s="1026"/>
      <c r="F185" s="1059"/>
      <c r="G185" s="1059"/>
      <c r="H185" s="1269"/>
      <c r="I185" s="1056"/>
      <c r="J185" s="1111"/>
      <c r="K185" s="1025"/>
    </row>
    <row r="186" spans="1:11" ht="15.75">
      <c r="A186" s="1037"/>
      <c r="B186" s="1038"/>
      <c r="C186" s="1026"/>
      <c r="D186" s="1026"/>
      <c r="E186" s="1026"/>
      <c r="F186" s="1059"/>
      <c r="G186" s="1054"/>
      <c r="H186" s="1269"/>
      <c r="I186" s="1056"/>
      <c r="J186" s="1111"/>
      <c r="K186" s="1115"/>
    </row>
    <row r="187" spans="1:11">
      <c r="A187" s="1037"/>
      <c r="B187" s="1038"/>
      <c r="C187" s="1026"/>
      <c r="D187" s="1026"/>
      <c r="E187" s="1026"/>
      <c r="F187" s="1059"/>
      <c r="G187" s="1059"/>
      <c r="H187" s="1269"/>
      <c r="I187" s="1056"/>
      <c r="J187" s="1111"/>
      <c r="K187" s="1025"/>
    </row>
    <row r="188" spans="1:11">
      <c r="A188" s="1037"/>
      <c r="B188" s="1038"/>
      <c r="C188" s="1026"/>
      <c r="D188" s="1026"/>
      <c r="E188" s="1026"/>
      <c r="F188" s="1059"/>
      <c r="G188" s="1059"/>
      <c r="H188" s="1269"/>
      <c r="I188" s="1056"/>
      <c r="J188" s="1111"/>
      <c r="K188" s="1025"/>
    </row>
    <row r="189" spans="1:11">
      <c r="A189" s="1037"/>
      <c r="B189" s="1038"/>
      <c r="C189" s="1026"/>
      <c r="D189" s="1026"/>
      <c r="E189" s="1026"/>
      <c r="F189" s="1059"/>
      <c r="G189" s="1059"/>
      <c r="H189" s="1269"/>
      <c r="I189" s="1056"/>
      <c r="J189" s="1111"/>
      <c r="K189" s="1025"/>
    </row>
    <row r="190" spans="1:11">
      <c r="A190" s="1037"/>
      <c r="B190" s="1038"/>
      <c r="C190" s="1026"/>
      <c r="D190" s="1026"/>
      <c r="E190" s="1026"/>
      <c r="F190" s="1059"/>
      <c r="G190" s="1059"/>
      <c r="H190" s="1269"/>
      <c r="I190" s="1056"/>
      <c r="J190" s="1111"/>
      <c r="K190" s="1025"/>
    </row>
    <row r="191" spans="1:11">
      <c r="A191" s="1037"/>
      <c r="B191" s="1038"/>
      <c r="C191" s="1026"/>
      <c r="D191" s="1026"/>
      <c r="E191" s="1026"/>
      <c r="F191" s="1059"/>
      <c r="G191" s="1054"/>
      <c r="H191" s="1269"/>
      <c r="I191" s="1056"/>
      <c r="J191" s="1111"/>
      <c r="K191" s="1025"/>
    </row>
    <row r="192" spans="1:11">
      <c r="A192" s="1037"/>
      <c r="B192" s="1038"/>
      <c r="C192" s="1026"/>
      <c r="D192" s="1026"/>
      <c r="E192" s="1026"/>
      <c r="F192" s="1059"/>
      <c r="G192" s="1054"/>
      <c r="H192" s="1269"/>
      <c r="I192" s="1056"/>
      <c r="J192" s="1111"/>
      <c r="K192" s="1025"/>
    </row>
    <row r="193" spans="1:11">
      <c r="A193" s="1037"/>
      <c r="B193" s="1038"/>
      <c r="C193" s="1026"/>
      <c r="D193" s="1026"/>
      <c r="E193" s="1026"/>
      <c r="F193" s="1059"/>
      <c r="G193" s="1054"/>
      <c r="H193" s="1269"/>
      <c r="I193" s="1056"/>
      <c r="J193" s="1111"/>
      <c r="K193" s="1025"/>
    </row>
    <row r="194" spans="1:11">
      <c r="A194" s="1037"/>
      <c r="B194" s="1038"/>
      <c r="C194" s="1026"/>
      <c r="D194" s="1026"/>
      <c r="E194" s="1026"/>
      <c r="F194" s="1059"/>
      <c r="G194" s="1054"/>
      <c r="H194" s="1269"/>
      <c r="I194" s="1056"/>
      <c r="J194" s="1111"/>
      <c r="K194" s="1025"/>
    </row>
    <row r="195" spans="1:11">
      <c r="A195" s="1037"/>
      <c r="B195" s="1038"/>
      <c r="C195" s="1026"/>
      <c r="D195" s="1026"/>
      <c r="E195" s="1026"/>
      <c r="F195" s="1059"/>
      <c r="G195" s="1054"/>
      <c r="H195" s="1269"/>
      <c r="I195" s="1056"/>
      <c r="J195" s="1111"/>
      <c r="K195" s="1025"/>
    </row>
    <row r="196" spans="1:11">
      <c r="A196" s="1037"/>
      <c r="B196" s="1038"/>
      <c r="C196" s="1026"/>
      <c r="D196" s="1026"/>
      <c r="E196" s="1026"/>
      <c r="F196" s="1059"/>
      <c r="G196" s="1054"/>
      <c r="H196" s="1269"/>
      <c r="I196" s="1056"/>
      <c r="J196" s="1111"/>
      <c r="K196" s="1025"/>
    </row>
    <row r="197" spans="1:11">
      <c r="A197" s="1037"/>
      <c r="B197" s="1038"/>
      <c r="C197" s="1026"/>
      <c r="D197" s="1026"/>
      <c r="E197" s="1026"/>
      <c r="F197" s="1059"/>
      <c r="G197" s="1054"/>
      <c r="H197" s="1269"/>
      <c r="I197" s="1056"/>
      <c r="J197" s="1111"/>
      <c r="K197" s="1025"/>
    </row>
    <row r="198" spans="1:11">
      <c r="A198" s="1037"/>
      <c r="B198" s="1038"/>
      <c r="C198" s="1026"/>
      <c r="D198" s="1026"/>
      <c r="E198" s="1026"/>
      <c r="F198" s="1059"/>
      <c r="G198" s="1059"/>
      <c r="H198" s="1269"/>
      <c r="I198" s="1056"/>
      <c r="J198" s="1111"/>
      <c r="K198" s="1025"/>
    </row>
    <row r="199" spans="1:11">
      <c r="A199" s="1037"/>
      <c r="B199" s="1038"/>
      <c r="C199" s="1026"/>
      <c r="D199" s="1026"/>
      <c r="E199" s="1026"/>
      <c r="F199" s="1059"/>
      <c r="G199" s="1059"/>
      <c r="H199" s="1269"/>
      <c r="I199" s="1056"/>
      <c r="J199" s="1111"/>
      <c r="K199" s="1025"/>
    </row>
    <row r="200" spans="1:11" ht="15.75">
      <c r="A200" s="1037"/>
      <c r="B200" s="1038"/>
      <c r="C200" s="1026"/>
      <c r="D200" s="1026"/>
      <c r="E200" s="1026"/>
      <c r="F200" s="1059"/>
      <c r="G200" s="1054"/>
      <c r="H200" s="1269"/>
      <c r="I200" s="1056"/>
      <c r="J200" s="1111"/>
      <c r="K200" s="1115"/>
    </row>
    <row r="201" spans="1:11">
      <c r="A201" s="1037"/>
      <c r="B201" s="1038"/>
      <c r="C201" s="1026"/>
      <c r="D201" s="1026"/>
      <c r="E201" s="1026"/>
      <c r="F201" s="1059"/>
      <c r="G201" s="1054"/>
      <c r="H201" s="1269"/>
      <c r="I201" s="1056"/>
      <c r="J201" s="1111"/>
      <c r="K201" s="1025"/>
    </row>
    <row r="202" spans="1:11">
      <c r="A202" s="1037"/>
      <c r="B202" s="1038"/>
      <c r="C202" s="1025"/>
      <c r="D202" s="1025"/>
      <c r="E202" s="1025"/>
      <c r="F202" s="1061"/>
      <c r="G202" s="1054"/>
      <c r="H202" s="1269"/>
      <c r="I202" s="1056"/>
      <c r="J202" s="1111"/>
      <c r="K202" s="1025"/>
    </row>
    <row r="203" spans="1:11">
      <c r="A203" s="1037"/>
      <c r="B203" s="1038"/>
      <c r="C203" s="1026"/>
      <c r="D203" s="1026"/>
      <c r="E203" s="1026"/>
      <c r="F203" s="1061"/>
      <c r="G203" s="1054"/>
      <c r="H203" s="1269"/>
      <c r="I203" s="1056"/>
      <c r="J203" s="1111"/>
      <c r="K203" s="1025"/>
    </row>
    <row r="204" spans="1:11" ht="15.75">
      <c r="A204" s="1037"/>
      <c r="B204" s="1038"/>
      <c r="C204" s="1026"/>
      <c r="D204" s="1026"/>
      <c r="E204" s="1026"/>
      <c r="F204" s="1059"/>
      <c r="G204" s="1059"/>
      <c r="H204" s="1269"/>
      <c r="I204" s="1056"/>
      <c r="J204" s="1111"/>
      <c r="K204" s="1115"/>
    </row>
    <row r="205" spans="1:11">
      <c r="A205" s="1037"/>
      <c r="B205" s="1038"/>
      <c r="C205" s="1026"/>
      <c r="D205" s="1026"/>
      <c r="E205" s="1026"/>
      <c r="F205" s="1059"/>
      <c r="G205" s="1059"/>
      <c r="H205" s="1269"/>
      <c r="I205" s="1056"/>
      <c r="J205" s="1111"/>
      <c r="K205" s="1025"/>
    </row>
    <row r="206" spans="1:11" ht="15.75">
      <c r="A206" s="1037"/>
      <c r="B206" s="1038"/>
      <c r="C206" s="1026"/>
      <c r="D206" s="1026"/>
      <c r="E206" s="1026"/>
      <c r="F206" s="1059"/>
      <c r="G206" s="1054"/>
      <c r="H206" s="1269"/>
      <c r="I206" s="1056"/>
      <c r="J206" s="1111"/>
      <c r="K206" s="1115"/>
    </row>
    <row r="207" spans="1:11" ht="15.75">
      <c r="A207" s="1037"/>
      <c r="B207" s="1038"/>
      <c r="C207" s="1026"/>
      <c r="D207" s="1026"/>
      <c r="E207" s="1026"/>
      <c r="F207" s="1059"/>
      <c r="G207" s="1054"/>
      <c r="H207" s="1269"/>
      <c r="I207" s="1056"/>
      <c r="J207" s="1111"/>
      <c r="K207" s="1115"/>
    </row>
    <row r="208" spans="1:11" ht="15.75">
      <c r="A208" s="1037"/>
      <c r="B208" s="1038"/>
      <c r="C208" s="1026"/>
      <c r="D208" s="1026"/>
      <c r="E208" s="1026"/>
      <c r="F208" s="1059"/>
      <c r="G208" s="1054"/>
      <c r="H208" s="1269"/>
      <c r="I208" s="1056"/>
      <c r="J208" s="1111"/>
      <c r="K208" s="1115"/>
    </row>
    <row r="209" spans="1:11" ht="15.75">
      <c r="A209" s="1037"/>
      <c r="B209" s="1038"/>
      <c r="C209" s="1026"/>
      <c r="D209" s="1026"/>
      <c r="E209" s="1026"/>
      <c r="F209" s="1059"/>
      <c r="G209" s="1054"/>
      <c r="H209" s="1269"/>
      <c r="I209" s="1056"/>
      <c r="J209" s="1111"/>
      <c r="K209" s="1115"/>
    </row>
    <row r="210" spans="1:11" ht="15.75">
      <c r="A210" s="1037"/>
      <c r="B210" s="1038"/>
      <c r="C210" s="1026"/>
      <c r="D210" s="1026"/>
      <c r="E210" s="1026"/>
      <c r="F210" s="1059"/>
      <c r="G210" s="1054"/>
      <c r="H210" s="1269"/>
      <c r="I210" s="1056"/>
      <c r="J210" s="1111"/>
      <c r="K210" s="1115"/>
    </row>
    <row r="211" spans="1:11" ht="15.75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115"/>
    </row>
    <row r="212" spans="1:11" ht="15.75">
      <c r="A212" s="1037"/>
      <c r="B212" s="1038"/>
      <c r="C212" s="1026"/>
      <c r="D212" s="1026"/>
      <c r="E212" s="1026"/>
      <c r="F212" s="1059"/>
      <c r="G212" s="1054"/>
      <c r="H212" s="1269"/>
      <c r="I212" s="1056"/>
      <c r="J212" s="1111"/>
      <c r="K212" s="1115"/>
    </row>
    <row r="213" spans="1:11" ht="15.75">
      <c r="A213" s="1037"/>
      <c r="B213" s="1038"/>
      <c r="C213" s="1026"/>
      <c r="D213" s="1026"/>
      <c r="E213" s="1026"/>
      <c r="F213" s="1059"/>
      <c r="G213" s="1054"/>
      <c r="H213" s="1269"/>
      <c r="I213" s="1056"/>
      <c r="J213" s="1111"/>
      <c r="K213" s="1115"/>
    </row>
    <row r="214" spans="1:11" ht="15.75">
      <c r="A214" s="1037"/>
      <c r="B214" s="1038"/>
      <c r="C214" s="1026"/>
      <c r="D214" s="1026"/>
      <c r="F214" s="1059"/>
      <c r="G214" s="1054"/>
      <c r="H214" s="1269"/>
      <c r="I214" s="1056"/>
      <c r="J214" s="1111"/>
      <c r="K214" s="1115"/>
    </row>
    <row r="215" spans="1:11" ht="15.75">
      <c r="A215" s="1037"/>
      <c r="B215" s="1038"/>
      <c r="C215" s="1026"/>
      <c r="D215" s="1026"/>
      <c r="E215" s="1026"/>
      <c r="F215" s="1059"/>
      <c r="G215" s="1054"/>
      <c r="H215" s="1269"/>
      <c r="I215" s="1056"/>
      <c r="J215" s="1111"/>
      <c r="K215" s="1115"/>
    </row>
    <row r="216" spans="1:11" ht="15.75">
      <c r="A216" s="1037"/>
      <c r="B216" s="1038"/>
      <c r="C216" s="1026"/>
      <c r="D216" s="1026"/>
      <c r="E216" s="1026"/>
      <c r="F216" s="1059"/>
      <c r="G216" s="1054"/>
      <c r="H216" s="1269"/>
      <c r="I216" s="1056"/>
      <c r="J216" s="1111"/>
      <c r="K216" s="1115"/>
    </row>
    <row r="217" spans="1:11" ht="15.75">
      <c r="A217" s="1037"/>
      <c r="B217" s="1038"/>
      <c r="C217" s="1026"/>
      <c r="D217" s="1026"/>
      <c r="E217" s="1026"/>
      <c r="F217" s="1059"/>
      <c r="G217" s="1054"/>
      <c r="H217" s="1269"/>
      <c r="I217" s="1056"/>
      <c r="J217" s="1111"/>
      <c r="K217" s="1115"/>
    </row>
    <row r="218" spans="1:11" ht="15.75">
      <c r="A218" s="1037"/>
      <c r="B218" s="1038"/>
      <c r="C218" s="1026"/>
      <c r="D218" s="1026"/>
      <c r="E218" s="1026"/>
      <c r="F218" s="1059"/>
      <c r="G218" s="1054"/>
      <c r="H218" s="1269"/>
      <c r="I218" s="1056"/>
      <c r="J218" s="1111"/>
      <c r="K218" s="1115"/>
    </row>
    <row r="219" spans="1:11">
      <c r="A219" s="1037"/>
      <c r="B219" s="1038"/>
      <c r="C219" s="1026"/>
      <c r="D219" s="1026"/>
      <c r="E219" s="1026"/>
      <c r="F219" s="1059"/>
      <c r="G219" s="1054"/>
      <c r="H219" s="1269"/>
      <c r="I219" s="1056"/>
      <c r="J219" s="1111"/>
      <c r="K219" s="1025"/>
    </row>
    <row r="220" spans="1:11">
      <c r="A220" s="1039"/>
      <c r="B220" s="1039"/>
      <c r="C220" s="1025"/>
      <c r="D220" s="1025"/>
      <c r="E220" s="1025"/>
      <c r="F220" s="1061"/>
      <c r="G220" s="1062"/>
      <c r="H220" s="1269"/>
      <c r="I220" s="1056"/>
      <c r="J220" s="1111"/>
      <c r="K220" s="1025"/>
    </row>
    <row r="221" spans="1:11">
      <c r="A221" s="1039"/>
      <c r="B221" s="1039"/>
      <c r="C221" s="1025"/>
      <c r="D221" s="1025"/>
      <c r="E221" s="1025"/>
      <c r="F221" s="1061"/>
      <c r="G221" s="1062"/>
      <c r="H221" s="1269"/>
      <c r="I221" s="1056"/>
      <c r="J221" s="1111"/>
      <c r="K221" s="1025"/>
    </row>
    <row r="222" spans="1:11">
      <c r="A222" s="1039"/>
      <c r="B222" s="1039"/>
      <c r="C222" s="1025"/>
      <c r="D222" s="1025"/>
      <c r="E222" s="1025"/>
      <c r="F222" s="1061"/>
      <c r="G222" s="1062"/>
      <c r="H222" s="1269"/>
      <c r="I222" s="1056"/>
      <c r="J222" s="1111"/>
      <c r="K222" s="1025"/>
    </row>
    <row r="223" spans="1:11">
      <c r="A223" s="1039"/>
      <c r="B223" s="1039"/>
      <c r="C223" s="1025"/>
      <c r="D223" s="1025"/>
      <c r="E223" s="1025"/>
      <c r="F223" s="1061"/>
      <c r="G223" s="1062"/>
      <c r="H223" s="1269"/>
      <c r="I223" s="1056"/>
      <c r="J223" s="1111"/>
      <c r="K223" s="1025"/>
    </row>
    <row r="224" spans="1:11">
      <c r="A224" s="1039"/>
      <c r="B224" s="1039"/>
      <c r="C224" s="1025"/>
      <c r="D224" s="1025"/>
      <c r="E224" s="1025"/>
      <c r="F224" s="1061"/>
      <c r="G224" s="1062"/>
      <c r="H224" s="1269"/>
      <c r="I224" s="1056"/>
      <c r="J224" s="1111"/>
      <c r="K224" s="1025"/>
    </row>
    <row r="225" spans="1:11">
      <c r="A225" s="1039"/>
      <c r="B225" s="1039"/>
      <c r="C225" s="1025"/>
      <c r="D225" s="1025"/>
      <c r="E225" s="1025"/>
      <c r="F225" s="1061"/>
      <c r="G225" s="1062"/>
      <c r="H225" s="1269"/>
      <c r="I225" s="1056"/>
      <c r="J225" s="1111"/>
      <c r="K225" s="1025"/>
    </row>
    <row r="226" spans="1:11">
      <c r="A226" s="1039"/>
      <c r="B226" s="1039"/>
      <c r="C226" s="1025"/>
      <c r="D226" s="1025"/>
      <c r="E226" s="1025"/>
      <c r="F226" s="1061"/>
      <c r="G226" s="1062"/>
      <c r="H226" s="1269"/>
      <c r="I226" s="1056"/>
      <c r="J226" s="1111"/>
      <c r="K226" s="1025"/>
    </row>
    <row r="227" spans="1:11">
      <c r="A227" s="1039"/>
      <c r="B227" s="1039"/>
      <c r="C227" s="1025"/>
      <c r="D227" s="1025"/>
      <c r="E227" s="1025"/>
      <c r="F227" s="1061"/>
      <c r="G227" s="1062"/>
      <c r="H227" s="1269"/>
      <c r="I227" s="1056"/>
      <c r="J227" s="1111"/>
      <c r="K227" s="1025"/>
    </row>
    <row r="228" spans="1:11">
      <c r="A228" s="1039"/>
      <c r="B228" s="1039"/>
      <c r="C228" s="1025"/>
      <c r="D228" s="1025"/>
      <c r="E228" s="1025"/>
      <c r="F228" s="1061"/>
      <c r="G228" s="1062"/>
      <c r="H228" s="1269"/>
      <c r="I228" s="1056"/>
      <c r="J228" s="1111"/>
      <c r="K228" s="1025"/>
    </row>
    <row r="229" spans="1:11">
      <c r="A229" s="1039"/>
      <c r="B229" s="1039"/>
      <c r="C229" s="1025"/>
      <c r="D229" s="1025"/>
      <c r="E229" s="1025"/>
      <c r="F229" s="1061"/>
      <c r="G229" s="1062"/>
      <c r="H229" s="1269"/>
      <c r="I229" s="1056"/>
      <c r="J229" s="1111"/>
      <c r="K229" s="1025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1025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1025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1025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1025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1025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1025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1025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1025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1025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1025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1025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1025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1025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1025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1025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1025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1025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1025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1025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1025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1025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1025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1025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1025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1025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1025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1025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1025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1025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1025"/>
    </row>
    <row r="260" spans="1:11">
      <c r="A260" s="1039"/>
      <c r="B260" s="1039"/>
      <c r="C260" s="1025"/>
      <c r="D260" s="1025"/>
      <c r="E260" s="1025"/>
      <c r="F260" s="1061"/>
      <c r="G260" s="1062"/>
      <c r="H260" s="1269"/>
      <c r="I260" s="1056"/>
      <c r="J260" s="1111"/>
      <c r="K260" s="1025"/>
    </row>
    <row r="261" spans="1:11">
      <c r="A261" s="1039"/>
      <c r="B261" s="1039"/>
      <c r="C261" s="1025"/>
      <c r="D261" s="1025"/>
      <c r="E261" s="1025"/>
      <c r="F261" s="1061"/>
      <c r="G261" s="1062"/>
      <c r="H261" s="1269"/>
      <c r="I261" s="1056"/>
      <c r="J261" s="1111"/>
      <c r="K261" s="1025"/>
    </row>
    <row r="262" spans="1:11">
      <c r="A262" s="1039"/>
      <c r="B262" s="1039"/>
      <c r="C262" s="1025"/>
      <c r="D262" s="1025"/>
      <c r="E262" s="1025"/>
      <c r="F262" s="1061"/>
      <c r="G262" s="1062"/>
      <c r="H262" s="1269"/>
      <c r="I262" s="1056"/>
      <c r="J262" s="1111"/>
      <c r="K262" s="1025"/>
    </row>
    <row r="263" spans="1:11">
      <c r="A263" s="1039"/>
      <c r="B263" s="1039"/>
      <c r="C263" s="1025"/>
      <c r="D263" s="1025"/>
      <c r="E263" s="1025"/>
      <c r="F263" s="1061"/>
      <c r="G263" s="1062"/>
      <c r="H263" s="1269"/>
      <c r="I263" s="1056"/>
      <c r="J263" s="1111"/>
      <c r="K263" s="1025"/>
    </row>
    <row r="264" spans="1:11">
      <c r="A264" s="1039"/>
      <c r="B264" s="1039"/>
      <c r="C264" s="1025"/>
      <c r="D264" s="1025"/>
      <c r="E264" s="1025"/>
      <c r="F264" s="1061"/>
      <c r="G264" s="1062"/>
      <c r="H264" s="1269"/>
      <c r="I264" s="1056"/>
      <c r="J264" s="1111"/>
      <c r="K264" s="1025"/>
    </row>
    <row r="265" spans="1:11">
      <c r="A265" s="1039"/>
      <c r="B265" s="1039"/>
      <c r="C265" s="1025"/>
      <c r="D265" s="1025"/>
      <c r="E265" s="1025"/>
      <c r="F265" s="1061"/>
      <c r="G265" s="1062"/>
      <c r="H265" s="1269"/>
      <c r="I265" s="1056"/>
      <c r="J265" s="1111"/>
      <c r="K265" s="1025"/>
    </row>
    <row r="266" spans="1:11">
      <c r="A266" s="1039"/>
      <c r="B266" s="1039"/>
      <c r="C266" s="1025"/>
      <c r="D266" s="1025"/>
      <c r="E266" s="1025"/>
      <c r="F266" s="1061"/>
      <c r="G266" s="1062"/>
      <c r="H266" s="1269"/>
      <c r="I266" s="1056"/>
      <c r="J266" s="1111"/>
      <c r="K266" s="1025"/>
    </row>
    <row r="267" spans="1:11">
      <c r="A267" s="1025"/>
      <c r="B267" s="1025"/>
      <c r="C267" s="1025"/>
      <c r="D267" s="1025"/>
      <c r="E267" s="1025"/>
      <c r="F267" s="1025"/>
      <c r="G267" s="1025"/>
      <c r="H267" s="1269"/>
      <c r="I267" s="1056"/>
      <c r="J267" s="1111"/>
      <c r="K267" s="1025"/>
    </row>
    <row r="268" spans="1:11">
      <c r="A268" s="1025"/>
      <c r="B268" s="1025"/>
      <c r="C268" s="1025"/>
      <c r="D268" s="1025"/>
      <c r="E268" s="1025"/>
      <c r="F268" s="1025"/>
      <c r="G268" s="1025"/>
      <c r="H268" s="1269"/>
      <c r="I268" s="1056"/>
      <c r="J268" s="1111"/>
      <c r="K268" s="1025"/>
    </row>
    <row r="269" spans="1:11">
      <c r="A269" s="1025"/>
      <c r="B269" s="1025"/>
      <c r="C269" s="1025"/>
      <c r="D269" s="1025"/>
      <c r="E269" s="1025"/>
      <c r="F269" s="1025"/>
      <c r="G269" s="1025"/>
      <c r="H269" s="1269"/>
      <c r="I269" s="1056"/>
      <c r="J269" s="1111"/>
      <c r="K269" s="1025"/>
    </row>
    <row r="270" spans="1:11">
      <c r="A270" s="1025"/>
      <c r="B270" s="1025"/>
      <c r="C270" s="1025"/>
      <c r="D270" s="1025"/>
      <c r="E270" s="1025"/>
      <c r="F270" s="1025"/>
      <c r="G270" s="1025"/>
      <c r="H270" s="1269"/>
      <c r="I270" s="1056"/>
      <c r="J270" s="1111"/>
      <c r="K270" s="1025"/>
    </row>
    <row r="271" spans="1:11">
      <c r="A271" s="1025"/>
      <c r="B271" s="1025"/>
      <c r="C271" s="1025"/>
      <c r="D271" s="1025"/>
      <c r="E271" s="1025"/>
      <c r="F271" s="1025"/>
      <c r="G271" s="1025"/>
      <c r="H271" s="1269"/>
      <c r="I271" s="1056"/>
      <c r="J271" s="1111"/>
      <c r="K271" s="1025"/>
    </row>
    <row r="272" spans="1:11">
      <c r="A272" s="1025"/>
      <c r="B272" s="1025"/>
      <c r="C272" s="1025"/>
      <c r="D272" s="1025"/>
      <c r="E272" s="1025"/>
      <c r="F272" s="1025"/>
      <c r="G272" s="1025"/>
      <c r="H272" s="1269"/>
      <c r="I272" s="1056"/>
      <c r="J272" s="1111"/>
      <c r="K272" s="1025"/>
    </row>
    <row r="273" spans="1:11">
      <c r="A273" s="1025"/>
      <c r="B273" s="1025"/>
      <c r="C273" s="1025"/>
      <c r="D273" s="1025"/>
      <c r="E273" s="1025"/>
      <c r="F273" s="1025"/>
      <c r="G273" s="1025"/>
      <c r="H273" s="1269"/>
      <c r="I273" s="1056"/>
      <c r="J273" s="1111"/>
      <c r="K273" s="1025"/>
    </row>
    <row r="274" spans="1:11">
      <c r="A274" s="1025"/>
      <c r="B274" s="1025"/>
      <c r="C274" s="1025"/>
      <c r="D274" s="1025"/>
      <c r="E274" s="1025"/>
      <c r="F274" s="1025"/>
      <c r="G274" s="1025"/>
      <c r="H274" s="1269"/>
      <c r="I274" s="1056"/>
      <c r="J274" s="1111"/>
      <c r="K274" s="1025"/>
    </row>
    <row r="275" spans="1:11">
      <c r="A275" s="1025"/>
      <c r="B275" s="1025"/>
      <c r="C275" s="1025"/>
      <c r="D275" s="1025"/>
      <c r="E275" s="1025"/>
      <c r="F275" s="1025"/>
      <c r="G275" s="1025"/>
      <c r="H275" s="1269"/>
      <c r="I275" s="1056"/>
      <c r="J275" s="1111"/>
      <c r="K275" s="1025"/>
    </row>
    <row r="276" spans="1:11">
      <c r="A276" s="1025"/>
      <c r="B276" s="1025"/>
      <c r="C276" s="1025"/>
      <c r="D276" s="1025"/>
      <c r="E276" s="1025"/>
      <c r="F276" s="1025"/>
      <c r="G276" s="1025"/>
      <c r="H276" s="1269"/>
      <c r="I276" s="1056"/>
      <c r="J276" s="1111"/>
      <c r="K276" s="1025"/>
    </row>
    <row r="277" spans="1:11">
      <c r="A277" s="1025"/>
      <c r="B277" s="1025"/>
      <c r="C277" s="1025"/>
      <c r="D277" s="1025"/>
      <c r="E277" s="1025"/>
      <c r="F277" s="1025"/>
      <c r="G277" s="1025"/>
      <c r="H277" s="1269"/>
      <c r="I277" s="1056"/>
      <c r="J277" s="1111"/>
      <c r="K277" s="1025"/>
    </row>
    <row r="278" spans="1:11">
      <c r="A278" s="1025"/>
      <c r="B278" s="1025"/>
      <c r="C278" s="1025"/>
      <c r="D278" s="1025"/>
      <c r="E278" s="1025"/>
      <c r="F278" s="1025"/>
      <c r="G278" s="1025"/>
      <c r="H278" s="1269"/>
      <c r="I278" s="1056"/>
      <c r="J278" s="1111"/>
      <c r="K278" s="1025"/>
    </row>
    <row r="279" spans="1:11">
      <c r="A279" s="1025"/>
      <c r="B279" s="1025"/>
      <c r="C279" s="1025"/>
      <c r="D279" s="1025"/>
      <c r="E279" s="1025"/>
      <c r="F279" s="1025"/>
      <c r="G279" s="1025"/>
      <c r="H279" s="1269"/>
      <c r="I279" s="1056"/>
      <c r="J279" s="1111"/>
      <c r="K279" s="1025"/>
    </row>
    <row r="280" spans="1:11">
      <c r="A280" s="1025"/>
      <c r="B280" s="1025"/>
      <c r="C280" s="1025"/>
      <c r="D280" s="1025"/>
      <c r="E280" s="1025"/>
      <c r="F280" s="1025"/>
      <c r="G280" s="1025"/>
      <c r="H280" s="1269"/>
      <c r="I280" s="1056"/>
      <c r="J280" s="1111"/>
      <c r="K280" s="1025"/>
    </row>
    <row r="281" spans="1:11" ht="15.75" thickBot="1">
      <c r="A281" s="1037"/>
      <c r="B281" s="1038"/>
      <c r="C281" s="1026"/>
      <c r="D281" s="1026"/>
      <c r="E281" s="1026"/>
      <c r="F281" s="1059"/>
      <c r="G281" s="1054"/>
      <c r="H281" s="1269"/>
      <c r="I281" s="1056"/>
      <c r="J281" s="1111"/>
      <c r="K281" s="1025"/>
    </row>
    <row r="282" spans="1:11" ht="20.25" thickBot="1">
      <c r="A282" s="1552"/>
      <c r="B282" s="1553"/>
      <c r="C282" s="1553"/>
      <c r="D282" s="1553"/>
      <c r="E282" s="1553"/>
      <c r="F282" s="1554">
        <f>SUM(F161:F169,F171:F281)</f>
        <v>0</v>
      </c>
      <c r="G282" s="1553"/>
      <c r="H282" s="1558">
        <f>SUM(H61:H281)</f>
        <v>0</v>
      </c>
      <c r="I282" s="1554">
        <f>SUM(I161:I281)</f>
        <v>0</v>
      </c>
      <c r="J282" s="1111"/>
      <c r="K282" s="1115"/>
    </row>
  </sheetData>
  <autoFilter ref="A1:K36" xr:uid="{E9317CD5-0D57-4040-A47C-7DBAEA326DFF}">
    <filterColumn colId="10">
      <filters>
        <filter val="RENOVAÇÃO"/>
      </filters>
    </filterColumn>
    <sortState xmlns:xlrd2="http://schemas.microsoft.com/office/spreadsheetml/2017/richdata2" ref="A2:K36">
      <sortCondition ref="B1:B36"/>
    </sortState>
  </autoFilter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B54C-1349-48D0-AF95-D1AD56958591}">
  <dimension ref="A1:K282"/>
  <sheetViews>
    <sheetView zoomScale="85" zoomScaleNormal="85" workbookViewId="0">
      <selection activeCell="F4" sqref="F4"/>
    </sheetView>
  </sheetViews>
  <sheetFormatPr defaultColWidth="9.140625" defaultRowHeight="15"/>
  <cols>
    <col min="1" max="1" width="15.140625" style="1032" bestFit="1" customWidth="1"/>
    <col min="2" max="2" width="13.5703125" style="1032" customWidth="1"/>
    <col min="3" max="3" width="44.5703125" style="1032" bestFit="1" customWidth="1"/>
    <col min="4" max="4" width="22.28515625" style="1032" bestFit="1" customWidth="1"/>
    <col min="5" max="5" width="11.5703125" style="1032" customWidth="1"/>
    <col min="6" max="6" width="22" style="1032" bestFit="1" customWidth="1"/>
    <col min="7" max="7" width="15" style="1032" customWidth="1"/>
    <col min="8" max="8" width="24.85546875" style="1032" bestFit="1" customWidth="1"/>
    <col min="9" max="9" width="23.28515625" style="1032" bestFit="1" customWidth="1"/>
    <col min="10" max="10" width="13.140625" style="1032" customWidth="1"/>
    <col min="11" max="11" width="16.5703125" style="1032" customWidth="1"/>
    <col min="12" max="16384" width="9.140625" style="1032"/>
  </cols>
  <sheetData>
    <row r="1" spans="1:11" s="1566" customFormat="1" ht="14.25" customHeight="1">
      <c r="A1" s="1559" t="s">
        <v>2519</v>
      </c>
      <c r="B1" s="1560" t="s">
        <v>2</v>
      </c>
      <c r="C1" s="1560" t="s">
        <v>3</v>
      </c>
      <c r="D1" s="1560" t="s">
        <v>4</v>
      </c>
      <c r="E1" s="1560" t="s">
        <v>5</v>
      </c>
      <c r="F1" s="1561" t="s">
        <v>644</v>
      </c>
      <c r="G1" s="1562" t="s">
        <v>555</v>
      </c>
      <c r="H1" s="1563" t="s">
        <v>7</v>
      </c>
      <c r="I1" s="1564" t="s">
        <v>307</v>
      </c>
      <c r="J1" s="1562" t="s">
        <v>370</v>
      </c>
      <c r="K1" s="1565" t="s">
        <v>442</v>
      </c>
    </row>
    <row r="2" spans="1:11" s="1031" customFormat="1" ht="15.75">
      <c r="A2" s="1037">
        <v>45839</v>
      </c>
      <c r="B2" s="1038">
        <v>46204</v>
      </c>
      <c r="C2" s="1026" t="s">
        <v>2923</v>
      </c>
      <c r="D2" s="1026" t="s">
        <v>25</v>
      </c>
      <c r="E2" s="1026" t="s">
        <v>22</v>
      </c>
      <c r="F2" s="1059">
        <v>1062.75</v>
      </c>
      <c r="G2" s="1054">
        <v>0.2</v>
      </c>
      <c r="H2" s="1055">
        <v>191.29</v>
      </c>
      <c r="I2" s="1056"/>
      <c r="J2" s="1111"/>
      <c r="K2" s="1551" t="s">
        <v>2015</v>
      </c>
    </row>
    <row r="3" spans="1:11" s="1031" customFormat="1" ht="15.75">
      <c r="A3" s="1040">
        <v>45840</v>
      </c>
      <c r="B3" s="1042">
        <v>46205</v>
      </c>
      <c r="C3" s="1030" t="s">
        <v>2228</v>
      </c>
      <c r="D3" s="1030" t="s">
        <v>448</v>
      </c>
      <c r="E3" s="1030" t="s">
        <v>10</v>
      </c>
      <c r="F3" s="1072">
        <v>3799.81</v>
      </c>
      <c r="G3" s="1073">
        <v>0.15</v>
      </c>
      <c r="H3" s="1067">
        <v>512.97</v>
      </c>
      <c r="I3" s="1068">
        <v>51.29</v>
      </c>
      <c r="J3" s="1112" t="s">
        <v>2905</v>
      </c>
      <c r="K3" s="1601" t="s">
        <v>2010</v>
      </c>
    </row>
    <row r="4" spans="1:11" s="1031" customFormat="1" ht="15.75">
      <c r="A4" s="1039">
        <v>45839</v>
      </c>
      <c r="B4" s="1039">
        <v>46206</v>
      </c>
      <c r="C4" s="1025" t="s">
        <v>1431</v>
      </c>
      <c r="D4" s="1025" t="s">
        <v>25</v>
      </c>
      <c r="E4" s="1025" t="s">
        <v>90</v>
      </c>
      <c r="F4" s="1023">
        <v>1896.38</v>
      </c>
      <c r="G4" s="1062">
        <v>0.1</v>
      </c>
      <c r="H4" s="1055">
        <v>170.67</v>
      </c>
      <c r="I4" s="1242"/>
      <c r="J4" s="1025"/>
      <c r="K4" s="1115" t="s">
        <v>2015</v>
      </c>
    </row>
    <row r="5" spans="1:11" s="1031" customFormat="1">
      <c r="A5" s="1037">
        <v>45841</v>
      </c>
      <c r="B5" s="1038">
        <v>46206</v>
      </c>
      <c r="C5" s="1025" t="s">
        <v>957</v>
      </c>
      <c r="D5" s="1026" t="s">
        <v>448</v>
      </c>
      <c r="E5" s="1026" t="s">
        <v>19</v>
      </c>
      <c r="F5" s="1059">
        <v>1457.92</v>
      </c>
      <c r="G5" s="1054">
        <v>0.1</v>
      </c>
      <c r="H5" s="1055">
        <v>131.21</v>
      </c>
      <c r="I5" s="1056" t="s">
        <v>2896</v>
      </c>
      <c r="J5" s="1111"/>
      <c r="K5" s="1025" t="s">
        <v>2015</v>
      </c>
    </row>
    <row r="6" spans="1:11" s="1027" customFormat="1" ht="15.75">
      <c r="A6" s="1039">
        <v>45841</v>
      </c>
      <c r="B6" s="1039">
        <v>46206</v>
      </c>
      <c r="C6" s="1025" t="s">
        <v>2924</v>
      </c>
      <c r="D6" s="1025" t="s">
        <v>21</v>
      </c>
      <c r="E6" s="1025" t="s">
        <v>279</v>
      </c>
      <c r="F6" s="1061">
        <v>1549.56</v>
      </c>
      <c r="G6" s="1062">
        <v>0.15</v>
      </c>
      <c r="H6" s="1055">
        <v>209.19</v>
      </c>
      <c r="I6" s="1242"/>
      <c r="J6" s="1025"/>
      <c r="K6" s="1115" t="s">
        <v>2015</v>
      </c>
    </row>
    <row r="7" spans="1:11" s="1027" customFormat="1" ht="15.75">
      <c r="A7" s="1039">
        <v>45839</v>
      </c>
      <c r="B7" s="1039">
        <v>46207</v>
      </c>
      <c r="C7" s="1025" t="s">
        <v>2615</v>
      </c>
      <c r="D7" s="1025" t="s">
        <v>448</v>
      </c>
      <c r="E7" s="1025" t="s">
        <v>279</v>
      </c>
      <c r="F7" s="1061">
        <v>1064.1400000000001</v>
      </c>
      <c r="G7" s="1062">
        <v>0.15</v>
      </c>
      <c r="H7" s="1055">
        <v>143.65</v>
      </c>
      <c r="I7" s="1242"/>
      <c r="J7" s="1025"/>
      <c r="K7" s="1115" t="s">
        <v>2015</v>
      </c>
    </row>
    <row r="8" spans="1:11" s="1031" customFormat="1" ht="15.75">
      <c r="A8" s="1124">
        <v>45835</v>
      </c>
      <c r="B8" s="1125">
        <v>46208</v>
      </c>
      <c r="C8" s="1028" t="s">
        <v>2925</v>
      </c>
      <c r="D8" s="1028" t="s">
        <v>9</v>
      </c>
      <c r="E8" s="1028" t="s">
        <v>19</v>
      </c>
      <c r="F8" s="1126">
        <v>1480.27</v>
      </c>
      <c r="G8" s="1127">
        <v>0.15</v>
      </c>
      <c r="H8" s="1128">
        <v>199.83</v>
      </c>
      <c r="I8" s="1129">
        <v>19.98</v>
      </c>
      <c r="J8" s="1130" t="s">
        <v>1470</v>
      </c>
      <c r="K8" s="1468" t="s">
        <v>2015</v>
      </c>
    </row>
    <row r="9" spans="1:11" s="1031" customFormat="1" ht="15.75">
      <c r="A9" s="1223">
        <v>45840</v>
      </c>
      <c r="B9" s="1472">
        <v>46209</v>
      </c>
      <c r="C9" s="1225" t="s">
        <v>2594</v>
      </c>
      <c r="D9" s="1225" t="s">
        <v>9</v>
      </c>
      <c r="E9" s="1225" t="s">
        <v>19</v>
      </c>
      <c r="F9" s="1477">
        <v>2553.52</v>
      </c>
      <c r="G9" s="1480">
        <v>0.15</v>
      </c>
      <c r="H9" s="1226">
        <v>344.72</v>
      </c>
      <c r="I9" s="1227">
        <f>344.72/2</f>
        <v>172.36</v>
      </c>
      <c r="J9" s="1228" t="s">
        <v>1996</v>
      </c>
      <c r="K9" s="1231" t="s">
        <v>2015</v>
      </c>
    </row>
    <row r="10" spans="1:11" s="1031" customFormat="1" ht="15" customHeight="1">
      <c r="A10" s="1040">
        <v>45840</v>
      </c>
      <c r="B10" s="1042">
        <v>46210</v>
      </c>
      <c r="C10" s="1030" t="s">
        <v>1524</v>
      </c>
      <c r="D10" s="1030" t="s">
        <v>21</v>
      </c>
      <c r="E10" s="1030" t="s">
        <v>723</v>
      </c>
      <c r="F10" s="1072">
        <v>1515.85</v>
      </c>
      <c r="G10" s="1073">
        <v>0.2</v>
      </c>
      <c r="H10" s="1067">
        <v>272.85000000000002</v>
      </c>
      <c r="I10" s="1068">
        <v>27.28</v>
      </c>
      <c r="J10" s="1112" t="s">
        <v>1470</v>
      </c>
      <c r="K10" s="1117" t="s">
        <v>2015</v>
      </c>
    </row>
    <row r="11" spans="1:11" s="1031" customFormat="1" ht="15.75">
      <c r="A11" s="1040">
        <v>45845</v>
      </c>
      <c r="B11" s="1042">
        <v>46210</v>
      </c>
      <c r="C11" s="1030" t="s">
        <v>1747</v>
      </c>
      <c r="D11" s="1030" t="s">
        <v>25</v>
      </c>
      <c r="E11" s="1030" t="s">
        <v>15</v>
      </c>
      <c r="F11" s="1072">
        <v>1283.46</v>
      </c>
      <c r="G11" s="1073">
        <v>0.15</v>
      </c>
      <c r="H11" s="1067">
        <v>173.26</v>
      </c>
      <c r="I11" s="1068">
        <v>17.32</v>
      </c>
      <c r="J11" s="1112" t="s">
        <v>1470</v>
      </c>
      <c r="K11" s="1117" t="s">
        <v>2015</v>
      </c>
    </row>
    <row r="12" spans="1:11" s="1031" customFormat="1" ht="15.75">
      <c r="A12" s="1040">
        <v>45840</v>
      </c>
      <c r="B12" s="1042">
        <v>46211</v>
      </c>
      <c r="C12" s="1027" t="s">
        <v>1434</v>
      </c>
      <c r="D12" s="1027" t="s">
        <v>21</v>
      </c>
      <c r="E12" s="1027" t="s">
        <v>723</v>
      </c>
      <c r="F12" s="1065">
        <v>1147.76</v>
      </c>
      <c r="G12" s="1066">
        <v>0.15</v>
      </c>
      <c r="H12" s="1067">
        <v>154.94</v>
      </c>
      <c r="I12" s="1068">
        <v>15.49</v>
      </c>
      <c r="J12" s="1112" t="s">
        <v>1470</v>
      </c>
      <c r="K12" s="1117" t="s">
        <v>2015</v>
      </c>
    </row>
    <row r="13" spans="1:11" s="1464" customFormat="1" ht="15.75">
      <c r="A13" s="1040">
        <v>45845</v>
      </c>
      <c r="B13" s="1042">
        <v>46213</v>
      </c>
      <c r="C13" s="1027" t="s">
        <v>2258</v>
      </c>
      <c r="D13" s="1027" t="s">
        <v>9</v>
      </c>
      <c r="E13" s="1027" t="s">
        <v>15</v>
      </c>
      <c r="F13" s="1065">
        <v>3731.42</v>
      </c>
      <c r="G13" s="1066">
        <v>0.1</v>
      </c>
      <c r="H13" s="1067">
        <v>35.82</v>
      </c>
      <c r="I13" s="1068">
        <v>3.58</v>
      </c>
      <c r="J13" s="1112" t="s">
        <v>1470</v>
      </c>
      <c r="K13" s="1117" t="s">
        <v>2015</v>
      </c>
    </row>
    <row r="14" spans="1:11" s="1464" customFormat="1" ht="15.75">
      <c r="A14" s="1037">
        <v>45849</v>
      </c>
      <c r="B14" s="1038">
        <v>46214</v>
      </c>
      <c r="C14" s="1026" t="s">
        <v>2901</v>
      </c>
      <c r="D14" s="1026" t="s">
        <v>9</v>
      </c>
      <c r="E14" s="1025" t="s">
        <v>22</v>
      </c>
      <c r="F14" s="1061">
        <v>1243.1400000000001</v>
      </c>
      <c r="G14" s="1062">
        <v>0.15</v>
      </c>
      <c r="H14" s="1055">
        <v>167.82</v>
      </c>
      <c r="I14" s="1056"/>
      <c r="J14" s="1111"/>
      <c r="K14" s="1115" t="s">
        <v>2010</v>
      </c>
    </row>
    <row r="15" spans="1:11" s="1464" customFormat="1">
      <c r="A15" s="1040">
        <v>45848</v>
      </c>
      <c r="B15" s="1042">
        <v>46215</v>
      </c>
      <c r="C15" s="1027" t="s">
        <v>2899</v>
      </c>
      <c r="D15" s="1030" t="s">
        <v>25</v>
      </c>
      <c r="E15" s="1027" t="s">
        <v>22</v>
      </c>
      <c r="F15" s="1065">
        <v>3432.1</v>
      </c>
      <c r="G15" s="1066">
        <v>0.15</v>
      </c>
      <c r="H15" s="1067">
        <v>463.33</v>
      </c>
      <c r="I15" s="1068">
        <v>140</v>
      </c>
      <c r="J15" s="1112" t="s">
        <v>2905</v>
      </c>
      <c r="K15" s="1027" t="s">
        <v>2015</v>
      </c>
    </row>
    <row r="16" spans="1:11">
      <c r="A16" s="1037">
        <v>45845</v>
      </c>
      <c r="B16" s="1038">
        <v>46216</v>
      </c>
      <c r="C16" s="1025" t="s">
        <v>2897</v>
      </c>
      <c r="D16" s="1026" t="s">
        <v>198</v>
      </c>
      <c r="E16" s="1025" t="s">
        <v>945</v>
      </c>
      <c r="F16" s="1023">
        <v>1944.57</v>
      </c>
      <c r="G16" s="1062">
        <v>0.15</v>
      </c>
      <c r="H16" s="1023">
        <v>262.51</v>
      </c>
      <c r="I16" s="1056"/>
      <c r="J16" s="1111"/>
      <c r="K16" s="1025" t="s">
        <v>2015</v>
      </c>
    </row>
    <row r="17" spans="1:11" ht="15.75">
      <c r="A17" s="1037">
        <v>45848</v>
      </c>
      <c r="B17" s="1038">
        <v>46216</v>
      </c>
      <c r="C17" s="1025" t="s">
        <v>2900</v>
      </c>
      <c r="D17" s="1026" t="s">
        <v>25</v>
      </c>
      <c r="E17" s="1025" t="s">
        <v>10</v>
      </c>
      <c r="F17" s="1061">
        <v>2271.36</v>
      </c>
      <c r="G17" s="1062">
        <v>0.1</v>
      </c>
      <c r="H17" s="1055">
        <v>204.42</v>
      </c>
      <c r="I17" s="1056"/>
      <c r="J17" s="1111"/>
      <c r="K17" s="1115" t="s">
        <v>2015</v>
      </c>
    </row>
    <row r="18" spans="1:11" ht="15.75">
      <c r="A18" s="1041">
        <v>45852</v>
      </c>
      <c r="B18" s="1041">
        <v>46217</v>
      </c>
      <c r="C18" s="1027" t="s">
        <v>2902</v>
      </c>
      <c r="D18" s="1027" t="s">
        <v>448</v>
      </c>
      <c r="E18" s="1027" t="s">
        <v>29</v>
      </c>
      <c r="F18" s="1634">
        <v>1950.46</v>
      </c>
      <c r="G18" s="1066">
        <v>0.1</v>
      </c>
      <c r="H18" s="1090">
        <v>175.54</v>
      </c>
      <c r="I18" s="1068">
        <v>17.55</v>
      </c>
      <c r="J18" s="1112" t="s">
        <v>1470</v>
      </c>
      <c r="K18" s="1117" t="s">
        <v>2015</v>
      </c>
    </row>
    <row r="19" spans="1:11" ht="15.75">
      <c r="A19" s="1039">
        <v>45846</v>
      </c>
      <c r="B19" s="1039">
        <v>46218</v>
      </c>
      <c r="C19" s="1025" t="s">
        <v>2898</v>
      </c>
      <c r="D19" s="1025" t="s">
        <v>61</v>
      </c>
      <c r="E19" s="1025" t="s">
        <v>15</v>
      </c>
      <c r="F19" s="903">
        <v>1894.05</v>
      </c>
      <c r="G19" s="1062">
        <v>0.15</v>
      </c>
      <c r="H19" s="1055">
        <v>255.69</v>
      </c>
      <c r="I19" s="1056"/>
      <c r="J19" s="1111"/>
      <c r="K19" s="1115" t="s">
        <v>2015</v>
      </c>
    </row>
    <row r="20" spans="1:11" ht="15.75">
      <c r="A20" s="1037">
        <v>45853</v>
      </c>
      <c r="B20" s="1039">
        <v>46218</v>
      </c>
      <c r="C20" s="1025" t="s">
        <v>2903</v>
      </c>
      <c r="D20" s="1026" t="s">
        <v>448</v>
      </c>
      <c r="E20" s="1025" t="s">
        <v>279</v>
      </c>
      <c r="F20" s="1834">
        <v>607.14</v>
      </c>
      <c r="G20" s="1062">
        <v>0.2</v>
      </c>
      <c r="H20" s="1055">
        <v>109.28</v>
      </c>
      <c r="I20" s="1056"/>
      <c r="J20" s="1111"/>
      <c r="K20" s="1115" t="s">
        <v>2015</v>
      </c>
    </row>
    <row r="21" spans="1:11" ht="15.75">
      <c r="A21" s="1037">
        <v>45853</v>
      </c>
      <c r="B21" s="1039">
        <v>46218</v>
      </c>
      <c r="C21" s="1025" t="s">
        <v>2904</v>
      </c>
      <c r="D21" s="1026" t="s">
        <v>61</v>
      </c>
      <c r="E21" s="1025" t="s">
        <v>29</v>
      </c>
      <c r="F21" s="1023">
        <v>1690.37</v>
      </c>
      <c r="G21" s="1062">
        <v>0.25</v>
      </c>
      <c r="H21" s="1055">
        <v>380.33</v>
      </c>
      <c r="I21" s="1056"/>
      <c r="J21" s="1111"/>
      <c r="K21" s="1115" t="s">
        <v>2015</v>
      </c>
    </row>
    <row r="22" spans="1:11" ht="15.75">
      <c r="A22" s="1223">
        <v>45854</v>
      </c>
      <c r="B22" s="1406">
        <v>46219</v>
      </c>
      <c r="C22" s="1224" t="s">
        <v>2908</v>
      </c>
      <c r="D22" s="1225" t="s">
        <v>9</v>
      </c>
      <c r="E22" s="1224" t="s">
        <v>10</v>
      </c>
      <c r="F22" s="1232">
        <v>1194.9100000000001</v>
      </c>
      <c r="G22" s="1409">
        <v>0.1</v>
      </c>
      <c r="H22" s="1226">
        <v>107.54</v>
      </c>
      <c r="I22" s="1227">
        <f>107.54/2</f>
        <v>53.77</v>
      </c>
      <c r="J22" s="1228" t="s">
        <v>1996</v>
      </c>
      <c r="K22" s="1231" t="s">
        <v>2015</v>
      </c>
    </row>
    <row r="23" spans="1:11">
      <c r="A23" s="1039">
        <v>45854</v>
      </c>
      <c r="B23" s="1039">
        <v>46219</v>
      </c>
      <c r="C23" s="1039" t="s">
        <v>2906</v>
      </c>
      <c r="D23" s="1039" t="s">
        <v>448</v>
      </c>
      <c r="E23" s="1039" t="s">
        <v>10</v>
      </c>
      <c r="F23" s="1023">
        <v>1214.0999999999999</v>
      </c>
      <c r="G23" s="1062">
        <v>0.1</v>
      </c>
      <c r="H23" s="1023">
        <v>109.26</v>
      </c>
      <c r="I23" s="1023"/>
      <c r="J23" s="1039"/>
      <c r="K23" s="1039" t="s">
        <v>2015</v>
      </c>
    </row>
    <row r="24" spans="1:11" ht="15.75">
      <c r="A24" s="1040">
        <v>45855</v>
      </c>
      <c r="B24" s="1041">
        <v>46220</v>
      </c>
      <c r="C24" s="1031" t="s">
        <v>2910</v>
      </c>
      <c r="D24" s="1030" t="s">
        <v>9</v>
      </c>
      <c r="E24" s="1030" t="s">
        <v>10</v>
      </c>
      <c r="F24" s="1508">
        <v>2254.85</v>
      </c>
      <c r="G24" s="1066">
        <v>0.15</v>
      </c>
      <c r="H24" s="1067">
        <v>304.39999999999998</v>
      </c>
      <c r="I24" s="1068">
        <v>60</v>
      </c>
      <c r="J24" s="1112" t="s">
        <v>2911</v>
      </c>
      <c r="K24" s="1117" t="s">
        <v>2015</v>
      </c>
    </row>
    <row r="25" spans="1:11" ht="15.75">
      <c r="A25" s="1223">
        <v>45855</v>
      </c>
      <c r="B25" s="1472">
        <v>46220</v>
      </c>
      <c r="C25" s="1224" t="s">
        <v>2912</v>
      </c>
      <c r="D25" s="1225" t="s">
        <v>448</v>
      </c>
      <c r="E25" s="1225" t="s">
        <v>19</v>
      </c>
      <c r="F25" s="1835">
        <v>1215.72</v>
      </c>
      <c r="G25" s="1480">
        <v>0.2</v>
      </c>
      <c r="H25" s="1226">
        <v>218.82</v>
      </c>
      <c r="I25" s="1227">
        <f>218.82/2</f>
        <v>109.41</v>
      </c>
      <c r="J25" s="1228" t="s">
        <v>1996</v>
      </c>
      <c r="K25" s="1231" t="s">
        <v>2015</v>
      </c>
    </row>
    <row r="26" spans="1:11" ht="15.75">
      <c r="A26" s="1037">
        <v>45854</v>
      </c>
      <c r="B26" s="1038">
        <v>46220</v>
      </c>
      <c r="C26" s="1025" t="s">
        <v>2907</v>
      </c>
      <c r="D26" s="1026" t="s">
        <v>448</v>
      </c>
      <c r="E26" s="1026" t="s">
        <v>1582</v>
      </c>
      <c r="F26" s="1059">
        <v>912.29</v>
      </c>
      <c r="G26" s="1054">
        <v>0.1</v>
      </c>
      <c r="H26" s="1055">
        <v>82.1</v>
      </c>
      <c r="I26" s="1056"/>
      <c r="J26" s="1111"/>
      <c r="K26" s="1115" t="s">
        <v>2015</v>
      </c>
    </row>
    <row r="27" spans="1:11" ht="15.75">
      <c r="A27" s="1037">
        <v>45855</v>
      </c>
      <c r="B27" s="1038">
        <v>46223</v>
      </c>
      <c r="C27" s="1025" t="s">
        <v>2263</v>
      </c>
      <c r="D27" s="1026" t="s">
        <v>1862</v>
      </c>
      <c r="E27" s="1026" t="s">
        <v>29</v>
      </c>
      <c r="F27" s="1059">
        <v>1442.01</v>
      </c>
      <c r="G27" s="1054">
        <v>0.2</v>
      </c>
      <c r="H27" s="1055">
        <v>259.56</v>
      </c>
      <c r="I27" s="1056"/>
      <c r="J27" s="1111"/>
      <c r="K27" s="1115" t="s">
        <v>2015</v>
      </c>
    </row>
    <row r="28" spans="1:11" ht="15.75">
      <c r="A28" s="1041">
        <v>45859</v>
      </c>
      <c r="B28" s="1041">
        <v>46224</v>
      </c>
      <c r="C28" s="1027" t="s">
        <v>2916</v>
      </c>
      <c r="D28" s="1027" t="s">
        <v>448</v>
      </c>
      <c r="E28" s="1027" t="s">
        <v>10</v>
      </c>
      <c r="F28" s="1090">
        <v>1828.38</v>
      </c>
      <c r="G28" s="1066">
        <v>0.1</v>
      </c>
      <c r="H28" s="1067">
        <v>164.55</v>
      </c>
      <c r="I28" s="1243">
        <v>16.45</v>
      </c>
      <c r="J28" s="1027" t="s">
        <v>2070</v>
      </c>
      <c r="K28" s="1117" t="s">
        <v>2015</v>
      </c>
    </row>
    <row r="29" spans="1:11" ht="15.75">
      <c r="A29" s="1037">
        <v>45859</v>
      </c>
      <c r="B29" s="1038">
        <v>46224</v>
      </c>
      <c r="C29" s="1025" t="s">
        <v>2914</v>
      </c>
      <c r="D29" s="1026" t="s">
        <v>448</v>
      </c>
      <c r="E29" s="1026" t="s">
        <v>29</v>
      </c>
      <c r="F29" s="1059">
        <v>5208.3999999999996</v>
      </c>
      <c r="G29" s="1054">
        <v>0.1</v>
      </c>
      <c r="H29" s="1055">
        <v>468.75</v>
      </c>
      <c r="I29" s="1056"/>
      <c r="J29" s="1111"/>
      <c r="K29" s="1115" t="s">
        <v>2010</v>
      </c>
    </row>
    <row r="30" spans="1:11" ht="15.75">
      <c r="A30" s="1037">
        <v>45860</v>
      </c>
      <c r="B30" s="1038">
        <v>46225</v>
      </c>
      <c r="C30" s="1026" t="s">
        <v>2917</v>
      </c>
      <c r="D30" s="1026" t="s">
        <v>9</v>
      </c>
      <c r="E30" s="1026" t="s">
        <v>10</v>
      </c>
      <c r="F30" s="1059">
        <v>2259.3000000000002</v>
      </c>
      <c r="G30" s="1054">
        <v>0.1</v>
      </c>
      <c r="H30" s="1055">
        <v>203.33</v>
      </c>
      <c r="I30" s="1056"/>
      <c r="J30" s="1111"/>
      <c r="K30" s="1115" t="s">
        <v>2015</v>
      </c>
    </row>
    <row r="31" spans="1:11" ht="15.75">
      <c r="A31" s="1037">
        <v>45860</v>
      </c>
      <c r="B31" s="1038">
        <v>46225</v>
      </c>
      <c r="C31" s="1026" t="s">
        <v>2918</v>
      </c>
      <c r="D31" s="1026" t="s">
        <v>9</v>
      </c>
      <c r="E31" s="1026" t="s">
        <v>22</v>
      </c>
      <c r="F31" s="1059">
        <v>2233.67</v>
      </c>
      <c r="G31" s="1054">
        <v>0.1</v>
      </c>
      <c r="H31" s="1055">
        <v>201.03</v>
      </c>
      <c r="I31" s="1056"/>
      <c r="J31" s="1111"/>
      <c r="K31" s="1115" t="s">
        <v>2015</v>
      </c>
    </row>
    <row r="32" spans="1:11" ht="15.75">
      <c r="A32" s="1037">
        <v>45859</v>
      </c>
      <c r="B32" s="1038">
        <v>46227</v>
      </c>
      <c r="C32" s="1025" t="s">
        <v>2915</v>
      </c>
      <c r="D32" s="1026" t="s">
        <v>9</v>
      </c>
      <c r="E32" s="1026" t="s">
        <v>10</v>
      </c>
      <c r="F32" s="1059">
        <v>3066.96</v>
      </c>
      <c r="G32" s="1054">
        <v>0.1</v>
      </c>
      <c r="H32" s="1055">
        <v>276.02</v>
      </c>
      <c r="I32" s="1056"/>
      <c r="J32" s="1111"/>
      <c r="K32" s="1115" t="s">
        <v>2015</v>
      </c>
    </row>
    <row r="33" spans="1:11" ht="15.75">
      <c r="A33" s="1037">
        <v>45860</v>
      </c>
      <c r="B33" s="1038">
        <v>46228</v>
      </c>
      <c r="C33" s="1026" t="s">
        <v>2919</v>
      </c>
      <c r="D33" s="1026" t="s">
        <v>9</v>
      </c>
      <c r="E33" s="1025" t="s">
        <v>29</v>
      </c>
      <c r="F33" s="1061">
        <v>1668.48</v>
      </c>
      <c r="G33" s="1062">
        <v>0.2</v>
      </c>
      <c r="H33" s="1055">
        <v>300.32</v>
      </c>
      <c r="I33" s="1056"/>
      <c r="J33" s="1111"/>
      <c r="K33" s="1115" t="s">
        <v>2015</v>
      </c>
    </row>
    <row r="34" spans="1:11" ht="15.75">
      <c r="A34" s="1037">
        <v>45861</v>
      </c>
      <c r="B34" s="1038">
        <v>46228</v>
      </c>
      <c r="C34" s="1026" t="s">
        <v>2625</v>
      </c>
      <c r="D34" s="1026" t="s">
        <v>70</v>
      </c>
      <c r="E34" s="1026" t="s">
        <v>279</v>
      </c>
      <c r="F34" s="1059">
        <v>4922.74</v>
      </c>
      <c r="G34" s="1054">
        <v>0.1</v>
      </c>
      <c r="H34" s="1055">
        <v>443.04</v>
      </c>
      <c r="I34" s="1056"/>
      <c r="J34" s="1111"/>
      <c r="K34" s="1115" t="s">
        <v>2015</v>
      </c>
    </row>
    <row r="35" spans="1:11" ht="15.75">
      <c r="A35" s="1037">
        <v>45863</v>
      </c>
      <c r="B35" s="1039">
        <v>46228</v>
      </c>
      <c r="C35" s="1025" t="s">
        <v>2264</v>
      </c>
      <c r="D35" s="1026" t="s">
        <v>70</v>
      </c>
      <c r="E35" s="1025" t="s">
        <v>279</v>
      </c>
      <c r="F35" s="1061">
        <v>1245.94</v>
      </c>
      <c r="G35" s="1062">
        <v>0.15</v>
      </c>
      <c r="H35" s="1055">
        <v>168.2</v>
      </c>
      <c r="I35" s="1056"/>
      <c r="J35" s="1111"/>
      <c r="K35" s="1115" t="s">
        <v>2015</v>
      </c>
    </row>
    <row r="36" spans="1:11" ht="15.75">
      <c r="A36" s="1037">
        <v>45863</v>
      </c>
      <c r="B36" s="1038">
        <v>46229</v>
      </c>
      <c r="C36" s="1026" t="s">
        <v>2217</v>
      </c>
      <c r="D36" s="1026" t="s">
        <v>9</v>
      </c>
      <c r="E36" s="1026" t="s">
        <v>15</v>
      </c>
      <c r="F36" s="1071">
        <v>3940.84</v>
      </c>
      <c r="G36" s="1054">
        <v>0.1</v>
      </c>
      <c r="H36" s="1055">
        <v>354.67</v>
      </c>
      <c r="I36" s="1056"/>
      <c r="J36" s="1111"/>
      <c r="K36" s="1115" t="s">
        <v>2015</v>
      </c>
    </row>
    <row r="37" spans="1:11" s="1313" customFormat="1" ht="15.75">
      <c r="A37" s="1037">
        <v>45859</v>
      </c>
      <c r="B37" s="1038">
        <v>46230</v>
      </c>
      <c r="C37" s="1026" t="s">
        <v>2913</v>
      </c>
      <c r="D37" s="1026" t="s">
        <v>14</v>
      </c>
      <c r="E37" s="1026" t="s">
        <v>22</v>
      </c>
      <c r="F37" s="1059">
        <v>1649.12</v>
      </c>
      <c r="G37" s="1054">
        <v>0.15</v>
      </c>
      <c r="H37" s="1055">
        <v>222.63</v>
      </c>
      <c r="I37" s="1056"/>
      <c r="J37" s="1111"/>
      <c r="K37" s="1115" t="s">
        <v>2015</v>
      </c>
    </row>
    <row r="38" spans="1:11" ht="15.75">
      <c r="A38" s="1040">
        <v>45863</v>
      </c>
      <c r="B38" s="1042">
        <v>46232</v>
      </c>
      <c r="C38" s="1030" t="s">
        <v>2921</v>
      </c>
      <c r="D38" s="1030" t="s">
        <v>61</v>
      </c>
      <c r="E38" s="1030" t="s">
        <v>29</v>
      </c>
      <c r="F38" s="1072">
        <v>2498.1799999999998</v>
      </c>
      <c r="G38" s="1073">
        <v>0.13</v>
      </c>
      <c r="H38" s="1067">
        <v>292.27999999999997</v>
      </c>
      <c r="I38" s="1068">
        <v>29.22</v>
      </c>
      <c r="J38" s="1112" t="s">
        <v>1470</v>
      </c>
      <c r="K38" s="1117" t="s">
        <v>2015</v>
      </c>
    </row>
    <row r="39" spans="1:11" ht="15.75">
      <c r="A39" s="1037">
        <v>45855</v>
      </c>
      <c r="B39" s="1038" t="s">
        <v>1707</v>
      </c>
      <c r="C39" s="1026" t="s">
        <v>2909</v>
      </c>
      <c r="D39" s="1026" t="s">
        <v>25</v>
      </c>
      <c r="E39" s="1026" t="s">
        <v>143</v>
      </c>
      <c r="F39" s="1059">
        <v>-33.590000000000003</v>
      </c>
      <c r="G39" s="1054">
        <v>0.1</v>
      </c>
      <c r="H39" s="1055">
        <v>-33.590000000000003</v>
      </c>
      <c r="I39" s="1056"/>
      <c r="J39" s="1111"/>
      <c r="K39" s="1115" t="s">
        <v>510</v>
      </c>
    </row>
    <row r="40" spans="1:11" ht="15.75">
      <c r="A40" s="1046">
        <v>45862</v>
      </c>
      <c r="B40" s="1047" t="s">
        <v>1805</v>
      </c>
      <c r="C40" s="1085" t="s">
        <v>2920</v>
      </c>
      <c r="D40" s="1080" t="s">
        <v>25</v>
      </c>
      <c r="E40" s="1080" t="s">
        <v>29</v>
      </c>
      <c r="F40" s="1623">
        <v>-582.85</v>
      </c>
      <c r="G40" s="1082">
        <v>0.1</v>
      </c>
      <c r="H40" s="1083">
        <v>-58.28</v>
      </c>
      <c r="I40" s="1084"/>
      <c r="J40" s="1184"/>
      <c r="K40" s="1173" t="s">
        <v>2027</v>
      </c>
    </row>
    <row r="41" spans="1:11" ht="15.75">
      <c r="A41" s="1037"/>
      <c r="B41" s="1038"/>
      <c r="C41" s="1025"/>
      <c r="D41" s="1026"/>
      <c r="E41" s="1026"/>
      <c r="F41" s="1059"/>
      <c r="G41" s="1054"/>
      <c r="H41" s="1055"/>
      <c r="I41" s="1056"/>
      <c r="J41" s="1111"/>
      <c r="K41" s="1115"/>
    </row>
    <row r="42" spans="1:11" ht="15.75">
      <c r="A42" s="1037"/>
      <c r="B42" s="1038"/>
      <c r="C42" s="1026"/>
      <c r="D42" s="1026"/>
      <c r="E42" s="1026"/>
      <c r="F42" s="1059"/>
      <c r="G42" s="1054"/>
      <c r="H42" s="1055"/>
      <c r="I42" s="1056"/>
      <c r="J42" s="1111"/>
      <c r="K42" s="1115"/>
    </row>
    <row r="43" spans="1:11" ht="15.75">
      <c r="A43" s="1037"/>
      <c r="B43" s="1038"/>
      <c r="C43" s="1026"/>
      <c r="D43" s="1026"/>
      <c r="E43" s="1026"/>
      <c r="F43" s="1059"/>
      <c r="G43" s="1054"/>
      <c r="H43" s="1088"/>
      <c r="I43" s="1089"/>
      <c r="J43" s="1111"/>
      <c r="K43" s="1115"/>
    </row>
    <row r="44" spans="1:11" ht="15.75">
      <c r="A44" s="1037"/>
      <c r="B44" s="1038"/>
      <c r="C44" s="1026"/>
      <c r="D44" s="1026"/>
      <c r="E44" s="1026"/>
      <c r="F44" s="1484"/>
      <c r="G44" s="1054"/>
      <c r="H44" s="1055"/>
      <c r="I44" s="1056"/>
      <c r="J44" s="1111"/>
      <c r="K44" s="1115"/>
    </row>
    <row r="45" spans="1:11" ht="15.75">
      <c r="A45" s="1037"/>
      <c r="B45" s="1038"/>
      <c r="C45" s="1026"/>
      <c r="D45" s="1026"/>
      <c r="E45" s="1026"/>
      <c r="F45" s="1059"/>
      <c r="G45" s="1054"/>
      <c r="H45" s="1055"/>
      <c r="I45" s="1056"/>
      <c r="J45" s="1111"/>
      <c r="K45" s="1115"/>
    </row>
    <row r="46" spans="1:11" ht="15.75">
      <c r="A46" s="1037"/>
      <c r="B46" s="1038"/>
      <c r="C46" s="1026"/>
      <c r="D46" s="1026"/>
      <c r="E46" s="1026"/>
      <c r="F46" s="1059"/>
      <c r="G46" s="1054"/>
      <c r="H46" s="1055"/>
      <c r="I46" s="1056"/>
      <c r="J46" s="1111"/>
      <c r="K46" s="1115"/>
    </row>
    <row r="47" spans="1:11" ht="15.75">
      <c r="A47" s="1037"/>
      <c r="B47" s="1038"/>
      <c r="C47" s="1026"/>
      <c r="D47" s="1026"/>
      <c r="E47" s="1026"/>
      <c r="F47" s="1059"/>
      <c r="G47" s="1054"/>
      <c r="H47" s="1055"/>
      <c r="I47" s="1056"/>
      <c r="J47" s="1111"/>
      <c r="K47" s="1115"/>
    </row>
    <row r="48" spans="1:11" ht="15.75">
      <c r="A48" s="1037"/>
      <c r="B48" s="1038"/>
      <c r="C48" s="1026"/>
      <c r="D48" s="1026"/>
      <c r="E48" s="1026"/>
      <c r="F48" s="1059"/>
      <c r="G48" s="1054"/>
      <c r="H48" s="1055"/>
      <c r="I48" s="1056"/>
      <c r="J48" s="1111"/>
      <c r="K48" s="1115"/>
    </row>
    <row r="49" spans="1:11" ht="15.75">
      <c r="A49" s="1037"/>
      <c r="B49" s="1038"/>
      <c r="C49" s="1026"/>
      <c r="D49" s="1026"/>
      <c r="E49" s="1026"/>
      <c r="F49" s="1059"/>
      <c r="G49" s="1054"/>
      <c r="H49" s="1055"/>
      <c r="I49" s="1056"/>
      <c r="J49" s="1111"/>
      <c r="K49" s="1115"/>
    </row>
    <row r="50" spans="1:11" ht="15.75">
      <c r="A50" s="1037"/>
      <c r="B50" s="1038"/>
      <c r="C50" s="1026"/>
      <c r="D50" s="1026"/>
      <c r="E50" s="1026"/>
      <c r="F50" s="1059"/>
      <c r="G50" s="1054"/>
      <c r="H50" s="1055"/>
      <c r="I50" s="1056"/>
      <c r="J50" s="1111"/>
      <c r="K50" s="1115"/>
    </row>
    <row r="51" spans="1:11" ht="15.75">
      <c r="A51" s="1037"/>
      <c r="B51" s="1038"/>
      <c r="C51" s="1026"/>
      <c r="D51" s="1026"/>
      <c r="E51" s="1026"/>
      <c r="F51" s="1059"/>
      <c r="G51" s="1054"/>
      <c r="H51" s="1055"/>
      <c r="I51" s="1056"/>
      <c r="J51" s="1111"/>
      <c r="K51" s="1115"/>
    </row>
    <row r="52" spans="1:11" ht="15.75">
      <c r="A52" s="1037"/>
      <c r="B52" s="1038"/>
      <c r="C52" s="1026"/>
      <c r="D52" s="1026"/>
      <c r="E52" s="1026"/>
      <c r="F52" s="1059"/>
      <c r="G52" s="1054"/>
      <c r="H52" s="1055"/>
      <c r="I52" s="1056"/>
      <c r="J52" s="1111"/>
      <c r="K52" s="1115"/>
    </row>
    <row r="53" spans="1:11" ht="15.75">
      <c r="A53" s="1037"/>
      <c r="B53" s="1038"/>
      <c r="C53" s="1026"/>
      <c r="D53" s="1026"/>
      <c r="E53" s="1026"/>
      <c r="F53" s="1059"/>
      <c r="G53" s="1054"/>
      <c r="H53" s="1055"/>
      <c r="I53" s="1056"/>
      <c r="J53" s="1111"/>
      <c r="K53" s="1115"/>
    </row>
    <row r="54" spans="1:11" ht="15.75">
      <c r="A54" s="1037"/>
      <c r="B54" s="1038"/>
      <c r="C54" s="1026"/>
      <c r="D54" s="1026"/>
      <c r="E54" s="1026"/>
      <c r="F54" s="1059"/>
      <c r="G54" s="1054"/>
      <c r="H54" s="1055"/>
      <c r="I54" s="1056"/>
      <c r="J54" s="1111"/>
      <c r="K54" s="1115"/>
    </row>
    <row r="55" spans="1:11" ht="15.75">
      <c r="A55" s="1037"/>
      <c r="B55" s="1038"/>
      <c r="C55" s="1026"/>
      <c r="D55" s="1026"/>
      <c r="E55" s="1026"/>
      <c r="F55" s="1059"/>
      <c r="G55" s="1054"/>
      <c r="H55" s="1055"/>
      <c r="I55" s="1056"/>
      <c r="J55" s="1111"/>
      <c r="K55" s="1115"/>
    </row>
    <row r="56" spans="1:11" ht="15.75">
      <c r="A56" s="1037"/>
      <c r="B56" s="1038"/>
      <c r="C56" s="1026"/>
      <c r="D56" s="1026"/>
      <c r="E56" s="1026"/>
      <c r="F56" s="1059"/>
      <c r="G56" s="1054"/>
      <c r="H56" s="1055"/>
      <c r="I56" s="1056"/>
      <c r="J56" s="1111"/>
      <c r="K56" s="1115"/>
    </row>
    <row r="57" spans="1:11" ht="15.75">
      <c r="A57" s="1037"/>
      <c r="B57" s="1038"/>
      <c r="C57" s="1026"/>
      <c r="D57" s="1026"/>
      <c r="E57" s="1026"/>
      <c r="F57" s="1059"/>
      <c r="G57" s="1054"/>
      <c r="H57" s="1055"/>
      <c r="I57" s="1056"/>
      <c r="J57" s="1111"/>
      <c r="K57" s="1115"/>
    </row>
    <row r="58" spans="1:11" ht="15.75">
      <c r="A58" s="1037"/>
      <c r="B58" s="1038"/>
      <c r="C58" s="1026"/>
      <c r="D58" s="1026"/>
      <c r="E58" s="1026"/>
      <c r="F58" s="1059"/>
      <c r="G58" s="1054"/>
      <c r="H58" s="1055"/>
      <c r="I58" s="1056"/>
      <c r="J58" s="1111"/>
      <c r="K58" s="1115"/>
    </row>
    <row r="59" spans="1:11" ht="16.5" thickBot="1">
      <c r="A59" s="1037"/>
      <c r="B59" s="1038"/>
      <c r="C59" s="1026"/>
      <c r="D59" s="1026"/>
      <c r="E59" s="1026"/>
      <c r="F59" s="1059"/>
      <c r="G59" s="1054"/>
      <c r="H59" s="1055"/>
      <c r="I59" s="1056"/>
      <c r="J59" s="1111"/>
      <c r="K59" s="1115"/>
    </row>
    <row r="60" spans="1:11" ht="20.25" thickBot="1">
      <c r="A60" s="1552"/>
      <c r="B60" s="1553"/>
      <c r="C60" s="1553"/>
      <c r="D60" s="1553"/>
      <c r="E60" s="1553"/>
      <c r="F60" s="1554">
        <f>SUM(F2:F5,F6:F59)</f>
        <v>75715.48</v>
      </c>
      <c r="G60" s="1555"/>
      <c r="H60" s="1556">
        <f>SUM(H2:H59)</f>
        <v>8643.9499999999989</v>
      </c>
      <c r="I60" s="1557">
        <f>SUM(I2:I59)</f>
        <v>733.7</v>
      </c>
      <c r="J60" s="1111"/>
      <c r="K60" s="1115"/>
    </row>
    <row r="61" spans="1:11" ht="15.75" customHeight="1">
      <c r="A61" s="1037"/>
      <c r="B61" s="1038"/>
      <c r="C61" s="1026"/>
      <c r="D61" s="1026"/>
      <c r="E61" s="1026"/>
      <c r="F61" s="1059"/>
      <c r="G61" s="1054"/>
      <c r="H61" s="1269"/>
      <c r="I61" s="1056"/>
      <c r="J61" s="1111"/>
      <c r="K61" s="1115"/>
    </row>
    <row r="62" spans="1:11" ht="15.75" customHeight="1">
      <c r="A62" s="1037"/>
      <c r="B62" s="1037"/>
      <c r="C62" s="1026"/>
      <c r="D62" s="1026"/>
      <c r="E62" s="1026"/>
      <c r="F62" s="1059"/>
      <c r="G62" s="1054"/>
      <c r="H62" s="1269"/>
      <c r="I62" s="1056"/>
      <c r="J62" s="1111"/>
      <c r="K62" s="1115"/>
    </row>
    <row r="63" spans="1:11" ht="15.75" customHeight="1">
      <c r="A63" s="1037"/>
      <c r="B63" s="1038"/>
      <c r="C63" s="1026"/>
      <c r="D63" s="1026"/>
      <c r="E63" s="1026"/>
      <c r="F63" s="1059"/>
      <c r="G63" s="1054"/>
      <c r="H63" s="1269"/>
      <c r="I63" s="1056"/>
      <c r="J63" s="1111"/>
      <c r="K63" s="1115"/>
    </row>
    <row r="64" spans="1:11" ht="15.75" customHeight="1">
      <c r="A64" s="1037"/>
      <c r="B64" s="1038"/>
      <c r="C64" s="1026"/>
      <c r="D64" s="1026"/>
      <c r="E64" s="1026"/>
      <c r="F64" s="1059"/>
      <c r="G64" s="1054"/>
      <c r="H64" s="1269"/>
      <c r="I64" s="1056"/>
      <c r="J64" s="1111"/>
      <c r="K64" s="1115"/>
    </row>
    <row r="65" spans="1:11" ht="15.75" customHeight="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115"/>
    </row>
    <row r="66" spans="1:11" ht="15.75" customHeight="1">
      <c r="A66" s="1037"/>
      <c r="B66" s="1038"/>
      <c r="C66" s="1026"/>
      <c r="D66" s="1026"/>
      <c r="E66" s="1026"/>
      <c r="F66" s="1059"/>
      <c r="G66" s="1054"/>
      <c r="H66" s="1269"/>
      <c r="I66" s="1056"/>
      <c r="J66" s="1111"/>
      <c r="K66" s="1115"/>
    </row>
    <row r="67" spans="1:11" ht="15.75" customHeight="1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1115"/>
    </row>
    <row r="68" spans="1:11" ht="15.75" customHeight="1">
      <c r="A68" s="1037"/>
      <c r="B68" s="1038"/>
      <c r="C68" s="1026"/>
      <c r="D68" s="1026"/>
      <c r="E68" s="1026"/>
      <c r="F68" s="1059"/>
      <c r="G68" s="1054"/>
      <c r="H68" s="1269"/>
      <c r="I68" s="1056"/>
      <c r="J68" s="1111"/>
      <c r="K68" s="1115"/>
    </row>
    <row r="69" spans="1:11" ht="15.75" customHeight="1">
      <c r="A69" s="1037"/>
      <c r="B69" s="1038"/>
      <c r="C69" s="1026"/>
      <c r="D69" s="1026"/>
      <c r="E69" s="1026"/>
      <c r="F69" s="1059"/>
      <c r="G69" s="1054"/>
      <c r="H69" s="1269"/>
      <c r="I69" s="1056"/>
      <c r="J69" s="1111"/>
      <c r="K69" s="1115"/>
    </row>
    <row r="70" spans="1:11" ht="15.75" customHeight="1">
      <c r="A70" s="1037"/>
      <c r="B70" s="1038"/>
      <c r="C70" s="1026"/>
      <c r="D70" s="1026"/>
      <c r="E70" s="1026"/>
      <c r="F70" s="1059"/>
      <c r="G70" s="1054"/>
      <c r="H70" s="1269"/>
      <c r="I70" s="1056"/>
      <c r="J70" s="1111"/>
      <c r="K70" s="1025"/>
    </row>
    <row r="71" spans="1:11" ht="15.75" customHeight="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115"/>
    </row>
    <row r="72" spans="1:11" ht="15.75" customHeight="1">
      <c r="A72" s="1037"/>
      <c r="B72" s="1038"/>
      <c r="C72" s="1026"/>
      <c r="D72" s="1026"/>
      <c r="E72" s="1026"/>
      <c r="F72" s="1059"/>
      <c r="G72" s="1059"/>
      <c r="H72" s="1269"/>
      <c r="I72" s="1056"/>
      <c r="J72" s="1111"/>
      <c r="K72" s="1115"/>
    </row>
    <row r="73" spans="1:11" ht="15.75" customHeight="1">
      <c r="A73" s="1037"/>
      <c r="B73" s="1038"/>
      <c r="C73" s="1026"/>
      <c r="D73" s="1026"/>
      <c r="E73" s="1026"/>
      <c r="F73" s="1059"/>
      <c r="G73" s="1059"/>
      <c r="H73" s="1269"/>
      <c r="I73" s="1056"/>
      <c r="J73" s="1111"/>
      <c r="K73" s="1025"/>
    </row>
    <row r="74" spans="1:11" ht="15.75" customHeight="1">
      <c r="A74" s="1037"/>
      <c r="B74" s="1038"/>
      <c r="C74" s="1026"/>
      <c r="D74" s="1026"/>
      <c r="E74" s="1026"/>
      <c r="F74" s="1059"/>
      <c r="G74" s="1059"/>
      <c r="H74" s="1269"/>
      <c r="I74" s="1056"/>
      <c r="J74" s="1111"/>
      <c r="K74" s="1025"/>
    </row>
    <row r="75" spans="1:11" ht="15.75" customHeight="1">
      <c r="A75" s="1037"/>
      <c r="B75" s="1038"/>
      <c r="C75" s="1026"/>
      <c r="D75" s="1026"/>
      <c r="E75" s="1026"/>
      <c r="F75" s="1059"/>
      <c r="G75" s="1054"/>
      <c r="H75" s="1269"/>
      <c r="I75" s="1056"/>
      <c r="J75" s="1111"/>
      <c r="K75" s="1115"/>
    </row>
    <row r="76" spans="1:11" ht="15.75" customHeight="1">
      <c r="A76" s="1037"/>
      <c r="B76" s="1038"/>
      <c r="C76" s="1026"/>
      <c r="D76" s="1026"/>
      <c r="E76" s="1026"/>
      <c r="F76" s="1059"/>
      <c r="G76" s="1054"/>
      <c r="H76" s="1269"/>
      <c r="I76" s="1056"/>
      <c r="J76" s="1111"/>
      <c r="K76" s="1115"/>
    </row>
    <row r="77" spans="1:11" ht="15.75" customHeight="1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1115"/>
    </row>
    <row r="78" spans="1:11" ht="15.75">
      <c r="A78" s="1037"/>
      <c r="B78" s="1038"/>
      <c r="C78" s="1026"/>
      <c r="D78" s="1026"/>
      <c r="E78" s="1026"/>
      <c r="F78" s="1059"/>
      <c r="G78" s="1054"/>
      <c r="H78" s="1269"/>
      <c r="I78" s="1056"/>
      <c r="J78" s="1111"/>
      <c r="K78" s="1115"/>
    </row>
    <row r="79" spans="1:11" ht="15.75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1115"/>
    </row>
    <row r="80" spans="1:11" ht="15.75">
      <c r="A80" s="1037"/>
      <c r="B80" s="1038"/>
      <c r="C80" s="1025"/>
      <c r="D80" s="1025"/>
      <c r="E80" s="1025"/>
      <c r="F80" s="1059"/>
      <c r="G80" s="1062"/>
      <c r="H80" s="1055"/>
      <c r="I80" s="1056"/>
      <c r="J80" s="1111"/>
      <c r="K80" s="1115"/>
    </row>
    <row r="81" spans="1:11" ht="15.75">
      <c r="A81" s="1037"/>
      <c r="B81" s="1039"/>
      <c r="C81" s="1025"/>
      <c r="D81" s="1025"/>
      <c r="E81" s="1025"/>
      <c r="F81" s="1059"/>
      <c r="G81" s="1054"/>
      <c r="H81" s="1269"/>
      <c r="I81" s="1056"/>
      <c r="J81" s="1111"/>
      <c r="K81" s="1115"/>
    </row>
    <row r="82" spans="1:11" ht="15.75">
      <c r="A82" s="1037"/>
      <c r="B82" s="1038"/>
      <c r="C82" s="1026"/>
      <c r="D82" s="1026"/>
      <c r="E82" s="1026"/>
      <c r="F82" s="1059"/>
      <c r="G82" s="1054"/>
      <c r="H82" s="1269"/>
      <c r="I82" s="1056"/>
      <c r="J82" s="1111"/>
      <c r="K82" s="1115"/>
    </row>
    <row r="83" spans="1:11" ht="15.75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1115"/>
    </row>
    <row r="84" spans="1:11" ht="15.75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115"/>
    </row>
    <row r="85" spans="1:11" ht="15.75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115"/>
    </row>
    <row r="86" spans="1:11" ht="15.75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115"/>
    </row>
    <row r="87" spans="1:11" ht="15.75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5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115"/>
    </row>
    <row r="89" spans="1:11" ht="15.75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115"/>
    </row>
    <row r="90" spans="1:11" ht="15.75">
      <c r="A90" s="1037"/>
      <c r="B90" s="1038"/>
      <c r="C90" s="1026"/>
      <c r="D90" s="1026"/>
      <c r="E90" s="1026"/>
      <c r="F90" s="1059"/>
      <c r="G90" s="1054"/>
      <c r="H90" s="1269"/>
      <c r="I90" s="1056"/>
      <c r="J90" s="1111"/>
      <c r="K90" s="1115"/>
    </row>
    <row r="91" spans="1:11" ht="15.75">
      <c r="A91" s="1037"/>
      <c r="B91" s="1038"/>
      <c r="C91" s="1026"/>
      <c r="D91" s="1026"/>
      <c r="E91" s="1026"/>
      <c r="F91" s="1059"/>
      <c r="G91" s="1054"/>
      <c r="H91" s="1269"/>
      <c r="I91" s="1056"/>
      <c r="J91" s="1111"/>
      <c r="K91" s="1115"/>
    </row>
    <row r="92" spans="1:11" ht="15.75">
      <c r="A92" s="1037"/>
      <c r="B92" s="1038"/>
      <c r="C92" s="1026"/>
      <c r="D92" s="1026"/>
      <c r="E92" s="1026"/>
      <c r="F92" s="1059"/>
      <c r="G92" s="1054"/>
      <c r="H92" s="1269"/>
      <c r="I92" s="1056"/>
      <c r="J92" s="1111"/>
      <c r="K92" s="1115"/>
    </row>
    <row r="93" spans="1:11" ht="15.75">
      <c r="A93" s="1037"/>
      <c r="B93" s="1038"/>
      <c r="C93" s="1026"/>
      <c r="D93" s="1026"/>
      <c r="E93" s="1026"/>
      <c r="F93" s="1059"/>
      <c r="G93" s="1054"/>
      <c r="H93" s="1269"/>
      <c r="I93" s="1056"/>
      <c r="J93" s="1111"/>
      <c r="K93" s="1115"/>
    </row>
    <row r="94" spans="1:11" ht="15.75">
      <c r="A94" s="1037"/>
      <c r="B94" s="1038"/>
      <c r="C94" s="1026"/>
      <c r="D94" s="1026"/>
      <c r="E94" s="1026"/>
      <c r="F94" s="1059"/>
      <c r="G94" s="1054"/>
      <c r="H94" s="1269"/>
      <c r="I94" s="1056"/>
      <c r="J94" s="1111"/>
      <c r="K94" s="1115"/>
    </row>
    <row r="95" spans="1:11">
      <c r="A95" s="1037"/>
      <c r="B95" s="1038"/>
      <c r="C95" s="1026"/>
      <c r="D95" s="1026"/>
      <c r="E95" s="1026"/>
      <c r="F95" s="1059"/>
      <c r="G95" s="1059"/>
      <c r="H95" s="1269"/>
      <c r="I95" s="1056"/>
      <c r="J95" s="1111"/>
      <c r="K95" s="1025"/>
    </row>
    <row r="96" spans="1:11">
      <c r="A96" s="1037"/>
      <c r="B96" s="1038"/>
      <c r="C96" s="1026"/>
      <c r="D96" s="1026"/>
      <c r="E96" s="1026"/>
      <c r="F96" s="1059"/>
      <c r="G96" s="1059"/>
      <c r="H96" s="1269"/>
      <c r="I96" s="1056"/>
      <c r="J96" s="1111"/>
      <c r="K96" s="1025"/>
    </row>
    <row r="97" spans="1:11">
      <c r="A97" s="1037"/>
      <c r="B97" s="1038"/>
      <c r="C97" s="1026"/>
      <c r="D97" s="1026"/>
      <c r="E97" s="1026"/>
      <c r="F97" s="1059"/>
      <c r="G97" s="1059"/>
      <c r="H97" s="1269"/>
      <c r="I97" s="1056"/>
      <c r="J97" s="1111"/>
      <c r="K97" s="1025"/>
    </row>
    <row r="98" spans="1:11" ht="15.75">
      <c r="A98" s="1037"/>
      <c r="B98" s="1038"/>
      <c r="C98" s="1026"/>
      <c r="D98" s="1026"/>
      <c r="E98" s="1026"/>
      <c r="F98" s="1059"/>
      <c r="G98" s="1054"/>
      <c r="H98" s="1269"/>
      <c r="I98" s="1056"/>
      <c r="J98" s="1111"/>
      <c r="K98" s="1115"/>
    </row>
    <row r="99" spans="1:11">
      <c r="A99" s="1037"/>
      <c r="B99" s="1038"/>
      <c r="C99" s="1026"/>
      <c r="D99" s="1026"/>
      <c r="E99" s="1026"/>
      <c r="F99" s="1059"/>
      <c r="G99" s="1059"/>
      <c r="H99" s="1269"/>
      <c r="I99" s="1056"/>
      <c r="J99" s="1111"/>
      <c r="K99" s="1025"/>
    </row>
    <row r="100" spans="1:11">
      <c r="A100" s="1037"/>
      <c r="B100" s="1038"/>
      <c r="C100" s="1026"/>
      <c r="D100" s="1026"/>
      <c r="E100" s="1026"/>
      <c r="F100" s="1059"/>
      <c r="G100" s="1059"/>
      <c r="H100" s="1269"/>
      <c r="I100" s="1056"/>
      <c r="J100" s="1111"/>
      <c r="K100" s="1025"/>
    </row>
    <row r="101" spans="1:11">
      <c r="A101" s="1037"/>
      <c r="B101" s="1038"/>
      <c r="C101" s="1026"/>
      <c r="D101" s="1026"/>
      <c r="E101" s="1026"/>
      <c r="F101" s="1059"/>
      <c r="G101" s="1059"/>
      <c r="H101" s="1269"/>
      <c r="I101" s="1056"/>
      <c r="J101" s="1111"/>
      <c r="K101" s="1025"/>
    </row>
    <row r="102" spans="1:11" ht="15.75">
      <c r="A102" s="1037"/>
      <c r="B102" s="1038"/>
      <c r="C102" s="1026"/>
      <c r="D102" s="1026"/>
      <c r="E102" s="1026"/>
      <c r="F102" s="1059"/>
      <c r="G102" s="1054"/>
      <c r="H102" s="1269"/>
      <c r="I102" s="1056"/>
      <c r="J102" s="1111"/>
      <c r="K102" s="1115"/>
    </row>
    <row r="103" spans="1:11" ht="15.75">
      <c r="A103" s="1037"/>
      <c r="B103" s="1038"/>
      <c r="C103" s="1026"/>
      <c r="D103" s="1026"/>
      <c r="E103" s="1026"/>
      <c r="F103" s="1059"/>
      <c r="G103" s="1054"/>
      <c r="H103" s="1269"/>
      <c r="I103" s="1056"/>
      <c r="J103" s="1111"/>
      <c r="K103" s="1115"/>
    </row>
    <row r="104" spans="1:11">
      <c r="A104" s="1037"/>
      <c r="B104" s="1038"/>
      <c r="C104" s="1026"/>
      <c r="D104" s="1026"/>
      <c r="E104" s="1026"/>
      <c r="F104" s="1059"/>
      <c r="G104" s="1059"/>
      <c r="H104" s="1269"/>
      <c r="I104" s="1056"/>
      <c r="J104" s="1111"/>
      <c r="K104" s="1025"/>
    </row>
    <row r="105" spans="1:11">
      <c r="A105" s="1037"/>
      <c r="B105" s="1038"/>
      <c r="C105" s="1026"/>
      <c r="D105" s="1026"/>
      <c r="E105" s="1026"/>
      <c r="F105" s="1059"/>
      <c r="G105" s="1059"/>
      <c r="H105" s="1269"/>
      <c r="I105" s="1056"/>
      <c r="J105" s="1111"/>
      <c r="K105" s="1025"/>
    </row>
    <row r="106" spans="1:11">
      <c r="A106" s="1037"/>
      <c r="B106" s="1038"/>
      <c r="C106" s="1026"/>
      <c r="D106" s="1026"/>
      <c r="E106" s="1026"/>
      <c r="F106" s="1059"/>
      <c r="G106" s="1059"/>
      <c r="H106" s="1269"/>
      <c r="I106" s="1056"/>
      <c r="J106" s="1111"/>
      <c r="K106" s="1025"/>
    </row>
    <row r="107" spans="1:11">
      <c r="A107" s="1037"/>
      <c r="B107" s="1038"/>
      <c r="C107" s="1026"/>
      <c r="D107" s="1026"/>
      <c r="E107" s="1026"/>
      <c r="F107" s="1059"/>
      <c r="G107" s="1059"/>
      <c r="H107" s="1269"/>
      <c r="I107" s="1056"/>
      <c r="J107" s="1111"/>
      <c r="K107" s="1025"/>
    </row>
    <row r="108" spans="1:11">
      <c r="A108" s="1037"/>
      <c r="B108" s="1038"/>
      <c r="C108" s="1026"/>
      <c r="D108" s="1026"/>
      <c r="E108" s="1026"/>
      <c r="F108" s="1059"/>
      <c r="G108" s="1059"/>
      <c r="H108" s="1269"/>
      <c r="I108" s="1056"/>
      <c r="J108" s="1111"/>
      <c r="K108" s="1025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1025"/>
    </row>
    <row r="110" spans="1:11" ht="15.75">
      <c r="A110" s="1037"/>
      <c r="B110" s="1038"/>
      <c r="C110" s="1026"/>
      <c r="D110" s="1026"/>
      <c r="E110" s="1026"/>
      <c r="F110" s="1059"/>
      <c r="G110" s="1054"/>
      <c r="H110" s="1269"/>
      <c r="I110" s="1056"/>
      <c r="J110" s="1111"/>
      <c r="K110" s="1115"/>
    </row>
    <row r="111" spans="1:11">
      <c r="A111" s="1037"/>
      <c r="B111" s="1038"/>
      <c r="C111" s="1026"/>
      <c r="D111" s="1026"/>
      <c r="E111" s="1026"/>
      <c r="F111" s="1059"/>
      <c r="G111" s="1059"/>
      <c r="H111" s="1269"/>
      <c r="I111" s="1056"/>
      <c r="J111" s="1111"/>
      <c r="K111" s="1025"/>
    </row>
    <row r="112" spans="1:11">
      <c r="A112" s="1037"/>
      <c r="B112" s="1038"/>
      <c r="C112" s="1026"/>
      <c r="D112" s="1026"/>
      <c r="E112" s="1026"/>
      <c r="F112" s="1059"/>
      <c r="G112" s="1059"/>
      <c r="H112" s="1269"/>
      <c r="I112" s="1056"/>
      <c r="J112" s="1111"/>
      <c r="K112" s="1025"/>
    </row>
    <row r="113" spans="1:11">
      <c r="A113" s="1037"/>
      <c r="B113" s="1038"/>
      <c r="C113" s="1026"/>
      <c r="D113" s="1026"/>
      <c r="E113" s="1026"/>
      <c r="F113" s="1059"/>
      <c r="G113" s="1059"/>
      <c r="H113" s="1269"/>
      <c r="I113" s="1056"/>
      <c r="J113" s="1111"/>
      <c r="K113" s="1025"/>
    </row>
    <row r="114" spans="1:11" ht="15.75">
      <c r="A114" s="1037"/>
      <c r="B114" s="1038"/>
      <c r="C114" s="1026"/>
      <c r="D114" s="1026"/>
      <c r="E114" s="1026"/>
      <c r="F114" s="1059"/>
      <c r="G114" s="1059"/>
      <c r="H114" s="1269"/>
      <c r="I114" s="1056"/>
      <c r="J114" s="1111"/>
      <c r="K114" s="1115"/>
    </row>
    <row r="115" spans="1:11">
      <c r="A115" s="1037"/>
      <c r="B115" s="1038"/>
      <c r="C115" s="1026"/>
      <c r="D115" s="1026"/>
      <c r="E115" s="1026"/>
      <c r="F115" s="1059"/>
      <c r="G115" s="1059"/>
      <c r="H115" s="1269"/>
      <c r="I115" s="1056"/>
      <c r="J115" s="1111"/>
      <c r="K115" s="1025"/>
    </row>
    <row r="116" spans="1:11">
      <c r="A116" s="1037"/>
      <c r="B116" s="1038"/>
      <c r="C116" s="1026"/>
      <c r="D116" s="1026"/>
      <c r="E116" s="1026"/>
      <c r="F116" s="1059"/>
      <c r="G116" s="1059"/>
      <c r="H116" s="1269"/>
      <c r="I116" s="1056"/>
      <c r="J116" s="1111"/>
      <c r="K116" s="1025"/>
    </row>
    <row r="117" spans="1:11">
      <c r="A117" s="1037"/>
      <c r="B117" s="1038"/>
      <c r="C117" s="1026"/>
      <c r="D117" s="1026"/>
      <c r="E117" s="1026"/>
      <c r="F117" s="1059"/>
      <c r="G117" s="1059"/>
      <c r="H117" s="1269"/>
      <c r="I117" s="1056"/>
      <c r="J117" s="1111"/>
      <c r="K117" s="1025"/>
    </row>
    <row r="118" spans="1:11">
      <c r="A118" s="1037"/>
      <c r="B118" s="1038"/>
      <c r="C118" s="1026"/>
      <c r="D118" s="1026"/>
      <c r="E118" s="1026"/>
      <c r="F118" s="1059"/>
      <c r="G118" s="1059"/>
      <c r="H118" s="1269"/>
      <c r="I118" s="1056"/>
      <c r="J118" s="1111"/>
      <c r="K118" s="1025"/>
    </row>
    <row r="119" spans="1:11">
      <c r="A119" s="1037"/>
      <c r="B119" s="1038"/>
      <c r="C119" s="1026"/>
      <c r="D119" s="1026"/>
      <c r="E119" s="1026"/>
      <c r="F119" s="1059"/>
      <c r="G119" s="1054"/>
      <c r="H119" s="1269"/>
      <c r="I119" s="1056"/>
      <c r="J119" s="1111"/>
      <c r="K119" s="1025"/>
    </row>
    <row r="120" spans="1:11" ht="15.75">
      <c r="A120" s="1037"/>
      <c r="B120" s="1038"/>
      <c r="C120" s="1025"/>
      <c r="D120" s="1026"/>
      <c r="E120" s="1026"/>
      <c r="F120" s="1059"/>
      <c r="G120" s="1054"/>
      <c r="H120" s="1269"/>
      <c r="I120" s="1056"/>
      <c r="J120" s="1111"/>
      <c r="K120" s="1115"/>
    </row>
    <row r="121" spans="1:11" ht="15.75">
      <c r="A121" s="1037"/>
      <c r="B121" s="1038"/>
      <c r="C121" s="1026"/>
      <c r="D121" s="1026"/>
      <c r="E121" s="1026"/>
      <c r="F121" s="1059"/>
      <c r="G121" s="1054"/>
      <c r="H121" s="1269"/>
      <c r="I121" s="1056"/>
      <c r="J121" s="1111"/>
      <c r="K121" s="1115"/>
    </row>
    <row r="122" spans="1:11" ht="15.75">
      <c r="A122" s="1037"/>
      <c r="B122" s="1038"/>
      <c r="C122" s="1026"/>
      <c r="D122" s="1026"/>
      <c r="E122" s="1026"/>
      <c r="F122" s="1059"/>
      <c r="G122" s="1054"/>
      <c r="H122" s="1269"/>
      <c r="I122" s="1056"/>
      <c r="J122" s="1111"/>
      <c r="K122" s="1115"/>
    </row>
    <row r="123" spans="1:11" ht="15.75">
      <c r="A123" s="1037"/>
      <c r="B123" s="1038"/>
      <c r="C123" s="1026"/>
      <c r="D123" s="1026"/>
      <c r="E123" s="1026"/>
      <c r="F123" s="1059"/>
      <c r="G123" s="1054"/>
      <c r="H123" s="1269"/>
      <c r="I123" s="1056"/>
      <c r="J123" s="1111"/>
      <c r="K123" s="1115"/>
    </row>
    <row r="124" spans="1:11" ht="15.75">
      <c r="A124" s="1037"/>
      <c r="B124" s="1038"/>
      <c r="C124" s="1026"/>
      <c r="D124" s="1026"/>
      <c r="E124" s="1026"/>
      <c r="F124" s="1059"/>
      <c r="G124" s="1054"/>
      <c r="H124" s="1269"/>
      <c r="I124" s="1056"/>
      <c r="J124" s="1111"/>
      <c r="K124" s="1115"/>
    </row>
    <row r="125" spans="1:11">
      <c r="A125" s="1037"/>
      <c r="B125" s="1038"/>
      <c r="C125" s="1026"/>
      <c r="D125" s="1026"/>
      <c r="E125" s="1026"/>
      <c r="F125" s="1059"/>
      <c r="G125" s="1059"/>
      <c r="H125" s="1269"/>
      <c r="I125" s="1056"/>
      <c r="J125" s="1111"/>
      <c r="K125" s="1025"/>
    </row>
    <row r="126" spans="1:11">
      <c r="A126" s="1037"/>
      <c r="B126" s="1038"/>
      <c r="C126" s="1026"/>
      <c r="D126" s="1026"/>
      <c r="E126" s="1026"/>
      <c r="F126" s="1059"/>
      <c r="G126" s="1059"/>
      <c r="H126" s="1269"/>
      <c r="I126" s="1056"/>
      <c r="J126" s="1111"/>
      <c r="K126" s="1025"/>
    </row>
    <row r="127" spans="1:11" ht="15.75">
      <c r="A127" s="1037"/>
      <c r="B127" s="1038"/>
      <c r="C127" s="1026"/>
      <c r="D127" s="1026"/>
      <c r="E127" s="1026"/>
      <c r="F127" s="1059"/>
      <c r="G127" s="1054"/>
      <c r="H127" s="1269"/>
      <c r="I127" s="1056"/>
      <c r="J127" s="1111"/>
      <c r="K127" s="1115"/>
    </row>
    <row r="128" spans="1:11" ht="15.75">
      <c r="A128" s="1037"/>
      <c r="B128" s="1038"/>
      <c r="C128" s="1026"/>
      <c r="D128" s="1026"/>
      <c r="E128" s="1026"/>
      <c r="F128" s="1059"/>
      <c r="G128" s="1054"/>
      <c r="H128" s="1269"/>
      <c r="I128" s="1056"/>
      <c r="J128" s="1111"/>
      <c r="K128" s="1115"/>
    </row>
    <row r="129" spans="1:11" ht="15.75">
      <c r="A129" s="1037"/>
      <c r="B129" s="1038"/>
      <c r="C129" s="1026"/>
      <c r="D129" s="1026"/>
      <c r="E129" s="1026"/>
      <c r="F129" s="1059"/>
      <c r="G129" s="1054"/>
      <c r="H129" s="1269"/>
      <c r="I129" s="1056"/>
      <c r="J129" s="1111"/>
      <c r="K129" s="1115"/>
    </row>
    <row r="130" spans="1:11">
      <c r="A130" s="1037"/>
      <c r="B130" s="1038"/>
      <c r="C130" s="1026"/>
      <c r="D130" s="1026"/>
      <c r="E130" s="1026"/>
      <c r="F130" s="1059"/>
      <c r="G130" s="1054"/>
      <c r="H130" s="1269"/>
      <c r="I130" s="1056"/>
      <c r="J130" s="1111"/>
      <c r="K130" s="1025"/>
    </row>
    <row r="131" spans="1:11">
      <c r="A131" s="1037"/>
      <c r="B131" s="1038"/>
      <c r="C131" s="1026"/>
      <c r="D131" s="1026"/>
      <c r="E131" s="1026"/>
      <c r="F131" s="1059"/>
      <c r="G131" s="1054"/>
      <c r="H131" s="1269"/>
      <c r="I131" s="1056"/>
      <c r="J131" s="1111"/>
      <c r="K131" s="1025"/>
    </row>
    <row r="132" spans="1:11">
      <c r="A132" s="1037"/>
      <c r="B132" s="1038"/>
      <c r="C132" s="1026"/>
      <c r="D132" s="1026"/>
      <c r="E132" s="1026"/>
      <c r="F132" s="1059"/>
      <c r="G132" s="1059"/>
      <c r="H132" s="1269"/>
      <c r="I132" s="1056"/>
      <c r="J132" s="1111"/>
      <c r="K132" s="1025"/>
    </row>
    <row r="133" spans="1:11">
      <c r="A133" s="1037"/>
      <c r="B133" s="1038"/>
      <c r="C133" s="1026"/>
      <c r="D133" s="1026"/>
      <c r="E133" s="1026"/>
      <c r="F133" s="1059"/>
      <c r="G133" s="1059"/>
      <c r="H133" s="1269"/>
      <c r="I133" s="1056"/>
      <c r="J133" s="1111"/>
      <c r="K133" s="1025"/>
    </row>
    <row r="134" spans="1:11">
      <c r="A134" s="1037"/>
      <c r="B134" s="1038"/>
      <c r="C134" s="1026"/>
      <c r="D134" s="1026"/>
      <c r="E134" s="1026"/>
      <c r="F134" s="1059"/>
      <c r="G134" s="1059"/>
      <c r="H134" s="1269"/>
      <c r="I134" s="1056"/>
      <c r="J134" s="1111"/>
      <c r="K134" s="1025"/>
    </row>
    <row r="135" spans="1:11">
      <c r="A135" s="1037"/>
      <c r="B135" s="1038"/>
      <c r="C135" s="1026"/>
      <c r="D135" s="1026"/>
      <c r="E135" s="1026"/>
      <c r="F135" s="1059"/>
      <c r="G135" s="1059"/>
      <c r="H135" s="1269"/>
      <c r="I135" s="1056"/>
      <c r="J135" s="1111"/>
      <c r="K135" s="1025"/>
    </row>
    <row r="136" spans="1:11" ht="15.75">
      <c r="A136" s="1037"/>
      <c r="B136" s="1038"/>
      <c r="C136" s="1026"/>
      <c r="D136" s="1026"/>
      <c r="E136" s="1026"/>
      <c r="F136" s="1059"/>
      <c r="G136" s="1054"/>
      <c r="H136" s="1269"/>
      <c r="I136" s="1056"/>
      <c r="J136" s="1111"/>
      <c r="K136" s="1115"/>
    </row>
    <row r="137" spans="1:11" ht="15.75">
      <c r="A137" s="1037"/>
      <c r="B137" s="1038"/>
      <c r="C137" s="1026"/>
      <c r="D137" s="1026"/>
      <c r="E137" s="1026"/>
      <c r="F137" s="1059"/>
      <c r="G137" s="1059"/>
      <c r="H137" s="1269"/>
      <c r="I137" s="1056"/>
      <c r="J137" s="1111"/>
      <c r="K137" s="1115"/>
    </row>
    <row r="138" spans="1:11">
      <c r="A138" s="1037"/>
      <c r="B138" s="1038"/>
      <c r="C138" s="1026"/>
      <c r="D138" s="1026"/>
      <c r="E138" s="1026"/>
      <c r="F138" s="1059"/>
      <c r="G138" s="1059"/>
      <c r="H138" s="1269"/>
      <c r="I138" s="1056"/>
      <c r="J138" s="1111"/>
      <c r="K138" s="1025"/>
    </row>
    <row r="139" spans="1:11">
      <c r="A139" s="1037"/>
      <c r="B139" s="1038"/>
      <c r="C139" s="1026"/>
      <c r="D139" s="1026"/>
      <c r="E139" s="1026"/>
      <c r="F139" s="1059"/>
      <c r="G139" s="1054"/>
      <c r="H139" s="1269"/>
      <c r="I139" s="1056"/>
      <c r="J139" s="1111"/>
      <c r="K139" s="1025"/>
    </row>
    <row r="140" spans="1:11" ht="15.75">
      <c r="A140" s="1037"/>
      <c r="B140" s="1038"/>
      <c r="C140" s="1026"/>
      <c r="D140" s="1026"/>
      <c r="E140" s="1026"/>
      <c r="F140" s="1059"/>
      <c r="G140" s="1054"/>
      <c r="H140" s="1269"/>
      <c r="I140" s="1056"/>
      <c r="J140" s="1111"/>
      <c r="K140" s="1115"/>
    </row>
    <row r="141" spans="1:11">
      <c r="A141" s="1037"/>
      <c r="B141" s="1038"/>
      <c r="C141" s="1026"/>
      <c r="D141" s="1026"/>
      <c r="E141" s="1026"/>
      <c r="F141" s="1059"/>
      <c r="G141" s="1054"/>
      <c r="H141" s="1269"/>
      <c r="I141" s="1056"/>
      <c r="J141" s="1111"/>
      <c r="K141" s="1025"/>
    </row>
    <row r="142" spans="1:11">
      <c r="A142" s="1037"/>
      <c r="B142" s="1038"/>
      <c r="C142" s="1026"/>
      <c r="D142" s="1026"/>
      <c r="E142" s="1026"/>
      <c r="F142" s="1059"/>
      <c r="G142" s="1059"/>
      <c r="H142" s="1269"/>
      <c r="I142" s="1056"/>
      <c r="J142" s="1111"/>
      <c r="K142" s="1025"/>
    </row>
    <row r="143" spans="1:11">
      <c r="A143" s="1037"/>
      <c r="B143" s="1038"/>
      <c r="C143" s="1026"/>
      <c r="D143" s="1026"/>
      <c r="E143" s="1026"/>
      <c r="F143" s="1059"/>
      <c r="G143" s="1059"/>
      <c r="H143" s="1269"/>
      <c r="I143" s="1056"/>
      <c r="J143" s="1111"/>
      <c r="K143" s="1025"/>
    </row>
    <row r="144" spans="1:11" ht="15.75">
      <c r="A144" s="1037"/>
      <c r="B144" s="1038"/>
      <c r="C144" s="1026"/>
      <c r="D144" s="1026"/>
      <c r="E144" s="1026"/>
      <c r="F144" s="1059"/>
      <c r="G144" s="1054"/>
      <c r="H144" s="1269"/>
      <c r="I144" s="1056"/>
      <c r="J144" s="1111"/>
      <c r="K144" s="1115"/>
    </row>
    <row r="145" spans="1:11" ht="15.75">
      <c r="A145" s="1037"/>
      <c r="B145" s="1038"/>
      <c r="C145" s="1026"/>
      <c r="D145" s="1026"/>
      <c r="E145" s="1026"/>
      <c r="F145" s="1059"/>
      <c r="G145" s="1054"/>
      <c r="H145" s="1269"/>
      <c r="I145" s="1056"/>
      <c r="J145" s="1111"/>
      <c r="K145" s="1115"/>
    </row>
    <row r="146" spans="1:11" ht="15.75">
      <c r="A146" s="1037"/>
      <c r="B146" s="1038"/>
      <c r="C146" s="1026"/>
      <c r="D146" s="1026"/>
      <c r="E146" s="1026"/>
      <c r="F146" s="1059"/>
      <c r="G146" s="1054"/>
      <c r="H146" s="1269"/>
      <c r="I146" s="1056"/>
      <c r="J146" s="1111"/>
      <c r="K146" s="1115"/>
    </row>
    <row r="147" spans="1:11" ht="15.75">
      <c r="A147" s="1037"/>
      <c r="B147" s="1038"/>
      <c r="C147" s="1026"/>
      <c r="D147" s="1026"/>
      <c r="E147" s="1026"/>
      <c r="F147" s="1059"/>
      <c r="G147" s="1054"/>
      <c r="H147" s="1269"/>
      <c r="I147" s="1056"/>
      <c r="J147" s="1111"/>
      <c r="K147" s="1115"/>
    </row>
    <row r="148" spans="1:11" ht="15.75">
      <c r="A148" s="1037"/>
      <c r="B148" s="1038"/>
      <c r="C148" s="1026"/>
      <c r="D148" s="1026"/>
      <c r="E148" s="1026"/>
      <c r="F148" s="1059"/>
      <c r="G148" s="1054"/>
      <c r="H148" s="1269"/>
      <c r="I148" s="1056"/>
      <c r="J148" s="1111"/>
      <c r="K148" s="1115"/>
    </row>
    <row r="149" spans="1:11">
      <c r="A149" s="1037"/>
      <c r="B149" s="1038"/>
      <c r="C149" s="1026"/>
      <c r="D149" s="1026"/>
      <c r="E149" s="1026"/>
      <c r="F149" s="1059"/>
      <c r="G149" s="1054"/>
      <c r="H149" s="1269"/>
      <c r="I149" s="1056"/>
      <c r="J149" s="1111"/>
      <c r="K149" s="1025"/>
    </row>
    <row r="150" spans="1:11">
      <c r="A150" s="1037"/>
      <c r="B150" s="1038"/>
      <c r="C150" s="1025"/>
      <c r="D150" s="1026"/>
      <c r="E150" s="1026"/>
      <c r="F150" s="1061"/>
      <c r="G150" s="1054"/>
      <c r="H150" s="1055"/>
      <c r="I150" s="1056"/>
      <c r="J150" s="1111"/>
      <c r="K150" s="1025"/>
    </row>
    <row r="151" spans="1:11">
      <c r="A151" s="1037"/>
      <c r="B151" s="1038"/>
      <c r="C151" s="1026"/>
      <c r="D151" s="1026"/>
      <c r="E151" s="1026"/>
      <c r="F151" s="1059"/>
      <c r="G151" s="1054"/>
      <c r="H151" s="1269"/>
      <c r="I151" s="1056"/>
      <c r="J151" s="1111"/>
      <c r="K151" s="1025"/>
    </row>
    <row r="152" spans="1:11">
      <c r="A152" s="1037"/>
      <c r="B152" s="1038"/>
      <c r="C152" s="1026"/>
      <c r="D152" s="1026"/>
      <c r="E152" s="1026"/>
      <c r="F152" s="1059"/>
      <c r="G152" s="1054"/>
      <c r="H152" s="1269"/>
      <c r="I152" s="1056"/>
      <c r="J152" s="1111"/>
      <c r="K152" s="1025"/>
    </row>
    <row r="153" spans="1:11">
      <c r="A153" s="1037"/>
      <c r="B153" s="1038"/>
      <c r="C153" s="1026"/>
      <c r="D153" s="1026"/>
      <c r="E153" s="1026"/>
      <c r="F153" s="1059"/>
      <c r="G153" s="1059"/>
      <c r="H153" s="1269"/>
      <c r="I153" s="1056"/>
      <c r="J153" s="1111"/>
      <c r="K153" s="1025"/>
    </row>
    <row r="154" spans="1:11">
      <c r="A154" s="1037"/>
      <c r="B154" s="1038"/>
      <c r="C154" s="1026"/>
      <c r="D154" s="1026"/>
      <c r="E154" s="1026"/>
      <c r="F154" s="1059"/>
      <c r="G154" s="1059"/>
      <c r="H154" s="1269"/>
      <c r="I154" s="1056"/>
      <c r="J154" s="1111"/>
      <c r="K154" s="1025"/>
    </row>
    <row r="155" spans="1:11" ht="15.75">
      <c r="A155" s="1037"/>
      <c r="B155" s="1038"/>
      <c r="C155" s="1026"/>
      <c r="D155" s="1026"/>
      <c r="E155" s="1026"/>
      <c r="F155" s="1059"/>
      <c r="G155" s="1054"/>
      <c r="H155" s="1269"/>
      <c r="I155" s="1056"/>
      <c r="J155" s="1111"/>
      <c r="K155" s="1115"/>
    </row>
    <row r="156" spans="1:11">
      <c r="A156" s="1037"/>
      <c r="B156" s="1038"/>
      <c r="C156" s="1026"/>
      <c r="D156" s="1026"/>
      <c r="E156" s="1026"/>
      <c r="F156" s="1059"/>
      <c r="G156" s="1054"/>
      <c r="H156" s="1269"/>
      <c r="I156" s="1056"/>
      <c r="J156" s="1111"/>
      <c r="K156" s="1025"/>
    </row>
    <row r="157" spans="1:11">
      <c r="A157" s="1037"/>
      <c r="B157" s="1038"/>
      <c r="C157" s="1026"/>
      <c r="D157" s="1026"/>
      <c r="E157" s="1026"/>
      <c r="F157" s="1059"/>
      <c r="G157" s="1059"/>
      <c r="H157" s="1269"/>
      <c r="I157" s="1056"/>
      <c r="J157" s="1111"/>
      <c r="K157" s="1025"/>
    </row>
    <row r="158" spans="1:11">
      <c r="A158" s="1037"/>
      <c r="B158" s="1038"/>
      <c r="C158" s="1026"/>
      <c r="D158" s="1026"/>
      <c r="E158" s="1026"/>
      <c r="F158" s="1059"/>
      <c r="G158" s="1059"/>
      <c r="H158" s="1269"/>
      <c r="I158" s="1056"/>
      <c r="J158" s="1111"/>
      <c r="K158" s="1025"/>
    </row>
    <row r="159" spans="1:11">
      <c r="A159" s="1037"/>
      <c r="B159" s="1038"/>
      <c r="C159" s="1026"/>
      <c r="D159" s="1026"/>
      <c r="E159" s="1026"/>
      <c r="F159" s="1059"/>
      <c r="G159" s="1054"/>
      <c r="H159" s="1269"/>
      <c r="I159" s="1056"/>
      <c r="J159" s="1111"/>
      <c r="K159" s="1025"/>
    </row>
    <row r="160" spans="1:11">
      <c r="A160" s="1037"/>
      <c r="B160" s="1038"/>
      <c r="C160" s="1026"/>
      <c r="D160" s="1026"/>
      <c r="E160" s="1026"/>
      <c r="F160" s="1059"/>
      <c r="G160" s="1054"/>
      <c r="H160" s="1269"/>
      <c r="I160" s="1056"/>
      <c r="J160" s="1111"/>
      <c r="K160" s="1025"/>
    </row>
    <row r="161" spans="1:11">
      <c r="A161" s="1037"/>
      <c r="B161" s="1038"/>
      <c r="C161" s="1026"/>
      <c r="D161" s="1026"/>
      <c r="E161" s="1026"/>
      <c r="F161" s="1059"/>
      <c r="G161" s="1054"/>
      <c r="H161" s="1269"/>
      <c r="I161" s="1056"/>
      <c r="J161" s="1111"/>
      <c r="K161" s="1025"/>
    </row>
    <row r="162" spans="1:11" ht="15.75">
      <c r="A162" s="1037"/>
      <c r="B162" s="1038"/>
      <c r="C162" s="1026"/>
      <c r="D162" s="1026"/>
      <c r="E162" s="1026"/>
      <c r="F162" s="1059"/>
      <c r="G162" s="1054"/>
      <c r="H162" s="1269"/>
      <c r="I162" s="1056"/>
      <c r="J162" s="1111"/>
      <c r="K162" s="1115"/>
    </row>
    <row r="163" spans="1:11">
      <c r="A163" s="1037"/>
      <c r="B163" s="1038"/>
      <c r="C163" s="1026"/>
      <c r="D163" s="1026"/>
      <c r="E163" s="1026"/>
      <c r="F163" s="1059"/>
      <c r="G163" s="1054"/>
      <c r="H163" s="1269"/>
      <c r="I163" s="1056"/>
      <c r="J163" s="1111"/>
      <c r="K163" s="1025"/>
    </row>
    <row r="164" spans="1:11">
      <c r="A164" s="1037"/>
      <c r="B164" s="1038"/>
      <c r="C164" s="290"/>
      <c r="D164" s="1026"/>
      <c r="E164" s="1026"/>
      <c r="F164" s="1059"/>
      <c r="G164" s="1054"/>
      <c r="H164" s="1269"/>
      <c r="I164" s="1056"/>
      <c r="J164" s="1111"/>
      <c r="K164" s="1025"/>
    </row>
    <row r="165" spans="1:11">
      <c r="A165" s="1037"/>
      <c r="B165" s="1038"/>
      <c r="C165" s="1026"/>
      <c r="D165" s="1026"/>
      <c r="E165" s="1026"/>
      <c r="F165" s="1059"/>
      <c r="G165" s="1054"/>
      <c r="H165" s="1269"/>
      <c r="I165" s="1056"/>
      <c r="J165" s="1111"/>
      <c r="K165" s="1025"/>
    </row>
    <row r="166" spans="1:11">
      <c r="A166" s="1037"/>
      <c r="B166" s="1038"/>
      <c r="C166" s="1026"/>
      <c r="D166" s="1026"/>
      <c r="E166" s="1026"/>
      <c r="F166" s="1059"/>
      <c r="G166" s="1054"/>
      <c r="H166" s="1269"/>
      <c r="I166" s="1056"/>
      <c r="J166" s="1111"/>
      <c r="K166" s="1025"/>
    </row>
    <row r="167" spans="1:11">
      <c r="A167" s="1037"/>
      <c r="B167" s="1038"/>
      <c r="C167" s="1026"/>
      <c r="D167" s="1026"/>
      <c r="E167" s="1026"/>
      <c r="F167" s="1059"/>
      <c r="G167" s="1054"/>
      <c r="H167" s="1269"/>
      <c r="I167" s="1056"/>
      <c r="J167" s="1111"/>
      <c r="K167" s="1025"/>
    </row>
    <row r="168" spans="1:11">
      <c r="A168" s="1037"/>
      <c r="B168" s="1038"/>
      <c r="C168" s="1026"/>
      <c r="D168" s="1026"/>
      <c r="E168" s="1026"/>
      <c r="F168" s="1059"/>
      <c r="G168" s="1054"/>
      <c r="H168" s="1269"/>
      <c r="I168" s="1056"/>
      <c r="J168" s="1111"/>
      <c r="K168" s="1025"/>
    </row>
    <row r="169" spans="1:11">
      <c r="A169" s="1037"/>
      <c r="B169" s="1038"/>
      <c r="C169" s="1026"/>
      <c r="D169" s="1026"/>
      <c r="E169" s="1026"/>
      <c r="F169" s="1059"/>
      <c r="G169" s="1054"/>
      <c r="H169" s="1269"/>
      <c r="I169" s="1056"/>
      <c r="J169" s="1111"/>
      <c r="K169" s="1025"/>
    </row>
    <row r="170" spans="1:11">
      <c r="A170" s="1037"/>
      <c r="B170" s="1038"/>
      <c r="C170" s="1026"/>
      <c r="D170" s="1026"/>
      <c r="E170" s="1026"/>
      <c r="F170" s="1059"/>
      <c r="G170" s="1054"/>
      <c r="H170" s="1269"/>
      <c r="I170" s="1056"/>
      <c r="J170" s="1111"/>
      <c r="K170" s="1025"/>
    </row>
    <row r="171" spans="1:11">
      <c r="A171" s="1037"/>
      <c r="B171" s="1038"/>
      <c r="C171" s="1026"/>
      <c r="D171" s="1026"/>
      <c r="E171" s="1026"/>
      <c r="F171" s="1059"/>
      <c r="G171" s="1054"/>
      <c r="H171" s="1269"/>
      <c r="I171" s="1056"/>
      <c r="J171" s="1111"/>
      <c r="K171" s="1025"/>
    </row>
    <row r="172" spans="1:11">
      <c r="A172" s="1037"/>
      <c r="B172" s="1038"/>
      <c r="C172" s="1026"/>
      <c r="D172" s="1026"/>
      <c r="E172" s="1026"/>
      <c r="F172" s="1059"/>
      <c r="G172" s="1054"/>
      <c r="H172" s="1269"/>
      <c r="I172" s="1056"/>
      <c r="J172" s="1111"/>
      <c r="K172" s="1025"/>
    </row>
    <row r="173" spans="1:11">
      <c r="A173" s="1037"/>
      <c r="B173" s="1038"/>
      <c r="C173" s="1026"/>
      <c r="D173" s="1026"/>
      <c r="E173" s="1026"/>
      <c r="F173" s="1059"/>
      <c r="G173" s="1059"/>
      <c r="H173" s="1269"/>
      <c r="I173" s="1056"/>
      <c r="J173" s="1111"/>
      <c r="K173" s="1025"/>
    </row>
    <row r="174" spans="1:11">
      <c r="A174" s="1037"/>
      <c r="B174" s="1038"/>
      <c r="C174" s="1026"/>
      <c r="D174" s="1026"/>
      <c r="E174" s="1026"/>
      <c r="F174" s="1059"/>
      <c r="G174" s="1059"/>
      <c r="H174" s="1269"/>
      <c r="I174" s="1056"/>
      <c r="J174" s="1111"/>
      <c r="K174" s="1025"/>
    </row>
    <row r="175" spans="1:11">
      <c r="A175" s="1037"/>
      <c r="B175" s="1038"/>
      <c r="C175" s="1026"/>
      <c r="D175" s="1026"/>
      <c r="E175" s="1026"/>
      <c r="F175" s="1059"/>
      <c r="G175" s="1054"/>
      <c r="H175" s="1269"/>
      <c r="I175" s="1056"/>
      <c r="J175" s="1111"/>
      <c r="K175" s="1025"/>
    </row>
    <row r="176" spans="1:11">
      <c r="A176" s="1037"/>
      <c r="B176" s="1038"/>
      <c r="C176" s="1026"/>
      <c r="D176" s="1026"/>
      <c r="E176" s="1026"/>
      <c r="F176" s="1059"/>
      <c r="G176" s="1054"/>
      <c r="H176" s="1269"/>
      <c r="I176" s="1056"/>
      <c r="J176" s="1111"/>
      <c r="K176" s="1025"/>
    </row>
    <row r="177" spans="1:11">
      <c r="A177" s="1037"/>
      <c r="B177" s="1038"/>
      <c r="C177" s="1026"/>
      <c r="D177" s="1026"/>
      <c r="E177" s="1026"/>
      <c r="F177" s="1059"/>
      <c r="G177" s="1054"/>
      <c r="H177" s="1269"/>
      <c r="I177" s="1056"/>
      <c r="J177" s="1111"/>
      <c r="K177" s="1025"/>
    </row>
    <row r="178" spans="1:11" ht="15.75">
      <c r="A178" s="1037"/>
      <c r="B178" s="1038"/>
      <c r="C178" s="1026"/>
      <c r="D178" s="1026"/>
      <c r="E178" s="1026"/>
      <c r="F178" s="1059"/>
      <c r="G178" s="1059"/>
      <c r="H178" s="1269"/>
      <c r="I178" s="1056"/>
      <c r="J178" s="1111"/>
      <c r="K178" s="1115"/>
    </row>
    <row r="179" spans="1:11">
      <c r="A179" s="1037"/>
      <c r="B179" s="1038"/>
      <c r="C179" s="1026"/>
      <c r="D179" s="1026"/>
      <c r="E179" s="1026"/>
      <c r="F179" s="1059"/>
      <c r="G179" s="1059"/>
      <c r="H179" s="1269"/>
      <c r="I179" s="1056"/>
      <c r="J179" s="1111"/>
      <c r="K179" s="1025"/>
    </row>
    <row r="180" spans="1:11" ht="15.75">
      <c r="A180" s="1037"/>
      <c r="B180" s="1038"/>
      <c r="C180" s="1026"/>
      <c r="D180" s="1026"/>
      <c r="E180" s="1026"/>
      <c r="F180" s="1059"/>
      <c r="G180" s="1054"/>
      <c r="H180" s="1269"/>
      <c r="I180" s="1056"/>
      <c r="J180" s="1111"/>
      <c r="K180" s="1115"/>
    </row>
    <row r="181" spans="1:11" ht="15.75">
      <c r="A181" s="1037"/>
      <c r="B181" s="1038"/>
      <c r="C181" s="1026"/>
      <c r="D181" s="1026"/>
      <c r="E181" s="1026"/>
      <c r="F181" s="1059"/>
      <c r="G181" s="1054"/>
      <c r="H181" s="1269"/>
      <c r="I181" s="1056"/>
      <c r="J181" s="1111"/>
      <c r="K181" s="1115"/>
    </row>
    <row r="182" spans="1:11" ht="15.75">
      <c r="A182" s="1037"/>
      <c r="B182" s="1038"/>
      <c r="C182" s="1026"/>
      <c r="D182" s="1026"/>
      <c r="E182" s="1026"/>
      <c r="F182" s="1059"/>
      <c r="G182" s="1054"/>
      <c r="H182" s="1269"/>
      <c r="I182" s="1056"/>
      <c r="J182" s="1111"/>
      <c r="K182" s="1115"/>
    </row>
    <row r="183" spans="1:11" ht="15.75">
      <c r="A183" s="1037"/>
      <c r="B183" s="1038"/>
      <c r="C183" s="1026"/>
      <c r="D183" s="1026"/>
      <c r="E183" s="1026"/>
      <c r="F183" s="1059"/>
      <c r="G183" s="1054"/>
      <c r="H183" s="1269"/>
      <c r="I183" s="1056"/>
      <c r="J183" s="1111"/>
      <c r="K183" s="1115"/>
    </row>
    <row r="184" spans="1:11" ht="15.75">
      <c r="A184" s="1037"/>
      <c r="B184" s="1038"/>
      <c r="C184" s="1026"/>
      <c r="D184" s="1026"/>
      <c r="E184" s="1026"/>
      <c r="F184" s="1059"/>
      <c r="G184" s="1059"/>
      <c r="H184" s="1269"/>
      <c r="I184" s="1056"/>
      <c r="J184" s="1111"/>
      <c r="K184" s="1115"/>
    </row>
    <row r="185" spans="1:11">
      <c r="A185" s="1037"/>
      <c r="B185" s="1038"/>
      <c r="C185" s="1026"/>
      <c r="D185" s="1026"/>
      <c r="E185" s="1026"/>
      <c r="F185" s="1059"/>
      <c r="G185" s="1059"/>
      <c r="H185" s="1269"/>
      <c r="I185" s="1056"/>
      <c r="J185" s="1111"/>
      <c r="K185" s="1025"/>
    </row>
    <row r="186" spans="1:11" ht="15.75">
      <c r="A186" s="1037"/>
      <c r="B186" s="1038"/>
      <c r="C186" s="1026"/>
      <c r="D186" s="1026"/>
      <c r="E186" s="1026"/>
      <c r="F186" s="1059"/>
      <c r="G186" s="1054"/>
      <c r="H186" s="1269"/>
      <c r="I186" s="1056"/>
      <c r="J186" s="1111"/>
      <c r="K186" s="1115"/>
    </row>
    <row r="187" spans="1:11">
      <c r="A187" s="1037"/>
      <c r="B187" s="1038"/>
      <c r="C187" s="1026"/>
      <c r="D187" s="1026"/>
      <c r="E187" s="1026"/>
      <c r="F187" s="1059"/>
      <c r="G187" s="1059"/>
      <c r="H187" s="1269"/>
      <c r="I187" s="1056"/>
      <c r="J187" s="1111"/>
      <c r="K187" s="1025"/>
    </row>
    <row r="188" spans="1:11">
      <c r="A188" s="1037"/>
      <c r="B188" s="1038"/>
      <c r="C188" s="1026"/>
      <c r="D188" s="1026"/>
      <c r="E188" s="1026"/>
      <c r="F188" s="1059"/>
      <c r="G188" s="1059"/>
      <c r="H188" s="1269"/>
      <c r="I188" s="1056"/>
      <c r="J188" s="1111"/>
      <c r="K188" s="1025"/>
    </row>
    <row r="189" spans="1:11">
      <c r="A189" s="1037"/>
      <c r="B189" s="1038"/>
      <c r="C189" s="1026"/>
      <c r="D189" s="1026"/>
      <c r="E189" s="1026"/>
      <c r="F189" s="1059"/>
      <c r="G189" s="1059"/>
      <c r="H189" s="1269"/>
      <c r="I189" s="1056"/>
      <c r="J189" s="1111"/>
      <c r="K189" s="1025"/>
    </row>
    <row r="190" spans="1:11">
      <c r="A190" s="1037"/>
      <c r="B190" s="1038"/>
      <c r="C190" s="1026"/>
      <c r="D190" s="1026"/>
      <c r="E190" s="1026"/>
      <c r="F190" s="1059"/>
      <c r="G190" s="1059"/>
      <c r="H190" s="1269"/>
      <c r="I190" s="1056"/>
      <c r="J190" s="1111"/>
      <c r="K190" s="1025"/>
    </row>
    <row r="191" spans="1:11">
      <c r="A191" s="1037"/>
      <c r="B191" s="1038"/>
      <c r="C191" s="1026"/>
      <c r="D191" s="1026"/>
      <c r="E191" s="1026"/>
      <c r="F191" s="1059"/>
      <c r="G191" s="1054"/>
      <c r="H191" s="1269"/>
      <c r="I191" s="1056"/>
      <c r="J191" s="1111"/>
      <c r="K191" s="1025"/>
    </row>
    <row r="192" spans="1:11">
      <c r="A192" s="1037"/>
      <c r="B192" s="1038"/>
      <c r="C192" s="1026"/>
      <c r="D192" s="1026"/>
      <c r="E192" s="1026"/>
      <c r="F192" s="1059"/>
      <c r="G192" s="1054"/>
      <c r="H192" s="1269"/>
      <c r="I192" s="1056"/>
      <c r="J192" s="1111"/>
      <c r="K192" s="1025"/>
    </row>
    <row r="193" spans="1:11">
      <c r="A193" s="1037"/>
      <c r="B193" s="1038"/>
      <c r="C193" s="1026"/>
      <c r="D193" s="1026"/>
      <c r="E193" s="1026"/>
      <c r="F193" s="1059"/>
      <c r="G193" s="1054"/>
      <c r="H193" s="1269"/>
      <c r="I193" s="1056"/>
      <c r="J193" s="1111"/>
      <c r="K193" s="1025"/>
    </row>
    <row r="194" spans="1:11">
      <c r="A194" s="1037"/>
      <c r="B194" s="1038"/>
      <c r="C194" s="1026"/>
      <c r="D194" s="1026"/>
      <c r="E194" s="1026"/>
      <c r="F194" s="1059"/>
      <c r="G194" s="1054"/>
      <c r="H194" s="1269"/>
      <c r="I194" s="1056"/>
      <c r="J194" s="1111"/>
      <c r="K194" s="1025"/>
    </row>
    <row r="195" spans="1:11">
      <c r="A195" s="1037"/>
      <c r="B195" s="1038"/>
      <c r="C195" s="1026"/>
      <c r="D195" s="1026"/>
      <c r="E195" s="1026"/>
      <c r="F195" s="1059"/>
      <c r="G195" s="1054"/>
      <c r="H195" s="1269"/>
      <c r="I195" s="1056"/>
      <c r="J195" s="1111"/>
      <c r="K195" s="1025"/>
    </row>
    <row r="196" spans="1:11">
      <c r="A196" s="1037"/>
      <c r="B196" s="1038"/>
      <c r="C196" s="1026"/>
      <c r="D196" s="1026"/>
      <c r="E196" s="1026"/>
      <c r="F196" s="1059"/>
      <c r="G196" s="1054"/>
      <c r="H196" s="1269"/>
      <c r="I196" s="1056"/>
      <c r="J196" s="1111"/>
      <c r="K196" s="1025"/>
    </row>
    <row r="197" spans="1:11">
      <c r="A197" s="1037"/>
      <c r="B197" s="1038"/>
      <c r="C197" s="1026"/>
      <c r="D197" s="1026"/>
      <c r="E197" s="1026"/>
      <c r="F197" s="1059"/>
      <c r="G197" s="1054"/>
      <c r="H197" s="1269"/>
      <c r="I197" s="1056"/>
      <c r="J197" s="1111"/>
      <c r="K197" s="1025"/>
    </row>
    <row r="198" spans="1:11">
      <c r="A198" s="1037"/>
      <c r="B198" s="1038"/>
      <c r="C198" s="1026"/>
      <c r="D198" s="1026"/>
      <c r="E198" s="1026"/>
      <c r="F198" s="1059"/>
      <c r="G198" s="1059"/>
      <c r="H198" s="1269"/>
      <c r="I198" s="1056"/>
      <c r="J198" s="1111"/>
      <c r="K198" s="1025"/>
    </row>
    <row r="199" spans="1:11">
      <c r="A199" s="1037"/>
      <c r="B199" s="1038"/>
      <c r="C199" s="1026"/>
      <c r="D199" s="1026"/>
      <c r="E199" s="1026"/>
      <c r="F199" s="1059"/>
      <c r="G199" s="1059"/>
      <c r="H199" s="1269"/>
      <c r="I199" s="1056"/>
      <c r="J199" s="1111"/>
      <c r="K199" s="1025"/>
    </row>
    <row r="200" spans="1:11" ht="15.75">
      <c r="A200" s="1037"/>
      <c r="B200" s="1038"/>
      <c r="C200" s="1026"/>
      <c r="D200" s="1026"/>
      <c r="E200" s="1026"/>
      <c r="F200" s="1059"/>
      <c r="G200" s="1054"/>
      <c r="H200" s="1269"/>
      <c r="I200" s="1056"/>
      <c r="J200" s="1111"/>
      <c r="K200" s="1115"/>
    </row>
    <row r="201" spans="1:11">
      <c r="A201" s="1037"/>
      <c r="B201" s="1038"/>
      <c r="C201" s="1026"/>
      <c r="D201" s="1026"/>
      <c r="E201" s="1026"/>
      <c r="F201" s="1059"/>
      <c r="G201" s="1054"/>
      <c r="H201" s="1269"/>
      <c r="I201" s="1056"/>
      <c r="J201" s="1111"/>
      <c r="K201" s="1025"/>
    </row>
    <row r="202" spans="1:11">
      <c r="A202" s="1037"/>
      <c r="B202" s="1038"/>
      <c r="C202" s="1025"/>
      <c r="D202" s="1025"/>
      <c r="E202" s="1025"/>
      <c r="F202" s="1061"/>
      <c r="G202" s="1054"/>
      <c r="H202" s="1269"/>
      <c r="I202" s="1056"/>
      <c r="J202" s="1111"/>
      <c r="K202" s="1025"/>
    </row>
    <row r="203" spans="1:11">
      <c r="A203" s="1037"/>
      <c r="B203" s="1038"/>
      <c r="C203" s="1026"/>
      <c r="D203" s="1026"/>
      <c r="E203" s="1026"/>
      <c r="F203" s="1061"/>
      <c r="G203" s="1054"/>
      <c r="H203" s="1269"/>
      <c r="I203" s="1056"/>
      <c r="J203" s="1111"/>
      <c r="K203" s="1025"/>
    </row>
    <row r="204" spans="1:11" ht="15.75">
      <c r="A204" s="1037"/>
      <c r="B204" s="1038"/>
      <c r="C204" s="1026"/>
      <c r="D204" s="1026"/>
      <c r="E204" s="1026"/>
      <c r="F204" s="1059"/>
      <c r="G204" s="1059"/>
      <c r="H204" s="1269"/>
      <c r="I204" s="1056"/>
      <c r="J204" s="1111"/>
      <c r="K204" s="1115"/>
    </row>
    <row r="205" spans="1:11">
      <c r="A205" s="1037"/>
      <c r="B205" s="1038"/>
      <c r="C205" s="1026"/>
      <c r="D205" s="1026"/>
      <c r="E205" s="1026"/>
      <c r="F205" s="1059"/>
      <c r="G205" s="1059"/>
      <c r="H205" s="1269"/>
      <c r="I205" s="1056"/>
      <c r="J205" s="1111"/>
      <c r="K205" s="1025"/>
    </row>
    <row r="206" spans="1:11" ht="15.75">
      <c r="A206" s="1037"/>
      <c r="B206" s="1038"/>
      <c r="C206" s="1026"/>
      <c r="D206" s="1026"/>
      <c r="E206" s="1026"/>
      <c r="F206" s="1059"/>
      <c r="G206" s="1054"/>
      <c r="H206" s="1269"/>
      <c r="I206" s="1056"/>
      <c r="J206" s="1111"/>
      <c r="K206" s="1115"/>
    </row>
    <row r="207" spans="1:11" ht="15.75">
      <c r="A207" s="1037"/>
      <c r="B207" s="1038"/>
      <c r="C207" s="1026"/>
      <c r="D207" s="1026"/>
      <c r="E207" s="1026"/>
      <c r="F207" s="1059"/>
      <c r="G207" s="1054"/>
      <c r="H207" s="1269"/>
      <c r="I207" s="1056"/>
      <c r="J207" s="1111"/>
      <c r="K207" s="1115"/>
    </row>
    <row r="208" spans="1:11" ht="15.75">
      <c r="A208" s="1037"/>
      <c r="B208" s="1038"/>
      <c r="C208" s="1026"/>
      <c r="D208" s="1026"/>
      <c r="E208" s="1026"/>
      <c r="F208" s="1059"/>
      <c r="G208" s="1054"/>
      <c r="H208" s="1269"/>
      <c r="I208" s="1056"/>
      <c r="J208" s="1111"/>
      <c r="K208" s="1115"/>
    </row>
    <row r="209" spans="1:11" ht="15.75">
      <c r="A209" s="1037"/>
      <c r="B209" s="1038"/>
      <c r="C209" s="1026"/>
      <c r="D209" s="1026"/>
      <c r="E209" s="1026"/>
      <c r="F209" s="1059"/>
      <c r="G209" s="1054"/>
      <c r="H209" s="1269"/>
      <c r="I209" s="1056"/>
      <c r="J209" s="1111"/>
      <c r="K209" s="1115"/>
    </row>
    <row r="210" spans="1:11" ht="15.75">
      <c r="A210" s="1037"/>
      <c r="B210" s="1038"/>
      <c r="C210" s="1026"/>
      <c r="D210" s="1026"/>
      <c r="E210" s="1026"/>
      <c r="F210" s="1059"/>
      <c r="G210" s="1054"/>
      <c r="H210" s="1269"/>
      <c r="I210" s="1056"/>
      <c r="J210" s="1111"/>
      <c r="K210" s="1115"/>
    </row>
    <row r="211" spans="1:11" ht="15.75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115"/>
    </row>
    <row r="212" spans="1:11" ht="15.75">
      <c r="A212" s="1037"/>
      <c r="B212" s="1038"/>
      <c r="C212" s="1026"/>
      <c r="D212" s="1026"/>
      <c r="E212" s="1026"/>
      <c r="F212" s="1059"/>
      <c r="G212" s="1054"/>
      <c r="H212" s="1269"/>
      <c r="I212" s="1056"/>
      <c r="J212" s="1111"/>
      <c r="K212" s="1115"/>
    </row>
    <row r="213" spans="1:11" ht="15.75">
      <c r="A213" s="1037"/>
      <c r="B213" s="1038"/>
      <c r="C213" s="1026"/>
      <c r="D213" s="1026"/>
      <c r="E213" s="1026"/>
      <c r="F213" s="1059"/>
      <c r="G213" s="1054"/>
      <c r="H213" s="1269"/>
      <c r="I213" s="1056"/>
      <c r="J213" s="1111"/>
      <c r="K213" s="1115"/>
    </row>
    <row r="214" spans="1:11" ht="15.75">
      <c r="A214" s="1037"/>
      <c r="B214" s="1038"/>
      <c r="C214" s="1026"/>
      <c r="D214" s="1026"/>
      <c r="F214" s="1059"/>
      <c r="G214" s="1054"/>
      <c r="H214" s="1269"/>
      <c r="I214" s="1056"/>
      <c r="J214" s="1111"/>
      <c r="K214" s="1115"/>
    </row>
    <row r="215" spans="1:11" ht="15.75">
      <c r="A215" s="1037"/>
      <c r="B215" s="1038"/>
      <c r="C215" s="1026"/>
      <c r="D215" s="1026"/>
      <c r="E215" s="1026"/>
      <c r="F215" s="1059"/>
      <c r="G215" s="1054"/>
      <c r="H215" s="1269"/>
      <c r="I215" s="1056"/>
      <c r="J215" s="1111"/>
      <c r="K215" s="1115"/>
    </row>
    <row r="216" spans="1:11" ht="15.75">
      <c r="A216" s="1037"/>
      <c r="B216" s="1038"/>
      <c r="C216" s="1026"/>
      <c r="D216" s="1026"/>
      <c r="E216" s="1026"/>
      <c r="F216" s="1059"/>
      <c r="G216" s="1054"/>
      <c r="H216" s="1269"/>
      <c r="I216" s="1056"/>
      <c r="J216" s="1111"/>
      <c r="K216" s="1115"/>
    </row>
    <row r="217" spans="1:11" ht="15.75">
      <c r="A217" s="1037"/>
      <c r="B217" s="1038"/>
      <c r="C217" s="1026"/>
      <c r="D217" s="1026"/>
      <c r="E217" s="1026"/>
      <c r="F217" s="1059"/>
      <c r="G217" s="1054"/>
      <c r="H217" s="1269"/>
      <c r="I217" s="1056"/>
      <c r="J217" s="1111"/>
      <c r="K217" s="1115"/>
    </row>
    <row r="218" spans="1:11" ht="15.75">
      <c r="A218" s="1037"/>
      <c r="B218" s="1038"/>
      <c r="C218" s="1026"/>
      <c r="D218" s="1026"/>
      <c r="E218" s="1026"/>
      <c r="F218" s="1059"/>
      <c r="G218" s="1054"/>
      <c r="H218" s="1269"/>
      <c r="I218" s="1056"/>
      <c r="J218" s="1111"/>
      <c r="K218" s="1115"/>
    </row>
    <row r="219" spans="1:11">
      <c r="A219" s="1037"/>
      <c r="B219" s="1038"/>
      <c r="C219" s="1026"/>
      <c r="D219" s="1026"/>
      <c r="E219" s="1026"/>
      <c r="F219" s="1059"/>
      <c r="G219" s="1054"/>
      <c r="H219" s="1269"/>
      <c r="I219" s="1056"/>
      <c r="J219" s="1111"/>
      <c r="K219" s="1025"/>
    </row>
    <row r="220" spans="1:11">
      <c r="A220" s="1039"/>
      <c r="B220" s="1039"/>
      <c r="C220" s="1025"/>
      <c r="D220" s="1025"/>
      <c r="E220" s="1025"/>
      <c r="F220" s="1061"/>
      <c r="G220" s="1062"/>
      <c r="H220" s="1269"/>
      <c r="I220" s="1056"/>
      <c r="J220" s="1111"/>
      <c r="K220" s="1025"/>
    </row>
    <row r="221" spans="1:11">
      <c r="A221" s="1039"/>
      <c r="B221" s="1039"/>
      <c r="C221" s="1025"/>
      <c r="D221" s="1025"/>
      <c r="E221" s="1025"/>
      <c r="F221" s="1061"/>
      <c r="G221" s="1062"/>
      <c r="H221" s="1269"/>
      <c r="I221" s="1056"/>
      <c r="J221" s="1111"/>
      <c r="K221" s="1025"/>
    </row>
    <row r="222" spans="1:11">
      <c r="A222" s="1039"/>
      <c r="B222" s="1039"/>
      <c r="C222" s="1025"/>
      <c r="D222" s="1025"/>
      <c r="E222" s="1025"/>
      <c r="F222" s="1061"/>
      <c r="G222" s="1062"/>
      <c r="H222" s="1269"/>
      <c r="I222" s="1056"/>
      <c r="J222" s="1111"/>
      <c r="K222" s="1025"/>
    </row>
    <row r="223" spans="1:11">
      <c r="A223" s="1039"/>
      <c r="B223" s="1039"/>
      <c r="C223" s="1025"/>
      <c r="D223" s="1025"/>
      <c r="E223" s="1025"/>
      <c r="F223" s="1061"/>
      <c r="G223" s="1062"/>
      <c r="H223" s="1269"/>
      <c r="I223" s="1056"/>
      <c r="J223" s="1111"/>
      <c r="K223" s="1025"/>
    </row>
    <row r="224" spans="1:11">
      <c r="A224" s="1039"/>
      <c r="B224" s="1039"/>
      <c r="C224" s="1025"/>
      <c r="D224" s="1025"/>
      <c r="E224" s="1025"/>
      <c r="F224" s="1061"/>
      <c r="G224" s="1062"/>
      <c r="H224" s="1269"/>
      <c r="I224" s="1056"/>
      <c r="J224" s="1111"/>
      <c r="K224" s="1025"/>
    </row>
    <row r="225" spans="1:11">
      <c r="A225" s="1039"/>
      <c r="B225" s="1039"/>
      <c r="C225" s="1025"/>
      <c r="D225" s="1025"/>
      <c r="E225" s="1025"/>
      <c r="F225" s="1061"/>
      <c r="G225" s="1062"/>
      <c r="H225" s="1269"/>
      <c r="I225" s="1056"/>
      <c r="J225" s="1111"/>
      <c r="K225" s="1025"/>
    </row>
    <row r="226" spans="1:11">
      <c r="A226" s="1039"/>
      <c r="B226" s="1039"/>
      <c r="C226" s="1025"/>
      <c r="D226" s="1025"/>
      <c r="E226" s="1025"/>
      <c r="F226" s="1061"/>
      <c r="G226" s="1062"/>
      <c r="H226" s="1269"/>
      <c r="I226" s="1056"/>
      <c r="J226" s="1111"/>
      <c r="K226" s="1025"/>
    </row>
    <row r="227" spans="1:11">
      <c r="A227" s="1039"/>
      <c r="B227" s="1039"/>
      <c r="C227" s="1025"/>
      <c r="D227" s="1025"/>
      <c r="E227" s="1025"/>
      <c r="F227" s="1061"/>
      <c r="G227" s="1062"/>
      <c r="H227" s="1269"/>
      <c r="I227" s="1056"/>
      <c r="J227" s="1111"/>
      <c r="K227" s="1025"/>
    </row>
    <row r="228" spans="1:11">
      <c r="A228" s="1039"/>
      <c r="B228" s="1039"/>
      <c r="C228" s="1025"/>
      <c r="D228" s="1025"/>
      <c r="E228" s="1025"/>
      <c r="F228" s="1061"/>
      <c r="G228" s="1062"/>
      <c r="H228" s="1269"/>
      <c r="I228" s="1056"/>
      <c r="J228" s="1111"/>
      <c r="K228" s="1025"/>
    </row>
    <row r="229" spans="1:11">
      <c r="A229" s="1039"/>
      <c r="B229" s="1039"/>
      <c r="C229" s="1025"/>
      <c r="D229" s="1025"/>
      <c r="E229" s="1025"/>
      <c r="F229" s="1061"/>
      <c r="G229" s="1062"/>
      <c r="H229" s="1269"/>
      <c r="I229" s="1056"/>
      <c r="J229" s="1111"/>
      <c r="K229" s="1025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1025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1025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1025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1025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1025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1025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1025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1025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1025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1025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1025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1025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1025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1025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1025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1025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1025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1025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1025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1025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1025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1025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1025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1025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1025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1025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1025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1025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1025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1025"/>
    </row>
    <row r="260" spans="1:11">
      <c r="A260" s="1039"/>
      <c r="B260" s="1039"/>
      <c r="C260" s="1025"/>
      <c r="D260" s="1025"/>
      <c r="E260" s="1025"/>
      <c r="F260" s="1061"/>
      <c r="G260" s="1062"/>
      <c r="H260" s="1269"/>
      <c r="I260" s="1056"/>
      <c r="J260" s="1111"/>
      <c r="K260" s="1025"/>
    </row>
    <row r="261" spans="1:11">
      <c r="A261" s="1039"/>
      <c r="B261" s="1039"/>
      <c r="C261" s="1025"/>
      <c r="D261" s="1025"/>
      <c r="E261" s="1025"/>
      <c r="F261" s="1061"/>
      <c r="G261" s="1062"/>
      <c r="H261" s="1269"/>
      <c r="I261" s="1056"/>
      <c r="J261" s="1111"/>
      <c r="K261" s="1025"/>
    </row>
    <row r="262" spans="1:11">
      <c r="A262" s="1039"/>
      <c r="B262" s="1039"/>
      <c r="C262" s="1025"/>
      <c r="D262" s="1025"/>
      <c r="E262" s="1025"/>
      <c r="F262" s="1061"/>
      <c r="G262" s="1062"/>
      <c r="H262" s="1269"/>
      <c r="I262" s="1056"/>
      <c r="J262" s="1111"/>
      <c r="K262" s="1025"/>
    </row>
    <row r="263" spans="1:11">
      <c r="A263" s="1039"/>
      <c r="B263" s="1039"/>
      <c r="C263" s="1025"/>
      <c r="D263" s="1025"/>
      <c r="E263" s="1025"/>
      <c r="F263" s="1061"/>
      <c r="G263" s="1062"/>
      <c r="H263" s="1269"/>
      <c r="I263" s="1056"/>
      <c r="J263" s="1111"/>
      <c r="K263" s="1025"/>
    </row>
    <row r="264" spans="1:11">
      <c r="A264" s="1039"/>
      <c r="B264" s="1039"/>
      <c r="C264" s="1025"/>
      <c r="D264" s="1025"/>
      <c r="E264" s="1025"/>
      <c r="F264" s="1061"/>
      <c r="G264" s="1062"/>
      <c r="H264" s="1269"/>
      <c r="I264" s="1056"/>
      <c r="J264" s="1111"/>
      <c r="K264" s="1025"/>
    </row>
    <row r="265" spans="1:11">
      <c r="A265" s="1039"/>
      <c r="B265" s="1039"/>
      <c r="C265" s="1025"/>
      <c r="D265" s="1025"/>
      <c r="E265" s="1025"/>
      <c r="F265" s="1061"/>
      <c r="G265" s="1062"/>
      <c r="H265" s="1269"/>
      <c r="I265" s="1056"/>
      <c r="J265" s="1111"/>
      <c r="K265" s="1025"/>
    </row>
    <row r="266" spans="1:11">
      <c r="A266" s="1039"/>
      <c r="B266" s="1039"/>
      <c r="C266" s="1025"/>
      <c r="D266" s="1025"/>
      <c r="E266" s="1025"/>
      <c r="F266" s="1061"/>
      <c r="G266" s="1062"/>
      <c r="H266" s="1269"/>
      <c r="I266" s="1056"/>
      <c r="J266" s="1111"/>
      <c r="K266" s="1025"/>
    </row>
    <row r="267" spans="1:11">
      <c r="A267" s="1025"/>
      <c r="B267" s="1025"/>
      <c r="C267" s="1025"/>
      <c r="D267" s="1025"/>
      <c r="E267" s="1025"/>
      <c r="F267" s="1025"/>
      <c r="G267" s="1025"/>
      <c r="H267" s="1269"/>
      <c r="I267" s="1056"/>
      <c r="J267" s="1111"/>
      <c r="K267" s="1025"/>
    </row>
    <row r="268" spans="1:11">
      <c r="A268" s="1025"/>
      <c r="B268" s="1025"/>
      <c r="C268" s="1025"/>
      <c r="D268" s="1025"/>
      <c r="E268" s="1025"/>
      <c r="F268" s="1025"/>
      <c r="G268" s="1025"/>
      <c r="H268" s="1269"/>
      <c r="I268" s="1056"/>
      <c r="J268" s="1111"/>
      <c r="K268" s="1025"/>
    </row>
    <row r="269" spans="1:11">
      <c r="A269" s="1025"/>
      <c r="B269" s="1025"/>
      <c r="C269" s="1025"/>
      <c r="D269" s="1025"/>
      <c r="E269" s="1025"/>
      <c r="F269" s="1025"/>
      <c r="G269" s="1025"/>
      <c r="H269" s="1269"/>
      <c r="I269" s="1056"/>
      <c r="J269" s="1111"/>
      <c r="K269" s="1025"/>
    </row>
    <row r="270" spans="1:11">
      <c r="A270" s="1025"/>
      <c r="B270" s="1025"/>
      <c r="C270" s="1025"/>
      <c r="D270" s="1025"/>
      <c r="E270" s="1025"/>
      <c r="F270" s="1025"/>
      <c r="G270" s="1025"/>
      <c r="H270" s="1269"/>
      <c r="I270" s="1056"/>
      <c r="J270" s="1111"/>
      <c r="K270" s="1025"/>
    </row>
    <row r="271" spans="1:11">
      <c r="A271" s="1025"/>
      <c r="B271" s="1025"/>
      <c r="C271" s="1025"/>
      <c r="D271" s="1025"/>
      <c r="E271" s="1025"/>
      <c r="F271" s="1025"/>
      <c r="G271" s="1025"/>
      <c r="H271" s="1269"/>
      <c r="I271" s="1056"/>
      <c r="J271" s="1111"/>
      <c r="K271" s="1025"/>
    </row>
    <row r="272" spans="1:11">
      <c r="A272" s="1025"/>
      <c r="B272" s="1025"/>
      <c r="C272" s="1025"/>
      <c r="D272" s="1025"/>
      <c r="E272" s="1025"/>
      <c r="F272" s="1025"/>
      <c r="G272" s="1025"/>
      <c r="H272" s="1269"/>
      <c r="I272" s="1056"/>
      <c r="J272" s="1111"/>
      <c r="K272" s="1025"/>
    </row>
    <row r="273" spans="1:11">
      <c r="A273" s="1025"/>
      <c r="B273" s="1025"/>
      <c r="C273" s="1025"/>
      <c r="D273" s="1025"/>
      <c r="E273" s="1025"/>
      <c r="F273" s="1025"/>
      <c r="G273" s="1025"/>
      <c r="H273" s="1269"/>
      <c r="I273" s="1056"/>
      <c r="J273" s="1111"/>
      <c r="K273" s="1025"/>
    </row>
    <row r="274" spans="1:11">
      <c r="A274" s="1025"/>
      <c r="B274" s="1025"/>
      <c r="C274" s="1025"/>
      <c r="D274" s="1025"/>
      <c r="E274" s="1025"/>
      <c r="F274" s="1025"/>
      <c r="G274" s="1025"/>
      <c r="H274" s="1269"/>
      <c r="I274" s="1056"/>
      <c r="J274" s="1111"/>
      <c r="K274" s="1025"/>
    </row>
    <row r="275" spans="1:11">
      <c r="A275" s="1025"/>
      <c r="B275" s="1025"/>
      <c r="C275" s="1025"/>
      <c r="D275" s="1025"/>
      <c r="E275" s="1025"/>
      <c r="F275" s="1025"/>
      <c r="G275" s="1025"/>
      <c r="H275" s="1269"/>
      <c r="I275" s="1056"/>
      <c r="J275" s="1111"/>
      <c r="K275" s="1025"/>
    </row>
    <row r="276" spans="1:11">
      <c r="A276" s="1025"/>
      <c r="B276" s="1025"/>
      <c r="C276" s="1025"/>
      <c r="D276" s="1025"/>
      <c r="E276" s="1025"/>
      <c r="F276" s="1025"/>
      <c r="G276" s="1025"/>
      <c r="H276" s="1269"/>
      <c r="I276" s="1056"/>
      <c r="J276" s="1111"/>
      <c r="K276" s="1025"/>
    </row>
    <row r="277" spans="1:11">
      <c r="A277" s="1025"/>
      <c r="B277" s="1025"/>
      <c r="C277" s="1025"/>
      <c r="D277" s="1025"/>
      <c r="E277" s="1025"/>
      <c r="F277" s="1025"/>
      <c r="G277" s="1025"/>
      <c r="H277" s="1269"/>
      <c r="I277" s="1056"/>
      <c r="J277" s="1111"/>
      <c r="K277" s="1025"/>
    </row>
    <row r="278" spans="1:11">
      <c r="A278" s="1025"/>
      <c r="B278" s="1025"/>
      <c r="C278" s="1025"/>
      <c r="D278" s="1025"/>
      <c r="E278" s="1025"/>
      <c r="F278" s="1025"/>
      <c r="G278" s="1025"/>
      <c r="H278" s="1269"/>
      <c r="I278" s="1056"/>
      <c r="J278" s="1111"/>
      <c r="K278" s="1025"/>
    </row>
    <row r="279" spans="1:11">
      <c r="A279" s="1025"/>
      <c r="B279" s="1025"/>
      <c r="C279" s="1025"/>
      <c r="D279" s="1025"/>
      <c r="E279" s="1025"/>
      <c r="F279" s="1025"/>
      <c r="G279" s="1025"/>
      <c r="H279" s="1269"/>
      <c r="I279" s="1056"/>
      <c r="J279" s="1111"/>
      <c r="K279" s="1025"/>
    </row>
    <row r="280" spans="1:11">
      <c r="A280" s="1025"/>
      <c r="B280" s="1025"/>
      <c r="C280" s="1025"/>
      <c r="D280" s="1025"/>
      <c r="E280" s="1025"/>
      <c r="F280" s="1025"/>
      <c r="G280" s="1025"/>
      <c r="H280" s="1269"/>
      <c r="I280" s="1056"/>
      <c r="J280" s="1111"/>
      <c r="K280" s="1025"/>
    </row>
    <row r="281" spans="1:11" ht="15.75" thickBot="1">
      <c r="A281" s="1037"/>
      <c r="B281" s="1038"/>
      <c r="C281" s="1026"/>
      <c r="D281" s="1026"/>
      <c r="E281" s="1026"/>
      <c r="F281" s="1059"/>
      <c r="G281" s="1054"/>
      <c r="H281" s="1269"/>
      <c r="I281" s="1056"/>
      <c r="J281" s="1111"/>
      <c r="K281" s="1025"/>
    </row>
    <row r="282" spans="1:11" ht="20.25" thickBot="1">
      <c r="A282" s="1552"/>
      <c r="B282" s="1553"/>
      <c r="C282" s="1553"/>
      <c r="D282" s="1553"/>
      <c r="E282" s="1553"/>
      <c r="F282" s="1554">
        <f>SUM(F161:F169,F171:F281)</f>
        <v>0</v>
      </c>
      <c r="G282" s="1553"/>
      <c r="H282" s="1558">
        <f>SUM(H61:H281)</f>
        <v>0</v>
      </c>
      <c r="I282" s="1554">
        <f>SUM(I161:I281)</f>
        <v>0</v>
      </c>
      <c r="J282" s="1111"/>
      <c r="K282" s="1115"/>
    </row>
  </sheetData>
  <autoFilter ref="A1:K1" xr:uid="{4975B54C-1349-48D0-AF95-D1AD56958591}">
    <sortState xmlns:xlrd2="http://schemas.microsoft.com/office/spreadsheetml/2017/richdata2" ref="A2:K40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3DB8-895C-4A7C-8F09-28E6910B90D8}">
  <dimension ref="A1:K282"/>
  <sheetViews>
    <sheetView zoomScale="85" zoomScaleNormal="85" workbookViewId="0">
      <pane ySplit="1" topLeftCell="A2" activePane="bottomLeft" state="frozen"/>
      <selection pane="bottomLeft" activeCell="C47" sqref="C47"/>
    </sheetView>
  </sheetViews>
  <sheetFormatPr defaultColWidth="9.140625" defaultRowHeight="15"/>
  <cols>
    <col min="1" max="1" width="15.140625" style="1032" bestFit="1" customWidth="1"/>
    <col min="2" max="2" width="13.5703125" style="1032" customWidth="1"/>
    <col min="3" max="3" width="44.5703125" style="1032" bestFit="1" customWidth="1"/>
    <col min="4" max="4" width="22.28515625" style="1032" bestFit="1" customWidth="1"/>
    <col min="5" max="5" width="11.5703125" style="1032" customWidth="1"/>
    <col min="6" max="6" width="22" style="1032" bestFit="1" customWidth="1"/>
    <col min="7" max="7" width="15" style="1032" customWidth="1"/>
    <col min="8" max="8" width="24.85546875" style="1032" bestFit="1" customWidth="1"/>
    <col min="9" max="9" width="23.28515625" style="1032" bestFit="1" customWidth="1"/>
    <col min="10" max="10" width="13.140625" style="1032" customWidth="1"/>
    <col min="11" max="11" width="16.5703125" style="1032" customWidth="1"/>
    <col min="12" max="16384" width="9.140625" style="1032"/>
  </cols>
  <sheetData>
    <row r="1" spans="1:11" s="1566" customFormat="1" ht="14.25" customHeight="1">
      <c r="A1" s="1559" t="s">
        <v>2519</v>
      </c>
      <c r="B1" s="1560" t="s">
        <v>2</v>
      </c>
      <c r="C1" s="1560" t="s">
        <v>3</v>
      </c>
      <c r="D1" s="1560" t="s">
        <v>4</v>
      </c>
      <c r="E1" s="1560" t="s">
        <v>5</v>
      </c>
      <c r="F1" s="1561" t="s">
        <v>644</v>
      </c>
      <c r="G1" s="1562" t="s">
        <v>555</v>
      </c>
      <c r="H1" s="1563" t="s">
        <v>7</v>
      </c>
      <c r="I1" s="1564" t="s">
        <v>307</v>
      </c>
      <c r="J1" s="1562" t="s">
        <v>370</v>
      </c>
      <c r="K1" s="1565" t="s">
        <v>442</v>
      </c>
    </row>
    <row r="2" spans="1:11" ht="15.75">
      <c r="A2" s="1037">
        <v>45863</v>
      </c>
      <c r="B2" s="1038">
        <v>46235</v>
      </c>
      <c r="C2" s="1246" t="s">
        <v>2928</v>
      </c>
      <c r="D2" s="1026" t="s">
        <v>1862</v>
      </c>
      <c r="E2" s="1026" t="s">
        <v>143</v>
      </c>
      <c r="F2" s="1059">
        <v>1328.1</v>
      </c>
      <c r="G2" s="1054">
        <v>0.15</v>
      </c>
      <c r="H2" s="1055">
        <v>179.29</v>
      </c>
      <c r="I2" s="1056"/>
      <c r="J2" s="1111"/>
      <c r="K2" s="1551" t="s">
        <v>2015</v>
      </c>
    </row>
    <row r="3" spans="1:11">
      <c r="A3" s="1037">
        <v>45870</v>
      </c>
      <c r="B3" s="1038">
        <v>46235</v>
      </c>
      <c r="C3" s="1246" t="s">
        <v>2927</v>
      </c>
      <c r="D3" s="1026" t="s">
        <v>70</v>
      </c>
      <c r="E3" s="1026" t="s">
        <v>279</v>
      </c>
      <c r="F3" s="1059">
        <v>864.91</v>
      </c>
      <c r="G3" s="1054">
        <v>0.2</v>
      </c>
      <c r="H3" s="1055">
        <v>155.68</v>
      </c>
      <c r="I3" s="1056"/>
      <c r="J3" s="1111"/>
      <c r="K3" s="1111" t="s">
        <v>2015</v>
      </c>
    </row>
    <row r="4" spans="1:11" ht="15.75">
      <c r="A4" s="1039">
        <v>45866</v>
      </c>
      <c r="B4" s="1039">
        <v>46236</v>
      </c>
      <c r="C4" s="1248" t="s">
        <v>2922</v>
      </c>
      <c r="D4" s="1025" t="s">
        <v>848</v>
      </c>
      <c r="E4" s="1025" t="s">
        <v>19</v>
      </c>
      <c r="F4" s="1061">
        <v>2748.16</v>
      </c>
      <c r="G4" s="1062">
        <v>0.15</v>
      </c>
      <c r="H4" s="1055">
        <v>371</v>
      </c>
      <c r="I4" s="1242"/>
      <c r="J4" s="1025"/>
      <c r="K4" s="1115" t="s">
        <v>2015</v>
      </c>
    </row>
    <row r="5" spans="1:11" ht="15.75">
      <c r="A5" s="1040">
        <v>45867</v>
      </c>
      <c r="B5" s="1042">
        <v>46239</v>
      </c>
      <c r="C5" s="1283" t="s">
        <v>2926</v>
      </c>
      <c r="D5" s="1030" t="s">
        <v>1862</v>
      </c>
      <c r="E5" s="1030" t="s">
        <v>29</v>
      </c>
      <c r="F5" s="1120">
        <v>1890.63</v>
      </c>
      <c r="G5" s="1073">
        <v>0.13</v>
      </c>
      <c r="H5" s="1067">
        <v>221.2</v>
      </c>
      <c r="I5" s="1068">
        <v>22.12</v>
      </c>
      <c r="J5" s="1112" t="s">
        <v>1470</v>
      </c>
      <c r="K5" s="1115" t="s">
        <v>2015</v>
      </c>
    </row>
    <row r="6" spans="1:11" s="1025" customFormat="1" ht="15.75">
      <c r="A6" s="1041">
        <v>45875</v>
      </c>
      <c r="B6" s="1041">
        <v>46241</v>
      </c>
      <c r="C6" s="1283" t="s">
        <v>2933</v>
      </c>
      <c r="D6" s="1027" t="s">
        <v>9</v>
      </c>
      <c r="E6" s="1027" t="s">
        <v>1310</v>
      </c>
      <c r="F6" s="1065">
        <v>3344.65</v>
      </c>
      <c r="G6" s="1066">
        <v>0.1</v>
      </c>
      <c r="H6" s="1067">
        <v>301.01</v>
      </c>
      <c r="I6" s="1243">
        <v>30.1</v>
      </c>
      <c r="J6" s="1027" t="s">
        <v>1470</v>
      </c>
      <c r="K6" s="1115" t="s">
        <v>2015</v>
      </c>
    </row>
    <row r="7" spans="1:11" s="1025" customFormat="1" ht="15.75">
      <c r="A7" s="1039">
        <v>45875</v>
      </c>
      <c r="B7" s="1039">
        <v>46241</v>
      </c>
      <c r="C7" s="1248" t="s">
        <v>2931</v>
      </c>
      <c r="D7" s="1025" t="s">
        <v>25</v>
      </c>
      <c r="E7" s="1025" t="s">
        <v>10</v>
      </c>
      <c r="F7" s="1061">
        <v>2258.09</v>
      </c>
      <c r="G7" s="1062">
        <v>0.1</v>
      </c>
      <c r="H7" s="1055">
        <v>203.22</v>
      </c>
      <c r="I7" s="1242"/>
      <c r="K7" s="1115" t="s">
        <v>2015</v>
      </c>
    </row>
    <row r="8" spans="1:11" ht="15.75">
      <c r="A8" s="1043">
        <v>45876</v>
      </c>
      <c r="B8" s="1045">
        <v>46241</v>
      </c>
      <c r="C8" s="1249" t="s">
        <v>2934</v>
      </c>
      <c r="D8" s="1075" t="s">
        <v>9</v>
      </c>
      <c r="E8" s="1075" t="s">
        <v>1310</v>
      </c>
      <c r="F8" s="1102">
        <v>5749.43</v>
      </c>
      <c r="G8" s="1076">
        <v>0.1</v>
      </c>
      <c r="H8" s="1260">
        <v>517.44000000000005</v>
      </c>
      <c r="I8" s="1077"/>
      <c r="J8" s="1261"/>
      <c r="K8" s="1291" t="s">
        <v>2015</v>
      </c>
    </row>
    <row r="9" spans="1:11" ht="15.75">
      <c r="A9" s="1037">
        <v>45876</v>
      </c>
      <c r="B9" s="1038">
        <v>46241</v>
      </c>
      <c r="C9" s="1246" t="s">
        <v>2935</v>
      </c>
      <c r="D9" s="1026" t="s">
        <v>848</v>
      </c>
      <c r="E9" s="1026" t="s">
        <v>143</v>
      </c>
      <c r="F9" s="1059">
        <v>7072.86</v>
      </c>
      <c r="G9" s="1054">
        <v>0.15</v>
      </c>
      <c r="H9" s="1055">
        <v>954.83</v>
      </c>
      <c r="I9" s="1056"/>
      <c r="J9" s="1111"/>
      <c r="K9" s="1115" t="s">
        <v>2015</v>
      </c>
    </row>
    <row r="10" spans="1:11" ht="15" customHeight="1">
      <c r="A10" s="1037">
        <v>45875</v>
      </c>
      <c r="B10" s="1038">
        <v>46242</v>
      </c>
      <c r="C10" s="1246" t="s">
        <v>2932</v>
      </c>
      <c r="D10" s="1026" t="s">
        <v>9</v>
      </c>
      <c r="E10" s="1026" t="s">
        <v>279</v>
      </c>
      <c r="F10" s="1059">
        <v>1229.8499999999999</v>
      </c>
      <c r="G10" s="1054">
        <v>0.2</v>
      </c>
      <c r="H10" s="1055">
        <v>221.37</v>
      </c>
      <c r="I10" s="1056"/>
      <c r="J10" s="1111"/>
      <c r="K10" s="1115" t="s">
        <v>2015</v>
      </c>
    </row>
    <row r="11" spans="1:11">
      <c r="A11" s="1037">
        <v>45877</v>
      </c>
      <c r="B11" s="1038">
        <v>46242</v>
      </c>
      <c r="C11" s="1246" t="s">
        <v>2938</v>
      </c>
      <c r="D11" s="1026" t="s">
        <v>1862</v>
      </c>
      <c r="E11" s="1026" t="s">
        <v>29</v>
      </c>
      <c r="F11" s="1053">
        <f>3621.14+59.12</f>
        <v>3680.2599999999998</v>
      </c>
      <c r="G11" s="1054">
        <v>0.1</v>
      </c>
      <c r="H11" s="1023">
        <v>331.22</v>
      </c>
      <c r="I11" s="1056"/>
      <c r="J11" s="1111"/>
      <c r="K11" s="1025" t="s">
        <v>2015</v>
      </c>
    </row>
    <row r="12" spans="1:11" ht="15.75">
      <c r="A12" s="1040">
        <v>45873</v>
      </c>
      <c r="B12" s="1042">
        <v>46243</v>
      </c>
      <c r="C12" s="1283" t="s">
        <v>2929</v>
      </c>
      <c r="D12" s="1027" t="s">
        <v>9</v>
      </c>
      <c r="E12" s="1027" t="s">
        <v>10</v>
      </c>
      <c r="F12" s="1065">
        <v>1824.13</v>
      </c>
      <c r="G12" s="1066">
        <v>0.15</v>
      </c>
      <c r="H12" s="1067">
        <v>246.25</v>
      </c>
      <c r="I12" s="1068">
        <v>24.62</v>
      </c>
      <c r="J12" s="1112" t="s">
        <v>1470</v>
      </c>
      <c r="K12" s="1115" t="s">
        <v>2015</v>
      </c>
    </row>
    <row r="13" spans="1:11">
      <c r="A13" s="1040">
        <v>45877</v>
      </c>
      <c r="B13" s="1042">
        <v>46243</v>
      </c>
      <c r="C13" s="1283" t="s">
        <v>2937</v>
      </c>
      <c r="D13" s="1027" t="s">
        <v>1924</v>
      </c>
      <c r="E13" s="1027" t="s">
        <v>19</v>
      </c>
      <c r="F13" s="1065">
        <v>2060.73</v>
      </c>
      <c r="G13" s="1066">
        <v>0.2</v>
      </c>
      <c r="H13" s="1067">
        <v>370.93</v>
      </c>
      <c r="I13" s="1068">
        <v>25</v>
      </c>
      <c r="J13" s="1112" t="s">
        <v>2905</v>
      </c>
      <c r="K13" s="1025" t="s">
        <v>2015</v>
      </c>
    </row>
    <row r="14" spans="1:11" ht="15.75">
      <c r="A14" s="1037">
        <v>45877</v>
      </c>
      <c r="B14" s="1038">
        <v>46244</v>
      </c>
      <c r="C14" s="1246" t="s">
        <v>2301</v>
      </c>
      <c r="D14" s="1026" t="s">
        <v>9</v>
      </c>
      <c r="E14" s="1025" t="s">
        <v>1310</v>
      </c>
      <c r="F14" s="1061">
        <v>1838.57</v>
      </c>
      <c r="G14" s="1062">
        <v>0.2</v>
      </c>
      <c r="H14" s="1055">
        <v>330.94</v>
      </c>
      <c r="I14" s="1056"/>
      <c r="J14" s="1111"/>
      <c r="K14" s="1115" t="s">
        <v>2015</v>
      </c>
    </row>
    <row r="15" spans="1:11" ht="15.75">
      <c r="A15" s="1040">
        <v>45881</v>
      </c>
      <c r="B15" s="1042">
        <v>46246</v>
      </c>
      <c r="C15" s="1283" t="s">
        <v>2930</v>
      </c>
      <c r="D15" s="1030" t="s">
        <v>9</v>
      </c>
      <c r="E15" s="1027" t="s">
        <v>90</v>
      </c>
      <c r="F15" s="1065">
        <v>2118.9499999999998</v>
      </c>
      <c r="G15" s="1066">
        <v>0.15</v>
      </c>
      <c r="H15" s="1067">
        <v>286.05</v>
      </c>
      <c r="I15" s="1068">
        <v>28.73</v>
      </c>
      <c r="J15" s="1112" t="s">
        <v>1470</v>
      </c>
      <c r="K15" s="1115" t="s">
        <v>2015</v>
      </c>
    </row>
    <row r="16" spans="1:11" ht="15.75">
      <c r="A16" s="1037">
        <v>45877</v>
      </c>
      <c r="B16" s="1038">
        <v>46246</v>
      </c>
      <c r="C16" s="1248" t="s">
        <v>2956</v>
      </c>
      <c r="D16" s="1026" t="s">
        <v>848</v>
      </c>
      <c r="E16" s="1025" t="s">
        <v>10</v>
      </c>
      <c r="F16" s="1061">
        <v>3124.49</v>
      </c>
      <c r="G16" s="1062">
        <v>0.1</v>
      </c>
      <c r="H16" s="1055">
        <v>281.2</v>
      </c>
      <c r="I16" s="1056"/>
      <c r="J16" s="1111"/>
      <c r="K16" s="1115" t="s">
        <v>2015</v>
      </c>
    </row>
    <row r="17" spans="1:11" ht="15.75">
      <c r="A17" s="1040">
        <v>45882</v>
      </c>
      <c r="B17" s="1042">
        <v>46247</v>
      </c>
      <c r="C17" s="1283" t="s">
        <v>2943</v>
      </c>
      <c r="D17" s="1030" t="s">
        <v>70</v>
      </c>
      <c r="E17" s="1027" t="s">
        <v>279</v>
      </c>
      <c r="F17" s="1065">
        <v>620.30999999999995</v>
      </c>
      <c r="G17" s="1066">
        <v>0.15</v>
      </c>
      <c r="H17" s="1067">
        <v>83.74</v>
      </c>
      <c r="I17" s="1068">
        <v>8.3699999999999992</v>
      </c>
      <c r="J17" s="1112" t="s">
        <v>1470</v>
      </c>
      <c r="K17" s="1115" t="s">
        <v>2015</v>
      </c>
    </row>
    <row r="18" spans="1:11" ht="15.75">
      <c r="A18" s="1406">
        <v>45881</v>
      </c>
      <c r="B18" s="1406">
        <v>46247</v>
      </c>
      <c r="C18" s="1410" t="s">
        <v>2939</v>
      </c>
      <c r="D18" s="1224" t="s">
        <v>848</v>
      </c>
      <c r="E18" s="1224" t="s">
        <v>19</v>
      </c>
      <c r="F18" s="1639">
        <v>4331.42</v>
      </c>
      <c r="G18" s="1409">
        <v>0.1</v>
      </c>
      <c r="H18" s="1232">
        <v>389.82</v>
      </c>
      <c r="I18" s="1227"/>
      <c r="J18" s="1228" t="s">
        <v>1996</v>
      </c>
      <c r="K18" s="1115" t="s">
        <v>2015</v>
      </c>
    </row>
    <row r="19" spans="1:11">
      <c r="A19" s="1039">
        <v>45882</v>
      </c>
      <c r="B19" s="1039">
        <v>46247</v>
      </c>
      <c r="C19" s="1638" t="s">
        <v>2941</v>
      </c>
      <c r="D19" s="1039" t="s">
        <v>25</v>
      </c>
      <c r="E19" s="1039" t="s">
        <v>2942</v>
      </c>
      <c r="F19" s="1023">
        <v>2085.29</v>
      </c>
      <c r="G19" s="1062">
        <v>0.15</v>
      </c>
      <c r="H19" s="1023">
        <v>281.51</v>
      </c>
      <c r="I19" s="1089"/>
      <c r="J19" s="1325"/>
      <c r="K19" s="1039" t="s">
        <v>2015</v>
      </c>
    </row>
    <row r="20" spans="1:11" ht="15.75">
      <c r="A20" s="1037">
        <v>45881</v>
      </c>
      <c r="B20" s="1039">
        <v>46248</v>
      </c>
      <c r="C20" s="1248" t="s">
        <v>1848</v>
      </c>
      <c r="D20" s="1026" t="s">
        <v>9</v>
      </c>
      <c r="E20" s="1025" t="s">
        <v>19</v>
      </c>
      <c r="F20" s="1633">
        <v>1599</v>
      </c>
      <c r="G20" s="1062">
        <v>0.15</v>
      </c>
      <c r="H20" s="1055">
        <v>215.86</v>
      </c>
      <c r="I20" s="1056"/>
      <c r="J20" s="1111"/>
      <c r="K20" s="1115" t="s">
        <v>2015</v>
      </c>
    </row>
    <row r="21" spans="1:11" ht="15.75">
      <c r="A21" s="1037">
        <v>45877</v>
      </c>
      <c r="B21" s="1039">
        <v>46249</v>
      </c>
      <c r="C21" s="1248" t="s">
        <v>2936</v>
      </c>
      <c r="D21" s="1026" t="s">
        <v>9</v>
      </c>
      <c r="E21" s="1025" t="s">
        <v>29</v>
      </c>
      <c r="F21" s="1061">
        <v>2619.17</v>
      </c>
      <c r="G21" s="1062">
        <v>0.15</v>
      </c>
      <c r="H21" s="1055">
        <v>353.58</v>
      </c>
      <c r="I21" s="1056"/>
      <c r="J21" s="1111"/>
      <c r="K21" s="1115" t="s">
        <v>2015</v>
      </c>
    </row>
    <row r="22" spans="1:11" ht="15.75">
      <c r="A22" s="1037">
        <v>45884</v>
      </c>
      <c r="B22" s="1039">
        <v>46249</v>
      </c>
      <c r="C22" s="1248" t="s">
        <v>2290</v>
      </c>
      <c r="D22" s="1026" t="s">
        <v>2372</v>
      </c>
      <c r="E22" s="1025" t="s">
        <v>22</v>
      </c>
      <c r="F22" s="1061">
        <v>1321.62</v>
      </c>
      <c r="G22" s="1062">
        <v>0.15</v>
      </c>
      <c r="H22" s="1055">
        <v>178.41</v>
      </c>
      <c r="I22" s="1056"/>
      <c r="J22" s="1111"/>
      <c r="K22" s="1115" t="s">
        <v>2015</v>
      </c>
    </row>
    <row r="23" spans="1:11" ht="15.75">
      <c r="A23" s="1039">
        <v>45884</v>
      </c>
      <c r="B23" s="1039">
        <v>46249</v>
      </c>
      <c r="C23" s="1248" t="s">
        <v>2291</v>
      </c>
      <c r="D23" s="1025" t="s">
        <v>9</v>
      </c>
      <c r="E23" s="1025" t="s">
        <v>22</v>
      </c>
      <c r="F23" s="1061">
        <v>1510.89</v>
      </c>
      <c r="G23" s="1062">
        <v>0.1</v>
      </c>
      <c r="H23" s="1055">
        <v>135.97999999999999</v>
      </c>
      <c r="I23" s="1242"/>
      <c r="J23" s="1025"/>
      <c r="K23" s="1115" t="s">
        <v>2015</v>
      </c>
    </row>
    <row r="24" spans="1:11" ht="15.75">
      <c r="A24" s="1037">
        <v>45884</v>
      </c>
      <c r="B24" s="1039">
        <v>46250</v>
      </c>
      <c r="C24" s="1252" t="s">
        <v>2945</v>
      </c>
      <c r="D24" s="1026" t="s">
        <v>848</v>
      </c>
      <c r="E24" s="1026" t="s">
        <v>1593</v>
      </c>
      <c r="F24" s="1071">
        <v>2116.65</v>
      </c>
      <c r="G24" s="1062">
        <v>0.1</v>
      </c>
      <c r="H24" s="1055">
        <v>190.49</v>
      </c>
      <c r="I24" s="1056"/>
      <c r="J24" s="1111"/>
      <c r="K24" s="1115" t="s">
        <v>2015</v>
      </c>
    </row>
    <row r="25" spans="1:11" ht="15.75">
      <c r="A25" s="1037">
        <v>45884</v>
      </c>
      <c r="B25" s="1038">
        <v>46251</v>
      </c>
      <c r="C25" s="1248" t="s">
        <v>2946</v>
      </c>
      <c r="D25" s="1026" t="s">
        <v>848</v>
      </c>
      <c r="E25" s="1026" t="s">
        <v>143</v>
      </c>
      <c r="F25" s="291">
        <v>1844.14</v>
      </c>
      <c r="G25" s="1054">
        <v>0.1</v>
      </c>
      <c r="H25" s="1055">
        <v>165.97</v>
      </c>
      <c r="I25" s="1056"/>
      <c r="J25" s="1111"/>
      <c r="K25" s="1115" t="s">
        <v>2015</v>
      </c>
    </row>
    <row r="26" spans="1:11" ht="15.75">
      <c r="A26" s="1037">
        <v>45886</v>
      </c>
      <c r="B26" s="1038">
        <v>46251</v>
      </c>
      <c r="C26" s="1248" t="s">
        <v>2947</v>
      </c>
      <c r="D26" s="1026" t="s">
        <v>70</v>
      </c>
      <c r="E26" s="1026" t="s">
        <v>19</v>
      </c>
      <c r="F26" s="1059">
        <v>1843.61</v>
      </c>
      <c r="G26" s="1054">
        <v>0.15</v>
      </c>
      <c r="H26" s="1055">
        <v>248.88</v>
      </c>
      <c r="I26" s="1056"/>
      <c r="J26" s="1111"/>
      <c r="K26" s="1115" t="s">
        <v>2015</v>
      </c>
    </row>
    <row r="27" spans="1:11" ht="15.75">
      <c r="A27" s="1040">
        <v>45887</v>
      </c>
      <c r="B27" s="1042">
        <v>46252</v>
      </c>
      <c r="C27" s="1283" t="s">
        <v>2948</v>
      </c>
      <c r="D27" s="1030" t="s">
        <v>112</v>
      </c>
      <c r="E27" s="1030" t="s">
        <v>19</v>
      </c>
      <c r="F27" s="1072">
        <v>2506.2800000000002</v>
      </c>
      <c r="G27" s="1073">
        <v>0.1</v>
      </c>
      <c r="H27" s="1067">
        <v>225.56</v>
      </c>
      <c r="I27" s="1068">
        <v>22.55</v>
      </c>
      <c r="J27" s="1112" t="s">
        <v>1470</v>
      </c>
      <c r="K27" s="1115" t="s">
        <v>2274</v>
      </c>
    </row>
    <row r="28" spans="1:11" ht="15.75">
      <c r="A28" s="1406">
        <v>45881</v>
      </c>
      <c r="B28" s="1406">
        <v>46252</v>
      </c>
      <c r="C28" s="1410" t="s">
        <v>2092</v>
      </c>
      <c r="D28" s="1224" t="s">
        <v>1862</v>
      </c>
      <c r="E28" s="1224" t="s">
        <v>29</v>
      </c>
      <c r="F28" s="1232">
        <v>1601.1</v>
      </c>
      <c r="G28" s="1409">
        <v>0.2</v>
      </c>
      <c r="H28" s="1226">
        <v>288.19</v>
      </c>
      <c r="I28" s="1439"/>
      <c r="J28" s="1224" t="s">
        <v>1996</v>
      </c>
      <c r="K28" s="1115" t="s">
        <v>2015</v>
      </c>
    </row>
    <row r="29" spans="1:11" ht="15.75">
      <c r="A29" s="1037">
        <v>45881</v>
      </c>
      <c r="B29" s="1038">
        <v>46252</v>
      </c>
      <c r="C29" s="1248" t="s">
        <v>2940</v>
      </c>
      <c r="D29" s="1026" t="s">
        <v>9</v>
      </c>
      <c r="E29" s="1026" t="s">
        <v>29</v>
      </c>
      <c r="F29" s="1135">
        <v>1551.56</v>
      </c>
      <c r="G29" s="1054">
        <v>0.15</v>
      </c>
      <c r="H29" s="1055">
        <v>209.46</v>
      </c>
      <c r="I29" s="1056"/>
      <c r="J29" s="1111"/>
      <c r="K29" s="1115" t="s">
        <v>2015</v>
      </c>
    </row>
    <row r="30" spans="1:11" ht="15.75">
      <c r="A30" s="1037">
        <v>45887</v>
      </c>
      <c r="B30" s="1038">
        <v>46252</v>
      </c>
      <c r="C30" s="1246" t="s">
        <v>1353</v>
      </c>
      <c r="D30" s="1026" t="s">
        <v>1862</v>
      </c>
      <c r="E30" s="1026" t="s">
        <v>1310</v>
      </c>
      <c r="F30" s="1059">
        <v>3555.49</v>
      </c>
      <c r="G30" s="1054">
        <v>0.1</v>
      </c>
      <c r="H30" s="1055">
        <v>319.99</v>
      </c>
      <c r="I30" s="1056"/>
      <c r="J30" s="1111"/>
      <c r="K30" s="1115" t="s">
        <v>2015</v>
      </c>
    </row>
    <row r="31" spans="1:11" ht="15.75">
      <c r="A31" s="1037">
        <v>45888</v>
      </c>
      <c r="B31" s="1038">
        <v>46253</v>
      </c>
      <c r="C31" s="1246" t="s">
        <v>2128</v>
      </c>
      <c r="D31" s="1026" t="s">
        <v>848</v>
      </c>
      <c r="E31" s="1026" t="s">
        <v>29</v>
      </c>
      <c r="F31" s="1053">
        <v>2545.19</v>
      </c>
      <c r="G31" s="1054">
        <v>0.1</v>
      </c>
      <c r="H31" s="1055">
        <v>229.06</v>
      </c>
      <c r="I31" s="1056"/>
      <c r="J31" s="1111"/>
      <c r="K31" s="1115" t="s">
        <v>2274</v>
      </c>
    </row>
    <row r="32" spans="1:11" ht="15.75">
      <c r="A32" s="1037">
        <v>45888</v>
      </c>
      <c r="B32" s="1038">
        <v>46253</v>
      </c>
      <c r="C32" s="1248" t="s">
        <v>2949</v>
      </c>
      <c r="D32" s="1026" t="s">
        <v>848</v>
      </c>
      <c r="E32" s="1026" t="s">
        <v>143</v>
      </c>
      <c r="F32" s="1059">
        <v>3137.6</v>
      </c>
      <c r="G32" s="1054">
        <v>0.1</v>
      </c>
      <c r="H32" s="1055">
        <v>282.38</v>
      </c>
      <c r="I32" s="1056"/>
      <c r="J32" s="1111"/>
      <c r="K32" s="1115" t="s">
        <v>2015</v>
      </c>
    </row>
    <row r="33" spans="1:11" ht="15.75">
      <c r="A33" s="1040">
        <v>45882</v>
      </c>
      <c r="B33" s="1042">
        <v>46255</v>
      </c>
      <c r="C33" s="1258" t="s">
        <v>2944</v>
      </c>
      <c r="D33" s="1030" t="s">
        <v>9</v>
      </c>
      <c r="E33" s="1027" t="s">
        <v>10</v>
      </c>
      <c r="F33" s="1090">
        <v>2084</v>
      </c>
      <c r="G33" s="1066">
        <v>0.2</v>
      </c>
      <c r="H33" s="1067">
        <v>375.12</v>
      </c>
      <c r="I33" s="1068">
        <v>37.51</v>
      </c>
      <c r="J33" s="1112" t="s">
        <v>1470</v>
      </c>
      <c r="K33" s="1115" t="s">
        <v>2015</v>
      </c>
    </row>
    <row r="34" spans="1:11" ht="15.75">
      <c r="A34" s="1040">
        <v>45891</v>
      </c>
      <c r="B34" s="1042">
        <v>46256</v>
      </c>
      <c r="C34" s="1258" t="s">
        <v>2955</v>
      </c>
      <c r="D34" s="1030" t="s">
        <v>9</v>
      </c>
      <c r="E34" s="1030" t="s">
        <v>10</v>
      </c>
      <c r="F34" s="1072">
        <v>1238.92</v>
      </c>
      <c r="G34" s="1073">
        <v>0.25</v>
      </c>
      <c r="H34" s="1067">
        <v>278.75</v>
      </c>
      <c r="I34" s="1068">
        <v>27.87</v>
      </c>
      <c r="J34" s="1112" t="s">
        <v>1470</v>
      </c>
      <c r="K34" s="1115" t="s">
        <v>2015</v>
      </c>
    </row>
    <row r="35" spans="1:11" ht="15.75">
      <c r="A35" s="1037">
        <v>45884</v>
      </c>
      <c r="B35" s="1039">
        <v>46257</v>
      </c>
      <c r="C35" s="1248" t="s">
        <v>2309</v>
      </c>
      <c r="D35" s="1026" t="s">
        <v>1924</v>
      </c>
      <c r="E35" s="1025" t="s">
        <v>22</v>
      </c>
      <c r="F35" s="1061">
        <v>1228.94</v>
      </c>
      <c r="G35" s="1062">
        <v>0.15</v>
      </c>
      <c r="H35" s="1055">
        <v>165.9</v>
      </c>
      <c r="I35" s="1056"/>
      <c r="J35" s="1111"/>
      <c r="K35" s="1115" t="s">
        <v>2015</v>
      </c>
    </row>
    <row r="36" spans="1:11" ht="15.75">
      <c r="A36" s="1040">
        <v>45888</v>
      </c>
      <c r="B36" s="1042">
        <v>46260</v>
      </c>
      <c r="C36" s="1258" t="s">
        <v>2950</v>
      </c>
      <c r="D36" s="1030" t="s">
        <v>1924</v>
      </c>
      <c r="E36" s="1030" t="s">
        <v>22</v>
      </c>
      <c r="F36" s="1508">
        <v>1671.86</v>
      </c>
      <c r="G36" s="1073">
        <v>0.1</v>
      </c>
      <c r="H36" s="1067">
        <v>150.46</v>
      </c>
      <c r="I36" s="1068">
        <f>15.04+97</f>
        <v>112.03999999999999</v>
      </c>
      <c r="J36" s="1112" t="s">
        <v>1470</v>
      </c>
      <c r="K36" s="1115" t="s">
        <v>2951</v>
      </c>
    </row>
    <row r="37" spans="1:11" ht="15.75">
      <c r="A37" s="1037">
        <v>45894</v>
      </c>
      <c r="B37" s="1038">
        <v>46260</v>
      </c>
      <c r="C37" s="1246" t="s">
        <v>2958</v>
      </c>
      <c r="D37" s="1026" t="s">
        <v>25</v>
      </c>
      <c r="E37" s="1026" t="s">
        <v>10</v>
      </c>
      <c r="F37" s="1059">
        <v>703.57</v>
      </c>
      <c r="G37" s="1054">
        <v>0.1</v>
      </c>
      <c r="H37" s="1055">
        <v>63.32</v>
      </c>
      <c r="I37" s="1056"/>
      <c r="J37" s="1111"/>
      <c r="K37" s="1115" t="s">
        <v>2015</v>
      </c>
    </row>
    <row r="38" spans="1:11" ht="15.75">
      <c r="A38" s="1040">
        <v>45889</v>
      </c>
      <c r="B38" s="1042">
        <v>46261</v>
      </c>
      <c r="C38" s="1258" t="s">
        <v>2953</v>
      </c>
      <c r="D38" s="1030" t="s">
        <v>9</v>
      </c>
      <c r="E38" s="1030" t="s">
        <v>22</v>
      </c>
      <c r="F38" s="1072">
        <v>1191.19</v>
      </c>
      <c r="G38" s="1073">
        <v>0.25</v>
      </c>
      <c r="H38" s="1067">
        <v>268.01</v>
      </c>
      <c r="I38" s="1068">
        <v>26.8</v>
      </c>
      <c r="J38" s="1112" t="s">
        <v>1470</v>
      </c>
      <c r="K38" s="1115" t="s">
        <v>2015</v>
      </c>
    </row>
    <row r="39" spans="1:11" ht="15.75">
      <c r="A39" s="1037">
        <v>45896</v>
      </c>
      <c r="B39" s="1038">
        <v>46261</v>
      </c>
      <c r="C39" s="1246" t="s">
        <v>2961</v>
      </c>
      <c r="D39" s="1026" t="s">
        <v>848</v>
      </c>
      <c r="E39" s="1026" t="s">
        <v>29</v>
      </c>
      <c r="F39" s="1059">
        <v>2574.14</v>
      </c>
      <c r="G39" s="1054">
        <v>0.1</v>
      </c>
      <c r="H39" s="1088">
        <v>231.67</v>
      </c>
      <c r="I39" s="1089"/>
      <c r="J39" s="1111"/>
      <c r="K39" s="1115" t="s">
        <v>2015</v>
      </c>
    </row>
    <row r="40" spans="1:11" ht="15.75">
      <c r="A40" s="1037">
        <v>45889</v>
      </c>
      <c r="B40" s="1038">
        <v>46262</v>
      </c>
      <c r="C40" s="1248" t="s">
        <v>2952</v>
      </c>
      <c r="D40" s="1026" t="s">
        <v>848</v>
      </c>
      <c r="E40" s="1026" t="s">
        <v>279</v>
      </c>
      <c r="F40" s="1059">
        <v>3436.25</v>
      </c>
      <c r="G40" s="1054">
        <v>0.1</v>
      </c>
      <c r="H40" s="1055">
        <v>309.26</v>
      </c>
      <c r="I40" s="1056"/>
      <c r="J40" s="1111"/>
      <c r="K40" s="1115" t="s">
        <v>2015</v>
      </c>
    </row>
    <row r="41" spans="1:11" ht="15.75">
      <c r="A41" s="1037">
        <v>45897</v>
      </c>
      <c r="B41" s="1038">
        <v>46262</v>
      </c>
      <c r="C41" s="1248" t="s">
        <v>2967</v>
      </c>
      <c r="D41" s="1026" t="s">
        <v>848</v>
      </c>
      <c r="E41" s="1026" t="s">
        <v>19</v>
      </c>
      <c r="F41" s="1059">
        <v>2159.0700000000002</v>
      </c>
      <c r="G41" s="1054">
        <v>0.1</v>
      </c>
      <c r="H41" s="1055">
        <v>194.31</v>
      </c>
      <c r="I41" s="1056"/>
      <c r="J41" s="1111"/>
      <c r="K41" s="1115" t="s">
        <v>2015</v>
      </c>
    </row>
    <row r="42" spans="1:11" ht="15.75">
      <c r="A42" s="1223">
        <v>45898</v>
      </c>
      <c r="B42" s="1472">
        <v>46263</v>
      </c>
      <c r="C42" s="1225" t="s">
        <v>2970</v>
      </c>
      <c r="D42" s="1225" t="s">
        <v>9</v>
      </c>
      <c r="E42" s="1225" t="s">
        <v>90</v>
      </c>
      <c r="F42" s="1477">
        <v>1659.85</v>
      </c>
      <c r="G42" s="1480">
        <v>0.2</v>
      </c>
      <c r="H42" s="1226">
        <v>298.77</v>
      </c>
      <c r="I42" s="1227">
        <v>149.38</v>
      </c>
      <c r="J42" s="1228" t="s">
        <v>1996</v>
      </c>
      <c r="K42" s="1115" t="s">
        <v>2015</v>
      </c>
    </row>
    <row r="43" spans="1:11" ht="15.75">
      <c r="A43" s="1037">
        <v>45898</v>
      </c>
      <c r="B43" s="1038">
        <v>46263</v>
      </c>
      <c r="C43" s="1246" t="s">
        <v>2993</v>
      </c>
      <c r="D43" s="1026" t="s">
        <v>9</v>
      </c>
      <c r="E43" s="1026" t="s">
        <v>1310</v>
      </c>
      <c r="F43" s="1059">
        <v>1672.55</v>
      </c>
      <c r="G43" s="1054">
        <v>0.13</v>
      </c>
      <c r="H43" s="1055">
        <v>195.68</v>
      </c>
      <c r="I43" s="1056"/>
      <c r="J43" s="1111"/>
      <c r="K43" s="1115" t="s">
        <v>2015</v>
      </c>
    </row>
    <row r="44" spans="1:11" ht="15.75">
      <c r="A44" s="1040">
        <v>45898</v>
      </c>
      <c r="B44" s="1042">
        <v>46263</v>
      </c>
      <c r="C44" s="1258" t="s">
        <v>2969</v>
      </c>
      <c r="D44" s="1030" t="s">
        <v>848</v>
      </c>
      <c r="E44" s="1030" t="s">
        <v>279</v>
      </c>
      <c r="F44" s="1072">
        <v>2843.69</v>
      </c>
      <c r="G44" s="1073">
        <v>0.1</v>
      </c>
      <c r="H44" s="1067">
        <v>255.93</v>
      </c>
      <c r="I44" s="1068"/>
      <c r="J44" s="1112"/>
      <c r="K44" s="1117" t="s">
        <v>2010</v>
      </c>
    </row>
    <row r="45" spans="1:11" ht="15.75">
      <c r="A45" s="1037">
        <v>45898</v>
      </c>
      <c r="B45" s="1038">
        <v>46263</v>
      </c>
      <c r="C45" s="1246" t="s">
        <v>1026</v>
      </c>
      <c r="D45" s="1026" t="s">
        <v>14</v>
      </c>
      <c r="E45" s="1026" t="s">
        <v>1310</v>
      </c>
      <c r="F45" s="1059">
        <v>2331.92</v>
      </c>
      <c r="G45" s="1054">
        <v>0.1</v>
      </c>
      <c r="H45" s="1055">
        <v>209.87</v>
      </c>
      <c r="I45" s="1056"/>
      <c r="J45" s="1111"/>
      <c r="K45" s="1115" t="s">
        <v>2015</v>
      </c>
    </row>
    <row r="46" spans="1:11" ht="15.75">
      <c r="A46" s="1040">
        <v>45894</v>
      </c>
      <c r="B46" s="1042">
        <v>46264</v>
      </c>
      <c r="C46" s="1258" t="s">
        <v>2959</v>
      </c>
      <c r="D46" s="1030" t="s">
        <v>25</v>
      </c>
      <c r="E46" s="1030" t="s">
        <v>29</v>
      </c>
      <c r="F46" s="1072">
        <v>1791.34</v>
      </c>
      <c r="G46" s="1073">
        <v>0.15</v>
      </c>
      <c r="H46" s="1067">
        <v>241.83</v>
      </c>
      <c r="I46" s="1068">
        <v>24.18</v>
      </c>
      <c r="J46" s="1112" t="s">
        <v>1470</v>
      </c>
      <c r="K46" s="1115" t="s">
        <v>2015</v>
      </c>
    </row>
    <row r="47" spans="1:11" ht="15.75">
      <c r="A47" s="1037">
        <v>45895</v>
      </c>
      <c r="B47" s="1038">
        <v>46265</v>
      </c>
      <c r="C47" s="1246" t="s">
        <v>2960</v>
      </c>
      <c r="D47" s="1026" t="s">
        <v>848</v>
      </c>
      <c r="E47" s="1026" t="s">
        <v>1641</v>
      </c>
      <c r="F47" s="1059">
        <v>1757.03</v>
      </c>
      <c r="G47" s="1054">
        <v>0.1</v>
      </c>
      <c r="H47" s="1055">
        <v>158.13</v>
      </c>
      <c r="I47" s="1056"/>
      <c r="J47" s="1111"/>
      <c r="K47" s="1115" t="s">
        <v>2015</v>
      </c>
    </row>
    <row r="48" spans="1:11" ht="15.75">
      <c r="A48" s="1037">
        <v>45897</v>
      </c>
      <c r="B48" s="1038" t="s">
        <v>2966</v>
      </c>
      <c r="C48" s="1246" t="s">
        <v>2321</v>
      </c>
      <c r="D48" s="1026" t="s">
        <v>848</v>
      </c>
      <c r="E48" s="1026" t="s">
        <v>10</v>
      </c>
      <c r="F48" s="1484">
        <v>2016.13</v>
      </c>
      <c r="G48" s="1054">
        <v>0.15</v>
      </c>
      <c r="H48" s="1055">
        <v>272.17</v>
      </c>
      <c r="I48" s="1056"/>
      <c r="J48" s="1111"/>
      <c r="K48" s="1115" t="s">
        <v>2015</v>
      </c>
    </row>
    <row r="49" spans="1:11" s="1031" customFormat="1" ht="15.75">
      <c r="A49" s="1040">
        <v>45898</v>
      </c>
      <c r="B49" s="1042" t="s">
        <v>1805</v>
      </c>
      <c r="C49" s="1030" t="s">
        <v>2971</v>
      </c>
      <c r="D49" s="1030" t="s">
        <v>2620</v>
      </c>
      <c r="E49" s="1030" t="s">
        <v>10</v>
      </c>
      <c r="F49" s="1072">
        <v>640.80999999999995</v>
      </c>
      <c r="G49" s="1073">
        <v>0.15</v>
      </c>
      <c r="H49" s="1067">
        <v>86.5</v>
      </c>
      <c r="I49" s="1068">
        <v>8.65</v>
      </c>
      <c r="J49" s="1112" t="s">
        <v>1470</v>
      </c>
      <c r="K49" s="1115" t="s">
        <v>2015</v>
      </c>
    </row>
    <row r="50" spans="1:11" ht="15.75">
      <c r="A50" s="1037">
        <v>45889</v>
      </c>
      <c r="B50" s="1038" t="s">
        <v>1805</v>
      </c>
      <c r="C50" s="1246" t="s">
        <v>2954</v>
      </c>
      <c r="D50" s="1026" t="s">
        <v>70</v>
      </c>
      <c r="E50" s="1026" t="s">
        <v>19</v>
      </c>
      <c r="F50" s="1053">
        <v>126.9</v>
      </c>
      <c r="G50" s="1054">
        <v>0.1</v>
      </c>
      <c r="H50" s="1055">
        <v>11.42</v>
      </c>
      <c r="I50" s="1056"/>
      <c r="J50" s="1111"/>
      <c r="K50" s="1115" t="s">
        <v>1805</v>
      </c>
    </row>
    <row r="51" spans="1:11" ht="15.75">
      <c r="A51" s="1037">
        <v>45894</v>
      </c>
      <c r="B51" s="1038" t="s">
        <v>1805</v>
      </c>
      <c r="C51" s="1026" t="s">
        <v>2957</v>
      </c>
      <c r="D51" s="1026" t="s">
        <v>25</v>
      </c>
      <c r="E51" s="1026" t="s">
        <v>90</v>
      </c>
      <c r="F51" s="1059">
        <v>-278.06</v>
      </c>
      <c r="G51" s="1054">
        <v>0.1</v>
      </c>
      <c r="H51" s="1055">
        <v>-27.8</v>
      </c>
      <c r="I51" s="1056"/>
      <c r="J51" s="1111"/>
      <c r="K51" s="1115" t="s">
        <v>1805</v>
      </c>
    </row>
    <row r="52" spans="1:11" ht="15.75">
      <c r="A52" s="1037"/>
      <c r="B52" s="1038"/>
      <c r="C52" s="1026"/>
      <c r="D52" s="1026"/>
      <c r="E52" s="1026"/>
      <c r="F52" s="1059"/>
      <c r="G52" s="1054"/>
      <c r="H52" s="1055"/>
      <c r="I52" s="1056"/>
      <c r="J52" s="1111"/>
      <c r="K52" s="1115"/>
    </row>
    <row r="53" spans="1:11" ht="15.75">
      <c r="A53" s="1037"/>
      <c r="B53" s="1038"/>
      <c r="C53" s="1026"/>
      <c r="D53" s="1026"/>
      <c r="E53" s="1026"/>
      <c r="F53" s="1059"/>
      <c r="G53" s="1054"/>
      <c r="H53" s="1055"/>
      <c r="I53" s="1056"/>
      <c r="J53" s="1111"/>
      <c r="K53" s="1115"/>
    </row>
    <row r="54" spans="1:11" ht="15.75">
      <c r="A54" s="1037"/>
      <c r="B54" s="1038"/>
      <c r="C54" s="1026"/>
      <c r="D54" s="1026"/>
      <c r="E54" s="1026"/>
      <c r="F54" s="1059"/>
      <c r="G54" s="1054"/>
      <c r="H54" s="1055"/>
      <c r="I54" s="1056"/>
      <c r="J54" s="1111"/>
      <c r="K54" s="1115"/>
    </row>
    <row r="55" spans="1:11" ht="15.75">
      <c r="A55" s="1037"/>
      <c r="B55" s="1038"/>
      <c r="C55" s="1026"/>
      <c r="D55" s="1026"/>
      <c r="E55" s="1026"/>
      <c r="F55" s="1059"/>
      <c r="G55" s="1054"/>
      <c r="H55" s="1055"/>
      <c r="I55" s="1056"/>
      <c r="J55" s="1111"/>
      <c r="K55" s="1115"/>
    </row>
    <row r="56" spans="1:11" ht="15.75">
      <c r="A56" s="1037"/>
      <c r="B56" s="1038"/>
      <c r="C56" s="1026"/>
      <c r="D56" s="1026"/>
      <c r="E56" s="1026"/>
      <c r="F56" s="1059"/>
      <c r="G56" s="1054"/>
      <c r="H56" s="1055"/>
      <c r="I56" s="1056"/>
      <c r="J56" s="1111"/>
      <c r="K56" s="1115"/>
    </row>
    <row r="57" spans="1:11" ht="15.75">
      <c r="A57" s="1037"/>
      <c r="B57" s="1038"/>
      <c r="C57" s="1026"/>
      <c r="D57" s="1026"/>
      <c r="E57" s="1026"/>
      <c r="F57" s="1059"/>
      <c r="G57" s="1054"/>
      <c r="H57" s="1055"/>
      <c r="I57" s="1056"/>
      <c r="J57" s="1111"/>
      <c r="K57" s="1115"/>
    </row>
    <row r="58" spans="1:11" ht="15.75">
      <c r="A58" s="1037"/>
      <c r="B58" s="1038"/>
      <c r="C58" s="1026"/>
      <c r="D58" s="1026"/>
      <c r="E58" s="1026"/>
      <c r="F58" s="1059"/>
      <c r="G58" s="1054"/>
      <c r="H58" s="1055"/>
      <c r="I58" s="1056"/>
      <c r="J58" s="1111"/>
      <c r="K58" s="1115"/>
    </row>
    <row r="59" spans="1:11" ht="16.5" thickBot="1">
      <c r="A59" s="1037"/>
      <c r="B59" s="1038"/>
      <c r="C59" s="1026"/>
      <c r="D59" s="1026"/>
      <c r="E59" s="1026"/>
      <c r="F59" s="1059"/>
      <c r="G59" s="1054"/>
      <c r="H59" s="1055"/>
      <c r="I59" s="1056"/>
      <c r="J59" s="1111"/>
      <c r="K59" s="1115"/>
    </row>
    <row r="60" spans="1:11" ht="20.25" thickBot="1">
      <c r="A60" s="1552"/>
      <c r="B60" s="1553"/>
      <c r="C60" s="1553"/>
      <c r="D60" s="1553"/>
      <c r="E60" s="1553"/>
      <c r="F60" s="1554">
        <f>SUM(F2:F5,F6:F59)</f>
        <v>106773.23000000003</v>
      </c>
      <c r="G60" s="1555"/>
      <c r="H60" s="1556">
        <f>SUM(H2:H59)</f>
        <v>12509.81</v>
      </c>
      <c r="I60" s="1557">
        <f>SUM(I2:I59)</f>
        <v>547.91999999999985</v>
      </c>
      <c r="J60" s="1111"/>
      <c r="K60" s="1115"/>
    </row>
    <row r="61" spans="1:11" ht="15.75" customHeight="1">
      <c r="A61" s="1037"/>
      <c r="B61" s="1038"/>
      <c r="C61" s="1026"/>
      <c r="D61" s="1026"/>
      <c r="E61" s="1026"/>
      <c r="F61" s="1059"/>
      <c r="G61" s="1054"/>
      <c r="H61" s="1269"/>
      <c r="I61" s="1056"/>
      <c r="J61" s="1111"/>
      <c r="K61" s="1115"/>
    </row>
    <row r="62" spans="1:11" ht="15.75" customHeight="1">
      <c r="A62" s="1037"/>
      <c r="B62" s="1037"/>
      <c r="C62" s="1026"/>
      <c r="D62" s="1026"/>
      <c r="E62" s="1026"/>
      <c r="F62" s="1059"/>
      <c r="G62" s="1054"/>
      <c r="H62" s="1269"/>
      <c r="I62" s="1056"/>
      <c r="J62" s="1111"/>
      <c r="K62" s="1115"/>
    </row>
    <row r="63" spans="1:11" ht="15.75" customHeight="1">
      <c r="A63" s="1037"/>
      <c r="B63" s="1038"/>
      <c r="C63" s="1026"/>
      <c r="D63" s="1026"/>
      <c r="E63" s="1026"/>
      <c r="F63" s="1059"/>
      <c r="G63" s="1054"/>
      <c r="H63" s="1269"/>
      <c r="I63" s="1056"/>
      <c r="J63" s="1111"/>
      <c r="K63" s="1115"/>
    </row>
    <row r="64" spans="1:11" ht="15.75" customHeight="1">
      <c r="A64" s="1037"/>
      <c r="B64" s="1038"/>
      <c r="C64" s="1026"/>
      <c r="D64" s="1026"/>
      <c r="E64" s="1026"/>
      <c r="F64" s="1059"/>
      <c r="G64" s="1054"/>
      <c r="H64" s="1269"/>
      <c r="I64" s="1056"/>
      <c r="J64" s="1111"/>
      <c r="K64" s="1115"/>
    </row>
    <row r="65" spans="1:11" ht="15.75" customHeight="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115"/>
    </row>
    <row r="66" spans="1:11" ht="15.75" customHeight="1">
      <c r="A66" s="1037"/>
      <c r="B66" s="1038"/>
      <c r="C66" s="1026"/>
      <c r="D66" s="1026"/>
      <c r="E66" s="1026"/>
      <c r="F66" s="1059"/>
      <c r="G66" s="1054"/>
      <c r="H66" s="1269"/>
      <c r="I66" s="1056"/>
      <c r="J66" s="1111"/>
      <c r="K66" s="1115"/>
    </row>
    <row r="67" spans="1:11" ht="15.75" customHeight="1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1115"/>
    </row>
    <row r="68" spans="1:11" ht="15.75" customHeight="1">
      <c r="A68" s="1037"/>
      <c r="B68" s="1038"/>
      <c r="C68" s="1026"/>
      <c r="D68" s="1026"/>
      <c r="E68" s="1026"/>
      <c r="F68" s="1059"/>
      <c r="G68" s="1054"/>
      <c r="H68" s="1269"/>
      <c r="I68" s="1056"/>
      <c r="J68" s="1111"/>
      <c r="K68" s="1115"/>
    </row>
    <row r="69" spans="1:11" ht="15.75" customHeight="1">
      <c r="A69" s="1037"/>
      <c r="B69" s="1038"/>
      <c r="C69" s="1026"/>
      <c r="D69" s="1026"/>
      <c r="E69" s="1026"/>
      <c r="F69" s="1059"/>
      <c r="G69" s="1054"/>
      <c r="H69" s="1269"/>
      <c r="I69" s="1056"/>
      <c r="J69" s="1111"/>
      <c r="K69" s="1115"/>
    </row>
    <row r="70" spans="1:11" ht="15.75" customHeight="1">
      <c r="A70" s="1037"/>
      <c r="B70" s="1038"/>
      <c r="C70" s="1026"/>
      <c r="D70" s="1026"/>
      <c r="E70" s="1026"/>
      <c r="F70" s="1059"/>
      <c r="G70" s="1054"/>
      <c r="H70" s="1269"/>
      <c r="I70" s="1056"/>
      <c r="J70" s="1111"/>
      <c r="K70" s="1025"/>
    </row>
    <row r="71" spans="1:11" ht="15.75" customHeight="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115"/>
    </row>
    <row r="72" spans="1:11" ht="15.75" customHeight="1">
      <c r="A72" s="1037"/>
      <c r="B72" s="1038"/>
      <c r="C72" s="1026"/>
      <c r="D72" s="1026"/>
      <c r="E72" s="1026"/>
      <c r="F72" s="1059"/>
      <c r="G72" s="1059"/>
      <c r="H72" s="1269"/>
      <c r="I72" s="1056"/>
      <c r="J72" s="1111"/>
      <c r="K72" s="1115"/>
    </row>
    <row r="73" spans="1:11" ht="15.75" customHeight="1">
      <c r="A73" s="1037"/>
      <c r="B73" s="1038"/>
      <c r="C73" s="1026"/>
      <c r="D73" s="1026"/>
      <c r="E73" s="1026"/>
      <c r="F73" s="1059"/>
      <c r="G73" s="1059"/>
      <c r="H73" s="1269"/>
      <c r="I73" s="1056"/>
      <c r="J73" s="1111"/>
      <c r="K73" s="1025"/>
    </row>
    <row r="74" spans="1:11" ht="15.75" customHeight="1">
      <c r="A74" s="1037"/>
      <c r="B74" s="1038"/>
      <c r="C74" s="1026"/>
      <c r="D74" s="1026"/>
      <c r="E74" s="1026"/>
      <c r="F74" s="1059"/>
      <c r="G74" s="1059"/>
      <c r="H74" s="1269"/>
      <c r="I74" s="1056"/>
      <c r="J74" s="1111"/>
      <c r="K74" s="1025"/>
    </row>
    <row r="75" spans="1:11" ht="15.75" customHeight="1">
      <c r="A75" s="1037"/>
      <c r="B75" s="1038"/>
      <c r="C75" s="1026"/>
      <c r="D75" s="1026"/>
      <c r="E75" s="1026"/>
      <c r="F75" s="1059"/>
      <c r="G75" s="1054"/>
      <c r="H75" s="1269"/>
      <c r="I75" s="1056"/>
      <c r="J75" s="1111"/>
      <c r="K75" s="1115"/>
    </row>
    <row r="76" spans="1:11" ht="15.75" customHeight="1">
      <c r="A76" s="1037"/>
      <c r="B76" s="1038"/>
      <c r="C76" s="1026"/>
      <c r="D76" s="1026"/>
      <c r="E76" s="1026"/>
      <c r="F76" s="1059"/>
      <c r="G76" s="1054"/>
      <c r="H76" s="1269"/>
      <c r="I76" s="1056"/>
      <c r="J76" s="1111"/>
      <c r="K76" s="1115"/>
    </row>
    <row r="77" spans="1:11" ht="15.75" customHeight="1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1115"/>
    </row>
    <row r="78" spans="1:11" ht="15.75">
      <c r="A78" s="1037"/>
      <c r="B78" s="1038"/>
      <c r="C78" s="1026"/>
      <c r="D78" s="1026"/>
      <c r="E78" s="1026"/>
      <c r="F78" s="1059"/>
      <c r="G78" s="1054"/>
      <c r="H78" s="1269"/>
      <c r="I78" s="1056"/>
      <c r="J78" s="1111"/>
      <c r="K78" s="1115"/>
    </row>
    <row r="79" spans="1:11" ht="15.75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1115"/>
    </row>
    <row r="80" spans="1:11" ht="15.75">
      <c r="A80" s="1037"/>
      <c r="B80" s="1038"/>
      <c r="C80" s="1025"/>
      <c r="D80" s="1025"/>
      <c r="E80" s="1025"/>
      <c r="F80" s="1059"/>
      <c r="G80" s="1062"/>
      <c r="H80" s="1055"/>
      <c r="I80" s="1056"/>
      <c r="J80" s="1111"/>
      <c r="K80" s="1115"/>
    </row>
    <row r="81" spans="1:11" ht="15.75">
      <c r="A81" s="1037"/>
      <c r="B81" s="1039"/>
      <c r="C81" s="1025"/>
      <c r="D81" s="1025"/>
      <c r="E81" s="1025"/>
      <c r="F81" s="1059"/>
      <c r="G81" s="1054"/>
      <c r="H81" s="1269"/>
      <c r="I81" s="1056"/>
      <c r="J81" s="1111"/>
      <c r="K81" s="1115"/>
    </row>
    <row r="82" spans="1:11" ht="15.75">
      <c r="A82" s="1037"/>
      <c r="B82" s="1038"/>
      <c r="C82" s="1026"/>
      <c r="D82" s="1026"/>
      <c r="E82" s="1026"/>
      <c r="F82" s="1059"/>
      <c r="G82" s="1054"/>
      <c r="H82" s="1269"/>
      <c r="I82" s="1056"/>
      <c r="J82" s="1111"/>
      <c r="K82" s="1115"/>
    </row>
    <row r="83" spans="1:11" ht="15.75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1115"/>
    </row>
    <row r="84" spans="1:11" ht="15.75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115"/>
    </row>
    <row r="85" spans="1:11" ht="15.75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115"/>
    </row>
    <row r="86" spans="1:11" ht="15.75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115"/>
    </row>
    <row r="87" spans="1:11" ht="15.75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5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115"/>
    </row>
    <row r="89" spans="1:11" ht="15.75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115"/>
    </row>
    <row r="90" spans="1:11" ht="15.75">
      <c r="A90" s="1037"/>
      <c r="B90" s="1038"/>
      <c r="C90" s="1026"/>
      <c r="D90" s="1026"/>
      <c r="E90" s="1026"/>
      <c r="F90" s="1059"/>
      <c r="G90" s="1054"/>
      <c r="H90" s="1269"/>
      <c r="I90" s="1056"/>
      <c r="J90" s="1111"/>
      <c r="K90" s="1115"/>
    </row>
    <row r="91" spans="1:11" ht="15.75">
      <c r="A91" s="1037"/>
      <c r="B91" s="1038"/>
      <c r="C91" s="1026"/>
      <c r="D91" s="1026"/>
      <c r="E91" s="1026"/>
      <c r="F91" s="1059"/>
      <c r="G91" s="1054"/>
      <c r="H91" s="1269"/>
      <c r="I91" s="1056"/>
      <c r="J91" s="1111"/>
      <c r="K91" s="1115"/>
    </row>
    <row r="92" spans="1:11" ht="15.75">
      <c r="A92" s="1037"/>
      <c r="B92" s="1038"/>
      <c r="C92" s="1026"/>
      <c r="D92" s="1026"/>
      <c r="E92" s="1026"/>
      <c r="F92" s="1059"/>
      <c r="G92" s="1054"/>
      <c r="H92" s="1269"/>
      <c r="I92" s="1056"/>
      <c r="J92" s="1111"/>
      <c r="K92" s="1115"/>
    </row>
    <row r="93" spans="1:11" ht="15.75">
      <c r="A93" s="1037"/>
      <c r="B93" s="1038"/>
      <c r="C93" s="1026"/>
      <c r="D93" s="1026"/>
      <c r="E93" s="1026"/>
      <c r="F93" s="1059"/>
      <c r="G93" s="1054"/>
      <c r="H93" s="1269"/>
      <c r="I93" s="1056"/>
      <c r="J93" s="1111"/>
      <c r="K93" s="1115"/>
    </row>
    <row r="94" spans="1:11" ht="15.75">
      <c r="A94" s="1037"/>
      <c r="B94" s="1038"/>
      <c r="C94" s="1026"/>
      <c r="D94" s="1026"/>
      <c r="E94" s="1026"/>
      <c r="F94" s="1059"/>
      <c r="G94" s="1054"/>
      <c r="H94" s="1269"/>
      <c r="I94" s="1056"/>
      <c r="J94" s="1111"/>
      <c r="K94" s="1115"/>
    </row>
    <row r="95" spans="1:11">
      <c r="A95" s="1037"/>
      <c r="B95" s="1038"/>
      <c r="C95" s="1026"/>
      <c r="D95" s="1026"/>
      <c r="E95" s="1026"/>
      <c r="F95" s="1059"/>
      <c r="G95" s="1059"/>
      <c r="H95" s="1269"/>
      <c r="I95" s="1056"/>
      <c r="J95" s="1111"/>
      <c r="K95" s="1025"/>
    </row>
    <row r="96" spans="1:11">
      <c r="A96" s="1037"/>
      <c r="B96" s="1038"/>
      <c r="C96" s="1026"/>
      <c r="D96" s="1026"/>
      <c r="E96" s="1026"/>
      <c r="F96" s="1059"/>
      <c r="G96" s="1059"/>
      <c r="H96" s="1269"/>
      <c r="I96" s="1056"/>
      <c r="J96" s="1111"/>
      <c r="K96" s="1025"/>
    </row>
    <row r="97" spans="1:11">
      <c r="A97" s="1037"/>
      <c r="B97" s="1038"/>
      <c r="C97" s="1026"/>
      <c r="D97" s="1026"/>
      <c r="E97" s="1026"/>
      <c r="F97" s="1059"/>
      <c r="G97" s="1059"/>
      <c r="H97" s="1269"/>
      <c r="I97" s="1056"/>
      <c r="J97" s="1111"/>
      <c r="K97" s="1025"/>
    </row>
    <row r="98" spans="1:11" ht="15.75">
      <c r="A98" s="1037"/>
      <c r="B98" s="1038"/>
      <c r="C98" s="1026"/>
      <c r="D98" s="1026"/>
      <c r="E98" s="1026"/>
      <c r="F98" s="1059"/>
      <c r="G98" s="1054"/>
      <c r="H98" s="1269"/>
      <c r="I98" s="1056"/>
      <c r="J98" s="1111"/>
      <c r="K98" s="1115"/>
    </row>
    <row r="99" spans="1:11">
      <c r="A99" s="1037"/>
      <c r="B99" s="1038"/>
      <c r="C99" s="1026"/>
      <c r="D99" s="1026"/>
      <c r="E99" s="1026"/>
      <c r="F99" s="1059"/>
      <c r="G99" s="1059"/>
      <c r="H99" s="1269"/>
      <c r="I99" s="1056"/>
      <c r="J99" s="1111"/>
      <c r="K99" s="1025"/>
    </row>
    <row r="100" spans="1:11">
      <c r="A100" s="1037"/>
      <c r="B100" s="1038"/>
      <c r="C100" s="1026"/>
      <c r="D100" s="1026"/>
      <c r="E100" s="1026"/>
      <c r="F100" s="1059"/>
      <c r="G100" s="1059"/>
      <c r="H100" s="1269"/>
      <c r="I100" s="1056"/>
      <c r="J100" s="1111"/>
      <c r="K100" s="1025"/>
    </row>
    <row r="101" spans="1:11">
      <c r="A101" s="1037"/>
      <c r="B101" s="1038"/>
      <c r="C101" s="1026"/>
      <c r="D101" s="1026"/>
      <c r="E101" s="1026"/>
      <c r="F101" s="1059"/>
      <c r="G101" s="1059"/>
      <c r="H101" s="1269"/>
      <c r="I101" s="1056"/>
      <c r="J101" s="1111"/>
      <c r="K101" s="1025"/>
    </row>
    <row r="102" spans="1:11" ht="15.75">
      <c r="A102" s="1037"/>
      <c r="B102" s="1038"/>
      <c r="C102" s="1026"/>
      <c r="D102" s="1026"/>
      <c r="E102" s="1026"/>
      <c r="F102" s="1059"/>
      <c r="G102" s="1054"/>
      <c r="H102" s="1269"/>
      <c r="I102" s="1056"/>
      <c r="J102" s="1111"/>
      <c r="K102" s="1115"/>
    </row>
    <row r="103" spans="1:11" ht="15.75">
      <c r="A103" s="1037"/>
      <c r="B103" s="1038"/>
      <c r="C103" s="1026"/>
      <c r="D103" s="1026"/>
      <c r="E103" s="1026"/>
      <c r="F103" s="1059"/>
      <c r="G103" s="1054"/>
      <c r="H103" s="1269"/>
      <c r="I103" s="1056"/>
      <c r="J103" s="1111"/>
      <c r="K103" s="1115"/>
    </row>
    <row r="104" spans="1:11">
      <c r="A104" s="1037"/>
      <c r="B104" s="1038"/>
      <c r="C104" s="1026"/>
      <c r="D104" s="1026"/>
      <c r="E104" s="1026"/>
      <c r="F104" s="1059"/>
      <c r="G104" s="1059"/>
      <c r="H104" s="1269"/>
      <c r="I104" s="1056"/>
      <c r="J104" s="1111"/>
      <c r="K104" s="1025"/>
    </row>
    <row r="105" spans="1:11">
      <c r="A105" s="1037"/>
      <c r="B105" s="1038"/>
      <c r="C105" s="1026"/>
      <c r="D105" s="1026"/>
      <c r="E105" s="1026"/>
      <c r="F105" s="1059"/>
      <c r="G105" s="1059"/>
      <c r="H105" s="1269"/>
      <c r="I105" s="1056"/>
      <c r="J105" s="1111"/>
      <c r="K105" s="1025"/>
    </row>
    <row r="106" spans="1:11">
      <c r="A106" s="1037"/>
      <c r="B106" s="1038"/>
      <c r="C106" s="1026"/>
      <c r="D106" s="1026"/>
      <c r="E106" s="1026"/>
      <c r="F106" s="1059"/>
      <c r="G106" s="1059"/>
      <c r="H106" s="1269"/>
      <c r="I106" s="1056"/>
      <c r="J106" s="1111"/>
      <c r="K106" s="1025"/>
    </row>
    <row r="107" spans="1:11">
      <c r="A107" s="1037"/>
      <c r="B107" s="1038"/>
      <c r="C107" s="1026"/>
      <c r="D107" s="1026"/>
      <c r="E107" s="1026"/>
      <c r="F107" s="1059"/>
      <c r="G107" s="1059"/>
      <c r="H107" s="1269"/>
      <c r="I107" s="1056"/>
      <c r="J107" s="1111"/>
      <c r="K107" s="1025"/>
    </row>
    <row r="108" spans="1:11">
      <c r="A108" s="1037"/>
      <c r="B108" s="1038"/>
      <c r="C108" s="1026"/>
      <c r="D108" s="1026"/>
      <c r="E108" s="1026"/>
      <c r="F108" s="1059"/>
      <c r="G108" s="1059"/>
      <c r="H108" s="1269"/>
      <c r="I108" s="1056"/>
      <c r="J108" s="1111"/>
      <c r="K108" s="1025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1025"/>
    </row>
    <row r="110" spans="1:11" ht="15.75">
      <c r="A110" s="1037"/>
      <c r="B110" s="1038"/>
      <c r="C110" s="1026"/>
      <c r="D110" s="1026"/>
      <c r="E110" s="1026"/>
      <c r="F110" s="1059"/>
      <c r="G110" s="1054"/>
      <c r="H110" s="1269"/>
      <c r="I110" s="1056"/>
      <c r="J110" s="1111"/>
      <c r="K110" s="1115"/>
    </row>
    <row r="111" spans="1:11">
      <c r="A111" s="1037"/>
      <c r="B111" s="1038"/>
      <c r="C111" s="1026"/>
      <c r="D111" s="1026"/>
      <c r="E111" s="1026"/>
      <c r="F111" s="1059"/>
      <c r="G111" s="1059"/>
      <c r="H111" s="1269"/>
      <c r="I111" s="1056"/>
      <c r="J111" s="1111"/>
      <c r="K111" s="1025"/>
    </row>
    <row r="112" spans="1:11">
      <c r="A112" s="1037"/>
      <c r="B112" s="1038"/>
      <c r="C112" s="1026"/>
      <c r="D112" s="1026"/>
      <c r="E112" s="1026"/>
      <c r="F112" s="1059"/>
      <c r="G112" s="1059"/>
      <c r="H112" s="1269"/>
      <c r="I112" s="1056"/>
      <c r="J112" s="1111"/>
      <c r="K112" s="1025"/>
    </row>
    <row r="113" spans="1:11">
      <c r="A113" s="1037"/>
      <c r="B113" s="1038"/>
      <c r="C113" s="1026"/>
      <c r="D113" s="1026"/>
      <c r="E113" s="1026"/>
      <c r="F113" s="1059"/>
      <c r="G113" s="1059"/>
      <c r="H113" s="1269"/>
      <c r="I113" s="1056"/>
      <c r="J113" s="1111"/>
      <c r="K113" s="1025"/>
    </row>
    <row r="114" spans="1:11" ht="15.75">
      <c r="A114" s="1037"/>
      <c r="B114" s="1038"/>
      <c r="C114" s="1026"/>
      <c r="D114" s="1026"/>
      <c r="E114" s="1026"/>
      <c r="F114" s="1059"/>
      <c r="G114" s="1059"/>
      <c r="H114" s="1269"/>
      <c r="I114" s="1056"/>
      <c r="J114" s="1111"/>
      <c r="K114" s="1115"/>
    </row>
    <row r="115" spans="1:11">
      <c r="A115" s="1037"/>
      <c r="B115" s="1038"/>
      <c r="C115" s="1026"/>
      <c r="D115" s="1026"/>
      <c r="E115" s="1026"/>
      <c r="F115" s="1059"/>
      <c r="G115" s="1059"/>
      <c r="H115" s="1269"/>
      <c r="I115" s="1056"/>
      <c r="J115" s="1111"/>
      <c r="K115" s="1025"/>
    </row>
    <row r="116" spans="1:11">
      <c r="A116" s="1037"/>
      <c r="B116" s="1038"/>
      <c r="C116" s="1026"/>
      <c r="D116" s="1026"/>
      <c r="E116" s="1026"/>
      <c r="F116" s="1059"/>
      <c r="G116" s="1059"/>
      <c r="H116" s="1269"/>
      <c r="I116" s="1056"/>
      <c r="J116" s="1111"/>
      <c r="K116" s="1025"/>
    </row>
    <row r="117" spans="1:11">
      <c r="A117" s="1037"/>
      <c r="B117" s="1038"/>
      <c r="C117" s="1026"/>
      <c r="D117" s="1026"/>
      <c r="E117" s="1026"/>
      <c r="F117" s="1059"/>
      <c r="G117" s="1059"/>
      <c r="H117" s="1269"/>
      <c r="I117" s="1056"/>
      <c r="J117" s="1111"/>
      <c r="K117" s="1025"/>
    </row>
    <row r="118" spans="1:11">
      <c r="A118" s="1037"/>
      <c r="B118" s="1038"/>
      <c r="C118" s="1026"/>
      <c r="D118" s="1026"/>
      <c r="E118" s="1026"/>
      <c r="F118" s="1059"/>
      <c r="G118" s="1059"/>
      <c r="H118" s="1269"/>
      <c r="I118" s="1056"/>
      <c r="J118" s="1111"/>
      <c r="K118" s="1025"/>
    </row>
    <row r="119" spans="1:11">
      <c r="A119" s="1037"/>
      <c r="B119" s="1038"/>
      <c r="C119" s="1026"/>
      <c r="D119" s="1026"/>
      <c r="E119" s="1026"/>
      <c r="F119" s="1059"/>
      <c r="G119" s="1054"/>
      <c r="H119" s="1269"/>
      <c r="I119" s="1056"/>
      <c r="J119" s="1111"/>
      <c r="K119" s="1025"/>
    </row>
    <row r="120" spans="1:11" ht="15.75">
      <c r="A120" s="1037"/>
      <c r="B120" s="1038"/>
      <c r="C120" s="1025"/>
      <c r="D120" s="1026"/>
      <c r="E120" s="1026"/>
      <c r="F120" s="1059"/>
      <c r="G120" s="1054"/>
      <c r="H120" s="1269"/>
      <c r="I120" s="1056"/>
      <c r="J120" s="1111"/>
      <c r="K120" s="1115"/>
    </row>
    <row r="121" spans="1:11" ht="15.75">
      <c r="A121" s="1037"/>
      <c r="B121" s="1038"/>
      <c r="C121" s="1026"/>
      <c r="D121" s="1026"/>
      <c r="E121" s="1026"/>
      <c r="F121" s="1059"/>
      <c r="G121" s="1054"/>
      <c r="H121" s="1269"/>
      <c r="I121" s="1056"/>
      <c r="J121" s="1111"/>
      <c r="K121" s="1115"/>
    </row>
    <row r="122" spans="1:11" ht="15.75">
      <c r="A122" s="1037"/>
      <c r="B122" s="1038"/>
      <c r="C122" s="1026"/>
      <c r="D122" s="1026"/>
      <c r="E122" s="1026"/>
      <c r="F122" s="1059"/>
      <c r="G122" s="1054"/>
      <c r="H122" s="1269"/>
      <c r="I122" s="1056"/>
      <c r="J122" s="1111"/>
      <c r="K122" s="1115"/>
    </row>
    <row r="123" spans="1:11" ht="15.75">
      <c r="A123" s="1037"/>
      <c r="B123" s="1038"/>
      <c r="C123" s="1026"/>
      <c r="D123" s="1026"/>
      <c r="E123" s="1026"/>
      <c r="F123" s="1059"/>
      <c r="G123" s="1054"/>
      <c r="H123" s="1269"/>
      <c r="I123" s="1056"/>
      <c r="J123" s="1111"/>
      <c r="K123" s="1115"/>
    </row>
    <row r="124" spans="1:11" ht="15.75">
      <c r="A124" s="1037"/>
      <c r="B124" s="1038"/>
      <c r="C124" s="1026"/>
      <c r="D124" s="1026"/>
      <c r="E124" s="1026"/>
      <c r="F124" s="1059"/>
      <c r="G124" s="1054"/>
      <c r="H124" s="1269"/>
      <c r="I124" s="1056"/>
      <c r="J124" s="1111"/>
      <c r="K124" s="1115"/>
    </row>
    <row r="125" spans="1:11">
      <c r="A125" s="1037"/>
      <c r="B125" s="1038"/>
      <c r="C125" s="1026"/>
      <c r="D125" s="1026"/>
      <c r="E125" s="1026"/>
      <c r="F125" s="1059"/>
      <c r="G125" s="1059"/>
      <c r="H125" s="1269"/>
      <c r="I125" s="1056"/>
      <c r="J125" s="1111"/>
      <c r="K125" s="1025"/>
    </row>
    <row r="126" spans="1:11">
      <c r="A126" s="1037"/>
      <c r="B126" s="1038"/>
      <c r="C126" s="1026"/>
      <c r="D126" s="1026"/>
      <c r="E126" s="1026"/>
      <c r="F126" s="1059"/>
      <c r="G126" s="1059"/>
      <c r="H126" s="1269"/>
      <c r="I126" s="1056"/>
      <c r="J126" s="1111"/>
      <c r="K126" s="1025"/>
    </row>
    <row r="127" spans="1:11" ht="15.75">
      <c r="A127" s="1037"/>
      <c r="B127" s="1038"/>
      <c r="C127" s="1026"/>
      <c r="D127" s="1026"/>
      <c r="E127" s="1026"/>
      <c r="F127" s="1059"/>
      <c r="G127" s="1054"/>
      <c r="H127" s="1269"/>
      <c r="I127" s="1056"/>
      <c r="J127" s="1111"/>
      <c r="K127" s="1115"/>
    </row>
    <row r="128" spans="1:11" ht="15.75">
      <c r="A128" s="1037"/>
      <c r="B128" s="1038"/>
      <c r="C128" s="1026"/>
      <c r="D128" s="1026"/>
      <c r="E128" s="1026"/>
      <c r="F128" s="1059"/>
      <c r="G128" s="1054"/>
      <c r="H128" s="1269"/>
      <c r="I128" s="1056"/>
      <c r="J128" s="1111"/>
      <c r="K128" s="1115"/>
    </row>
    <row r="129" spans="1:11" ht="15.75">
      <c r="A129" s="1037"/>
      <c r="B129" s="1038"/>
      <c r="C129" s="1026"/>
      <c r="D129" s="1026"/>
      <c r="E129" s="1026"/>
      <c r="F129" s="1059"/>
      <c r="G129" s="1054"/>
      <c r="H129" s="1269"/>
      <c r="I129" s="1056"/>
      <c r="J129" s="1111"/>
      <c r="K129" s="1115"/>
    </row>
    <row r="130" spans="1:11">
      <c r="A130" s="1037"/>
      <c r="B130" s="1038"/>
      <c r="C130" s="1026"/>
      <c r="D130" s="1026"/>
      <c r="E130" s="1026"/>
      <c r="F130" s="1059"/>
      <c r="G130" s="1054"/>
      <c r="H130" s="1269"/>
      <c r="I130" s="1056"/>
      <c r="J130" s="1111"/>
      <c r="K130" s="1025"/>
    </row>
    <row r="131" spans="1:11">
      <c r="A131" s="1037"/>
      <c r="B131" s="1038"/>
      <c r="C131" s="1026"/>
      <c r="D131" s="1026"/>
      <c r="E131" s="1026"/>
      <c r="F131" s="1059"/>
      <c r="G131" s="1054"/>
      <c r="H131" s="1269"/>
      <c r="I131" s="1056"/>
      <c r="J131" s="1111"/>
      <c r="K131" s="1025"/>
    </row>
    <row r="132" spans="1:11">
      <c r="A132" s="1037"/>
      <c r="B132" s="1038"/>
      <c r="C132" s="1026"/>
      <c r="D132" s="1026"/>
      <c r="E132" s="1026"/>
      <c r="F132" s="1059"/>
      <c r="G132" s="1059"/>
      <c r="H132" s="1269"/>
      <c r="I132" s="1056"/>
      <c r="J132" s="1111"/>
      <c r="K132" s="1025"/>
    </row>
    <row r="133" spans="1:11">
      <c r="A133" s="1037"/>
      <c r="B133" s="1038"/>
      <c r="C133" s="1026"/>
      <c r="D133" s="1026"/>
      <c r="E133" s="1026"/>
      <c r="F133" s="1059"/>
      <c r="G133" s="1059"/>
      <c r="H133" s="1269"/>
      <c r="I133" s="1056"/>
      <c r="J133" s="1111"/>
      <c r="K133" s="1025"/>
    </row>
    <row r="134" spans="1:11">
      <c r="A134" s="1037"/>
      <c r="B134" s="1038"/>
      <c r="C134" s="1026"/>
      <c r="D134" s="1026"/>
      <c r="E134" s="1026"/>
      <c r="F134" s="1059"/>
      <c r="G134" s="1059"/>
      <c r="H134" s="1269"/>
      <c r="I134" s="1056"/>
      <c r="J134" s="1111"/>
      <c r="K134" s="1025"/>
    </row>
    <row r="135" spans="1:11">
      <c r="A135" s="1037"/>
      <c r="B135" s="1038"/>
      <c r="C135" s="1026"/>
      <c r="D135" s="1026"/>
      <c r="E135" s="1026"/>
      <c r="F135" s="1059"/>
      <c r="G135" s="1059"/>
      <c r="H135" s="1269"/>
      <c r="I135" s="1056"/>
      <c r="J135" s="1111"/>
      <c r="K135" s="1025"/>
    </row>
    <row r="136" spans="1:11" ht="15.75">
      <c r="A136" s="1037"/>
      <c r="B136" s="1038"/>
      <c r="C136" s="1026"/>
      <c r="D136" s="1026"/>
      <c r="E136" s="1026"/>
      <c r="F136" s="1059"/>
      <c r="G136" s="1054"/>
      <c r="H136" s="1269"/>
      <c r="I136" s="1056"/>
      <c r="J136" s="1111"/>
      <c r="K136" s="1115"/>
    </row>
    <row r="137" spans="1:11" ht="15.75">
      <c r="A137" s="1037"/>
      <c r="B137" s="1038"/>
      <c r="C137" s="1026"/>
      <c r="D137" s="1026"/>
      <c r="E137" s="1026"/>
      <c r="F137" s="1059"/>
      <c r="G137" s="1059"/>
      <c r="H137" s="1269"/>
      <c r="I137" s="1056"/>
      <c r="J137" s="1111"/>
      <c r="K137" s="1115"/>
    </row>
    <row r="138" spans="1:11">
      <c r="A138" s="1037"/>
      <c r="B138" s="1038"/>
      <c r="C138" s="1026"/>
      <c r="D138" s="1026"/>
      <c r="E138" s="1026"/>
      <c r="F138" s="1059"/>
      <c r="G138" s="1059"/>
      <c r="H138" s="1269"/>
      <c r="I138" s="1056"/>
      <c r="J138" s="1111"/>
      <c r="K138" s="1025"/>
    </row>
    <row r="139" spans="1:11">
      <c r="A139" s="1037"/>
      <c r="B139" s="1038"/>
      <c r="C139" s="1026"/>
      <c r="D139" s="1026"/>
      <c r="E139" s="1026"/>
      <c r="F139" s="1059"/>
      <c r="G139" s="1054"/>
      <c r="H139" s="1269"/>
      <c r="I139" s="1056"/>
      <c r="J139" s="1111"/>
      <c r="K139" s="1025"/>
    </row>
    <row r="140" spans="1:11" ht="15.75">
      <c r="A140" s="1037"/>
      <c r="B140" s="1038"/>
      <c r="C140" s="1026"/>
      <c r="D140" s="1026"/>
      <c r="E140" s="1026"/>
      <c r="F140" s="1059"/>
      <c r="G140" s="1054"/>
      <c r="H140" s="1269"/>
      <c r="I140" s="1056"/>
      <c r="J140" s="1111"/>
      <c r="K140" s="1115"/>
    </row>
    <row r="141" spans="1:11">
      <c r="A141" s="1037"/>
      <c r="B141" s="1038"/>
      <c r="C141" s="1026"/>
      <c r="D141" s="1026"/>
      <c r="E141" s="1026"/>
      <c r="F141" s="1059"/>
      <c r="G141" s="1054"/>
      <c r="H141" s="1269"/>
      <c r="I141" s="1056"/>
      <c r="J141" s="1111"/>
      <c r="K141" s="1025"/>
    </row>
    <row r="142" spans="1:11">
      <c r="A142" s="1037"/>
      <c r="B142" s="1038"/>
      <c r="C142" s="1026"/>
      <c r="D142" s="1026"/>
      <c r="E142" s="1026"/>
      <c r="F142" s="1059"/>
      <c r="G142" s="1059"/>
      <c r="H142" s="1269"/>
      <c r="I142" s="1056"/>
      <c r="J142" s="1111"/>
      <c r="K142" s="1025"/>
    </row>
    <row r="143" spans="1:11">
      <c r="A143" s="1037"/>
      <c r="B143" s="1038"/>
      <c r="C143" s="1026"/>
      <c r="D143" s="1026"/>
      <c r="E143" s="1026"/>
      <c r="F143" s="1059"/>
      <c r="G143" s="1059"/>
      <c r="H143" s="1269"/>
      <c r="I143" s="1056"/>
      <c r="J143" s="1111"/>
      <c r="K143" s="1025"/>
    </row>
    <row r="144" spans="1:11" ht="15.75">
      <c r="A144" s="1037"/>
      <c r="B144" s="1038"/>
      <c r="C144" s="1026"/>
      <c r="D144" s="1026"/>
      <c r="E144" s="1026"/>
      <c r="F144" s="1059"/>
      <c r="G144" s="1054"/>
      <c r="H144" s="1269"/>
      <c r="I144" s="1056"/>
      <c r="J144" s="1111"/>
      <c r="K144" s="1115"/>
    </row>
    <row r="145" spans="1:11" ht="15.75">
      <c r="A145" s="1037"/>
      <c r="B145" s="1038"/>
      <c r="C145" s="1026"/>
      <c r="D145" s="1026"/>
      <c r="E145" s="1026"/>
      <c r="F145" s="1059"/>
      <c r="G145" s="1054"/>
      <c r="H145" s="1269"/>
      <c r="I145" s="1056"/>
      <c r="J145" s="1111"/>
      <c r="K145" s="1115"/>
    </row>
    <row r="146" spans="1:11" ht="15.75">
      <c r="A146" s="1037"/>
      <c r="B146" s="1038"/>
      <c r="C146" s="1026"/>
      <c r="D146" s="1026"/>
      <c r="E146" s="1026"/>
      <c r="F146" s="1059"/>
      <c r="G146" s="1054"/>
      <c r="H146" s="1269"/>
      <c r="I146" s="1056"/>
      <c r="J146" s="1111"/>
      <c r="K146" s="1115"/>
    </row>
    <row r="147" spans="1:11" ht="15.75">
      <c r="A147" s="1037"/>
      <c r="B147" s="1038"/>
      <c r="C147" s="1026"/>
      <c r="D147" s="1026"/>
      <c r="E147" s="1026"/>
      <c r="F147" s="1059"/>
      <c r="G147" s="1054"/>
      <c r="H147" s="1269"/>
      <c r="I147" s="1056"/>
      <c r="J147" s="1111"/>
      <c r="K147" s="1115"/>
    </row>
    <row r="148" spans="1:11" ht="15.75">
      <c r="A148" s="1037"/>
      <c r="B148" s="1038"/>
      <c r="C148" s="1026"/>
      <c r="D148" s="1026"/>
      <c r="E148" s="1026"/>
      <c r="F148" s="1059"/>
      <c r="G148" s="1054"/>
      <c r="H148" s="1269"/>
      <c r="I148" s="1056"/>
      <c r="J148" s="1111"/>
      <c r="K148" s="1115"/>
    </row>
    <row r="149" spans="1:11">
      <c r="A149" s="1037"/>
      <c r="B149" s="1038"/>
      <c r="C149" s="1026"/>
      <c r="D149" s="1026"/>
      <c r="E149" s="1026"/>
      <c r="F149" s="1059"/>
      <c r="G149" s="1054"/>
      <c r="H149" s="1269"/>
      <c r="I149" s="1056"/>
      <c r="J149" s="1111"/>
      <c r="K149" s="1025"/>
    </row>
    <row r="150" spans="1:11">
      <c r="A150" s="1037"/>
      <c r="B150" s="1038"/>
      <c r="C150" s="1025"/>
      <c r="D150" s="1026"/>
      <c r="E150" s="1026"/>
      <c r="F150" s="1061"/>
      <c r="G150" s="1054"/>
      <c r="H150" s="1055"/>
      <c r="I150" s="1056"/>
      <c r="J150" s="1111"/>
      <c r="K150" s="1025"/>
    </row>
    <row r="151" spans="1:11">
      <c r="A151" s="1037"/>
      <c r="B151" s="1038"/>
      <c r="C151" s="1026"/>
      <c r="D151" s="1026"/>
      <c r="E151" s="1026"/>
      <c r="F151" s="1059"/>
      <c r="G151" s="1054"/>
      <c r="H151" s="1269"/>
      <c r="I151" s="1056"/>
      <c r="J151" s="1111"/>
      <c r="K151" s="1025"/>
    </row>
    <row r="152" spans="1:11">
      <c r="A152" s="1037"/>
      <c r="B152" s="1038"/>
      <c r="C152" s="1026"/>
      <c r="D152" s="1026"/>
      <c r="E152" s="1026"/>
      <c r="F152" s="1059"/>
      <c r="G152" s="1054"/>
      <c r="H152" s="1269"/>
      <c r="I152" s="1056"/>
      <c r="J152" s="1111"/>
      <c r="K152" s="1025"/>
    </row>
    <row r="153" spans="1:11">
      <c r="A153" s="1037"/>
      <c r="B153" s="1038"/>
      <c r="C153" s="1026"/>
      <c r="D153" s="1026"/>
      <c r="E153" s="1026"/>
      <c r="F153" s="1059"/>
      <c r="G153" s="1059"/>
      <c r="H153" s="1269"/>
      <c r="I153" s="1056"/>
      <c r="J153" s="1111"/>
      <c r="K153" s="1025"/>
    </row>
    <row r="154" spans="1:11">
      <c r="A154" s="1037"/>
      <c r="B154" s="1038"/>
      <c r="C154" s="1026"/>
      <c r="D154" s="1026"/>
      <c r="E154" s="1026"/>
      <c r="F154" s="1059"/>
      <c r="G154" s="1059"/>
      <c r="H154" s="1269"/>
      <c r="I154" s="1056"/>
      <c r="J154" s="1111"/>
      <c r="K154" s="1025"/>
    </row>
    <row r="155" spans="1:11" ht="15.75">
      <c r="A155" s="1037"/>
      <c r="B155" s="1038"/>
      <c r="C155" s="1026"/>
      <c r="D155" s="1026"/>
      <c r="E155" s="1026"/>
      <c r="F155" s="1059"/>
      <c r="G155" s="1054"/>
      <c r="H155" s="1269"/>
      <c r="I155" s="1056"/>
      <c r="J155" s="1111"/>
      <c r="K155" s="1115"/>
    </row>
    <row r="156" spans="1:11">
      <c r="A156" s="1037"/>
      <c r="B156" s="1038"/>
      <c r="C156" s="1026"/>
      <c r="D156" s="1026"/>
      <c r="E156" s="1026"/>
      <c r="F156" s="1059"/>
      <c r="G156" s="1054"/>
      <c r="H156" s="1269"/>
      <c r="I156" s="1056"/>
      <c r="J156" s="1111"/>
      <c r="K156" s="1025"/>
    </row>
    <row r="157" spans="1:11">
      <c r="A157" s="1037"/>
      <c r="B157" s="1038"/>
      <c r="C157" s="1026"/>
      <c r="D157" s="1026"/>
      <c r="E157" s="1026"/>
      <c r="F157" s="1059"/>
      <c r="G157" s="1059"/>
      <c r="H157" s="1269"/>
      <c r="I157" s="1056"/>
      <c r="J157" s="1111"/>
      <c r="K157" s="1025"/>
    </row>
    <row r="158" spans="1:11">
      <c r="A158" s="1037"/>
      <c r="B158" s="1038"/>
      <c r="C158" s="1026"/>
      <c r="D158" s="1026"/>
      <c r="E158" s="1026"/>
      <c r="F158" s="1059"/>
      <c r="G158" s="1059"/>
      <c r="H158" s="1269"/>
      <c r="I158" s="1056"/>
      <c r="J158" s="1111"/>
      <c r="K158" s="1025"/>
    </row>
    <row r="159" spans="1:11">
      <c r="A159" s="1037"/>
      <c r="B159" s="1038"/>
      <c r="C159" s="1026"/>
      <c r="D159" s="1026"/>
      <c r="E159" s="1026"/>
      <c r="F159" s="1059"/>
      <c r="G159" s="1054"/>
      <c r="H159" s="1269"/>
      <c r="I159" s="1056"/>
      <c r="J159" s="1111"/>
      <c r="K159" s="1025"/>
    </row>
    <row r="160" spans="1:11">
      <c r="A160" s="1037"/>
      <c r="B160" s="1038"/>
      <c r="C160" s="1026"/>
      <c r="D160" s="1026"/>
      <c r="E160" s="1026"/>
      <c r="F160" s="1059"/>
      <c r="G160" s="1054"/>
      <c r="H160" s="1269"/>
      <c r="I160" s="1056"/>
      <c r="J160" s="1111"/>
      <c r="K160" s="1025"/>
    </row>
    <row r="161" spans="1:11">
      <c r="A161" s="1037"/>
      <c r="B161" s="1038"/>
      <c r="C161" s="1026"/>
      <c r="D161" s="1026"/>
      <c r="E161" s="1026"/>
      <c r="F161" s="1059"/>
      <c r="G161" s="1054"/>
      <c r="H161" s="1269"/>
      <c r="I161" s="1056"/>
      <c r="J161" s="1111"/>
      <c r="K161" s="1025"/>
    </row>
    <row r="162" spans="1:11" ht="15.75">
      <c r="A162" s="1037"/>
      <c r="B162" s="1038"/>
      <c r="C162" s="1026"/>
      <c r="D162" s="1026"/>
      <c r="E162" s="1026"/>
      <c r="F162" s="1059"/>
      <c r="G162" s="1054"/>
      <c r="H162" s="1269"/>
      <c r="I162" s="1056"/>
      <c r="J162" s="1111"/>
      <c r="K162" s="1115"/>
    </row>
    <row r="163" spans="1:11">
      <c r="A163" s="1037"/>
      <c r="B163" s="1038"/>
      <c r="C163" s="1026"/>
      <c r="D163" s="1026"/>
      <c r="E163" s="1026"/>
      <c r="F163" s="1059"/>
      <c r="G163" s="1054"/>
      <c r="H163" s="1269"/>
      <c r="I163" s="1056"/>
      <c r="J163" s="1111"/>
      <c r="K163" s="1025"/>
    </row>
    <row r="164" spans="1:11">
      <c r="A164" s="1037"/>
      <c r="B164" s="1038"/>
      <c r="C164" s="290"/>
      <c r="D164" s="1026"/>
      <c r="E164" s="1026"/>
      <c r="F164" s="1059"/>
      <c r="G164" s="1054"/>
      <c r="H164" s="1269"/>
      <c r="I164" s="1056"/>
      <c r="J164" s="1111"/>
      <c r="K164" s="1025"/>
    </row>
    <row r="165" spans="1:11">
      <c r="A165" s="1037"/>
      <c r="B165" s="1038"/>
      <c r="C165" s="1026"/>
      <c r="D165" s="1026"/>
      <c r="E165" s="1026"/>
      <c r="F165" s="1059"/>
      <c r="G165" s="1054"/>
      <c r="H165" s="1269"/>
      <c r="I165" s="1056"/>
      <c r="J165" s="1111"/>
      <c r="K165" s="1025"/>
    </row>
    <row r="166" spans="1:11">
      <c r="A166" s="1037"/>
      <c r="B166" s="1038"/>
      <c r="C166" s="1026"/>
      <c r="D166" s="1026"/>
      <c r="E166" s="1026"/>
      <c r="F166" s="1059"/>
      <c r="G166" s="1054"/>
      <c r="H166" s="1269"/>
      <c r="I166" s="1056"/>
      <c r="J166" s="1111"/>
      <c r="K166" s="1025"/>
    </row>
    <row r="167" spans="1:11">
      <c r="A167" s="1037"/>
      <c r="B167" s="1038"/>
      <c r="C167" s="1026"/>
      <c r="D167" s="1026"/>
      <c r="E167" s="1026"/>
      <c r="F167" s="1059"/>
      <c r="G167" s="1054"/>
      <c r="H167" s="1269"/>
      <c r="I167" s="1056"/>
      <c r="J167" s="1111"/>
      <c r="K167" s="1025"/>
    </row>
    <row r="168" spans="1:11">
      <c r="A168" s="1037"/>
      <c r="B168" s="1038"/>
      <c r="C168" s="1026"/>
      <c r="D168" s="1026"/>
      <c r="E168" s="1026"/>
      <c r="F168" s="1059"/>
      <c r="G168" s="1054"/>
      <c r="H168" s="1269"/>
      <c r="I168" s="1056"/>
      <c r="J168" s="1111"/>
      <c r="K168" s="1025"/>
    </row>
    <row r="169" spans="1:11">
      <c r="A169" s="1037"/>
      <c r="B169" s="1038"/>
      <c r="C169" s="1026"/>
      <c r="D169" s="1026"/>
      <c r="E169" s="1026"/>
      <c r="F169" s="1059"/>
      <c r="G169" s="1054"/>
      <c r="H169" s="1269"/>
      <c r="I169" s="1056"/>
      <c r="J169" s="1111"/>
      <c r="K169" s="1025"/>
    </row>
    <row r="170" spans="1:11">
      <c r="A170" s="1037"/>
      <c r="B170" s="1038"/>
      <c r="C170" s="1026"/>
      <c r="D170" s="1026"/>
      <c r="E170" s="1026"/>
      <c r="F170" s="1059"/>
      <c r="G170" s="1054"/>
      <c r="H170" s="1269"/>
      <c r="I170" s="1056"/>
      <c r="J170" s="1111"/>
      <c r="K170" s="1025"/>
    </row>
    <row r="171" spans="1:11">
      <c r="A171" s="1037"/>
      <c r="B171" s="1038"/>
      <c r="C171" s="1026"/>
      <c r="D171" s="1026"/>
      <c r="E171" s="1026"/>
      <c r="F171" s="1059"/>
      <c r="G171" s="1054"/>
      <c r="H171" s="1269"/>
      <c r="I171" s="1056"/>
      <c r="J171" s="1111"/>
      <c r="K171" s="1025"/>
    </row>
    <row r="172" spans="1:11">
      <c r="A172" s="1037"/>
      <c r="B172" s="1038"/>
      <c r="C172" s="1026"/>
      <c r="D172" s="1026"/>
      <c r="E172" s="1026"/>
      <c r="F172" s="1059"/>
      <c r="G172" s="1054"/>
      <c r="H172" s="1269"/>
      <c r="I172" s="1056"/>
      <c r="J172" s="1111"/>
      <c r="K172" s="1025"/>
    </row>
    <row r="173" spans="1:11">
      <c r="A173" s="1037"/>
      <c r="B173" s="1038"/>
      <c r="C173" s="1026"/>
      <c r="D173" s="1026"/>
      <c r="E173" s="1026"/>
      <c r="F173" s="1059"/>
      <c r="G173" s="1059"/>
      <c r="H173" s="1269"/>
      <c r="I173" s="1056"/>
      <c r="J173" s="1111"/>
      <c r="K173" s="1025"/>
    </row>
    <row r="174" spans="1:11">
      <c r="A174" s="1037"/>
      <c r="B174" s="1038"/>
      <c r="C174" s="1026"/>
      <c r="D174" s="1026"/>
      <c r="E174" s="1026"/>
      <c r="F174" s="1059"/>
      <c r="G174" s="1059"/>
      <c r="H174" s="1269"/>
      <c r="I174" s="1056"/>
      <c r="J174" s="1111"/>
      <c r="K174" s="1025"/>
    </row>
    <row r="175" spans="1:11">
      <c r="A175" s="1037"/>
      <c r="B175" s="1038"/>
      <c r="C175" s="1026"/>
      <c r="D175" s="1026"/>
      <c r="E175" s="1026"/>
      <c r="F175" s="1059"/>
      <c r="G175" s="1054"/>
      <c r="H175" s="1269"/>
      <c r="I175" s="1056"/>
      <c r="J175" s="1111"/>
      <c r="K175" s="1025"/>
    </row>
    <row r="176" spans="1:11">
      <c r="A176" s="1037"/>
      <c r="B176" s="1038"/>
      <c r="C176" s="1026"/>
      <c r="D176" s="1026"/>
      <c r="E176" s="1026"/>
      <c r="F176" s="1059"/>
      <c r="G176" s="1054"/>
      <c r="H176" s="1269"/>
      <c r="I176" s="1056"/>
      <c r="J176" s="1111"/>
      <c r="K176" s="1025"/>
    </row>
    <row r="177" spans="1:11">
      <c r="A177" s="1037"/>
      <c r="B177" s="1038"/>
      <c r="C177" s="1026"/>
      <c r="D177" s="1026"/>
      <c r="E177" s="1026"/>
      <c r="F177" s="1059"/>
      <c r="G177" s="1054"/>
      <c r="H177" s="1269"/>
      <c r="I177" s="1056"/>
      <c r="J177" s="1111"/>
      <c r="K177" s="1025"/>
    </row>
    <row r="178" spans="1:11" ht="15.75">
      <c r="A178" s="1037"/>
      <c r="B178" s="1038"/>
      <c r="C178" s="1026"/>
      <c r="D178" s="1026"/>
      <c r="E178" s="1026"/>
      <c r="F178" s="1059"/>
      <c r="G178" s="1059"/>
      <c r="H178" s="1269"/>
      <c r="I178" s="1056"/>
      <c r="J178" s="1111"/>
      <c r="K178" s="1115"/>
    </row>
    <row r="179" spans="1:11">
      <c r="A179" s="1037"/>
      <c r="B179" s="1038"/>
      <c r="C179" s="1026"/>
      <c r="D179" s="1026"/>
      <c r="E179" s="1026"/>
      <c r="F179" s="1059"/>
      <c r="G179" s="1059"/>
      <c r="H179" s="1269"/>
      <c r="I179" s="1056"/>
      <c r="J179" s="1111"/>
      <c r="K179" s="1025"/>
    </row>
    <row r="180" spans="1:11" ht="15.75">
      <c r="A180" s="1037"/>
      <c r="B180" s="1038"/>
      <c r="C180" s="1026"/>
      <c r="D180" s="1026"/>
      <c r="E180" s="1026"/>
      <c r="F180" s="1059"/>
      <c r="G180" s="1054"/>
      <c r="H180" s="1269"/>
      <c r="I180" s="1056"/>
      <c r="J180" s="1111"/>
      <c r="K180" s="1115"/>
    </row>
    <row r="181" spans="1:11" ht="15.75">
      <c r="A181" s="1037"/>
      <c r="B181" s="1038"/>
      <c r="C181" s="1026"/>
      <c r="D181" s="1026"/>
      <c r="E181" s="1026"/>
      <c r="F181" s="1059"/>
      <c r="G181" s="1054"/>
      <c r="H181" s="1269"/>
      <c r="I181" s="1056"/>
      <c r="J181" s="1111"/>
      <c r="K181" s="1115"/>
    </row>
    <row r="182" spans="1:11" ht="15.75">
      <c r="A182" s="1037"/>
      <c r="B182" s="1038"/>
      <c r="C182" s="1026"/>
      <c r="D182" s="1026"/>
      <c r="E182" s="1026"/>
      <c r="F182" s="1059"/>
      <c r="G182" s="1054"/>
      <c r="H182" s="1269"/>
      <c r="I182" s="1056"/>
      <c r="J182" s="1111"/>
      <c r="K182" s="1115"/>
    </row>
    <row r="183" spans="1:11" ht="15.75">
      <c r="A183" s="1037"/>
      <c r="B183" s="1038"/>
      <c r="C183" s="1026"/>
      <c r="D183" s="1026"/>
      <c r="E183" s="1026"/>
      <c r="F183" s="1059"/>
      <c r="G183" s="1054"/>
      <c r="H183" s="1269"/>
      <c r="I183" s="1056"/>
      <c r="J183" s="1111"/>
      <c r="K183" s="1115"/>
    </row>
    <row r="184" spans="1:11" ht="15.75">
      <c r="A184" s="1037"/>
      <c r="B184" s="1038"/>
      <c r="C184" s="1026"/>
      <c r="D184" s="1026"/>
      <c r="E184" s="1026"/>
      <c r="F184" s="1059"/>
      <c r="G184" s="1059"/>
      <c r="H184" s="1269"/>
      <c r="I184" s="1056"/>
      <c r="J184" s="1111"/>
      <c r="K184" s="1115"/>
    </row>
    <row r="185" spans="1:11">
      <c r="A185" s="1037"/>
      <c r="B185" s="1038"/>
      <c r="C185" s="1026"/>
      <c r="D185" s="1026"/>
      <c r="E185" s="1026"/>
      <c r="F185" s="1059"/>
      <c r="G185" s="1059"/>
      <c r="H185" s="1269"/>
      <c r="I185" s="1056"/>
      <c r="J185" s="1111"/>
      <c r="K185" s="1025"/>
    </row>
    <row r="186" spans="1:11" ht="15.75">
      <c r="A186" s="1037"/>
      <c r="B186" s="1038"/>
      <c r="C186" s="1026"/>
      <c r="D186" s="1026"/>
      <c r="E186" s="1026"/>
      <c r="F186" s="1059"/>
      <c r="G186" s="1054"/>
      <c r="H186" s="1269"/>
      <c r="I186" s="1056"/>
      <c r="J186" s="1111"/>
      <c r="K186" s="1115"/>
    </row>
    <row r="187" spans="1:11">
      <c r="A187" s="1037"/>
      <c r="B187" s="1038"/>
      <c r="C187" s="1026"/>
      <c r="D187" s="1026"/>
      <c r="E187" s="1026"/>
      <c r="F187" s="1059"/>
      <c r="G187" s="1059"/>
      <c r="H187" s="1269"/>
      <c r="I187" s="1056"/>
      <c r="J187" s="1111"/>
      <c r="K187" s="1025"/>
    </row>
    <row r="188" spans="1:11">
      <c r="A188" s="1037"/>
      <c r="B188" s="1038"/>
      <c r="C188" s="1026"/>
      <c r="D188" s="1026"/>
      <c r="E188" s="1026"/>
      <c r="F188" s="1059"/>
      <c r="G188" s="1059"/>
      <c r="H188" s="1269"/>
      <c r="I188" s="1056"/>
      <c r="J188" s="1111"/>
      <c r="K188" s="1025"/>
    </row>
    <row r="189" spans="1:11">
      <c r="A189" s="1037"/>
      <c r="B189" s="1038"/>
      <c r="C189" s="1026"/>
      <c r="D189" s="1026"/>
      <c r="E189" s="1026"/>
      <c r="F189" s="1059"/>
      <c r="G189" s="1059"/>
      <c r="H189" s="1269"/>
      <c r="I189" s="1056"/>
      <c r="J189" s="1111"/>
      <c r="K189" s="1025"/>
    </row>
    <row r="190" spans="1:11">
      <c r="A190" s="1037"/>
      <c r="B190" s="1038"/>
      <c r="C190" s="1026"/>
      <c r="D190" s="1026"/>
      <c r="E190" s="1026"/>
      <c r="F190" s="1059"/>
      <c r="G190" s="1059"/>
      <c r="H190" s="1269"/>
      <c r="I190" s="1056"/>
      <c r="J190" s="1111"/>
      <c r="K190" s="1025"/>
    </row>
    <row r="191" spans="1:11">
      <c r="A191" s="1037"/>
      <c r="B191" s="1038"/>
      <c r="C191" s="1026"/>
      <c r="D191" s="1026"/>
      <c r="E191" s="1026"/>
      <c r="F191" s="1059"/>
      <c r="G191" s="1054"/>
      <c r="H191" s="1269"/>
      <c r="I191" s="1056"/>
      <c r="J191" s="1111"/>
      <c r="K191" s="1025"/>
    </row>
    <row r="192" spans="1:11">
      <c r="A192" s="1037"/>
      <c r="B192" s="1038"/>
      <c r="C192" s="1026"/>
      <c r="D192" s="1026"/>
      <c r="E192" s="1026"/>
      <c r="F192" s="1059"/>
      <c r="G192" s="1054"/>
      <c r="H192" s="1269"/>
      <c r="I192" s="1056"/>
      <c r="J192" s="1111"/>
      <c r="K192" s="1025"/>
    </row>
    <row r="193" spans="1:11">
      <c r="A193" s="1037"/>
      <c r="B193" s="1038"/>
      <c r="C193" s="1026"/>
      <c r="D193" s="1026"/>
      <c r="E193" s="1026"/>
      <c r="F193" s="1059"/>
      <c r="G193" s="1054"/>
      <c r="H193" s="1269"/>
      <c r="I193" s="1056"/>
      <c r="J193" s="1111"/>
      <c r="K193" s="1025"/>
    </row>
    <row r="194" spans="1:11">
      <c r="A194" s="1037"/>
      <c r="B194" s="1038"/>
      <c r="C194" s="1026"/>
      <c r="D194" s="1026"/>
      <c r="E194" s="1026"/>
      <c r="F194" s="1059"/>
      <c r="G194" s="1054"/>
      <c r="H194" s="1269"/>
      <c r="I194" s="1056"/>
      <c r="J194" s="1111"/>
      <c r="K194" s="1025"/>
    </row>
    <row r="195" spans="1:11">
      <c r="A195" s="1037"/>
      <c r="B195" s="1038"/>
      <c r="C195" s="1026"/>
      <c r="D195" s="1026"/>
      <c r="E195" s="1026"/>
      <c r="F195" s="1059"/>
      <c r="G195" s="1054"/>
      <c r="H195" s="1269"/>
      <c r="I195" s="1056"/>
      <c r="J195" s="1111"/>
      <c r="K195" s="1025"/>
    </row>
    <row r="196" spans="1:11">
      <c r="A196" s="1037"/>
      <c r="B196" s="1038"/>
      <c r="C196" s="1026"/>
      <c r="D196" s="1026"/>
      <c r="E196" s="1026"/>
      <c r="F196" s="1059"/>
      <c r="G196" s="1054"/>
      <c r="H196" s="1269"/>
      <c r="I196" s="1056"/>
      <c r="J196" s="1111"/>
      <c r="K196" s="1025"/>
    </row>
    <row r="197" spans="1:11">
      <c r="A197" s="1037"/>
      <c r="B197" s="1038"/>
      <c r="C197" s="1026"/>
      <c r="D197" s="1026"/>
      <c r="E197" s="1026"/>
      <c r="F197" s="1059"/>
      <c r="G197" s="1054"/>
      <c r="H197" s="1269"/>
      <c r="I197" s="1056"/>
      <c r="J197" s="1111"/>
      <c r="K197" s="1025"/>
    </row>
    <row r="198" spans="1:11">
      <c r="A198" s="1037"/>
      <c r="B198" s="1038"/>
      <c r="C198" s="1026"/>
      <c r="D198" s="1026"/>
      <c r="E198" s="1026"/>
      <c r="F198" s="1059"/>
      <c r="G198" s="1059"/>
      <c r="H198" s="1269"/>
      <c r="I198" s="1056"/>
      <c r="J198" s="1111"/>
      <c r="K198" s="1025"/>
    </row>
    <row r="199" spans="1:11">
      <c r="A199" s="1037"/>
      <c r="B199" s="1038"/>
      <c r="C199" s="1026"/>
      <c r="D199" s="1026"/>
      <c r="E199" s="1026"/>
      <c r="F199" s="1059"/>
      <c r="G199" s="1059"/>
      <c r="H199" s="1269"/>
      <c r="I199" s="1056"/>
      <c r="J199" s="1111"/>
      <c r="K199" s="1025"/>
    </row>
    <row r="200" spans="1:11" ht="15.75">
      <c r="A200" s="1037"/>
      <c r="B200" s="1038"/>
      <c r="C200" s="1026"/>
      <c r="D200" s="1026"/>
      <c r="E200" s="1026"/>
      <c r="F200" s="1059"/>
      <c r="G200" s="1054"/>
      <c r="H200" s="1269"/>
      <c r="I200" s="1056"/>
      <c r="J200" s="1111"/>
      <c r="K200" s="1115"/>
    </row>
    <row r="201" spans="1:11">
      <c r="A201" s="1037"/>
      <c r="B201" s="1038"/>
      <c r="C201" s="1026"/>
      <c r="D201" s="1026"/>
      <c r="E201" s="1026"/>
      <c r="F201" s="1059"/>
      <c r="G201" s="1054"/>
      <c r="H201" s="1269"/>
      <c r="I201" s="1056"/>
      <c r="J201" s="1111"/>
      <c r="K201" s="1025"/>
    </row>
    <row r="202" spans="1:11">
      <c r="A202" s="1037"/>
      <c r="B202" s="1038"/>
      <c r="C202" s="1025"/>
      <c r="D202" s="1025"/>
      <c r="E202" s="1025"/>
      <c r="F202" s="1061"/>
      <c r="G202" s="1054"/>
      <c r="H202" s="1269"/>
      <c r="I202" s="1056"/>
      <c r="J202" s="1111"/>
      <c r="K202" s="1025"/>
    </row>
    <row r="203" spans="1:11">
      <c r="A203" s="1037"/>
      <c r="B203" s="1038"/>
      <c r="C203" s="1026"/>
      <c r="D203" s="1026"/>
      <c r="E203" s="1026"/>
      <c r="F203" s="1061"/>
      <c r="G203" s="1054"/>
      <c r="H203" s="1269"/>
      <c r="I203" s="1056"/>
      <c r="J203" s="1111"/>
      <c r="K203" s="1025"/>
    </row>
    <row r="204" spans="1:11" ht="15.75">
      <c r="A204" s="1037"/>
      <c r="B204" s="1038"/>
      <c r="C204" s="1026"/>
      <c r="D204" s="1026"/>
      <c r="E204" s="1026"/>
      <c r="F204" s="1059"/>
      <c r="G204" s="1059"/>
      <c r="H204" s="1269"/>
      <c r="I204" s="1056"/>
      <c r="J204" s="1111"/>
      <c r="K204" s="1115"/>
    </row>
    <row r="205" spans="1:11">
      <c r="A205" s="1037"/>
      <c r="B205" s="1038"/>
      <c r="C205" s="1026"/>
      <c r="D205" s="1026"/>
      <c r="E205" s="1026"/>
      <c r="F205" s="1059"/>
      <c r="G205" s="1059"/>
      <c r="H205" s="1269"/>
      <c r="I205" s="1056"/>
      <c r="J205" s="1111"/>
      <c r="K205" s="1025"/>
    </row>
    <row r="206" spans="1:11" ht="15.75">
      <c r="A206" s="1037"/>
      <c r="B206" s="1038"/>
      <c r="C206" s="1026"/>
      <c r="D206" s="1026"/>
      <c r="E206" s="1026"/>
      <c r="F206" s="1059"/>
      <c r="G206" s="1054"/>
      <c r="H206" s="1269"/>
      <c r="I206" s="1056"/>
      <c r="J206" s="1111"/>
      <c r="K206" s="1115"/>
    </row>
    <row r="207" spans="1:11" ht="15.75">
      <c r="A207" s="1037"/>
      <c r="B207" s="1038"/>
      <c r="C207" s="1026"/>
      <c r="D207" s="1026"/>
      <c r="E207" s="1026"/>
      <c r="F207" s="1059"/>
      <c r="G207" s="1054"/>
      <c r="H207" s="1269"/>
      <c r="I207" s="1056"/>
      <c r="J207" s="1111"/>
      <c r="K207" s="1115"/>
    </row>
    <row r="208" spans="1:11" ht="15.75">
      <c r="A208" s="1037"/>
      <c r="B208" s="1038"/>
      <c r="C208" s="1026"/>
      <c r="D208" s="1026"/>
      <c r="E208" s="1026"/>
      <c r="F208" s="1059"/>
      <c r="G208" s="1054"/>
      <c r="H208" s="1269"/>
      <c r="I208" s="1056"/>
      <c r="J208" s="1111"/>
      <c r="K208" s="1115"/>
    </row>
    <row r="209" spans="1:11" ht="15.75">
      <c r="A209" s="1037"/>
      <c r="B209" s="1038"/>
      <c r="C209" s="1026"/>
      <c r="D209" s="1026"/>
      <c r="E209" s="1026"/>
      <c r="F209" s="1059"/>
      <c r="G209" s="1054"/>
      <c r="H209" s="1269"/>
      <c r="I209" s="1056"/>
      <c r="J209" s="1111"/>
      <c r="K209" s="1115"/>
    </row>
    <row r="210" spans="1:11" ht="15.75">
      <c r="A210" s="1037"/>
      <c r="B210" s="1038"/>
      <c r="C210" s="1026"/>
      <c r="D210" s="1026"/>
      <c r="E210" s="1026"/>
      <c r="F210" s="1059"/>
      <c r="G210" s="1054"/>
      <c r="H210" s="1269"/>
      <c r="I210" s="1056"/>
      <c r="J210" s="1111"/>
      <c r="K210" s="1115"/>
    </row>
    <row r="211" spans="1:11" ht="15.75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115"/>
    </row>
    <row r="212" spans="1:11" ht="15.75">
      <c r="A212" s="1037"/>
      <c r="B212" s="1038"/>
      <c r="C212" s="1026"/>
      <c r="D212" s="1026"/>
      <c r="E212" s="1026"/>
      <c r="F212" s="1059"/>
      <c r="G212" s="1054"/>
      <c r="H212" s="1269"/>
      <c r="I212" s="1056"/>
      <c r="J212" s="1111"/>
      <c r="K212" s="1115"/>
    </row>
    <row r="213" spans="1:11" ht="15.75">
      <c r="A213" s="1037"/>
      <c r="B213" s="1038"/>
      <c r="C213" s="1026"/>
      <c r="D213" s="1026"/>
      <c r="E213" s="1026"/>
      <c r="F213" s="1059"/>
      <c r="G213" s="1054"/>
      <c r="H213" s="1269"/>
      <c r="I213" s="1056"/>
      <c r="J213" s="1111"/>
      <c r="K213" s="1115"/>
    </row>
    <row r="214" spans="1:11" ht="15.75">
      <c r="A214" s="1037"/>
      <c r="B214" s="1038"/>
      <c r="C214" s="1026"/>
      <c r="D214" s="1026"/>
      <c r="F214" s="1059"/>
      <c r="G214" s="1054"/>
      <c r="H214" s="1269"/>
      <c r="I214" s="1056"/>
      <c r="J214" s="1111"/>
      <c r="K214" s="1115"/>
    </row>
    <row r="215" spans="1:11" ht="15.75">
      <c r="A215" s="1037"/>
      <c r="B215" s="1038"/>
      <c r="C215" s="1026"/>
      <c r="D215" s="1026"/>
      <c r="E215" s="1026"/>
      <c r="F215" s="1059"/>
      <c r="G215" s="1054"/>
      <c r="H215" s="1269"/>
      <c r="I215" s="1056"/>
      <c r="J215" s="1111"/>
      <c r="K215" s="1115"/>
    </row>
    <row r="216" spans="1:11" ht="15.75">
      <c r="A216" s="1037"/>
      <c r="B216" s="1038"/>
      <c r="C216" s="1026"/>
      <c r="D216" s="1026"/>
      <c r="E216" s="1026"/>
      <c r="F216" s="1059"/>
      <c r="G216" s="1054"/>
      <c r="H216" s="1269"/>
      <c r="I216" s="1056"/>
      <c r="J216" s="1111"/>
      <c r="K216" s="1115"/>
    </row>
    <row r="217" spans="1:11" ht="15.75">
      <c r="A217" s="1037"/>
      <c r="B217" s="1038"/>
      <c r="C217" s="1026"/>
      <c r="D217" s="1026"/>
      <c r="E217" s="1026"/>
      <c r="F217" s="1059"/>
      <c r="G217" s="1054"/>
      <c r="H217" s="1269"/>
      <c r="I217" s="1056"/>
      <c r="J217" s="1111"/>
      <c r="K217" s="1115"/>
    </row>
    <row r="218" spans="1:11" ht="15.75">
      <c r="A218" s="1037"/>
      <c r="B218" s="1038"/>
      <c r="C218" s="1026"/>
      <c r="D218" s="1026"/>
      <c r="E218" s="1026"/>
      <c r="F218" s="1059"/>
      <c r="G218" s="1054"/>
      <c r="H218" s="1269"/>
      <c r="I218" s="1056"/>
      <c r="J218" s="1111"/>
      <c r="K218" s="1115"/>
    </row>
    <row r="219" spans="1:11">
      <c r="A219" s="1037"/>
      <c r="B219" s="1038"/>
      <c r="C219" s="1026"/>
      <c r="D219" s="1026"/>
      <c r="E219" s="1026"/>
      <c r="F219" s="1059"/>
      <c r="G219" s="1054"/>
      <c r="H219" s="1269"/>
      <c r="I219" s="1056"/>
      <c r="J219" s="1111"/>
      <c r="K219" s="1025"/>
    </row>
    <row r="220" spans="1:11">
      <c r="A220" s="1039"/>
      <c r="B220" s="1039"/>
      <c r="C220" s="1025"/>
      <c r="D220" s="1025"/>
      <c r="E220" s="1025"/>
      <c r="F220" s="1061"/>
      <c r="G220" s="1062"/>
      <c r="H220" s="1269"/>
      <c r="I220" s="1056"/>
      <c r="J220" s="1111"/>
      <c r="K220" s="1025"/>
    </row>
    <row r="221" spans="1:11">
      <c r="A221" s="1039"/>
      <c r="B221" s="1039"/>
      <c r="C221" s="1025"/>
      <c r="D221" s="1025"/>
      <c r="E221" s="1025"/>
      <c r="F221" s="1061"/>
      <c r="G221" s="1062"/>
      <c r="H221" s="1269"/>
      <c r="I221" s="1056"/>
      <c r="J221" s="1111"/>
      <c r="K221" s="1025"/>
    </row>
    <row r="222" spans="1:11">
      <c r="A222" s="1039"/>
      <c r="B222" s="1039"/>
      <c r="C222" s="1025"/>
      <c r="D222" s="1025"/>
      <c r="E222" s="1025"/>
      <c r="F222" s="1061"/>
      <c r="G222" s="1062"/>
      <c r="H222" s="1269"/>
      <c r="I222" s="1056"/>
      <c r="J222" s="1111"/>
      <c r="K222" s="1025"/>
    </row>
    <row r="223" spans="1:11">
      <c r="A223" s="1039"/>
      <c r="B223" s="1039"/>
      <c r="C223" s="1025"/>
      <c r="D223" s="1025"/>
      <c r="E223" s="1025"/>
      <c r="F223" s="1061"/>
      <c r="G223" s="1062"/>
      <c r="H223" s="1269"/>
      <c r="I223" s="1056"/>
      <c r="J223" s="1111"/>
      <c r="K223" s="1025"/>
    </row>
    <row r="224" spans="1:11">
      <c r="A224" s="1039"/>
      <c r="B224" s="1039"/>
      <c r="C224" s="1025"/>
      <c r="D224" s="1025"/>
      <c r="E224" s="1025"/>
      <c r="F224" s="1061"/>
      <c r="G224" s="1062"/>
      <c r="H224" s="1269"/>
      <c r="I224" s="1056"/>
      <c r="J224" s="1111"/>
      <c r="K224" s="1025"/>
    </row>
    <row r="225" spans="1:11">
      <c r="A225" s="1039"/>
      <c r="B225" s="1039"/>
      <c r="C225" s="1025"/>
      <c r="D225" s="1025"/>
      <c r="E225" s="1025"/>
      <c r="F225" s="1061"/>
      <c r="G225" s="1062"/>
      <c r="H225" s="1269"/>
      <c r="I225" s="1056"/>
      <c r="J225" s="1111"/>
      <c r="K225" s="1025"/>
    </row>
    <row r="226" spans="1:11">
      <c r="A226" s="1039"/>
      <c r="B226" s="1039"/>
      <c r="C226" s="1025"/>
      <c r="D226" s="1025"/>
      <c r="E226" s="1025"/>
      <c r="F226" s="1061"/>
      <c r="G226" s="1062"/>
      <c r="H226" s="1269"/>
      <c r="I226" s="1056"/>
      <c r="J226" s="1111"/>
      <c r="K226" s="1025"/>
    </row>
    <row r="227" spans="1:11">
      <c r="A227" s="1039"/>
      <c r="B227" s="1039"/>
      <c r="C227" s="1025"/>
      <c r="D227" s="1025"/>
      <c r="E227" s="1025"/>
      <c r="F227" s="1061"/>
      <c r="G227" s="1062"/>
      <c r="H227" s="1269"/>
      <c r="I227" s="1056"/>
      <c r="J227" s="1111"/>
      <c r="K227" s="1025"/>
    </row>
    <row r="228" spans="1:11">
      <c r="A228" s="1039"/>
      <c r="B228" s="1039"/>
      <c r="C228" s="1025"/>
      <c r="D228" s="1025"/>
      <c r="E228" s="1025"/>
      <c r="F228" s="1061"/>
      <c r="G228" s="1062"/>
      <c r="H228" s="1269"/>
      <c r="I228" s="1056"/>
      <c r="J228" s="1111"/>
      <c r="K228" s="1025"/>
    </row>
    <row r="229" spans="1:11">
      <c r="A229" s="1039"/>
      <c r="B229" s="1039"/>
      <c r="C229" s="1025"/>
      <c r="D229" s="1025"/>
      <c r="E229" s="1025"/>
      <c r="F229" s="1061"/>
      <c r="G229" s="1062"/>
      <c r="H229" s="1269"/>
      <c r="I229" s="1056"/>
      <c r="J229" s="1111"/>
      <c r="K229" s="1025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1025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1025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1025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1025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1025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1025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1025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1025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1025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1025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1025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1025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1025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1025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1025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1025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1025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1025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1025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1025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1025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1025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1025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1025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1025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1025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1025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1025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1025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1025"/>
    </row>
    <row r="260" spans="1:11">
      <c r="A260" s="1039"/>
      <c r="B260" s="1039"/>
      <c r="C260" s="1025"/>
      <c r="D260" s="1025"/>
      <c r="E260" s="1025"/>
      <c r="F260" s="1061"/>
      <c r="G260" s="1062"/>
      <c r="H260" s="1269"/>
      <c r="I260" s="1056"/>
      <c r="J260" s="1111"/>
      <c r="K260" s="1025"/>
    </row>
    <row r="261" spans="1:11">
      <c r="A261" s="1039"/>
      <c r="B261" s="1039"/>
      <c r="C261" s="1025"/>
      <c r="D261" s="1025"/>
      <c r="E261" s="1025"/>
      <c r="F261" s="1061"/>
      <c r="G261" s="1062"/>
      <c r="H261" s="1269"/>
      <c r="I261" s="1056"/>
      <c r="J261" s="1111"/>
      <c r="K261" s="1025"/>
    </row>
    <row r="262" spans="1:11">
      <c r="A262" s="1039"/>
      <c r="B262" s="1039"/>
      <c r="C262" s="1025"/>
      <c r="D262" s="1025"/>
      <c r="E262" s="1025"/>
      <c r="F262" s="1061"/>
      <c r="G262" s="1062"/>
      <c r="H262" s="1269"/>
      <c r="I262" s="1056"/>
      <c r="J262" s="1111"/>
      <c r="K262" s="1025"/>
    </row>
    <row r="263" spans="1:11">
      <c r="A263" s="1039"/>
      <c r="B263" s="1039"/>
      <c r="C263" s="1025"/>
      <c r="D263" s="1025"/>
      <c r="E263" s="1025"/>
      <c r="F263" s="1061"/>
      <c r="G263" s="1062"/>
      <c r="H263" s="1269"/>
      <c r="I263" s="1056"/>
      <c r="J263" s="1111"/>
      <c r="K263" s="1025"/>
    </row>
    <row r="264" spans="1:11">
      <c r="A264" s="1039"/>
      <c r="B264" s="1039"/>
      <c r="C264" s="1025"/>
      <c r="D264" s="1025"/>
      <c r="E264" s="1025"/>
      <c r="F264" s="1061"/>
      <c r="G264" s="1062"/>
      <c r="H264" s="1269"/>
      <c r="I264" s="1056"/>
      <c r="J264" s="1111"/>
      <c r="K264" s="1025"/>
    </row>
    <row r="265" spans="1:11">
      <c r="A265" s="1039"/>
      <c r="B265" s="1039"/>
      <c r="C265" s="1025"/>
      <c r="D265" s="1025"/>
      <c r="E265" s="1025"/>
      <c r="F265" s="1061"/>
      <c r="G265" s="1062"/>
      <c r="H265" s="1269"/>
      <c r="I265" s="1056"/>
      <c r="J265" s="1111"/>
      <c r="K265" s="1025"/>
    </row>
    <row r="266" spans="1:11">
      <c r="A266" s="1039"/>
      <c r="B266" s="1039"/>
      <c r="C266" s="1025"/>
      <c r="D266" s="1025"/>
      <c r="E266" s="1025"/>
      <c r="F266" s="1061"/>
      <c r="G266" s="1062"/>
      <c r="H266" s="1269"/>
      <c r="I266" s="1056"/>
      <c r="J266" s="1111"/>
      <c r="K266" s="1025"/>
    </row>
    <row r="267" spans="1:11">
      <c r="A267" s="1025"/>
      <c r="B267" s="1025"/>
      <c r="C267" s="1025"/>
      <c r="D267" s="1025"/>
      <c r="E267" s="1025"/>
      <c r="F267" s="1025"/>
      <c r="G267" s="1025"/>
      <c r="H267" s="1269"/>
      <c r="I267" s="1056"/>
      <c r="J267" s="1111"/>
      <c r="K267" s="1025"/>
    </row>
    <row r="268" spans="1:11">
      <c r="A268" s="1025"/>
      <c r="B268" s="1025"/>
      <c r="C268" s="1025"/>
      <c r="D268" s="1025"/>
      <c r="E268" s="1025"/>
      <c r="F268" s="1025"/>
      <c r="G268" s="1025"/>
      <c r="H268" s="1269"/>
      <c r="I268" s="1056"/>
      <c r="J268" s="1111"/>
      <c r="K268" s="1025"/>
    </row>
    <row r="269" spans="1:11">
      <c r="A269" s="1025"/>
      <c r="B269" s="1025"/>
      <c r="C269" s="1025"/>
      <c r="D269" s="1025"/>
      <c r="E269" s="1025"/>
      <c r="F269" s="1025"/>
      <c r="G269" s="1025"/>
      <c r="H269" s="1269"/>
      <c r="I269" s="1056"/>
      <c r="J269" s="1111"/>
      <c r="K269" s="1025"/>
    </row>
    <row r="270" spans="1:11">
      <c r="A270" s="1025"/>
      <c r="B270" s="1025"/>
      <c r="C270" s="1025"/>
      <c r="D270" s="1025"/>
      <c r="E270" s="1025"/>
      <c r="F270" s="1025"/>
      <c r="G270" s="1025"/>
      <c r="H270" s="1269"/>
      <c r="I270" s="1056"/>
      <c r="J270" s="1111"/>
      <c r="K270" s="1025"/>
    </row>
    <row r="271" spans="1:11">
      <c r="A271" s="1025"/>
      <c r="B271" s="1025"/>
      <c r="C271" s="1025"/>
      <c r="D271" s="1025"/>
      <c r="E271" s="1025"/>
      <c r="F271" s="1025"/>
      <c r="G271" s="1025"/>
      <c r="H271" s="1269"/>
      <c r="I271" s="1056"/>
      <c r="J271" s="1111"/>
      <c r="K271" s="1025"/>
    </row>
    <row r="272" spans="1:11">
      <c r="A272" s="1025"/>
      <c r="B272" s="1025"/>
      <c r="C272" s="1025"/>
      <c r="D272" s="1025"/>
      <c r="E272" s="1025"/>
      <c r="F272" s="1025"/>
      <c r="G272" s="1025"/>
      <c r="H272" s="1269"/>
      <c r="I272" s="1056"/>
      <c r="J272" s="1111"/>
      <c r="K272" s="1025"/>
    </row>
    <row r="273" spans="1:11">
      <c r="A273" s="1025"/>
      <c r="B273" s="1025"/>
      <c r="C273" s="1025"/>
      <c r="D273" s="1025"/>
      <c r="E273" s="1025"/>
      <c r="F273" s="1025"/>
      <c r="G273" s="1025"/>
      <c r="H273" s="1269"/>
      <c r="I273" s="1056"/>
      <c r="J273" s="1111"/>
      <c r="K273" s="1025"/>
    </row>
    <row r="274" spans="1:11">
      <c r="A274" s="1025"/>
      <c r="B274" s="1025"/>
      <c r="C274" s="1025"/>
      <c r="D274" s="1025"/>
      <c r="E274" s="1025"/>
      <c r="F274" s="1025"/>
      <c r="G274" s="1025"/>
      <c r="H274" s="1269"/>
      <c r="I274" s="1056"/>
      <c r="J274" s="1111"/>
      <c r="K274" s="1025"/>
    </row>
    <row r="275" spans="1:11">
      <c r="A275" s="1025"/>
      <c r="B275" s="1025"/>
      <c r="C275" s="1025"/>
      <c r="D275" s="1025"/>
      <c r="E275" s="1025"/>
      <c r="F275" s="1025"/>
      <c r="G275" s="1025"/>
      <c r="H275" s="1269"/>
      <c r="I275" s="1056"/>
      <c r="J275" s="1111"/>
      <c r="K275" s="1025"/>
    </row>
    <row r="276" spans="1:11">
      <c r="A276" s="1025"/>
      <c r="B276" s="1025"/>
      <c r="C276" s="1025"/>
      <c r="D276" s="1025"/>
      <c r="E276" s="1025"/>
      <c r="F276" s="1025"/>
      <c r="G276" s="1025"/>
      <c r="H276" s="1269"/>
      <c r="I276" s="1056"/>
      <c r="J276" s="1111"/>
      <c r="K276" s="1025"/>
    </row>
    <row r="277" spans="1:11">
      <c r="A277" s="1025"/>
      <c r="B277" s="1025"/>
      <c r="C277" s="1025"/>
      <c r="D277" s="1025"/>
      <c r="E277" s="1025"/>
      <c r="F277" s="1025"/>
      <c r="G277" s="1025"/>
      <c r="H277" s="1269"/>
      <c r="I277" s="1056"/>
      <c r="J277" s="1111"/>
      <c r="K277" s="1025"/>
    </row>
    <row r="278" spans="1:11">
      <c r="A278" s="1025"/>
      <c r="B278" s="1025"/>
      <c r="C278" s="1025"/>
      <c r="D278" s="1025"/>
      <c r="E278" s="1025"/>
      <c r="F278" s="1025"/>
      <c r="G278" s="1025"/>
      <c r="H278" s="1269"/>
      <c r="I278" s="1056"/>
      <c r="J278" s="1111"/>
      <c r="K278" s="1025"/>
    </row>
    <row r="279" spans="1:11">
      <c r="A279" s="1025"/>
      <c r="B279" s="1025"/>
      <c r="C279" s="1025"/>
      <c r="D279" s="1025"/>
      <c r="E279" s="1025"/>
      <c r="F279" s="1025"/>
      <c r="G279" s="1025"/>
      <c r="H279" s="1269"/>
      <c r="I279" s="1056"/>
      <c r="J279" s="1111"/>
      <c r="K279" s="1025"/>
    </row>
    <row r="280" spans="1:11">
      <c r="A280" s="1025"/>
      <c r="B280" s="1025"/>
      <c r="C280" s="1025"/>
      <c r="D280" s="1025"/>
      <c r="E280" s="1025"/>
      <c r="F280" s="1025"/>
      <c r="G280" s="1025"/>
      <c r="H280" s="1269"/>
      <c r="I280" s="1056"/>
      <c r="J280" s="1111"/>
      <c r="K280" s="1025"/>
    </row>
    <row r="281" spans="1:11" ht="15.75" thickBot="1">
      <c r="A281" s="1037"/>
      <c r="B281" s="1038"/>
      <c r="C281" s="1026"/>
      <c r="D281" s="1026"/>
      <c r="E281" s="1026"/>
      <c r="F281" s="1059"/>
      <c r="G281" s="1054"/>
      <c r="H281" s="1269"/>
      <c r="I281" s="1056"/>
      <c r="J281" s="1111"/>
      <c r="K281" s="1025"/>
    </row>
    <row r="282" spans="1:11" ht="20.25" thickBot="1">
      <c r="A282" s="1552"/>
      <c r="B282" s="1553"/>
      <c r="C282" s="1553"/>
      <c r="D282" s="1553"/>
      <c r="E282" s="1553"/>
      <c r="F282" s="1554">
        <f>SUM(F161:F169,F171:F281)</f>
        <v>0</v>
      </c>
      <c r="G282" s="1553"/>
      <c r="H282" s="1558">
        <f>SUM(H61:H281)</f>
        <v>0</v>
      </c>
      <c r="I282" s="1554">
        <f>SUM(I161:I281)</f>
        <v>0</v>
      </c>
      <c r="J282" s="1111"/>
      <c r="K282" s="1115"/>
    </row>
  </sheetData>
  <autoFilter ref="A1:K1" xr:uid="{BD283DB8-895C-4A7C-8F09-28E6910B90D8}">
    <sortState xmlns:xlrd2="http://schemas.microsoft.com/office/spreadsheetml/2017/richdata2" ref="A2:K51">
      <sortCondition ref="B1"/>
    </sortState>
  </autoFilter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58C6E-B70B-45FB-8F0C-BA5ADC1E9DF3}">
  <dimension ref="A1:K282"/>
  <sheetViews>
    <sheetView zoomScale="85" zoomScaleNormal="85" workbookViewId="0">
      <selection activeCell="C14" sqref="C14"/>
    </sheetView>
  </sheetViews>
  <sheetFormatPr defaultColWidth="9.140625" defaultRowHeight="15"/>
  <cols>
    <col min="1" max="1" width="15.140625" style="1032" bestFit="1" customWidth="1"/>
    <col min="2" max="2" width="13.5703125" style="1032" customWidth="1"/>
    <col min="3" max="3" width="44.5703125" style="1032" bestFit="1" customWidth="1"/>
    <col min="4" max="4" width="22.28515625" style="1032" bestFit="1" customWidth="1"/>
    <col min="5" max="5" width="11.5703125" style="1032" customWidth="1"/>
    <col min="6" max="6" width="22" style="1032" bestFit="1" customWidth="1"/>
    <col min="7" max="7" width="15" style="1032" customWidth="1"/>
    <col min="8" max="8" width="24.85546875" style="1032" bestFit="1" customWidth="1"/>
    <col min="9" max="9" width="23.28515625" style="1032" bestFit="1" customWidth="1"/>
    <col min="10" max="10" width="13.140625" style="1032" customWidth="1"/>
    <col min="11" max="11" width="16.5703125" style="1032" customWidth="1"/>
    <col min="12" max="16384" width="9.140625" style="1032"/>
  </cols>
  <sheetData>
    <row r="1" spans="1:11" ht="14.25" customHeight="1">
      <c r="A1" s="1575" t="s">
        <v>2519</v>
      </c>
      <c r="B1" s="1576" t="s">
        <v>2</v>
      </c>
      <c r="C1" s="1576" t="s">
        <v>3</v>
      </c>
      <c r="D1" s="1576" t="s">
        <v>4</v>
      </c>
      <c r="E1" s="1576" t="s">
        <v>5</v>
      </c>
      <c r="F1" s="1577" t="s">
        <v>644</v>
      </c>
      <c r="G1" s="1578" t="s">
        <v>555</v>
      </c>
      <c r="H1" s="1579" t="s">
        <v>7</v>
      </c>
      <c r="I1" s="1580" t="s">
        <v>307</v>
      </c>
      <c r="J1" s="1578" t="s">
        <v>370</v>
      </c>
      <c r="K1" s="1290" t="s">
        <v>442</v>
      </c>
    </row>
    <row r="2" spans="1:11" s="1031" customFormat="1" ht="15.75">
      <c r="A2" s="1040">
        <v>45897</v>
      </c>
      <c r="B2" s="1042">
        <v>46271</v>
      </c>
      <c r="C2" s="1030" t="s">
        <v>2964</v>
      </c>
      <c r="D2" s="1030" t="s">
        <v>448</v>
      </c>
      <c r="E2" s="1030" t="s">
        <v>10</v>
      </c>
      <c r="F2" s="1072">
        <v>4456.68</v>
      </c>
      <c r="G2" s="1073">
        <v>0.15</v>
      </c>
      <c r="H2" s="1067">
        <f t="shared" ref="H2:H23" si="0">F2*G2*(1-10%)</f>
        <v>601.65180000000009</v>
      </c>
      <c r="I2" s="1068">
        <f>60.16+6</f>
        <v>66.16</v>
      </c>
      <c r="J2" s="1112" t="s">
        <v>2070</v>
      </c>
      <c r="K2" s="1601" t="s">
        <v>2965</v>
      </c>
    </row>
    <row r="3" spans="1:11" s="1031" customFormat="1" ht="15.75">
      <c r="A3" s="1040">
        <v>45898</v>
      </c>
      <c r="B3" s="1042">
        <v>46275</v>
      </c>
      <c r="C3" s="1030" t="s">
        <v>2973</v>
      </c>
      <c r="D3" s="1030" t="s">
        <v>25</v>
      </c>
      <c r="E3" s="1030" t="s">
        <v>29</v>
      </c>
      <c r="F3" s="1072">
        <v>1722.08</v>
      </c>
      <c r="G3" s="1073">
        <v>0.1</v>
      </c>
      <c r="H3" s="1067">
        <f t="shared" si="0"/>
        <v>154.9872</v>
      </c>
      <c r="I3" s="1068">
        <v>15.49</v>
      </c>
      <c r="J3" s="1112" t="s">
        <v>2070</v>
      </c>
      <c r="K3" s="1601" t="s">
        <v>2015</v>
      </c>
    </row>
    <row r="4" spans="1:11" s="1031" customFormat="1">
      <c r="A4" s="1041">
        <v>45912</v>
      </c>
      <c r="B4" s="1041">
        <v>46277</v>
      </c>
      <c r="C4" s="1027" t="s">
        <v>2977</v>
      </c>
      <c r="D4" s="1027" t="s">
        <v>9</v>
      </c>
      <c r="E4" s="1027" t="s">
        <v>279</v>
      </c>
      <c r="F4" s="1065">
        <v>3203.28</v>
      </c>
      <c r="G4" s="1066">
        <v>0.2</v>
      </c>
      <c r="H4" s="1067">
        <f t="shared" si="0"/>
        <v>576.59040000000005</v>
      </c>
      <c r="I4" s="1243">
        <v>57.65</v>
      </c>
      <c r="J4" s="1027" t="s">
        <v>2070</v>
      </c>
      <c r="K4" s="1027" t="s">
        <v>2010</v>
      </c>
    </row>
    <row r="5" spans="1:11" s="1031" customFormat="1" ht="15.75">
      <c r="A5" s="1040">
        <v>45912</v>
      </c>
      <c r="B5" s="1042">
        <v>46277</v>
      </c>
      <c r="C5" s="1027" t="s">
        <v>2978</v>
      </c>
      <c r="D5" s="1030" t="s">
        <v>14</v>
      </c>
      <c r="E5" s="1030" t="s">
        <v>22</v>
      </c>
      <c r="F5" s="1120">
        <v>2810.28</v>
      </c>
      <c r="G5" s="1073">
        <v>0.15</v>
      </c>
      <c r="H5" s="1067">
        <f t="shared" si="0"/>
        <v>379.38780000000003</v>
      </c>
      <c r="I5" s="1068">
        <v>37.93</v>
      </c>
      <c r="J5" s="1112" t="s">
        <v>2070</v>
      </c>
      <c r="K5" s="1117" t="s">
        <v>2015</v>
      </c>
    </row>
    <row r="6" spans="1:11" s="1027" customFormat="1" ht="15.75">
      <c r="A6" s="1041">
        <v>45918</v>
      </c>
      <c r="B6" s="1041">
        <v>46281</v>
      </c>
      <c r="C6" s="1027" t="s">
        <v>2990</v>
      </c>
      <c r="D6" s="1027" t="s">
        <v>2472</v>
      </c>
      <c r="E6" s="1027" t="s">
        <v>19</v>
      </c>
      <c r="F6" s="1065">
        <v>3428.43</v>
      </c>
      <c r="G6" s="1066">
        <v>0.1</v>
      </c>
      <c r="H6" s="1067">
        <f t="shared" si="0"/>
        <v>308.55870000000004</v>
      </c>
      <c r="I6" s="1243">
        <v>30.85</v>
      </c>
      <c r="J6" s="1027" t="s">
        <v>2070</v>
      </c>
      <c r="K6" s="1117" t="s">
        <v>2010</v>
      </c>
    </row>
    <row r="7" spans="1:11" s="1027" customFormat="1" ht="15.75">
      <c r="A7" s="1041">
        <v>45919</v>
      </c>
      <c r="B7" s="1041">
        <v>46286</v>
      </c>
      <c r="C7" s="1027" t="s">
        <v>2992</v>
      </c>
      <c r="D7" s="1027" t="s">
        <v>1862</v>
      </c>
      <c r="E7" s="1027" t="s">
        <v>10</v>
      </c>
      <c r="F7" s="1065">
        <v>2293.54</v>
      </c>
      <c r="G7" s="1066">
        <v>0.1</v>
      </c>
      <c r="H7" s="1067">
        <f t="shared" si="0"/>
        <v>206.41860000000003</v>
      </c>
      <c r="I7" s="1243">
        <v>20.64</v>
      </c>
      <c r="J7" s="1027" t="s">
        <v>2070</v>
      </c>
      <c r="K7" s="1117" t="s">
        <v>2015</v>
      </c>
    </row>
    <row r="8" spans="1:11" s="1031" customFormat="1" ht="15.75">
      <c r="A8" s="1124">
        <v>45916</v>
      </c>
      <c r="B8" s="1125">
        <v>46286</v>
      </c>
      <c r="C8" s="1028" t="s">
        <v>2986</v>
      </c>
      <c r="D8" s="1028" t="s">
        <v>9</v>
      </c>
      <c r="E8" s="1028" t="s">
        <v>948</v>
      </c>
      <c r="F8" s="1126">
        <v>1458.28</v>
      </c>
      <c r="G8" s="1127">
        <v>0.1</v>
      </c>
      <c r="H8" s="1067">
        <f t="shared" si="0"/>
        <v>131.24520000000001</v>
      </c>
      <c r="I8" s="1129">
        <v>13.12</v>
      </c>
      <c r="J8" s="1130" t="s">
        <v>2070</v>
      </c>
      <c r="K8" s="1468" t="s">
        <v>2015</v>
      </c>
    </row>
    <row r="9" spans="1:11" s="1464" customFormat="1" ht="15.75">
      <c r="A9" s="1040">
        <v>45922</v>
      </c>
      <c r="B9" s="1042">
        <v>46287</v>
      </c>
      <c r="C9" s="1030" t="s">
        <v>2994</v>
      </c>
      <c r="D9" s="1030" t="s">
        <v>25</v>
      </c>
      <c r="E9" s="1030" t="s">
        <v>22</v>
      </c>
      <c r="F9" s="1072">
        <v>2986.94</v>
      </c>
      <c r="G9" s="1073">
        <v>0.15</v>
      </c>
      <c r="H9" s="1067">
        <f t="shared" si="0"/>
        <v>403.23689999999999</v>
      </c>
      <c r="I9" s="1068">
        <v>6</v>
      </c>
      <c r="J9" s="1112" t="s">
        <v>2070</v>
      </c>
      <c r="K9" s="1117" t="s">
        <v>2015</v>
      </c>
    </row>
    <row r="10" spans="1:11" s="1464" customFormat="1" ht="15" customHeight="1">
      <c r="A10" s="1040">
        <v>45930</v>
      </c>
      <c r="B10" s="1042">
        <v>46295</v>
      </c>
      <c r="C10" s="1030" t="s">
        <v>3007</v>
      </c>
      <c r="D10" s="1030" t="s">
        <v>448</v>
      </c>
      <c r="E10" s="1030" t="s">
        <v>29</v>
      </c>
      <c r="F10" s="1512">
        <v>2733.76</v>
      </c>
      <c r="G10" s="1073">
        <v>0.2</v>
      </c>
      <c r="H10" s="1067">
        <f t="shared" si="0"/>
        <v>492.07680000000005</v>
      </c>
      <c r="I10" s="1068">
        <v>49.2</v>
      </c>
      <c r="J10" s="1112" t="s">
        <v>2070</v>
      </c>
      <c r="K10" s="1117" t="s">
        <v>2015</v>
      </c>
    </row>
    <row r="11" spans="1:11" s="1464" customFormat="1" ht="15.75">
      <c r="A11" s="1223">
        <v>45908</v>
      </c>
      <c r="B11" s="1472">
        <v>46273</v>
      </c>
      <c r="C11" s="1225" t="s">
        <v>2984</v>
      </c>
      <c r="D11" s="1225" t="s">
        <v>448</v>
      </c>
      <c r="E11" s="1225" t="s">
        <v>19</v>
      </c>
      <c r="F11" s="1477">
        <v>1775.08</v>
      </c>
      <c r="G11" s="1480">
        <v>0.15</v>
      </c>
      <c r="H11" s="1226">
        <f t="shared" si="0"/>
        <v>239.63580000000002</v>
      </c>
      <c r="I11" s="1227">
        <v>119.81</v>
      </c>
      <c r="J11" s="1228" t="s">
        <v>1996</v>
      </c>
      <c r="K11" s="1231" t="s">
        <v>2015</v>
      </c>
    </row>
    <row r="12" spans="1:11" s="1464" customFormat="1" ht="15.75">
      <c r="A12" s="1223">
        <v>45912</v>
      </c>
      <c r="B12" s="1472">
        <v>46277</v>
      </c>
      <c r="C12" s="1224" t="s">
        <v>2983</v>
      </c>
      <c r="D12" s="1224" t="s">
        <v>448</v>
      </c>
      <c r="E12" s="1224" t="s">
        <v>10</v>
      </c>
      <c r="F12" s="1407">
        <v>14199.51</v>
      </c>
      <c r="G12" s="1409">
        <v>0.15</v>
      </c>
      <c r="H12" s="1226">
        <f t="shared" si="0"/>
        <v>1916.9338500000001</v>
      </c>
      <c r="I12" s="1227">
        <v>958.46</v>
      </c>
      <c r="J12" s="1228" t="s">
        <v>1996</v>
      </c>
      <c r="K12" s="1231" t="s">
        <v>2356</v>
      </c>
    </row>
    <row r="13" spans="1:11" s="1600" customFormat="1">
      <c r="A13" s="1223">
        <v>45912</v>
      </c>
      <c r="B13" s="1472">
        <v>46280</v>
      </c>
      <c r="C13" s="1224" t="s">
        <v>2982</v>
      </c>
      <c r="D13" s="1224" t="s">
        <v>448</v>
      </c>
      <c r="E13" s="1224" t="s">
        <v>19</v>
      </c>
      <c r="F13" s="1407">
        <v>4193.46</v>
      </c>
      <c r="G13" s="1409">
        <v>0.1</v>
      </c>
      <c r="H13" s="1226">
        <f t="shared" si="0"/>
        <v>377.41140000000001</v>
      </c>
      <c r="I13" s="1227">
        <v>188.7</v>
      </c>
      <c r="J13" s="1228" t="s">
        <v>1996</v>
      </c>
      <c r="K13" s="1224" t="s">
        <v>2274</v>
      </c>
    </row>
    <row r="14" spans="1:11" s="1600" customFormat="1" ht="15.75">
      <c r="A14" s="1223">
        <v>45918</v>
      </c>
      <c r="B14" s="1472">
        <v>46284</v>
      </c>
      <c r="C14" s="1225" t="s">
        <v>2991</v>
      </c>
      <c r="D14" s="1225" t="s">
        <v>70</v>
      </c>
      <c r="E14" s="1224" t="s">
        <v>279</v>
      </c>
      <c r="F14" s="1407">
        <v>574.36</v>
      </c>
      <c r="G14" s="1409">
        <v>0.15</v>
      </c>
      <c r="H14" s="1226">
        <f t="shared" si="0"/>
        <v>77.538600000000002</v>
      </c>
      <c r="I14" s="1227">
        <f>77.54/2</f>
        <v>38.770000000000003</v>
      </c>
      <c r="J14" s="1228" t="s">
        <v>1996</v>
      </c>
      <c r="K14" s="1231" t="s">
        <v>2015</v>
      </c>
    </row>
    <row r="15" spans="1:11" s="1031" customFormat="1" ht="15.75">
      <c r="A15" s="1367">
        <v>45909</v>
      </c>
      <c r="B15" s="1390">
        <v>46274</v>
      </c>
      <c r="C15" s="1380" t="s">
        <v>1864</v>
      </c>
      <c r="D15" s="1368" t="s">
        <v>9</v>
      </c>
      <c r="E15" s="1380" t="s">
        <v>1310</v>
      </c>
      <c r="F15" s="1381">
        <v>3450.9</v>
      </c>
      <c r="G15" s="1384">
        <v>0.1</v>
      </c>
      <c r="H15" s="1340">
        <f t="shared" si="0"/>
        <v>310.58100000000002</v>
      </c>
      <c r="I15" s="1369">
        <v>155.29</v>
      </c>
      <c r="J15" s="1370" t="s">
        <v>1759</v>
      </c>
      <c r="K15" s="1341" t="s">
        <v>2015</v>
      </c>
    </row>
    <row r="16" spans="1:11" ht="15.75">
      <c r="A16" s="1367">
        <v>45917</v>
      </c>
      <c r="B16" s="1390">
        <v>46283</v>
      </c>
      <c r="C16" s="1380" t="s">
        <v>2672</v>
      </c>
      <c r="D16" s="1368" t="s">
        <v>1862</v>
      </c>
      <c r="E16" s="1380" t="s">
        <v>29</v>
      </c>
      <c r="F16" s="1381">
        <v>1312.6</v>
      </c>
      <c r="G16" s="1384">
        <v>0.15</v>
      </c>
      <c r="H16" s="1340">
        <f t="shared" si="0"/>
        <v>177.20099999999999</v>
      </c>
      <c r="I16" s="1369">
        <f>177.2/2</f>
        <v>88.6</v>
      </c>
      <c r="J16" s="1370" t="s">
        <v>1759</v>
      </c>
      <c r="K16" s="1341" t="s">
        <v>2015</v>
      </c>
    </row>
    <row r="17" spans="1:11" ht="15.75">
      <c r="A17" s="1037">
        <v>45898</v>
      </c>
      <c r="B17" s="1038">
        <v>46268</v>
      </c>
      <c r="C17" s="1025" t="s">
        <v>2972</v>
      </c>
      <c r="D17" s="1026" t="s">
        <v>1862</v>
      </c>
      <c r="E17" s="1025" t="s">
        <v>29</v>
      </c>
      <c r="F17" s="1061">
        <v>2220.92</v>
      </c>
      <c r="G17" s="1062">
        <v>0.1</v>
      </c>
      <c r="H17" s="1055">
        <f t="shared" si="0"/>
        <v>199.8828</v>
      </c>
      <c r="I17" s="1056"/>
      <c r="J17" s="1111"/>
      <c r="K17" s="1115" t="s">
        <v>2015</v>
      </c>
    </row>
    <row r="18" spans="1:11" ht="15.75">
      <c r="A18" s="1039">
        <v>45896</v>
      </c>
      <c r="B18" s="1039">
        <v>46270</v>
      </c>
      <c r="C18" s="1025" t="s">
        <v>2325</v>
      </c>
      <c r="D18" s="1025" t="s">
        <v>9</v>
      </c>
      <c r="E18" s="1025" t="s">
        <v>1310</v>
      </c>
      <c r="F18" s="1104">
        <v>3680.56</v>
      </c>
      <c r="G18" s="1062">
        <v>0.1</v>
      </c>
      <c r="H18" s="1055">
        <f t="shared" si="0"/>
        <v>331.25040000000007</v>
      </c>
      <c r="I18" s="1056"/>
      <c r="J18" s="1111"/>
      <c r="K18" s="1115" t="s">
        <v>2015</v>
      </c>
    </row>
    <row r="19" spans="1:11" ht="15.75">
      <c r="A19" s="1039">
        <v>45905</v>
      </c>
      <c r="B19" s="1039">
        <v>46270</v>
      </c>
      <c r="C19" s="1025" t="s">
        <v>2979</v>
      </c>
      <c r="D19" s="1025" t="s">
        <v>9</v>
      </c>
      <c r="E19" s="1025" t="s">
        <v>10</v>
      </c>
      <c r="F19" s="1023">
        <v>3667.99</v>
      </c>
      <c r="G19" s="1062">
        <v>0.1</v>
      </c>
      <c r="H19" s="1055">
        <f t="shared" si="0"/>
        <v>330.1191</v>
      </c>
      <c r="I19" s="1056"/>
      <c r="J19" s="1111"/>
      <c r="K19" s="1115" t="s">
        <v>1472</v>
      </c>
    </row>
    <row r="20" spans="1:11" ht="15.75">
      <c r="A20" s="1037">
        <v>45896</v>
      </c>
      <c r="B20" s="1039">
        <v>46271</v>
      </c>
      <c r="C20" s="1025" t="s">
        <v>2962</v>
      </c>
      <c r="D20" s="1026" t="s">
        <v>9</v>
      </c>
      <c r="E20" s="1025" t="s">
        <v>29</v>
      </c>
      <c r="F20" s="1071">
        <v>2023.18</v>
      </c>
      <c r="G20" s="1062">
        <v>0.1</v>
      </c>
      <c r="H20" s="1055">
        <f t="shared" si="0"/>
        <v>182.08620000000002</v>
      </c>
      <c r="I20" s="1056"/>
      <c r="J20" s="1111"/>
      <c r="K20" s="1115" t="s">
        <v>2015</v>
      </c>
    </row>
    <row r="21" spans="1:11" ht="15.75">
      <c r="A21" s="1037">
        <v>45908</v>
      </c>
      <c r="B21" s="1039">
        <v>46273</v>
      </c>
      <c r="C21" s="1025" t="s">
        <v>2975</v>
      </c>
      <c r="D21" s="1026" t="s">
        <v>70</v>
      </c>
      <c r="E21" s="1025" t="s">
        <v>279</v>
      </c>
      <c r="F21" s="1061">
        <v>1834.53</v>
      </c>
      <c r="G21" s="1062">
        <v>0.1</v>
      </c>
      <c r="H21" s="1055">
        <f t="shared" si="0"/>
        <v>165.10769999999999</v>
      </c>
      <c r="I21" s="1056"/>
      <c r="J21" s="1111"/>
      <c r="K21" s="1115" t="s">
        <v>2015</v>
      </c>
    </row>
    <row r="22" spans="1:11" ht="15.75">
      <c r="A22" s="1037">
        <v>45896</v>
      </c>
      <c r="B22" s="1039">
        <v>46276</v>
      </c>
      <c r="C22" s="1025" t="s">
        <v>2963</v>
      </c>
      <c r="D22" s="1026" t="s">
        <v>9</v>
      </c>
      <c r="E22" s="1025" t="s">
        <v>19</v>
      </c>
      <c r="F22" s="1061">
        <v>2030.49</v>
      </c>
      <c r="G22" s="1062">
        <v>0.1</v>
      </c>
      <c r="H22" s="1055">
        <f t="shared" si="0"/>
        <v>182.7441</v>
      </c>
      <c r="I22" s="1056"/>
      <c r="J22" s="1111"/>
      <c r="K22" s="1115" t="s">
        <v>2015</v>
      </c>
    </row>
    <row r="23" spans="1:11" ht="15.75">
      <c r="A23" s="1039">
        <v>45910</v>
      </c>
      <c r="B23" s="1039">
        <v>46277</v>
      </c>
      <c r="C23" s="1025" t="s">
        <v>2974</v>
      </c>
      <c r="D23" s="1025" t="s">
        <v>381</v>
      </c>
      <c r="E23" s="1025" t="s">
        <v>279</v>
      </c>
      <c r="F23" s="1061">
        <v>872.96</v>
      </c>
      <c r="G23" s="1062">
        <v>0.15</v>
      </c>
      <c r="H23" s="1055">
        <f t="shared" si="0"/>
        <v>117.8496</v>
      </c>
      <c r="I23" s="1242"/>
      <c r="J23" s="1025"/>
      <c r="K23" s="1115" t="s">
        <v>1472</v>
      </c>
    </row>
    <row r="24" spans="1:11" ht="15.75">
      <c r="A24" s="1037">
        <v>45912</v>
      </c>
      <c r="B24" s="1039">
        <v>46277</v>
      </c>
      <c r="C24" s="1032" t="s">
        <v>2996</v>
      </c>
      <c r="D24" s="1026" t="s">
        <v>25</v>
      </c>
      <c r="E24" s="1026" t="s">
        <v>279</v>
      </c>
      <c r="F24" s="1071">
        <v>583.73</v>
      </c>
      <c r="G24" s="1062">
        <v>0.1</v>
      </c>
      <c r="H24" s="1055">
        <v>52.53</v>
      </c>
      <c r="I24" s="1056"/>
      <c r="J24" s="1111"/>
      <c r="K24" s="1115" t="s">
        <v>2015</v>
      </c>
    </row>
    <row r="25" spans="1:11" ht="15.75">
      <c r="A25" s="1037">
        <v>45909</v>
      </c>
      <c r="B25" s="1038">
        <v>46278</v>
      </c>
      <c r="C25" s="1025" t="s">
        <v>2976</v>
      </c>
      <c r="D25" s="1026" t="s">
        <v>9</v>
      </c>
      <c r="E25" s="1026" t="s">
        <v>279</v>
      </c>
      <c r="F25" s="1059">
        <v>1246.3800000000001</v>
      </c>
      <c r="G25" s="1054">
        <v>0.1</v>
      </c>
      <c r="H25" s="1055">
        <f t="shared" ref="H25:H60" si="1">F25*G25*(1-10%)</f>
        <v>112.17420000000001</v>
      </c>
      <c r="I25" s="1056"/>
      <c r="J25" s="1111"/>
      <c r="K25" s="1115" t="s">
        <v>1472</v>
      </c>
    </row>
    <row r="26" spans="1:11" ht="15.75">
      <c r="A26" s="1037">
        <v>45898</v>
      </c>
      <c r="B26" s="1038">
        <v>46279</v>
      </c>
      <c r="C26" s="1025" t="s">
        <v>2968</v>
      </c>
      <c r="D26" s="1026" t="s">
        <v>25</v>
      </c>
      <c r="E26" s="1026" t="s">
        <v>948</v>
      </c>
      <c r="F26" s="1059">
        <v>1702.36</v>
      </c>
      <c r="G26" s="1054">
        <v>0.15</v>
      </c>
      <c r="H26" s="1055">
        <f t="shared" si="1"/>
        <v>229.8186</v>
      </c>
      <c r="I26" s="1056"/>
      <c r="J26" s="1111"/>
      <c r="K26" s="1115" t="s">
        <v>2015</v>
      </c>
    </row>
    <row r="27" spans="1:11" ht="15.75">
      <c r="A27" s="1037">
        <v>45915</v>
      </c>
      <c r="B27" s="1038">
        <v>46280</v>
      </c>
      <c r="C27" s="1025" t="s">
        <v>2981</v>
      </c>
      <c r="D27" s="1026" t="s">
        <v>448</v>
      </c>
      <c r="E27" s="1026" t="s">
        <v>10</v>
      </c>
      <c r="F27" s="1059">
        <v>1270.17</v>
      </c>
      <c r="G27" s="1054">
        <v>0.2</v>
      </c>
      <c r="H27" s="1055">
        <f t="shared" si="1"/>
        <v>228.63060000000002</v>
      </c>
      <c r="I27" s="1056"/>
      <c r="J27" s="1111"/>
      <c r="K27" s="1115" t="s">
        <v>2015</v>
      </c>
    </row>
    <row r="28" spans="1:11" ht="15.75">
      <c r="A28" s="1039">
        <v>45915</v>
      </c>
      <c r="B28" s="1039">
        <v>46282</v>
      </c>
      <c r="C28" s="1025" t="s">
        <v>2980</v>
      </c>
      <c r="D28" s="1025" t="s">
        <v>25</v>
      </c>
      <c r="E28" s="1025" t="s">
        <v>10</v>
      </c>
      <c r="F28" s="1023">
        <v>1685.82</v>
      </c>
      <c r="G28" s="1062">
        <v>0.1</v>
      </c>
      <c r="H28" s="1055">
        <f t="shared" si="1"/>
        <v>151.72380000000001</v>
      </c>
      <c r="I28" s="1242"/>
      <c r="J28" s="1025"/>
      <c r="K28" s="1115" t="s">
        <v>2015</v>
      </c>
    </row>
    <row r="29" spans="1:11" s="1031" customFormat="1">
      <c r="A29" s="1037">
        <v>45917</v>
      </c>
      <c r="B29" s="1038">
        <v>46282</v>
      </c>
      <c r="C29" s="1039" t="s">
        <v>1522</v>
      </c>
      <c r="D29" s="1038" t="s">
        <v>1862</v>
      </c>
      <c r="E29" s="1038" t="s">
        <v>29</v>
      </c>
      <c r="F29" s="1053">
        <v>2279.86</v>
      </c>
      <c r="G29" s="1054">
        <v>0.15</v>
      </c>
      <c r="H29" s="1055">
        <f t="shared" si="1"/>
        <v>307.78109999999998</v>
      </c>
      <c r="I29" s="1089"/>
      <c r="J29" s="1325"/>
      <c r="K29" s="1039" t="s">
        <v>2015</v>
      </c>
    </row>
    <row r="30" spans="1:11" ht="15.75">
      <c r="A30" s="1037">
        <v>45917</v>
      </c>
      <c r="B30" s="1038">
        <v>46283</v>
      </c>
      <c r="C30" s="1026" t="s">
        <v>2989</v>
      </c>
      <c r="D30" s="1026" t="s">
        <v>9</v>
      </c>
      <c r="E30" s="1026" t="s">
        <v>10</v>
      </c>
      <c r="F30" s="1135">
        <v>1231.43</v>
      </c>
      <c r="G30" s="1054">
        <v>0.1</v>
      </c>
      <c r="H30" s="1055">
        <f t="shared" si="1"/>
        <v>110.82870000000001</v>
      </c>
      <c r="I30" s="1056"/>
      <c r="J30" s="1111"/>
      <c r="K30" s="1115" t="s">
        <v>2015</v>
      </c>
    </row>
    <row r="31" spans="1:11" ht="15.75">
      <c r="A31" s="1037">
        <v>45901</v>
      </c>
      <c r="B31" s="1038">
        <v>46286</v>
      </c>
      <c r="C31" s="1026" t="s">
        <v>2985</v>
      </c>
      <c r="D31" s="1026" t="s">
        <v>9</v>
      </c>
      <c r="E31" s="1026" t="s">
        <v>19</v>
      </c>
      <c r="F31" s="1059">
        <v>1818.35</v>
      </c>
      <c r="G31" s="1054">
        <v>0.15</v>
      </c>
      <c r="H31" s="1055">
        <f t="shared" si="1"/>
        <v>245.47725</v>
      </c>
      <c r="I31" s="1056"/>
      <c r="J31" s="1111"/>
      <c r="K31" s="1115" t="s">
        <v>2015</v>
      </c>
    </row>
    <row r="32" spans="1:11">
      <c r="A32" s="1037">
        <v>45916</v>
      </c>
      <c r="B32" s="1038">
        <v>46286</v>
      </c>
      <c r="C32" s="1025" t="s">
        <v>2987</v>
      </c>
      <c r="D32" s="1026" t="s">
        <v>448</v>
      </c>
      <c r="E32" s="1026" t="s">
        <v>10</v>
      </c>
      <c r="F32" s="1053">
        <v>1764.01</v>
      </c>
      <c r="G32" s="1054">
        <v>0.1</v>
      </c>
      <c r="H32" s="1055">
        <f t="shared" si="1"/>
        <v>158.76090000000002</v>
      </c>
      <c r="I32" s="1056"/>
      <c r="J32" s="1111"/>
      <c r="K32" s="1025" t="s">
        <v>2015</v>
      </c>
    </row>
    <row r="33" spans="1:11" ht="15.75">
      <c r="A33" s="1037">
        <v>45923</v>
      </c>
      <c r="B33" s="1038">
        <v>46288</v>
      </c>
      <c r="C33" s="1026" t="s">
        <v>1309</v>
      </c>
      <c r="D33" s="1026" t="s">
        <v>25</v>
      </c>
      <c r="E33" s="1025" t="s">
        <v>29</v>
      </c>
      <c r="F33" s="903">
        <v>1446.99</v>
      </c>
      <c r="G33" s="1062">
        <v>0.1</v>
      </c>
      <c r="H33" s="1055">
        <f t="shared" si="1"/>
        <v>130.22910000000002</v>
      </c>
      <c r="I33" s="1056"/>
      <c r="J33" s="1111"/>
      <c r="K33" s="1115" t="s">
        <v>2015</v>
      </c>
    </row>
    <row r="34" spans="1:11" ht="15.75">
      <c r="A34" s="1037">
        <v>45917</v>
      </c>
      <c r="B34" s="1038">
        <v>46289</v>
      </c>
      <c r="C34" s="1026" t="s">
        <v>2988</v>
      </c>
      <c r="D34" s="1026" t="s">
        <v>9</v>
      </c>
      <c r="E34" s="1026" t="s">
        <v>17</v>
      </c>
      <c r="F34" s="1059">
        <v>1228.3800000000001</v>
      </c>
      <c r="G34" s="1054">
        <v>0.15</v>
      </c>
      <c r="H34" s="1055">
        <f t="shared" si="1"/>
        <v>165.8313</v>
      </c>
      <c r="I34" s="1056"/>
      <c r="J34" s="1111"/>
      <c r="K34" s="1115" t="s">
        <v>2015</v>
      </c>
    </row>
    <row r="35" spans="1:11" ht="15.75">
      <c r="A35" s="1037">
        <v>45926</v>
      </c>
      <c r="B35" s="1039">
        <v>46291</v>
      </c>
      <c r="C35" s="1025" t="s">
        <v>2997</v>
      </c>
      <c r="D35" s="1026" t="s">
        <v>9</v>
      </c>
      <c r="E35" s="1025" t="s">
        <v>2998</v>
      </c>
      <c r="F35" s="1023">
        <v>4777.1000000000004</v>
      </c>
      <c r="G35" s="1062">
        <v>0.1</v>
      </c>
      <c r="H35" s="1055">
        <f t="shared" si="1"/>
        <v>429.93900000000002</v>
      </c>
      <c r="I35" s="1056"/>
      <c r="J35" s="1111"/>
      <c r="K35" s="1115" t="s">
        <v>2274</v>
      </c>
    </row>
    <row r="36" spans="1:11" ht="15.75">
      <c r="A36" s="1037">
        <v>45922</v>
      </c>
      <c r="B36" s="1038">
        <v>46292</v>
      </c>
      <c r="C36" s="1026" t="s">
        <v>2995</v>
      </c>
      <c r="D36" s="1026" t="s">
        <v>1924</v>
      </c>
      <c r="E36" s="1026" t="s">
        <v>19</v>
      </c>
      <c r="F36" s="1848">
        <v>2510.0100000000002</v>
      </c>
      <c r="G36" s="1054">
        <v>0.1</v>
      </c>
      <c r="H36" s="1055">
        <f t="shared" si="1"/>
        <v>225.90090000000004</v>
      </c>
      <c r="I36" s="1056"/>
      <c r="J36" s="1111"/>
      <c r="K36" s="1115" t="s">
        <v>2015</v>
      </c>
    </row>
    <row r="37" spans="1:11" ht="15.75">
      <c r="A37" s="1037">
        <v>45923</v>
      </c>
      <c r="B37" s="1038">
        <v>46292</v>
      </c>
      <c r="C37" s="1026" t="s">
        <v>345</v>
      </c>
      <c r="D37" s="1026" t="s">
        <v>1862</v>
      </c>
      <c r="E37" s="1026" t="s">
        <v>29</v>
      </c>
      <c r="F37" s="1059">
        <v>2416.14</v>
      </c>
      <c r="G37" s="1054">
        <v>0.15</v>
      </c>
      <c r="H37" s="1055">
        <f t="shared" si="1"/>
        <v>326.1789</v>
      </c>
      <c r="I37" s="1056"/>
      <c r="J37" s="1111"/>
      <c r="K37" s="1115" t="s">
        <v>2015</v>
      </c>
    </row>
    <row r="38" spans="1:11" ht="15.75">
      <c r="A38" s="1037">
        <v>45926</v>
      </c>
      <c r="B38" s="1038">
        <v>46292</v>
      </c>
      <c r="C38" s="1026" t="s">
        <v>2999</v>
      </c>
      <c r="D38" s="1026" t="s">
        <v>9</v>
      </c>
      <c r="E38" s="1026" t="s">
        <v>90</v>
      </c>
      <c r="F38" s="1059">
        <v>1189.52</v>
      </c>
      <c r="G38" s="1054">
        <v>0.15</v>
      </c>
      <c r="H38" s="1055">
        <f t="shared" si="1"/>
        <v>160.58520000000001</v>
      </c>
      <c r="I38" s="1056"/>
      <c r="J38" s="1111"/>
      <c r="K38" s="1115" t="s">
        <v>2015</v>
      </c>
    </row>
    <row r="39" spans="1:11" ht="15.75">
      <c r="A39" s="1037">
        <v>45926</v>
      </c>
      <c r="B39" s="1038">
        <v>46292</v>
      </c>
      <c r="C39" s="1026" t="s">
        <v>3000</v>
      </c>
      <c r="D39" s="1026" t="s">
        <v>9</v>
      </c>
      <c r="E39" s="1026" t="s">
        <v>90</v>
      </c>
      <c r="F39" s="1059">
        <v>3230.04</v>
      </c>
      <c r="G39" s="1054">
        <v>0.15</v>
      </c>
      <c r="H39" s="1055">
        <f t="shared" si="1"/>
        <v>436.05539999999996</v>
      </c>
      <c r="I39" s="1056"/>
      <c r="J39" s="1111"/>
      <c r="K39" s="1115" t="s">
        <v>2015</v>
      </c>
    </row>
    <row r="40" spans="1:11" ht="15.75">
      <c r="A40" s="1037">
        <v>45930</v>
      </c>
      <c r="B40" s="1038">
        <v>46293</v>
      </c>
      <c r="C40" s="1025" t="s">
        <v>1874</v>
      </c>
      <c r="D40" s="1026" t="s">
        <v>14</v>
      </c>
      <c r="E40" s="1026" t="s">
        <v>22</v>
      </c>
      <c r="F40" s="1059">
        <v>3928.64</v>
      </c>
      <c r="G40" s="1054">
        <v>0.1</v>
      </c>
      <c r="H40" s="1055">
        <f t="shared" si="1"/>
        <v>353.57760000000002</v>
      </c>
      <c r="I40" s="1056"/>
      <c r="J40" s="1111"/>
      <c r="K40" s="1115" t="s">
        <v>2015</v>
      </c>
    </row>
    <row r="41" spans="1:11" ht="15.75">
      <c r="A41" s="1037">
        <v>45929</v>
      </c>
      <c r="B41" s="1038">
        <v>46294</v>
      </c>
      <c r="C41" s="1025" t="s">
        <v>3001</v>
      </c>
      <c r="D41" s="1026" t="s">
        <v>448</v>
      </c>
      <c r="E41" s="1026" t="s">
        <v>10</v>
      </c>
      <c r="F41" s="1059">
        <v>1289.93</v>
      </c>
      <c r="G41" s="1054">
        <v>0.15</v>
      </c>
      <c r="H41" s="1055">
        <f t="shared" si="1"/>
        <v>174.14054999999999</v>
      </c>
      <c r="I41" s="1056"/>
      <c r="J41" s="1111"/>
      <c r="K41" s="1115" t="s">
        <v>2015</v>
      </c>
    </row>
    <row r="42" spans="1:11" ht="15.75">
      <c r="A42" s="1037">
        <v>45929</v>
      </c>
      <c r="B42" s="1038">
        <v>46294</v>
      </c>
      <c r="C42" s="1026" t="s">
        <v>3002</v>
      </c>
      <c r="D42" s="1026" t="s">
        <v>3003</v>
      </c>
      <c r="E42" s="1026" t="s">
        <v>279</v>
      </c>
      <c r="F42" s="1053">
        <v>682.11</v>
      </c>
      <c r="G42" s="1054">
        <v>0.1</v>
      </c>
      <c r="H42" s="1055">
        <f t="shared" si="1"/>
        <v>61.389899999999997</v>
      </c>
      <c r="I42" s="1056"/>
      <c r="J42" s="1111"/>
      <c r="K42" s="1115" t="s">
        <v>2274</v>
      </c>
    </row>
    <row r="43" spans="1:11" ht="15.75">
      <c r="A43" s="1037">
        <v>45929</v>
      </c>
      <c r="B43" s="1038">
        <v>46294</v>
      </c>
      <c r="C43" s="1026" t="s">
        <v>3004</v>
      </c>
      <c r="D43" s="1026" t="s">
        <v>448</v>
      </c>
      <c r="E43" s="1026" t="s">
        <v>362</v>
      </c>
      <c r="F43" s="1059">
        <v>456.06</v>
      </c>
      <c r="G43" s="1054">
        <v>0.15</v>
      </c>
      <c r="H43" s="1055">
        <f t="shared" si="1"/>
        <v>61.568099999999994</v>
      </c>
      <c r="I43" s="1056"/>
      <c r="J43" s="1111"/>
      <c r="K43" s="1115" t="s">
        <v>2010</v>
      </c>
    </row>
    <row r="44" spans="1:11" ht="15.75">
      <c r="A44" s="1037">
        <v>45930</v>
      </c>
      <c r="B44" s="1038">
        <v>46295</v>
      </c>
      <c r="C44" s="1026" t="s">
        <v>3006</v>
      </c>
      <c r="D44" s="1026" t="s">
        <v>14</v>
      </c>
      <c r="E44" s="1026" t="s">
        <v>10</v>
      </c>
      <c r="F44" s="1059">
        <v>2397.38</v>
      </c>
      <c r="G44" s="1054">
        <v>0.1</v>
      </c>
      <c r="H44" s="1055">
        <f t="shared" si="1"/>
        <v>215.76420000000002</v>
      </c>
      <c r="I44" s="1089"/>
      <c r="J44" s="1111"/>
      <c r="K44" s="1115" t="s">
        <v>2015</v>
      </c>
    </row>
    <row r="45" spans="1:11" ht="15.75">
      <c r="A45" s="1037">
        <v>45929</v>
      </c>
      <c r="B45" s="1038" t="s">
        <v>1805</v>
      </c>
      <c r="C45" s="1026" t="s">
        <v>3005</v>
      </c>
      <c r="D45" s="1026" t="s">
        <v>33</v>
      </c>
      <c r="E45" s="1026" t="s">
        <v>1310</v>
      </c>
      <c r="F45" s="1059">
        <v>756.68</v>
      </c>
      <c r="G45" s="1054">
        <v>0.1</v>
      </c>
      <c r="H45" s="1055">
        <f t="shared" si="1"/>
        <v>68.101199999999992</v>
      </c>
      <c r="I45" s="1056"/>
      <c r="J45" s="1111"/>
      <c r="K45" s="1115" t="s">
        <v>1805</v>
      </c>
    </row>
    <row r="46" spans="1:11" ht="15.75">
      <c r="A46" s="1037"/>
      <c r="B46" s="1038"/>
      <c r="C46" s="1026"/>
      <c r="D46" s="1026"/>
      <c r="E46" s="1026"/>
      <c r="F46" s="1059"/>
      <c r="G46" s="1054"/>
      <c r="H46" s="1055">
        <f t="shared" si="1"/>
        <v>0</v>
      </c>
      <c r="I46" s="1056"/>
      <c r="J46" s="1111"/>
      <c r="K46" s="1115"/>
    </row>
    <row r="47" spans="1:11" ht="15.75">
      <c r="A47" s="1037"/>
      <c r="B47" s="1038"/>
      <c r="C47" s="1026"/>
      <c r="D47" s="1026"/>
      <c r="E47" s="1026"/>
      <c r="F47" s="1059"/>
      <c r="G47" s="1054"/>
      <c r="H47" s="1055">
        <f t="shared" si="1"/>
        <v>0</v>
      </c>
      <c r="I47" s="1056"/>
      <c r="J47" s="1111"/>
      <c r="K47" s="1115"/>
    </row>
    <row r="48" spans="1:11" ht="15.75">
      <c r="A48" s="1037"/>
      <c r="B48" s="1038"/>
      <c r="C48" s="1026"/>
      <c r="D48" s="1026"/>
      <c r="E48" s="1026"/>
      <c r="F48" s="1059"/>
      <c r="G48" s="1054"/>
      <c r="H48" s="1055">
        <f t="shared" si="1"/>
        <v>0</v>
      </c>
      <c r="I48" s="1056"/>
      <c r="J48" s="1111"/>
      <c r="K48" s="1115"/>
    </row>
    <row r="49" spans="1:11" ht="15.75">
      <c r="A49" s="1037"/>
      <c r="B49" s="1038"/>
      <c r="C49" s="1026"/>
      <c r="D49" s="1026"/>
      <c r="E49" s="1026"/>
      <c r="F49" s="1059"/>
      <c r="G49" s="1054"/>
      <c r="H49" s="1055">
        <f t="shared" si="1"/>
        <v>0</v>
      </c>
      <c r="I49" s="1056"/>
      <c r="J49" s="1111"/>
      <c r="K49" s="1115"/>
    </row>
    <row r="50" spans="1:11" ht="15.75">
      <c r="A50" s="1037"/>
      <c r="B50" s="1038"/>
      <c r="C50" s="1026"/>
      <c r="D50" s="1026"/>
      <c r="E50" s="1026"/>
      <c r="F50" s="1059"/>
      <c r="G50" s="1054"/>
      <c r="H50" s="1055">
        <f t="shared" si="1"/>
        <v>0</v>
      </c>
      <c r="I50" s="1056"/>
      <c r="J50" s="1111"/>
      <c r="K50" s="1115"/>
    </row>
    <row r="51" spans="1:11" ht="15.75">
      <c r="A51" s="1037"/>
      <c r="B51" s="1038"/>
      <c r="C51" s="1026"/>
      <c r="D51" s="1026"/>
      <c r="E51" s="1026"/>
      <c r="F51" s="1059"/>
      <c r="G51" s="1054"/>
      <c r="H51" s="1055">
        <f t="shared" si="1"/>
        <v>0</v>
      </c>
      <c r="I51" s="1056"/>
      <c r="J51" s="1111"/>
      <c r="K51" s="1115"/>
    </row>
    <row r="52" spans="1:11" ht="15.75">
      <c r="A52" s="1037"/>
      <c r="B52" s="1038"/>
      <c r="C52" s="1026"/>
      <c r="D52" s="1026"/>
      <c r="E52" s="1026"/>
      <c r="F52" s="1059"/>
      <c r="G52" s="1054"/>
      <c r="H52" s="1055">
        <f t="shared" si="1"/>
        <v>0</v>
      </c>
      <c r="I52" s="1056"/>
      <c r="J52" s="1111"/>
      <c r="K52" s="1115"/>
    </row>
    <row r="53" spans="1:11" ht="15.75">
      <c r="A53" s="1037"/>
      <c r="B53" s="1038"/>
      <c r="C53" s="1026"/>
      <c r="D53" s="1026"/>
      <c r="E53" s="1026"/>
      <c r="F53" s="1059"/>
      <c r="G53" s="1054"/>
      <c r="H53" s="1055">
        <f t="shared" si="1"/>
        <v>0</v>
      </c>
      <c r="I53" s="1056"/>
      <c r="J53" s="1111"/>
      <c r="K53" s="1115"/>
    </row>
    <row r="54" spans="1:11" ht="15.75">
      <c r="A54" s="1037"/>
      <c r="B54" s="1038"/>
      <c r="C54" s="1026"/>
      <c r="D54" s="1026"/>
      <c r="E54" s="1026"/>
      <c r="F54" s="1059"/>
      <c r="G54" s="1054"/>
      <c r="H54" s="1055">
        <f t="shared" si="1"/>
        <v>0</v>
      </c>
      <c r="I54" s="1056"/>
      <c r="J54" s="1111"/>
      <c r="K54" s="1115"/>
    </row>
    <row r="55" spans="1:11" ht="15.75">
      <c r="A55" s="1037"/>
      <c r="B55" s="1038"/>
      <c r="C55" s="1026"/>
      <c r="D55" s="1026"/>
      <c r="E55" s="1026"/>
      <c r="F55" s="1059"/>
      <c r="G55" s="1054"/>
      <c r="H55" s="1055">
        <f t="shared" si="1"/>
        <v>0</v>
      </c>
      <c r="I55" s="1056"/>
      <c r="J55" s="1111"/>
      <c r="K55" s="1115"/>
    </row>
    <row r="56" spans="1:11" ht="15.75">
      <c r="A56" s="1037"/>
      <c r="B56" s="1038"/>
      <c r="C56" s="1026"/>
      <c r="D56" s="1026"/>
      <c r="E56" s="1026"/>
      <c r="F56" s="1059"/>
      <c r="G56" s="1054"/>
      <c r="H56" s="1055">
        <f t="shared" si="1"/>
        <v>0</v>
      </c>
      <c r="I56" s="1056"/>
      <c r="J56" s="1111"/>
      <c r="K56" s="1115"/>
    </row>
    <row r="57" spans="1:11" ht="15.75">
      <c r="A57" s="1037"/>
      <c r="B57" s="1038"/>
      <c r="C57" s="1026"/>
      <c r="D57" s="1026"/>
      <c r="E57" s="1026"/>
      <c r="F57" s="1059"/>
      <c r="G57" s="1054"/>
      <c r="H57" s="1055">
        <f t="shared" si="1"/>
        <v>0</v>
      </c>
      <c r="I57" s="1056"/>
      <c r="J57" s="1111"/>
      <c r="K57" s="1115"/>
    </row>
    <row r="58" spans="1:11" ht="15.75">
      <c r="A58" s="1037"/>
      <c r="B58" s="1038"/>
      <c r="C58" s="1026"/>
      <c r="D58" s="1026"/>
      <c r="E58" s="1026"/>
      <c r="F58" s="1059"/>
      <c r="G58" s="1054"/>
      <c r="H58" s="1055">
        <f t="shared" si="1"/>
        <v>0</v>
      </c>
      <c r="I58" s="1056"/>
      <c r="J58" s="1111"/>
      <c r="K58" s="1115"/>
    </row>
    <row r="59" spans="1:11" ht="16.5" thickBot="1">
      <c r="A59" s="1037"/>
      <c r="B59" s="1038"/>
      <c r="C59" s="1026"/>
      <c r="D59" s="1026"/>
      <c r="E59" s="1026"/>
      <c r="F59" s="1059"/>
      <c r="G59" s="1054"/>
      <c r="H59" s="1055">
        <f t="shared" si="1"/>
        <v>0</v>
      </c>
      <c r="I59" s="1056"/>
      <c r="J59" s="1111"/>
      <c r="K59" s="1115"/>
    </row>
    <row r="60" spans="1:11" ht="16.5" thickBot="1">
      <c r="A60" s="1641"/>
      <c r="B60" s="1643"/>
      <c r="C60" s="1644"/>
      <c r="D60" s="1644"/>
      <c r="E60" s="1644"/>
      <c r="F60" s="1646"/>
      <c r="G60" s="1647"/>
      <c r="H60" s="1649">
        <f t="shared" si="1"/>
        <v>0</v>
      </c>
      <c r="I60" s="1651"/>
      <c r="J60" s="1111"/>
      <c r="K60" s="1115"/>
    </row>
    <row r="61" spans="1:11" ht="15.75" customHeight="1">
      <c r="A61" s="1640"/>
      <c r="B61" s="1642"/>
      <c r="C61" s="1642"/>
      <c r="D61" s="1642"/>
      <c r="E61" s="1642"/>
      <c r="F61" s="1645">
        <f>SUM(F3:F6,F7:F60)</f>
        <v>102364.21999999999</v>
      </c>
      <c r="G61" s="1642"/>
      <c r="H61" s="1648">
        <f>SUM(H3:H60)</f>
        <v>11667.82965</v>
      </c>
      <c r="I61" s="1650">
        <f>SUM(I3:I60)</f>
        <v>1780.51</v>
      </c>
      <c r="J61" s="1111"/>
      <c r="K61" s="1115"/>
    </row>
    <row r="62" spans="1:11" ht="15.75" customHeight="1">
      <c r="A62" s="1037"/>
      <c r="B62" s="1037"/>
      <c r="C62" s="1026"/>
      <c r="D62" s="1026"/>
      <c r="E62" s="1026"/>
      <c r="F62" s="1059"/>
      <c r="G62" s="1054"/>
      <c r="H62" s="1269"/>
      <c r="I62" s="1056"/>
      <c r="J62" s="1111"/>
      <c r="K62" s="1115"/>
    </row>
    <row r="63" spans="1:11" ht="15.75" customHeight="1">
      <c r="A63" s="1037"/>
      <c r="B63" s="1038"/>
      <c r="C63" s="1026"/>
      <c r="D63" s="1026"/>
      <c r="E63" s="1026"/>
      <c r="F63" s="1059"/>
      <c r="G63" s="1054"/>
      <c r="H63" s="1269"/>
      <c r="I63" s="1056"/>
      <c r="J63" s="1111"/>
      <c r="K63" s="1115"/>
    </row>
    <row r="64" spans="1:11" ht="15.75" customHeight="1">
      <c r="A64" s="1037"/>
      <c r="B64" s="1038"/>
      <c r="C64" s="1026"/>
      <c r="D64" s="1026"/>
      <c r="E64" s="1026"/>
      <c r="F64" s="1059"/>
      <c r="G64" s="1054"/>
      <c r="H64" s="1269"/>
      <c r="I64" s="1056"/>
      <c r="J64" s="1111"/>
      <c r="K64" s="1115"/>
    </row>
    <row r="65" spans="1:11" ht="15.75" customHeight="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115"/>
    </row>
    <row r="66" spans="1:11" ht="15.75" customHeight="1">
      <c r="A66" s="1037"/>
      <c r="B66" s="1038"/>
      <c r="C66" s="1026"/>
      <c r="D66" s="1026"/>
      <c r="E66" s="1026"/>
      <c r="F66" s="1059"/>
      <c r="G66" s="1054"/>
      <c r="H66" s="1269"/>
      <c r="I66" s="1056"/>
      <c r="J66" s="1111"/>
      <c r="K66" s="1115"/>
    </row>
    <row r="67" spans="1:11" ht="15.75" customHeight="1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1115"/>
    </row>
    <row r="68" spans="1:11" ht="15.75" customHeight="1">
      <c r="A68" s="1037"/>
      <c r="B68" s="1038"/>
      <c r="C68" s="1026"/>
      <c r="D68" s="1026"/>
      <c r="E68" s="1026"/>
      <c r="F68" s="1059"/>
      <c r="G68" s="1054"/>
      <c r="H68" s="1269"/>
      <c r="I68" s="1056"/>
      <c r="J68" s="1111"/>
      <c r="K68" s="1115"/>
    </row>
    <row r="69" spans="1:11" ht="15.75" customHeight="1">
      <c r="A69" s="1037"/>
      <c r="B69" s="1038"/>
      <c r="C69" s="1026"/>
      <c r="D69" s="1026"/>
      <c r="E69" s="1026"/>
      <c r="F69" s="1059"/>
      <c r="G69" s="1054"/>
      <c r="H69" s="1269"/>
      <c r="I69" s="1056"/>
      <c r="J69" s="1111"/>
      <c r="K69" s="1115"/>
    </row>
    <row r="70" spans="1:11" ht="15.75" customHeight="1">
      <c r="A70" s="1037"/>
      <c r="B70" s="1038"/>
      <c r="C70" s="1026"/>
      <c r="D70" s="1026"/>
      <c r="E70" s="1026"/>
      <c r="F70" s="1059"/>
      <c r="G70" s="1054"/>
      <c r="H70" s="1269"/>
      <c r="I70" s="1056"/>
      <c r="J70" s="1111"/>
      <c r="K70" s="1025"/>
    </row>
    <row r="71" spans="1:11" ht="15.75" customHeight="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115"/>
    </row>
    <row r="72" spans="1:11" ht="15.75" customHeight="1">
      <c r="A72" s="1037"/>
      <c r="B72" s="1038"/>
      <c r="C72" s="1026"/>
      <c r="D72" s="1026"/>
      <c r="E72" s="1026"/>
      <c r="F72" s="1059"/>
      <c r="G72" s="1059"/>
      <c r="H72" s="1269"/>
      <c r="I72" s="1056"/>
      <c r="J72" s="1111"/>
      <c r="K72" s="1115"/>
    </row>
    <row r="73" spans="1:11" ht="15.75" customHeight="1">
      <c r="A73" s="1037"/>
      <c r="B73" s="1038"/>
      <c r="C73" s="1026"/>
      <c r="D73" s="1026"/>
      <c r="E73" s="1026"/>
      <c r="F73" s="1059"/>
      <c r="G73" s="1059"/>
      <c r="H73" s="1269"/>
      <c r="I73" s="1056"/>
      <c r="J73" s="1111"/>
      <c r="K73" s="1025"/>
    </row>
    <row r="74" spans="1:11" ht="15.75" customHeight="1">
      <c r="A74" s="1037"/>
      <c r="B74" s="1038"/>
      <c r="C74" s="1026"/>
      <c r="D74" s="1026"/>
      <c r="E74" s="1026"/>
      <c r="F74" s="1059"/>
      <c r="G74" s="1059"/>
      <c r="H74" s="1269"/>
      <c r="I74" s="1056"/>
      <c r="J74" s="1111"/>
      <c r="K74" s="1025"/>
    </row>
    <row r="75" spans="1:11" ht="15.75" customHeight="1">
      <c r="A75" s="1037"/>
      <c r="B75" s="1038"/>
      <c r="C75" s="1026"/>
      <c r="D75" s="1026"/>
      <c r="E75" s="1026"/>
      <c r="F75" s="1059"/>
      <c r="G75" s="1054"/>
      <c r="H75" s="1269"/>
      <c r="I75" s="1056"/>
      <c r="J75" s="1111"/>
      <c r="K75" s="1115"/>
    </row>
    <row r="76" spans="1:11" ht="15.75" customHeight="1">
      <c r="A76" s="1037"/>
      <c r="B76" s="1038"/>
      <c r="C76" s="1026"/>
      <c r="D76" s="1026"/>
      <c r="E76" s="1026"/>
      <c r="F76" s="1059"/>
      <c r="G76" s="1054"/>
      <c r="H76" s="1269"/>
      <c r="I76" s="1056"/>
      <c r="J76" s="1111"/>
      <c r="K76" s="1115"/>
    </row>
    <row r="77" spans="1:11" ht="15.75" customHeight="1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1115"/>
    </row>
    <row r="78" spans="1:11" ht="15.75">
      <c r="A78" s="1037"/>
      <c r="B78" s="1038"/>
      <c r="C78" s="1026"/>
      <c r="D78" s="1026"/>
      <c r="E78" s="1026"/>
      <c r="F78" s="1059"/>
      <c r="G78" s="1054"/>
      <c r="H78" s="1269"/>
      <c r="I78" s="1056"/>
      <c r="J78" s="1111"/>
      <c r="K78" s="1115"/>
    </row>
    <row r="79" spans="1:11" ht="15.75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1115"/>
    </row>
    <row r="80" spans="1:11" ht="15.75">
      <c r="A80" s="1037"/>
      <c r="B80" s="1038"/>
      <c r="C80" s="1025"/>
      <c r="D80" s="1025"/>
      <c r="E80" s="1025"/>
      <c r="F80" s="1059"/>
      <c r="G80" s="1062"/>
      <c r="H80" s="1055"/>
      <c r="I80" s="1056"/>
      <c r="J80" s="1111"/>
      <c r="K80" s="1115"/>
    </row>
    <row r="81" spans="1:11" ht="15.75">
      <c r="A81" s="1037"/>
      <c r="B81" s="1039"/>
      <c r="C81" s="1025"/>
      <c r="D81" s="1025"/>
      <c r="E81" s="1025"/>
      <c r="F81" s="1059"/>
      <c r="G81" s="1054"/>
      <c r="H81" s="1269"/>
      <c r="I81" s="1056"/>
      <c r="J81" s="1111"/>
      <c r="K81" s="1115"/>
    </row>
    <row r="82" spans="1:11" ht="15.75">
      <c r="A82" s="1037"/>
      <c r="B82" s="1038"/>
      <c r="C82" s="1026"/>
      <c r="D82" s="1026"/>
      <c r="E82" s="1026"/>
      <c r="F82" s="1059"/>
      <c r="G82" s="1054"/>
      <c r="H82" s="1269"/>
      <c r="I82" s="1056"/>
      <c r="J82" s="1111"/>
      <c r="K82" s="1115"/>
    </row>
    <row r="83" spans="1:11" ht="15.75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1115"/>
    </row>
    <row r="84" spans="1:11" ht="15.75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115"/>
    </row>
    <row r="85" spans="1:11" ht="15.75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115"/>
    </row>
    <row r="86" spans="1:11" ht="15.75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115"/>
    </row>
    <row r="87" spans="1:11" ht="15.75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5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115"/>
    </row>
    <row r="89" spans="1:11" ht="15.75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115"/>
    </row>
    <row r="90" spans="1:11" ht="15.75">
      <c r="A90" s="1037"/>
      <c r="B90" s="1038"/>
      <c r="C90" s="1026"/>
      <c r="D90" s="1026"/>
      <c r="E90" s="1026"/>
      <c r="F90" s="1059"/>
      <c r="G90" s="1054"/>
      <c r="H90" s="1269"/>
      <c r="I90" s="1056"/>
      <c r="J90" s="1111"/>
      <c r="K90" s="1115"/>
    </row>
    <row r="91" spans="1:11" ht="15.75">
      <c r="A91" s="1037"/>
      <c r="B91" s="1038"/>
      <c r="C91" s="1026"/>
      <c r="D91" s="1026"/>
      <c r="E91" s="1026"/>
      <c r="F91" s="1059"/>
      <c r="G91" s="1054"/>
      <c r="H91" s="1269"/>
      <c r="I91" s="1056"/>
      <c r="J91" s="1111"/>
      <c r="K91" s="1115"/>
    </row>
    <row r="92" spans="1:11" ht="15.75">
      <c r="A92" s="1037"/>
      <c r="B92" s="1038"/>
      <c r="C92" s="1026"/>
      <c r="D92" s="1026"/>
      <c r="E92" s="1026"/>
      <c r="F92" s="1059"/>
      <c r="G92" s="1054"/>
      <c r="H92" s="1269"/>
      <c r="I92" s="1056"/>
      <c r="J92" s="1111"/>
      <c r="K92" s="1115"/>
    </row>
    <row r="93" spans="1:11" ht="15.75">
      <c r="A93" s="1037"/>
      <c r="B93" s="1038"/>
      <c r="C93" s="1026"/>
      <c r="D93" s="1026"/>
      <c r="E93" s="1026"/>
      <c r="F93" s="1059"/>
      <c r="G93" s="1054"/>
      <c r="H93" s="1269"/>
      <c r="I93" s="1056"/>
      <c r="J93" s="1111"/>
      <c r="K93" s="1115"/>
    </row>
    <row r="94" spans="1:11" ht="15.75">
      <c r="A94" s="1037"/>
      <c r="B94" s="1038"/>
      <c r="C94" s="1026"/>
      <c r="D94" s="1026"/>
      <c r="E94" s="1026"/>
      <c r="F94" s="1059"/>
      <c r="G94" s="1054"/>
      <c r="H94" s="1269"/>
      <c r="I94" s="1056"/>
      <c r="J94" s="1111"/>
      <c r="K94" s="1115"/>
    </row>
    <row r="95" spans="1:11">
      <c r="A95" s="1037"/>
      <c r="B95" s="1038"/>
      <c r="C95" s="1026"/>
      <c r="D95" s="1026"/>
      <c r="E95" s="1026"/>
      <c r="F95" s="1059"/>
      <c r="G95" s="1059"/>
      <c r="H95" s="1269"/>
      <c r="I95" s="1056"/>
      <c r="J95" s="1111"/>
      <c r="K95" s="1025"/>
    </row>
    <row r="96" spans="1:11">
      <c r="A96" s="1037"/>
      <c r="B96" s="1038"/>
      <c r="C96" s="1026"/>
      <c r="D96" s="1026"/>
      <c r="E96" s="1026"/>
      <c r="F96" s="1059"/>
      <c r="G96" s="1059"/>
      <c r="H96" s="1269"/>
      <c r="I96" s="1056"/>
      <c r="J96" s="1111"/>
      <c r="K96" s="1025"/>
    </row>
    <row r="97" spans="1:11">
      <c r="A97" s="1037"/>
      <c r="B97" s="1038"/>
      <c r="C97" s="1026"/>
      <c r="D97" s="1026"/>
      <c r="E97" s="1026"/>
      <c r="F97" s="1059"/>
      <c r="G97" s="1059"/>
      <c r="H97" s="1269"/>
      <c r="I97" s="1056"/>
      <c r="J97" s="1111"/>
      <c r="K97" s="1025"/>
    </row>
    <row r="98" spans="1:11" ht="15.75">
      <c r="A98" s="1037"/>
      <c r="B98" s="1038"/>
      <c r="C98" s="1026"/>
      <c r="D98" s="1026"/>
      <c r="E98" s="1026"/>
      <c r="F98" s="1059"/>
      <c r="G98" s="1054"/>
      <c r="H98" s="1269"/>
      <c r="I98" s="1056"/>
      <c r="J98" s="1111"/>
      <c r="K98" s="1115"/>
    </row>
    <row r="99" spans="1:11">
      <c r="A99" s="1037"/>
      <c r="B99" s="1038"/>
      <c r="C99" s="1026"/>
      <c r="D99" s="1026"/>
      <c r="E99" s="1026"/>
      <c r="F99" s="1059"/>
      <c r="G99" s="1059"/>
      <c r="H99" s="1269"/>
      <c r="I99" s="1056"/>
      <c r="J99" s="1111"/>
      <c r="K99" s="1025"/>
    </row>
    <row r="100" spans="1:11">
      <c r="A100" s="1037"/>
      <c r="B100" s="1038"/>
      <c r="C100" s="1026"/>
      <c r="D100" s="1026"/>
      <c r="E100" s="1026"/>
      <c r="F100" s="1059"/>
      <c r="G100" s="1059"/>
      <c r="H100" s="1269"/>
      <c r="I100" s="1056"/>
      <c r="J100" s="1111"/>
      <c r="K100" s="1025"/>
    </row>
    <row r="101" spans="1:11">
      <c r="A101" s="1037"/>
      <c r="B101" s="1038"/>
      <c r="C101" s="1026"/>
      <c r="D101" s="1026"/>
      <c r="E101" s="1026"/>
      <c r="F101" s="1059"/>
      <c r="G101" s="1059"/>
      <c r="H101" s="1269"/>
      <c r="I101" s="1056"/>
      <c r="J101" s="1111"/>
      <c r="K101" s="1025"/>
    </row>
    <row r="102" spans="1:11" ht="15.75">
      <c r="A102" s="1037"/>
      <c r="B102" s="1038"/>
      <c r="C102" s="1026"/>
      <c r="D102" s="1026"/>
      <c r="E102" s="1026"/>
      <c r="F102" s="1059"/>
      <c r="G102" s="1054"/>
      <c r="H102" s="1269"/>
      <c r="I102" s="1056"/>
      <c r="J102" s="1111"/>
      <c r="K102" s="1115"/>
    </row>
    <row r="103" spans="1:11" ht="15.75">
      <c r="A103" s="1037"/>
      <c r="B103" s="1038"/>
      <c r="C103" s="1026"/>
      <c r="D103" s="1026"/>
      <c r="E103" s="1026"/>
      <c r="F103" s="1059"/>
      <c r="G103" s="1054"/>
      <c r="H103" s="1269"/>
      <c r="I103" s="1056"/>
      <c r="J103" s="1111"/>
      <c r="K103" s="1115"/>
    </row>
    <row r="104" spans="1:11">
      <c r="A104" s="1037"/>
      <c r="B104" s="1038"/>
      <c r="C104" s="1026"/>
      <c r="D104" s="1026"/>
      <c r="E104" s="1026"/>
      <c r="F104" s="1059"/>
      <c r="G104" s="1059"/>
      <c r="H104" s="1269"/>
      <c r="I104" s="1056"/>
      <c r="J104" s="1111"/>
      <c r="K104" s="1025"/>
    </row>
    <row r="105" spans="1:11">
      <c r="A105" s="1037"/>
      <c r="B105" s="1038"/>
      <c r="C105" s="1026"/>
      <c r="D105" s="1026"/>
      <c r="E105" s="1026"/>
      <c r="F105" s="1059"/>
      <c r="G105" s="1059"/>
      <c r="H105" s="1269"/>
      <c r="I105" s="1056"/>
      <c r="J105" s="1111"/>
      <c r="K105" s="1025"/>
    </row>
    <row r="106" spans="1:11">
      <c r="A106" s="1037"/>
      <c r="B106" s="1038"/>
      <c r="C106" s="1026"/>
      <c r="D106" s="1026"/>
      <c r="E106" s="1026"/>
      <c r="F106" s="1059"/>
      <c r="G106" s="1059"/>
      <c r="H106" s="1269"/>
      <c r="I106" s="1056"/>
      <c r="J106" s="1111"/>
      <c r="K106" s="1025"/>
    </row>
    <row r="107" spans="1:11">
      <c r="A107" s="1037"/>
      <c r="B107" s="1038"/>
      <c r="C107" s="1026"/>
      <c r="D107" s="1026"/>
      <c r="E107" s="1026"/>
      <c r="F107" s="1059"/>
      <c r="G107" s="1059"/>
      <c r="H107" s="1269"/>
      <c r="I107" s="1056"/>
      <c r="J107" s="1111"/>
      <c r="K107" s="1025"/>
    </row>
    <row r="108" spans="1:11">
      <c r="A108" s="1037"/>
      <c r="B108" s="1038"/>
      <c r="C108" s="1026"/>
      <c r="D108" s="1026"/>
      <c r="E108" s="1026"/>
      <c r="F108" s="1059"/>
      <c r="G108" s="1059"/>
      <c r="H108" s="1269"/>
      <c r="I108" s="1056"/>
      <c r="J108" s="1111"/>
      <c r="K108" s="1025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1025"/>
    </row>
    <row r="110" spans="1:11" ht="15.75">
      <c r="A110" s="1037"/>
      <c r="B110" s="1038"/>
      <c r="C110" s="1026"/>
      <c r="D110" s="1026"/>
      <c r="E110" s="1026"/>
      <c r="F110" s="1059"/>
      <c r="G110" s="1054"/>
      <c r="H110" s="1269"/>
      <c r="I110" s="1056"/>
      <c r="J110" s="1111"/>
      <c r="K110" s="1115"/>
    </row>
    <row r="111" spans="1:11">
      <c r="A111" s="1037"/>
      <c r="B111" s="1038"/>
      <c r="C111" s="1026"/>
      <c r="D111" s="1026"/>
      <c r="E111" s="1026"/>
      <c r="F111" s="1059"/>
      <c r="G111" s="1059"/>
      <c r="H111" s="1269"/>
      <c r="I111" s="1056"/>
      <c r="J111" s="1111"/>
      <c r="K111" s="1025"/>
    </row>
    <row r="112" spans="1:11">
      <c r="A112" s="1037"/>
      <c r="B112" s="1038"/>
      <c r="C112" s="1026"/>
      <c r="D112" s="1026"/>
      <c r="E112" s="1026"/>
      <c r="F112" s="1059"/>
      <c r="G112" s="1059"/>
      <c r="H112" s="1269"/>
      <c r="I112" s="1056"/>
      <c r="J112" s="1111"/>
      <c r="K112" s="1025"/>
    </row>
    <row r="113" spans="1:11">
      <c r="A113" s="1037"/>
      <c r="B113" s="1038"/>
      <c r="C113" s="1026"/>
      <c r="D113" s="1026"/>
      <c r="E113" s="1026"/>
      <c r="F113" s="1059"/>
      <c r="G113" s="1059"/>
      <c r="H113" s="1269"/>
      <c r="I113" s="1056"/>
      <c r="J113" s="1111"/>
      <c r="K113" s="1025"/>
    </row>
    <row r="114" spans="1:11" ht="15.75">
      <c r="A114" s="1037"/>
      <c r="B114" s="1038"/>
      <c r="C114" s="1026"/>
      <c r="D114" s="1026"/>
      <c r="E114" s="1026"/>
      <c r="F114" s="1059"/>
      <c r="G114" s="1059"/>
      <c r="H114" s="1269"/>
      <c r="I114" s="1056"/>
      <c r="J114" s="1111"/>
      <c r="K114" s="1115"/>
    </row>
    <row r="115" spans="1:11">
      <c r="A115" s="1037"/>
      <c r="B115" s="1038"/>
      <c r="C115" s="1026"/>
      <c r="D115" s="1026"/>
      <c r="E115" s="1026"/>
      <c r="F115" s="1059"/>
      <c r="G115" s="1059"/>
      <c r="H115" s="1269"/>
      <c r="I115" s="1056"/>
      <c r="J115" s="1111"/>
      <c r="K115" s="1025"/>
    </row>
    <row r="116" spans="1:11">
      <c r="A116" s="1037"/>
      <c r="B116" s="1038"/>
      <c r="C116" s="1026"/>
      <c r="D116" s="1026"/>
      <c r="E116" s="1026"/>
      <c r="F116" s="1059"/>
      <c r="G116" s="1059"/>
      <c r="H116" s="1269"/>
      <c r="I116" s="1056"/>
      <c r="J116" s="1111"/>
      <c r="K116" s="1025"/>
    </row>
    <row r="117" spans="1:11">
      <c r="A117" s="1037"/>
      <c r="B117" s="1038"/>
      <c r="C117" s="1026"/>
      <c r="D117" s="1026"/>
      <c r="E117" s="1026"/>
      <c r="F117" s="1059"/>
      <c r="G117" s="1059"/>
      <c r="H117" s="1269"/>
      <c r="I117" s="1056"/>
      <c r="J117" s="1111"/>
      <c r="K117" s="1025"/>
    </row>
    <row r="118" spans="1:11">
      <c r="A118" s="1037"/>
      <c r="B118" s="1038"/>
      <c r="C118" s="1026"/>
      <c r="D118" s="1026"/>
      <c r="E118" s="1026"/>
      <c r="F118" s="1059"/>
      <c r="G118" s="1059"/>
      <c r="H118" s="1269"/>
      <c r="I118" s="1056"/>
      <c r="J118" s="1111"/>
      <c r="K118" s="1025"/>
    </row>
    <row r="119" spans="1:11">
      <c r="A119" s="1037"/>
      <c r="B119" s="1038"/>
      <c r="C119" s="1026"/>
      <c r="D119" s="1026"/>
      <c r="E119" s="1026"/>
      <c r="F119" s="1059"/>
      <c r="G119" s="1054"/>
      <c r="H119" s="1269"/>
      <c r="I119" s="1056"/>
      <c r="J119" s="1111"/>
      <c r="K119" s="1025"/>
    </row>
    <row r="120" spans="1:11" ht="15.75">
      <c r="A120" s="1037"/>
      <c r="B120" s="1038"/>
      <c r="C120" s="1025"/>
      <c r="D120" s="1026"/>
      <c r="E120" s="1026"/>
      <c r="F120" s="1059"/>
      <c r="G120" s="1054"/>
      <c r="H120" s="1269"/>
      <c r="I120" s="1056"/>
      <c r="J120" s="1111"/>
      <c r="K120" s="1115"/>
    </row>
    <row r="121" spans="1:11" ht="15.75">
      <c r="A121" s="1037"/>
      <c r="B121" s="1038"/>
      <c r="C121" s="1026"/>
      <c r="D121" s="1026"/>
      <c r="E121" s="1026"/>
      <c r="F121" s="1059"/>
      <c r="G121" s="1054"/>
      <c r="H121" s="1269"/>
      <c r="I121" s="1056"/>
      <c r="J121" s="1111"/>
      <c r="K121" s="1115"/>
    </row>
    <row r="122" spans="1:11" ht="15.75">
      <c r="A122" s="1037"/>
      <c r="B122" s="1038"/>
      <c r="C122" s="1026"/>
      <c r="D122" s="1026"/>
      <c r="E122" s="1026"/>
      <c r="F122" s="1059"/>
      <c r="G122" s="1054"/>
      <c r="H122" s="1269"/>
      <c r="I122" s="1056"/>
      <c r="J122" s="1111"/>
      <c r="K122" s="1115"/>
    </row>
    <row r="123" spans="1:11" ht="15.75">
      <c r="A123" s="1037"/>
      <c r="B123" s="1038"/>
      <c r="C123" s="1026"/>
      <c r="D123" s="1026"/>
      <c r="E123" s="1026"/>
      <c r="F123" s="1059"/>
      <c r="G123" s="1054"/>
      <c r="H123" s="1269"/>
      <c r="I123" s="1056"/>
      <c r="J123" s="1111"/>
      <c r="K123" s="1115"/>
    </row>
    <row r="124" spans="1:11" ht="15.75">
      <c r="A124" s="1037"/>
      <c r="B124" s="1038"/>
      <c r="C124" s="1026"/>
      <c r="D124" s="1026"/>
      <c r="E124" s="1026"/>
      <c r="F124" s="1059"/>
      <c r="G124" s="1054"/>
      <c r="H124" s="1269"/>
      <c r="I124" s="1056"/>
      <c r="J124" s="1111"/>
      <c r="K124" s="1115"/>
    </row>
    <row r="125" spans="1:11">
      <c r="A125" s="1037"/>
      <c r="B125" s="1038"/>
      <c r="C125" s="1026"/>
      <c r="D125" s="1026"/>
      <c r="E125" s="1026"/>
      <c r="F125" s="1059"/>
      <c r="G125" s="1059"/>
      <c r="H125" s="1269"/>
      <c r="I125" s="1056"/>
      <c r="J125" s="1111"/>
      <c r="K125" s="1025"/>
    </row>
    <row r="126" spans="1:11">
      <c r="A126" s="1037"/>
      <c r="B126" s="1038"/>
      <c r="C126" s="1026"/>
      <c r="D126" s="1026"/>
      <c r="E126" s="1026"/>
      <c r="F126" s="1059"/>
      <c r="G126" s="1059"/>
      <c r="H126" s="1269"/>
      <c r="I126" s="1056"/>
      <c r="J126" s="1111"/>
      <c r="K126" s="1025"/>
    </row>
    <row r="127" spans="1:11" ht="15.75">
      <c r="A127" s="1037"/>
      <c r="B127" s="1038"/>
      <c r="C127" s="1026"/>
      <c r="D127" s="1026"/>
      <c r="E127" s="1026"/>
      <c r="F127" s="1059"/>
      <c r="G127" s="1054"/>
      <c r="H127" s="1269"/>
      <c r="I127" s="1056"/>
      <c r="J127" s="1111"/>
      <c r="K127" s="1115"/>
    </row>
    <row r="128" spans="1:11" ht="15.75">
      <c r="A128" s="1037"/>
      <c r="B128" s="1038"/>
      <c r="C128" s="1026"/>
      <c r="D128" s="1026"/>
      <c r="E128" s="1026"/>
      <c r="F128" s="1059"/>
      <c r="G128" s="1054"/>
      <c r="H128" s="1269"/>
      <c r="I128" s="1056"/>
      <c r="J128" s="1111"/>
      <c r="K128" s="1115"/>
    </row>
    <row r="129" spans="1:11" ht="15.75">
      <c r="A129" s="1037"/>
      <c r="B129" s="1038"/>
      <c r="C129" s="1026"/>
      <c r="D129" s="1026"/>
      <c r="E129" s="1026"/>
      <c r="F129" s="1059"/>
      <c r="G129" s="1054"/>
      <c r="H129" s="1269"/>
      <c r="I129" s="1056"/>
      <c r="J129" s="1111"/>
      <c r="K129" s="1115"/>
    </row>
    <row r="130" spans="1:11">
      <c r="A130" s="1037"/>
      <c r="B130" s="1038"/>
      <c r="C130" s="1026"/>
      <c r="D130" s="1026"/>
      <c r="E130" s="1026"/>
      <c r="F130" s="1059"/>
      <c r="G130" s="1054"/>
      <c r="H130" s="1269"/>
      <c r="I130" s="1056"/>
      <c r="J130" s="1111"/>
      <c r="K130" s="1025"/>
    </row>
    <row r="131" spans="1:11">
      <c r="A131" s="1037"/>
      <c r="B131" s="1038"/>
      <c r="C131" s="1026"/>
      <c r="D131" s="1026"/>
      <c r="E131" s="1026"/>
      <c r="F131" s="1059"/>
      <c r="G131" s="1054"/>
      <c r="H131" s="1269"/>
      <c r="I131" s="1056"/>
      <c r="J131" s="1111"/>
      <c r="K131" s="1025"/>
    </row>
    <row r="132" spans="1:11">
      <c r="A132" s="1037"/>
      <c r="B132" s="1038"/>
      <c r="C132" s="1026"/>
      <c r="D132" s="1026"/>
      <c r="E132" s="1026"/>
      <c r="F132" s="1059"/>
      <c r="G132" s="1059"/>
      <c r="H132" s="1269"/>
      <c r="I132" s="1056"/>
      <c r="J132" s="1111"/>
      <c r="K132" s="1025"/>
    </row>
    <row r="133" spans="1:11">
      <c r="A133" s="1037"/>
      <c r="B133" s="1038"/>
      <c r="C133" s="1026"/>
      <c r="D133" s="1026"/>
      <c r="E133" s="1026"/>
      <c r="F133" s="1059"/>
      <c r="G133" s="1059"/>
      <c r="H133" s="1269"/>
      <c r="I133" s="1056"/>
      <c r="J133" s="1111"/>
      <c r="K133" s="1025"/>
    </row>
    <row r="134" spans="1:11">
      <c r="A134" s="1037"/>
      <c r="B134" s="1038"/>
      <c r="C134" s="1026"/>
      <c r="D134" s="1026"/>
      <c r="E134" s="1026"/>
      <c r="F134" s="1059"/>
      <c r="G134" s="1059"/>
      <c r="H134" s="1269"/>
      <c r="I134" s="1056"/>
      <c r="J134" s="1111"/>
      <c r="K134" s="1025"/>
    </row>
    <row r="135" spans="1:11">
      <c r="A135" s="1037"/>
      <c r="B135" s="1038"/>
      <c r="C135" s="1026"/>
      <c r="D135" s="1026"/>
      <c r="E135" s="1026"/>
      <c r="F135" s="1059"/>
      <c r="G135" s="1059"/>
      <c r="H135" s="1269"/>
      <c r="I135" s="1056"/>
      <c r="J135" s="1111"/>
      <c r="K135" s="1025"/>
    </row>
    <row r="136" spans="1:11" ht="15.75">
      <c r="A136" s="1037"/>
      <c r="B136" s="1038"/>
      <c r="C136" s="1026"/>
      <c r="D136" s="1026"/>
      <c r="E136" s="1026"/>
      <c r="F136" s="1059"/>
      <c r="G136" s="1054"/>
      <c r="H136" s="1269"/>
      <c r="I136" s="1056"/>
      <c r="J136" s="1111"/>
      <c r="K136" s="1115"/>
    </row>
    <row r="137" spans="1:11" ht="15.75">
      <c r="A137" s="1037"/>
      <c r="B137" s="1038"/>
      <c r="C137" s="1026"/>
      <c r="D137" s="1026"/>
      <c r="E137" s="1026"/>
      <c r="F137" s="1059"/>
      <c r="G137" s="1059"/>
      <c r="H137" s="1269"/>
      <c r="I137" s="1056"/>
      <c r="J137" s="1111"/>
      <c r="K137" s="1115"/>
    </row>
    <row r="138" spans="1:11">
      <c r="A138" s="1037"/>
      <c r="B138" s="1038"/>
      <c r="C138" s="1026"/>
      <c r="D138" s="1026"/>
      <c r="E138" s="1026"/>
      <c r="F138" s="1059"/>
      <c r="G138" s="1059"/>
      <c r="H138" s="1269"/>
      <c r="I138" s="1056"/>
      <c r="J138" s="1111"/>
      <c r="K138" s="1025"/>
    </row>
    <row r="139" spans="1:11">
      <c r="A139" s="1037"/>
      <c r="B139" s="1038"/>
      <c r="C139" s="1026"/>
      <c r="D139" s="1026"/>
      <c r="E139" s="1026"/>
      <c r="F139" s="1059"/>
      <c r="G139" s="1054"/>
      <c r="H139" s="1269"/>
      <c r="I139" s="1056"/>
      <c r="J139" s="1111"/>
      <c r="K139" s="1025"/>
    </row>
    <row r="140" spans="1:11" ht="15.75">
      <c r="A140" s="1037"/>
      <c r="B140" s="1038"/>
      <c r="C140" s="1026"/>
      <c r="D140" s="1026"/>
      <c r="E140" s="1026"/>
      <c r="F140" s="1059"/>
      <c r="G140" s="1054"/>
      <c r="H140" s="1269"/>
      <c r="I140" s="1056"/>
      <c r="J140" s="1111"/>
      <c r="K140" s="1115"/>
    </row>
    <row r="141" spans="1:11">
      <c r="A141" s="1037"/>
      <c r="B141" s="1038"/>
      <c r="C141" s="1026"/>
      <c r="D141" s="1026"/>
      <c r="E141" s="1026"/>
      <c r="F141" s="1059"/>
      <c r="G141" s="1054"/>
      <c r="H141" s="1269"/>
      <c r="I141" s="1056"/>
      <c r="J141" s="1111"/>
      <c r="K141" s="1025"/>
    </row>
    <row r="142" spans="1:11">
      <c r="A142" s="1037"/>
      <c r="B142" s="1038"/>
      <c r="C142" s="1026"/>
      <c r="D142" s="1026"/>
      <c r="E142" s="1026"/>
      <c r="F142" s="1059"/>
      <c r="G142" s="1059"/>
      <c r="H142" s="1269"/>
      <c r="I142" s="1056"/>
      <c r="J142" s="1111"/>
      <c r="K142" s="1025"/>
    </row>
    <row r="143" spans="1:11">
      <c r="A143" s="1037"/>
      <c r="B143" s="1038"/>
      <c r="C143" s="1026"/>
      <c r="D143" s="1026"/>
      <c r="E143" s="1026"/>
      <c r="F143" s="1059"/>
      <c r="G143" s="1059"/>
      <c r="H143" s="1269"/>
      <c r="I143" s="1056"/>
      <c r="J143" s="1111"/>
      <c r="K143" s="1025"/>
    </row>
    <row r="144" spans="1:11" ht="15.75">
      <c r="A144" s="1037"/>
      <c r="B144" s="1038"/>
      <c r="C144" s="1026"/>
      <c r="D144" s="1026"/>
      <c r="E144" s="1026"/>
      <c r="F144" s="1059"/>
      <c r="G144" s="1054"/>
      <c r="H144" s="1269"/>
      <c r="I144" s="1056"/>
      <c r="J144" s="1111"/>
      <c r="K144" s="1115"/>
    </row>
    <row r="145" spans="1:11" ht="15.75">
      <c r="A145" s="1037"/>
      <c r="B145" s="1038"/>
      <c r="C145" s="1026"/>
      <c r="D145" s="1026"/>
      <c r="E145" s="1026"/>
      <c r="F145" s="1059"/>
      <c r="G145" s="1054"/>
      <c r="H145" s="1269"/>
      <c r="I145" s="1056"/>
      <c r="J145" s="1111"/>
      <c r="K145" s="1115"/>
    </row>
    <row r="146" spans="1:11" ht="15.75">
      <c r="A146" s="1037"/>
      <c r="B146" s="1038"/>
      <c r="C146" s="1026"/>
      <c r="D146" s="1026"/>
      <c r="E146" s="1026"/>
      <c r="F146" s="1059"/>
      <c r="G146" s="1054"/>
      <c r="H146" s="1269"/>
      <c r="I146" s="1056"/>
      <c r="J146" s="1111"/>
      <c r="K146" s="1115"/>
    </row>
    <row r="147" spans="1:11" ht="15.75">
      <c r="A147" s="1037"/>
      <c r="B147" s="1038"/>
      <c r="C147" s="1026"/>
      <c r="D147" s="1026"/>
      <c r="E147" s="1026"/>
      <c r="F147" s="1059"/>
      <c r="G147" s="1054"/>
      <c r="H147" s="1269"/>
      <c r="I147" s="1056"/>
      <c r="J147" s="1111"/>
      <c r="K147" s="1115"/>
    </row>
    <row r="148" spans="1:11" ht="15.75">
      <c r="A148" s="1037"/>
      <c r="B148" s="1038"/>
      <c r="C148" s="1026"/>
      <c r="D148" s="1026"/>
      <c r="E148" s="1026"/>
      <c r="F148" s="1059"/>
      <c r="G148" s="1054"/>
      <c r="H148" s="1269"/>
      <c r="I148" s="1056"/>
      <c r="J148" s="1111"/>
      <c r="K148" s="1115"/>
    </row>
    <row r="149" spans="1:11">
      <c r="A149" s="1037"/>
      <c r="B149" s="1038"/>
      <c r="C149" s="1026"/>
      <c r="D149" s="1026"/>
      <c r="E149" s="1026"/>
      <c r="F149" s="1059"/>
      <c r="G149" s="1054"/>
      <c r="H149" s="1269"/>
      <c r="I149" s="1056"/>
      <c r="J149" s="1111"/>
      <c r="K149" s="1025"/>
    </row>
    <row r="150" spans="1:11">
      <c r="A150" s="1037"/>
      <c r="B150" s="1038"/>
      <c r="C150" s="1025"/>
      <c r="D150" s="1026"/>
      <c r="E150" s="1026"/>
      <c r="F150" s="1061"/>
      <c r="G150" s="1054"/>
      <c r="H150" s="1055"/>
      <c r="I150" s="1056"/>
      <c r="J150" s="1111"/>
      <c r="K150" s="1025"/>
    </row>
    <row r="151" spans="1:11">
      <c r="A151" s="1037"/>
      <c r="B151" s="1038"/>
      <c r="C151" s="1026"/>
      <c r="D151" s="1026"/>
      <c r="E151" s="1026"/>
      <c r="F151" s="1059"/>
      <c r="G151" s="1054"/>
      <c r="H151" s="1269"/>
      <c r="I151" s="1056"/>
      <c r="J151" s="1111"/>
      <c r="K151" s="1025"/>
    </row>
    <row r="152" spans="1:11">
      <c r="A152" s="1037"/>
      <c r="B152" s="1038"/>
      <c r="C152" s="1026"/>
      <c r="D152" s="1026"/>
      <c r="E152" s="1026"/>
      <c r="F152" s="1059"/>
      <c r="G152" s="1054"/>
      <c r="H152" s="1269"/>
      <c r="I152" s="1056"/>
      <c r="J152" s="1111"/>
      <c r="K152" s="1025"/>
    </row>
    <row r="153" spans="1:11">
      <c r="A153" s="1037"/>
      <c r="B153" s="1038"/>
      <c r="C153" s="1026"/>
      <c r="D153" s="1026"/>
      <c r="E153" s="1026"/>
      <c r="F153" s="1059"/>
      <c r="G153" s="1059"/>
      <c r="H153" s="1269"/>
      <c r="I153" s="1056"/>
      <c r="J153" s="1111"/>
      <c r="K153" s="1025"/>
    </row>
    <row r="154" spans="1:11">
      <c r="A154" s="1037"/>
      <c r="B154" s="1038"/>
      <c r="C154" s="1026"/>
      <c r="D154" s="1026"/>
      <c r="E154" s="1026"/>
      <c r="F154" s="1059"/>
      <c r="G154" s="1059"/>
      <c r="H154" s="1269"/>
      <c r="I154" s="1056"/>
      <c r="J154" s="1111"/>
      <c r="K154" s="1025"/>
    </row>
    <row r="155" spans="1:11" ht="15.75">
      <c r="A155" s="1037"/>
      <c r="B155" s="1038"/>
      <c r="C155" s="1026"/>
      <c r="D155" s="1026"/>
      <c r="E155" s="1026"/>
      <c r="F155" s="1059"/>
      <c r="G155" s="1054"/>
      <c r="H155" s="1269"/>
      <c r="I155" s="1056"/>
      <c r="J155" s="1111"/>
      <c r="K155" s="1115"/>
    </row>
    <row r="156" spans="1:11">
      <c r="A156" s="1037"/>
      <c r="B156" s="1038"/>
      <c r="C156" s="1026"/>
      <c r="D156" s="1026"/>
      <c r="E156" s="1026"/>
      <c r="F156" s="1059"/>
      <c r="G156" s="1054"/>
      <c r="H156" s="1269"/>
      <c r="I156" s="1056"/>
      <c r="J156" s="1111"/>
      <c r="K156" s="1025"/>
    </row>
    <row r="157" spans="1:11">
      <c r="A157" s="1037"/>
      <c r="B157" s="1038"/>
      <c r="C157" s="1026"/>
      <c r="D157" s="1026"/>
      <c r="E157" s="1026"/>
      <c r="F157" s="1059"/>
      <c r="G157" s="1059"/>
      <c r="H157" s="1269"/>
      <c r="I157" s="1056"/>
      <c r="J157" s="1111"/>
      <c r="K157" s="1025"/>
    </row>
    <row r="158" spans="1:11">
      <c r="A158" s="1037"/>
      <c r="B158" s="1038"/>
      <c r="C158" s="1026"/>
      <c r="D158" s="1026"/>
      <c r="E158" s="1026"/>
      <c r="F158" s="1059"/>
      <c r="G158" s="1059"/>
      <c r="H158" s="1269"/>
      <c r="I158" s="1056"/>
      <c r="J158" s="1111"/>
      <c r="K158" s="1025"/>
    </row>
    <row r="159" spans="1:11">
      <c r="A159" s="1037"/>
      <c r="B159" s="1038"/>
      <c r="C159" s="1026"/>
      <c r="D159" s="1026"/>
      <c r="E159" s="1026"/>
      <c r="F159" s="1059"/>
      <c r="G159" s="1054"/>
      <c r="H159" s="1269"/>
      <c r="I159" s="1056"/>
      <c r="J159" s="1111"/>
      <c r="K159" s="1025"/>
    </row>
    <row r="160" spans="1:11">
      <c r="A160" s="1037"/>
      <c r="B160" s="1038"/>
      <c r="C160" s="1026"/>
      <c r="D160" s="1026"/>
      <c r="E160" s="1026"/>
      <c r="F160" s="1059"/>
      <c r="G160" s="1054"/>
      <c r="H160" s="1269"/>
      <c r="I160" s="1056"/>
      <c r="J160" s="1111"/>
      <c r="K160" s="1025"/>
    </row>
    <row r="161" spans="1:11">
      <c r="A161" s="1037"/>
      <c r="B161" s="1038"/>
      <c r="C161" s="1026"/>
      <c r="D161" s="1026"/>
      <c r="E161" s="1026"/>
      <c r="F161" s="1059"/>
      <c r="G161" s="1054"/>
      <c r="H161" s="1269"/>
      <c r="I161" s="1056"/>
      <c r="J161" s="1111"/>
      <c r="K161" s="1025"/>
    </row>
    <row r="162" spans="1:11" ht="15.75">
      <c r="A162" s="1037"/>
      <c r="B162" s="1038"/>
      <c r="C162" s="1026"/>
      <c r="D162" s="1026"/>
      <c r="E162" s="1026"/>
      <c r="F162" s="1059"/>
      <c r="G162" s="1054"/>
      <c r="H162" s="1269"/>
      <c r="I162" s="1056"/>
      <c r="J162" s="1111"/>
      <c r="K162" s="1115"/>
    </row>
    <row r="163" spans="1:11">
      <c r="A163" s="1037"/>
      <c r="B163" s="1038"/>
      <c r="C163" s="1026"/>
      <c r="D163" s="1026"/>
      <c r="E163" s="1026"/>
      <c r="F163" s="1059"/>
      <c r="G163" s="1054"/>
      <c r="H163" s="1269"/>
      <c r="I163" s="1056"/>
      <c r="J163" s="1111"/>
      <c r="K163" s="1025"/>
    </row>
    <row r="164" spans="1:11">
      <c r="A164" s="1037"/>
      <c r="B164" s="1038"/>
      <c r="C164" s="290"/>
      <c r="D164" s="1026"/>
      <c r="E164" s="1026"/>
      <c r="F164" s="1059"/>
      <c r="G164" s="1054"/>
      <c r="H164" s="1269"/>
      <c r="I164" s="1056"/>
      <c r="J164" s="1111"/>
      <c r="K164" s="1025"/>
    </row>
    <row r="165" spans="1:11">
      <c r="A165" s="1037"/>
      <c r="B165" s="1038"/>
      <c r="C165" s="1026"/>
      <c r="D165" s="1026"/>
      <c r="E165" s="1026"/>
      <c r="F165" s="1059"/>
      <c r="G165" s="1054"/>
      <c r="H165" s="1269"/>
      <c r="I165" s="1056"/>
      <c r="J165" s="1111"/>
      <c r="K165" s="1025"/>
    </row>
    <row r="166" spans="1:11">
      <c r="A166" s="1037"/>
      <c r="B166" s="1038"/>
      <c r="C166" s="1026"/>
      <c r="D166" s="1026"/>
      <c r="E166" s="1026"/>
      <c r="F166" s="1059"/>
      <c r="G166" s="1054"/>
      <c r="H166" s="1269"/>
      <c r="I166" s="1056"/>
      <c r="J166" s="1111"/>
      <c r="K166" s="1025"/>
    </row>
    <row r="167" spans="1:11">
      <c r="A167" s="1037"/>
      <c r="B167" s="1038"/>
      <c r="C167" s="1026"/>
      <c r="D167" s="1026"/>
      <c r="E167" s="1026"/>
      <c r="F167" s="1059"/>
      <c r="G167" s="1054"/>
      <c r="H167" s="1269"/>
      <c r="I167" s="1056"/>
      <c r="J167" s="1111"/>
      <c r="K167" s="1025"/>
    </row>
    <row r="168" spans="1:11">
      <c r="A168" s="1037"/>
      <c r="B168" s="1038"/>
      <c r="C168" s="1026"/>
      <c r="D168" s="1026"/>
      <c r="E168" s="1026"/>
      <c r="F168" s="1059"/>
      <c r="G168" s="1054"/>
      <c r="H168" s="1269"/>
      <c r="I168" s="1056"/>
      <c r="J168" s="1111"/>
      <c r="K168" s="1025"/>
    </row>
    <row r="169" spans="1:11">
      <c r="A169" s="1037"/>
      <c r="B169" s="1038"/>
      <c r="C169" s="1026"/>
      <c r="D169" s="1026"/>
      <c r="E169" s="1026"/>
      <c r="F169" s="1059"/>
      <c r="G169" s="1054"/>
      <c r="H169" s="1269"/>
      <c r="I169" s="1056"/>
      <c r="J169" s="1111"/>
      <c r="K169" s="1025"/>
    </row>
    <row r="170" spans="1:11">
      <c r="A170" s="1037"/>
      <c r="B170" s="1038"/>
      <c r="C170" s="1026"/>
      <c r="D170" s="1026"/>
      <c r="E170" s="1026"/>
      <c r="F170" s="1059"/>
      <c r="G170" s="1054"/>
      <c r="H170" s="1269"/>
      <c r="I170" s="1056"/>
      <c r="J170" s="1111"/>
      <c r="K170" s="1025"/>
    </row>
    <row r="171" spans="1:11">
      <c r="A171" s="1037"/>
      <c r="B171" s="1038"/>
      <c r="C171" s="1026"/>
      <c r="D171" s="1026"/>
      <c r="E171" s="1026"/>
      <c r="F171" s="1059"/>
      <c r="G171" s="1054"/>
      <c r="H171" s="1269"/>
      <c r="I171" s="1056"/>
      <c r="J171" s="1111"/>
      <c r="K171" s="1025"/>
    </row>
    <row r="172" spans="1:11">
      <c r="A172" s="1037"/>
      <c r="B172" s="1038"/>
      <c r="C172" s="1026"/>
      <c r="D172" s="1026"/>
      <c r="E172" s="1026"/>
      <c r="F172" s="1059"/>
      <c r="G172" s="1054"/>
      <c r="H172" s="1269"/>
      <c r="I172" s="1056"/>
      <c r="J172" s="1111"/>
      <c r="K172" s="1025"/>
    </row>
    <row r="173" spans="1:11">
      <c r="A173" s="1037"/>
      <c r="B173" s="1038"/>
      <c r="C173" s="1026"/>
      <c r="D173" s="1026"/>
      <c r="E173" s="1026"/>
      <c r="F173" s="1059"/>
      <c r="G173" s="1059"/>
      <c r="H173" s="1269"/>
      <c r="I173" s="1056"/>
      <c r="J173" s="1111"/>
      <c r="K173" s="1025"/>
    </row>
    <row r="174" spans="1:11">
      <c r="A174" s="1037"/>
      <c r="B174" s="1038"/>
      <c r="C174" s="1026"/>
      <c r="D174" s="1026"/>
      <c r="E174" s="1026"/>
      <c r="F174" s="1059"/>
      <c r="G174" s="1059"/>
      <c r="H174" s="1269"/>
      <c r="I174" s="1056"/>
      <c r="J174" s="1111"/>
      <c r="K174" s="1025"/>
    </row>
    <row r="175" spans="1:11">
      <c r="A175" s="1037"/>
      <c r="B175" s="1038"/>
      <c r="C175" s="1026"/>
      <c r="D175" s="1026"/>
      <c r="E175" s="1026"/>
      <c r="F175" s="1059"/>
      <c r="G175" s="1054"/>
      <c r="H175" s="1269"/>
      <c r="I175" s="1056"/>
      <c r="J175" s="1111"/>
      <c r="K175" s="1025"/>
    </row>
    <row r="176" spans="1:11">
      <c r="A176" s="1037"/>
      <c r="B176" s="1038"/>
      <c r="C176" s="1026"/>
      <c r="D176" s="1026"/>
      <c r="E176" s="1026"/>
      <c r="F176" s="1059"/>
      <c r="G176" s="1054"/>
      <c r="H176" s="1269"/>
      <c r="I176" s="1056"/>
      <c r="J176" s="1111"/>
      <c r="K176" s="1025"/>
    </row>
    <row r="177" spans="1:11">
      <c r="A177" s="1037"/>
      <c r="B177" s="1038"/>
      <c r="C177" s="1026"/>
      <c r="D177" s="1026"/>
      <c r="E177" s="1026"/>
      <c r="F177" s="1059"/>
      <c r="G177" s="1054"/>
      <c r="H177" s="1269"/>
      <c r="I177" s="1056"/>
      <c r="J177" s="1111"/>
      <c r="K177" s="1025"/>
    </row>
    <row r="178" spans="1:11" ht="15.75">
      <c r="A178" s="1037"/>
      <c r="B178" s="1038"/>
      <c r="C178" s="1026"/>
      <c r="D178" s="1026"/>
      <c r="E178" s="1026"/>
      <c r="F178" s="1059"/>
      <c r="G178" s="1059"/>
      <c r="H178" s="1269"/>
      <c r="I178" s="1056"/>
      <c r="J178" s="1111"/>
      <c r="K178" s="1115"/>
    </row>
    <row r="179" spans="1:11">
      <c r="A179" s="1037"/>
      <c r="B179" s="1038"/>
      <c r="C179" s="1026"/>
      <c r="D179" s="1026"/>
      <c r="E179" s="1026"/>
      <c r="F179" s="1059"/>
      <c r="G179" s="1059"/>
      <c r="H179" s="1269"/>
      <c r="I179" s="1056"/>
      <c r="J179" s="1111"/>
      <c r="K179" s="1025"/>
    </row>
    <row r="180" spans="1:11" ht="15.75">
      <c r="A180" s="1037"/>
      <c r="B180" s="1038"/>
      <c r="C180" s="1026"/>
      <c r="D180" s="1026"/>
      <c r="E180" s="1026"/>
      <c r="F180" s="1059"/>
      <c r="G180" s="1054"/>
      <c r="H180" s="1269"/>
      <c r="I180" s="1056"/>
      <c r="J180" s="1111"/>
      <c r="K180" s="1115"/>
    </row>
    <row r="181" spans="1:11" ht="15.75">
      <c r="A181" s="1037"/>
      <c r="B181" s="1038"/>
      <c r="C181" s="1026"/>
      <c r="D181" s="1026"/>
      <c r="E181" s="1026"/>
      <c r="F181" s="1059"/>
      <c r="G181" s="1054"/>
      <c r="H181" s="1269"/>
      <c r="I181" s="1056"/>
      <c r="J181" s="1111"/>
      <c r="K181" s="1115"/>
    </row>
    <row r="182" spans="1:11" ht="15.75">
      <c r="A182" s="1037"/>
      <c r="B182" s="1038"/>
      <c r="C182" s="1026"/>
      <c r="D182" s="1026"/>
      <c r="E182" s="1026"/>
      <c r="F182" s="1059"/>
      <c r="G182" s="1054"/>
      <c r="H182" s="1269"/>
      <c r="I182" s="1056"/>
      <c r="J182" s="1111"/>
      <c r="K182" s="1115"/>
    </row>
    <row r="183" spans="1:11" ht="15.75">
      <c r="A183" s="1037"/>
      <c r="B183" s="1038"/>
      <c r="C183" s="1026"/>
      <c r="D183" s="1026"/>
      <c r="E183" s="1026"/>
      <c r="F183" s="1059"/>
      <c r="G183" s="1054"/>
      <c r="H183" s="1269"/>
      <c r="I183" s="1056"/>
      <c r="J183" s="1111"/>
      <c r="K183" s="1115"/>
    </row>
    <row r="184" spans="1:11" ht="15.75">
      <c r="A184" s="1037"/>
      <c r="B184" s="1038"/>
      <c r="C184" s="1026"/>
      <c r="D184" s="1026"/>
      <c r="E184" s="1026"/>
      <c r="F184" s="1059"/>
      <c r="G184" s="1059"/>
      <c r="H184" s="1269"/>
      <c r="I184" s="1056"/>
      <c r="J184" s="1111"/>
      <c r="K184" s="1115"/>
    </row>
    <row r="185" spans="1:11">
      <c r="A185" s="1037"/>
      <c r="B185" s="1038"/>
      <c r="C185" s="1026"/>
      <c r="D185" s="1026"/>
      <c r="E185" s="1026"/>
      <c r="F185" s="1059"/>
      <c r="G185" s="1059"/>
      <c r="H185" s="1269"/>
      <c r="I185" s="1056"/>
      <c r="J185" s="1111"/>
      <c r="K185" s="1025"/>
    </row>
    <row r="186" spans="1:11" ht="15.75">
      <c r="A186" s="1037"/>
      <c r="B186" s="1038"/>
      <c r="C186" s="1026"/>
      <c r="D186" s="1026"/>
      <c r="E186" s="1026"/>
      <c r="F186" s="1059"/>
      <c r="G186" s="1054"/>
      <c r="H186" s="1269"/>
      <c r="I186" s="1056"/>
      <c r="J186" s="1111"/>
      <c r="K186" s="1115"/>
    </row>
    <row r="187" spans="1:11">
      <c r="A187" s="1037"/>
      <c r="B187" s="1038"/>
      <c r="C187" s="1026"/>
      <c r="D187" s="1026"/>
      <c r="E187" s="1026"/>
      <c r="F187" s="1059"/>
      <c r="G187" s="1059"/>
      <c r="H187" s="1269"/>
      <c r="I187" s="1056"/>
      <c r="J187" s="1111"/>
      <c r="K187" s="1025"/>
    </row>
    <row r="188" spans="1:11">
      <c r="A188" s="1037"/>
      <c r="B188" s="1038"/>
      <c r="C188" s="1026"/>
      <c r="D188" s="1026"/>
      <c r="E188" s="1026"/>
      <c r="F188" s="1059"/>
      <c r="G188" s="1059"/>
      <c r="H188" s="1269"/>
      <c r="I188" s="1056"/>
      <c r="J188" s="1111"/>
      <c r="K188" s="1025"/>
    </row>
    <row r="189" spans="1:11">
      <c r="A189" s="1037"/>
      <c r="B189" s="1038"/>
      <c r="C189" s="1026"/>
      <c r="D189" s="1026"/>
      <c r="E189" s="1026"/>
      <c r="F189" s="1059"/>
      <c r="G189" s="1059"/>
      <c r="H189" s="1269"/>
      <c r="I189" s="1056"/>
      <c r="J189" s="1111"/>
      <c r="K189" s="1025"/>
    </row>
    <row r="190" spans="1:11">
      <c r="A190" s="1037"/>
      <c r="B190" s="1038"/>
      <c r="C190" s="1026"/>
      <c r="D190" s="1026"/>
      <c r="E190" s="1026"/>
      <c r="F190" s="1059"/>
      <c r="G190" s="1059"/>
      <c r="H190" s="1269"/>
      <c r="I190" s="1056"/>
      <c r="J190" s="1111"/>
      <c r="K190" s="1025"/>
    </row>
    <row r="191" spans="1:11">
      <c r="A191" s="1037"/>
      <c r="B191" s="1038"/>
      <c r="C191" s="1026"/>
      <c r="D191" s="1026"/>
      <c r="E191" s="1026"/>
      <c r="F191" s="1059"/>
      <c r="G191" s="1054"/>
      <c r="H191" s="1269"/>
      <c r="I191" s="1056"/>
      <c r="J191" s="1111"/>
      <c r="K191" s="1025"/>
    </row>
    <row r="192" spans="1:11">
      <c r="A192" s="1037"/>
      <c r="B192" s="1038"/>
      <c r="C192" s="1026"/>
      <c r="D192" s="1026"/>
      <c r="E192" s="1026"/>
      <c r="F192" s="1059"/>
      <c r="G192" s="1054"/>
      <c r="H192" s="1269"/>
      <c r="I192" s="1056"/>
      <c r="J192" s="1111"/>
      <c r="K192" s="1025"/>
    </row>
    <row r="193" spans="1:11">
      <c r="A193" s="1037"/>
      <c r="B193" s="1038"/>
      <c r="C193" s="1026"/>
      <c r="D193" s="1026"/>
      <c r="E193" s="1026"/>
      <c r="F193" s="1059"/>
      <c r="G193" s="1054"/>
      <c r="H193" s="1269"/>
      <c r="I193" s="1056"/>
      <c r="J193" s="1111"/>
      <c r="K193" s="1025"/>
    </row>
    <row r="194" spans="1:11">
      <c r="A194" s="1037"/>
      <c r="B194" s="1038"/>
      <c r="C194" s="1026"/>
      <c r="D194" s="1026"/>
      <c r="E194" s="1026"/>
      <c r="F194" s="1059"/>
      <c r="G194" s="1054"/>
      <c r="H194" s="1269"/>
      <c r="I194" s="1056"/>
      <c r="J194" s="1111"/>
      <c r="K194" s="1025"/>
    </row>
    <row r="195" spans="1:11">
      <c r="A195" s="1037"/>
      <c r="B195" s="1038"/>
      <c r="C195" s="1026"/>
      <c r="D195" s="1026"/>
      <c r="E195" s="1026"/>
      <c r="F195" s="1059"/>
      <c r="G195" s="1054"/>
      <c r="H195" s="1269"/>
      <c r="I195" s="1056"/>
      <c r="J195" s="1111"/>
      <c r="K195" s="1025"/>
    </row>
    <row r="196" spans="1:11">
      <c r="A196" s="1037"/>
      <c r="B196" s="1038"/>
      <c r="C196" s="1026"/>
      <c r="D196" s="1026"/>
      <c r="E196" s="1026"/>
      <c r="F196" s="1059"/>
      <c r="G196" s="1054"/>
      <c r="H196" s="1269"/>
      <c r="I196" s="1056"/>
      <c r="J196" s="1111"/>
      <c r="K196" s="1025"/>
    </row>
    <row r="197" spans="1:11">
      <c r="A197" s="1037"/>
      <c r="B197" s="1038"/>
      <c r="C197" s="1026"/>
      <c r="D197" s="1026"/>
      <c r="E197" s="1026"/>
      <c r="F197" s="1059"/>
      <c r="G197" s="1054"/>
      <c r="H197" s="1269"/>
      <c r="I197" s="1056"/>
      <c r="J197" s="1111"/>
      <c r="K197" s="1025"/>
    </row>
    <row r="198" spans="1:11">
      <c r="A198" s="1037"/>
      <c r="B198" s="1038"/>
      <c r="C198" s="1026"/>
      <c r="D198" s="1026"/>
      <c r="E198" s="1026"/>
      <c r="F198" s="1059"/>
      <c r="G198" s="1059"/>
      <c r="H198" s="1269"/>
      <c r="I198" s="1056"/>
      <c r="J198" s="1111"/>
      <c r="K198" s="1025"/>
    </row>
    <row r="199" spans="1:11">
      <c r="A199" s="1037"/>
      <c r="B199" s="1038"/>
      <c r="C199" s="1026"/>
      <c r="D199" s="1026"/>
      <c r="E199" s="1026"/>
      <c r="F199" s="1059"/>
      <c r="G199" s="1059"/>
      <c r="H199" s="1269"/>
      <c r="I199" s="1056"/>
      <c r="J199" s="1111"/>
      <c r="K199" s="1025"/>
    </row>
    <row r="200" spans="1:11" ht="15.75">
      <c r="A200" s="1037"/>
      <c r="B200" s="1038"/>
      <c r="C200" s="1026"/>
      <c r="D200" s="1026"/>
      <c r="E200" s="1026"/>
      <c r="F200" s="1059"/>
      <c r="G200" s="1054"/>
      <c r="H200" s="1269"/>
      <c r="I200" s="1056"/>
      <c r="J200" s="1111"/>
      <c r="K200" s="1115"/>
    </row>
    <row r="201" spans="1:11">
      <c r="A201" s="1037"/>
      <c r="B201" s="1038"/>
      <c r="C201" s="1026"/>
      <c r="D201" s="1026"/>
      <c r="E201" s="1026"/>
      <c r="F201" s="1059"/>
      <c r="G201" s="1054"/>
      <c r="H201" s="1269"/>
      <c r="I201" s="1056"/>
      <c r="J201" s="1111"/>
      <c r="K201" s="1025"/>
    </row>
    <row r="202" spans="1:11">
      <c r="A202" s="1037"/>
      <c r="B202" s="1038"/>
      <c r="C202" s="1025"/>
      <c r="D202" s="1025"/>
      <c r="E202" s="1025"/>
      <c r="F202" s="1061"/>
      <c r="G202" s="1054"/>
      <c r="H202" s="1269"/>
      <c r="I202" s="1056"/>
      <c r="J202" s="1111"/>
      <c r="K202" s="1025"/>
    </row>
    <row r="203" spans="1:11">
      <c r="A203" s="1037"/>
      <c r="B203" s="1038"/>
      <c r="C203" s="1026"/>
      <c r="D203" s="1026"/>
      <c r="E203" s="1026"/>
      <c r="F203" s="1061"/>
      <c r="G203" s="1054"/>
      <c r="H203" s="1269"/>
      <c r="I203" s="1056"/>
      <c r="J203" s="1111"/>
      <c r="K203" s="1025"/>
    </row>
    <row r="204" spans="1:11" ht="15.75">
      <c r="A204" s="1037"/>
      <c r="B204" s="1038"/>
      <c r="C204" s="1026"/>
      <c r="D204" s="1026"/>
      <c r="E204" s="1026"/>
      <c r="F204" s="1059"/>
      <c r="G204" s="1059"/>
      <c r="H204" s="1269"/>
      <c r="I204" s="1056"/>
      <c r="J204" s="1111"/>
      <c r="K204" s="1115"/>
    </row>
    <row r="205" spans="1:11">
      <c r="A205" s="1037"/>
      <c r="B205" s="1038"/>
      <c r="C205" s="1026"/>
      <c r="D205" s="1026"/>
      <c r="E205" s="1026"/>
      <c r="F205" s="1059"/>
      <c r="G205" s="1059"/>
      <c r="H205" s="1269"/>
      <c r="I205" s="1056"/>
      <c r="J205" s="1111"/>
      <c r="K205" s="1025"/>
    </row>
    <row r="206" spans="1:11" ht="15.75">
      <c r="A206" s="1037"/>
      <c r="B206" s="1038"/>
      <c r="C206" s="1026"/>
      <c r="D206" s="1026"/>
      <c r="E206" s="1026"/>
      <c r="F206" s="1059"/>
      <c r="G206" s="1054"/>
      <c r="H206" s="1269"/>
      <c r="I206" s="1056"/>
      <c r="J206" s="1111"/>
      <c r="K206" s="1115"/>
    </row>
    <row r="207" spans="1:11" ht="15.75">
      <c r="A207" s="1037"/>
      <c r="B207" s="1038"/>
      <c r="C207" s="1026"/>
      <c r="D207" s="1026"/>
      <c r="E207" s="1026"/>
      <c r="F207" s="1059"/>
      <c r="G207" s="1054"/>
      <c r="H207" s="1269"/>
      <c r="I207" s="1056"/>
      <c r="J207" s="1111"/>
      <c r="K207" s="1115"/>
    </row>
    <row r="208" spans="1:11" ht="15.75">
      <c r="A208" s="1037"/>
      <c r="B208" s="1038"/>
      <c r="C208" s="1026"/>
      <c r="D208" s="1026"/>
      <c r="E208" s="1026"/>
      <c r="F208" s="1059"/>
      <c r="G208" s="1054"/>
      <c r="H208" s="1269"/>
      <c r="I208" s="1056"/>
      <c r="J208" s="1111"/>
      <c r="K208" s="1115"/>
    </row>
    <row r="209" spans="1:11" ht="15.75">
      <c r="A209" s="1037"/>
      <c r="B209" s="1038"/>
      <c r="C209" s="1026"/>
      <c r="D209" s="1026"/>
      <c r="E209" s="1026"/>
      <c r="F209" s="1059"/>
      <c r="G209" s="1054"/>
      <c r="H209" s="1269"/>
      <c r="I209" s="1056"/>
      <c r="J209" s="1111"/>
      <c r="K209" s="1115"/>
    </row>
    <row r="210" spans="1:11" ht="15.75">
      <c r="A210" s="1037"/>
      <c r="B210" s="1038"/>
      <c r="C210" s="1026"/>
      <c r="D210" s="1026"/>
      <c r="E210" s="1026"/>
      <c r="F210" s="1059"/>
      <c r="G210" s="1054"/>
      <c r="H210" s="1269"/>
      <c r="I210" s="1056"/>
      <c r="J210" s="1111"/>
      <c r="K210" s="1115"/>
    </row>
    <row r="211" spans="1:11" ht="15.75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115"/>
    </row>
    <row r="212" spans="1:11" ht="15.75">
      <c r="A212" s="1037"/>
      <c r="B212" s="1038"/>
      <c r="C212" s="1026"/>
      <c r="D212" s="1026"/>
      <c r="E212" s="1026"/>
      <c r="F212" s="1059"/>
      <c r="G212" s="1054"/>
      <c r="H212" s="1269"/>
      <c r="I212" s="1056"/>
      <c r="J212" s="1111"/>
      <c r="K212" s="1115"/>
    </row>
    <row r="213" spans="1:11" ht="15.75">
      <c r="A213" s="1037"/>
      <c r="B213" s="1038"/>
      <c r="C213" s="1026"/>
      <c r="D213" s="1026"/>
      <c r="E213" s="1026"/>
      <c r="F213" s="1059"/>
      <c r="G213" s="1054"/>
      <c r="H213" s="1269"/>
      <c r="I213" s="1056"/>
      <c r="J213" s="1111"/>
      <c r="K213" s="1115"/>
    </row>
    <row r="214" spans="1:11" ht="15.75">
      <c r="A214" s="1037"/>
      <c r="B214" s="1038"/>
      <c r="C214" s="1026"/>
      <c r="D214" s="1026"/>
      <c r="F214" s="1059"/>
      <c r="G214" s="1054"/>
      <c r="H214" s="1269"/>
      <c r="I214" s="1056"/>
      <c r="J214" s="1111"/>
      <c r="K214" s="1115"/>
    </row>
    <row r="215" spans="1:11" ht="15.75">
      <c r="A215" s="1037"/>
      <c r="B215" s="1038"/>
      <c r="C215" s="1026"/>
      <c r="D215" s="1026"/>
      <c r="E215" s="1026"/>
      <c r="F215" s="1059"/>
      <c r="G215" s="1054"/>
      <c r="H215" s="1269"/>
      <c r="I215" s="1056"/>
      <c r="J215" s="1111"/>
      <c r="K215" s="1115"/>
    </row>
    <row r="216" spans="1:11" ht="15.75">
      <c r="A216" s="1037"/>
      <c r="B216" s="1038"/>
      <c r="C216" s="1026"/>
      <c r="D216" s="1026"/>
      <c r="E216" s="1026"/>
      <c r="F216" s="1059"/>
      <c r="G216" s="1054"/>
      <c r="H216" s="1269"/>
      <c r="I216" s="1056"/>
      <c r="J216" s="1111"/>
      <c r="K216" s="1115"/>
    </row>
    <row r="217" spans="1:11" ht="15.75">
      <c r="A217" s="1037"/>
      <c r="B217" s="1038"/>
      <c r="C217" s="1026"/>
      <c r="D217" s="1026"/>
      <c r="E217" s="1026"/>
      <c r="F217" s="1059"/>
      <c r="G217" s="1054"/>
      <c r="H217" s="1269"/>
      <c r="I217" s="1056"/>
      <c r="J217" s="1111"/>
      <c r="K217" s="1115"/>
    </row>
    <row r="218" spans="1:11" ht="15.75">
      <c r="A218" s="1037"/>
      <c r="B218" s="1038"/>
      <c r="C218" s="1026"/>
      <c r="D218" s="1026"/>
      <c r="E218" s="1026"/>
      <c r="F218" s="1059"/>
      <c r="G218" s="1054"/>
      <c r="H218" s="1269"/>
      <c r="I218" s="1056"/>
      <c r="J218" s="1111"/>
      <c r="K218" s="1115"/>
    </row>
    <row r="219" spans="1:11">
      <c r="A219" s="1037"/>
      <c r="B219" s="1038"/>
      <c r="C219" s="1026"/>
      <c r="D219" s="1026"/>
      <c r="E219" s="1026"/>
      <c r="F219" s="1059"/>
      <c r="G219" s="1054"/>
      <c r="H219" s="1269"/>
      <c r="I219" s="1056"/>
      <c r="J219" s="1111"/>
      <c r="K219" s="1025"/>
    </row>
    <row r="220" spans="1:11">
      <c r="A220" s="1039"/>
      <c r="B220" s="1039"/>
      <c r="C220" s="1025"/>
      <c r="D220" s="1025"/>
      <c r="E220" s="1025"/>
      <c r="F220" s="1061"/>
      <c r="G220" s="1062"/>
      <c r="H220" s="1269"/>
      <c r="I220" s="1056"/>
      <c r="J220" s="1111"/>
      <c r="K220" s="1025"/>
    </row>
    <row r="221" spans="1:11">
      <c r="A221" s="1039"/>
      <c r="B221" s="1039"/>
      <c r="C221" s="1025"/>
      <c r="D221" s="1025"/>
      <c r="E221" s="1025"/>
      <c r="F221" s="1061"/>
      <c r="G221" s="1062"/>
      <c r="H221" s="1269"/>
      <c r="I221" s="1056"/>
      <c r="J221" s="1111"/>
      <c r="K221" s="1025"/>
    </row>
    <row r="222" spans="1:11">
      <c r="A222" s="1039"/>
      <c r="B222" s="1039"/>
      <c r="C222" s="1025"/>
      <c r="D222" s="1025"/>
      <c r="E222" s="1025"/>
      <c r="F222" s="1061"/>
      <c r="G222" s="1062"/>
      <c r="H222" s="1269"/>
      <c r="I222" s="1056"/>
      <c r="J222" s="1111"/>
      <c r="K222" s="1025"/>
    </row>
    <row r="223" spans="1:11">
      <c r="A223" s="1039"/>
      <c r="B223" s="1039"/>
      <c r="C223" s="1025"/>
      <c r="D223" s="1025"/>
      <c r="E223" s="1025"/>
      <c r="F223" s="1061"/>
      <c r="G223" s="1062"/>
      <c r="H223" s="1269"/>
      <c r="I223" s="1056"/>
      <c r="J223" s="1111"/>
      <c r="K223" s="1025"/>
    </row>
    <row r="224" spans="1:11">
      <c r="A224" s="1039"/>
      <c r="B224" s="1039"/>
      <c r="C224" s="1025"/>
      <c r="D224" s="1025"/>
      <c r="E224" s="1025"/>
      <c r="F224" s="1061"/>
      <c r="G224" s="1062"/>
      <c r="H224" s="1269"/>
      <c r="I224" s="1056"/>
      <c r="J224" s="1111"/>
      <c r="K224" s="1025"/>
    </row>
    <row r="225" spans="1:11">
      <c r="A225" s="1039"/>
      <c r="B225" s="1039"/>
      <c r="C225" s="1025"/>
      <c r="D225" s="1025"/>
      <c r="E225" s="1025"/>
      <c r="F225" s="1061"/>
      <c r="G225" s="1062"/>
      <c r="H225" s="1269"/>
      <c r="I225" s="1056"/>
      <c r="J225" s="1111"/>
      <c r="K225" s="1025"/>
    </row>
    <row r="226" spans="1:11">
      <c r="A226" s="1039"/>
      <c r="B226" s="1039"/>
      <c r="C226" s="1025"/>
      <c r="D226" s="1025"/>
      <c r="E226" s="1025"/>
      <c r="F226" s="1061"/>
      <c r="G226" s="1062"/>
      <c r="H226" s="1269"/>
      <c r="I226" s="1056"/>
      <c r="J226" s="1111"/>
      <c r="K226" s="1025"/>
    </row>
    <row r="227" spans="1:11">
      <c r="A227" s="1039"/>
      <c r="B227" s="1039"/>
      <c r="C227" s="1025"/>
      <c r="D227" s="1025"/>
      <c r="E227" s="1025"/>
      <c r="F227" s="1061"/>
      <c r="G227" s="1062"/>
      <c r="H227" s="1269"/>
      <c r="I227" s="1056"/>
      <c r="J227" s="1111"/>
      <c r="K227" s="1025"/>
    </row>
    <row r="228" spans="1:11">
      <c r="A228" s="1039"/>
      <c r="B228" s="1039"/>
      <c r="C228" s="1025"/>
      <c r="D228" s="1025"/>
      <c r="E228" s="1025"/>
      <c r="F228" s="1061"/>
      <c r="G228" s="1062"/>
      <c r="H228" s="1269"/>
      <c r="I228" s="1056"/>
      <c r="J228" s="1111"/>
      <c r="K228" s="1025"/>
    </row>
    <row r="229" spans="1:11">
      <c r="A229" s="1039"/>
      <c r="B229" s="1039"/>
      <c r="C229" s="1025"/>
      <c r="D229" s="1025"/>
      <c r="E229" s="1025"/>
      <c r="F229" s="1061"/>
      <c r="G229" s="1062"/>
      <c r="H229" s="1269"/>
      <c r="I229" s="1056"/>
      <c r="J229" s="1111"/>
      <c r="K229" s="1025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1025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1025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1025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1025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1025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1025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1025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1025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1025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1025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1025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1025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1025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1025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1025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1025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1025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1025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1025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1025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1025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1025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1025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1025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1025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1025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1025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1025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1025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1025"/>
    </row>
    <row r="260" spans="1:11">
      <c r="A260" s="1039"/>
      <c r="B260" s="1039"/>
      <c r="C260" s="1025"/>
      <c r="D260" s="1025"/>
      <c r="E260" s="1025"/>
      <c r="F260" s="1061"/>
      <c r="G260" s="1062"/>
      <c r="H260" s="1269"/>
      <c r="I260" s="1056"/>
      <c r="J260" s="1111"/>
      <c r="K260" s="1025"/>
    </row>
    <row r="261" spans="1:11">
      <c r="A261" s="1039"/>
      <c r="B261" s="1039"/>
      <c r="C261" s="1025"/>
      <c r="D261" s="1025"/>
      <c r="E261" s="1025"/>
      <c r="F261" s="1061"/>
      <c r="G261" s="1062"/>
      <c r="H261" s="1269"/>
      <c r="I261" s="1056"/>
      <c r="J261" s="1111"/>
      <c r="K261" s="1025"/>
    </row>
    <row r="262" spans="1:11">
      <c r="A262" s="1039"/>
      <c r="B262" s="1039"/>
      <c r="C262" s="1025"/>
      <c r="D262" s="1025"/>
      <c r="E262" s="1025"/>
      <c r="F262" s="1061"/>
      <c r="G262" s="1062"/>
      <c r="H262" s="1269"/>
      <c r="I262" s="1056"/>
      <c r="J262" s="1111"/>
      <c r="K262" s="1025"/>
    </row>
    <row r="263" spans="1:11">
      <c r="A263" s="1039"/>
      <c r="B263" s="1039"/>
      <c r="C263" s="1025"/>
      <c r="D263" s="1025"/>
      <c r="E263" s="1025"/>
      <c r="F263" s="1061"/>
      <c r="G263" s="1062"/>
      <c r="H263" s="1269"/>
      <c r="I263" s="1056"/>
      <c r="J263" s="1111"/>
      <c r="K263" s="1025"/>
    </row>
    <row r="264" spans="1:11">
      <c r="A264" s="1039"/>
      <c r="B264" s="1039"/>
      <c r="C264" s="1025"/>
      <c r="D264" s="1025"/>
      <c r="E264" s="1025"/>
      <c r="F264" s="1061"/>
      <c r="G264" s="1062"/>
      <c r="H264" s="1269"/>
      <c r="I264" s="1056"/>
      <c r="J264" s="1111"/>
      <c r="K264" s="1025"/>
    </row>
    <row r="265" spans="1:11">
      <c r="A265" s="1039"/>
      <c r="B265" s="1039"/>
      <c r="C265" s="1025"/>
      <c r="D265" s="1025"/>
      <c r="E265" s="1025"/>
      <c r="F265" s="1061"/>
      <c r="G265" s="1062"/>
      <c r="H265" s="1269"/>
      <c r="I265" s="1056"/>
      <c r="J265" s="1111"/>
      <c r="K265" s="1025"/>
    </row>
    <row r="266" spans="1:11">
      <c r="A266" s="1039"/>
      <c r="B266" s="1039"/>
      <c r="C266" s="1025"/>
      <c r="D266" s="1025"/>
      <c r="E266" s="1025"/>
      <c r="F266" s="1061"/>
      <c r="G266" s="1062"/>
      <c r="H266" s="1269"/>
      <c r="I266" s="1056"/>
      <c r="J266" s="1111"/>
      <c r="K266" s="1025"/>
    </row>
    <row r="267" spans="1:11">
      <c r="A267" s="1025"/>
      <c r="B267" s="1025"/>
      <c r="C267" s="1025"/>
      <c r="D267" s="1025"/>
      <c r="E267" s="1025"/>
      <c r="F267" s="1025"/>
      <c r="G267" s="1025"/>
      <c r="H267" s="1269"/>
      <c r="I267" s="1056"/>
      <c r="J267" s="1111"/>
      <c r="K267" s="1025"/>
    </row>
    <row r="268" spans="1:11">
      <c r="A268" s="1025"/>
      <c r="B268" s="1025"/>
      <c r="C268" s="1025"/>
      <c r="D268" s="1025"/>
      <c r="E268" s="1025"/>
      <c r="F268" s="1025"/>
      <c r="G268" s="1025"/>
      <c r="H268" s="1269"/>
      <c r="I268" s="1056"/>
      <c r="J268" s="1111"/>
      <c r="K268" s="1025"/>
    </row>
    <row r="269" spans="1:11">
      <c r="A269" s="1025"/>
      <c r="B269" s="1025"/>
      <c r="C269" s="1025"/>
      <c r="D269" s="1025"/>
      <c r="E269" s="1025"/>
      <c r="F269" s="1025"/>
      <c r="G269" s="1025"/>
      <c r="H269" s="1269"/>
      <c r="I269" s="1056"/>
      <c r="J269" s="1111"/>
      <c r="K269" s="1025"/>
    </row>
    <row r="270" spans="1:11">
      <c r="A270" s="1025"/>
      <c r="B270" s="1025"/>
      <c r="C270" s="1025"/>
      <c r="D270" s="1025"/>
      <c r="E270" s="1025"/>
      <c r="F270" s="1025"/>
      <c r="G270" s="1025"/>
      <c r="H270" s="1269"/>
      <c r="I270" s="1056"/>
      <c r="J270" s="1111"/>
      <c r="K270" s="1025"/>
    </row>
    <row r="271" spans="1:11">
      <c r="A271" s="1025"/>
      <c r="B271" s="1025"/>
      <c r="C271" s="1025"/>
      <c r="D271" s="1025"/>
      <c r="E271" s="1025"/>
      <c r="F271" s="1025"/>
      <c r="G271" s="1025"/>
      <c r="H271" s="1269"/>
      <c r="I271" s="1056"/>
      <c r="J271" s="1111"/>
      <c r="K271" s="1025"/>
    </row>
    <row r="272" spans="1:11">
      <c r="A272" s="1025"/>
      <c r="B272" s="1025"/>
      <c r="C272" s="1025"/>
      <c r="D272" s="1025"/>
      <c r="E272" s="1025"/>
      <c r="F272" s="1025"/>
      <c r="G272" s="1025"/>
      <c r="H272" s="1269"/>
      <c r="I272" s="1056"/>
      <c r="J272" s="1111"/>
      <c r="K272" s="1025"/>
    </row>
    <row r="273" spans="1:11">
      <c r="A273" s="1025"/>
      <c r="B273" s="1025"/>
      <c r="C273" s="1025"/>
      <c r="D273" s="1025"/>
      <c r="E273" s="1025"/>
      <c r="F273" s="1025"/>
      <c r="G273" s="1025"/>
      <c r="H273" s="1269"/>
      <c r="I273" s="1056"/>
      <c r="J273" s="1111"/>
      <c r="K273" s="1025"/>
    </row>
    <row r="274" spans="1:11">
      <c r="A274" s="1025"/>
      <c r="B274" s="1025"/>
      <c r="C274" s="1025"/>
      <c r="D274" s="1025"/>
      <c r="E274" s="1025"/>
      <c r="F274" s="1025"/>
      <c r="G274" s="1025"/>
      <c r="H274" s="1269"/>
      <c r="I274" s="1056"/>
      <c r="J274" s="1111"/>
      <c r="K274" s="1025"/>
    </row>
    <row r="275" spans="1:11">
      <c r="A275" s="1025"/>
      <c r="B275" s="1025"/>
      <c r="C275" s="1025"/>
      <c r="D275" s="1025"/>
      <c r="E275" s="1025"/>
      <c r="F275" s="1025"/>
      <c r="G275" s="1025"/>
      <c r="H275" s="1269"/>
      <c r="I275" s="1056"/>
      <c r="J275" s="1111"/>
      <c r="K275" s="1025"/>
    </row>
    <row r="276" spans="1:11">
      <c r="A276" s="1025"/>
      <c r="B276" s="1025"/>
      <c r="C276" s="1025"/>
      <c r="D276" s="1025"/>
      <c r="E276" s="1025"/>
      <c r="F276" s="1025"/>
      <c r="G276" s="1025"/>
      <c r="H276" s="1269"/>
      <c r="I276" s="1056"/>
      <c r="J276" s="1111"/>
      <c r="K276" s="1025"/>
    </row>
    <row r="277" spans="1:11">
      <c r="A277" s="1025"/>
      <c r="B277" s="1025"/>
      <c r="C277" s="1025"/>
      <c r="D277" s="1025"/>
      <c r="E277" s="1025"/>
      <c r="F277" s="1025"/>
      <c r="G277" s="1025"/>
      <c r="H277" s="1269"/>
      <c r="I277" s="1056"/>
      <c r="J277" s="1111"/>
      <c r="K277" s="1025"/>
    </row>
    <row r="278" spans="1:11">
      <c r="A278" s="1025"/>
      <c r="B278" s="1025"/>
      <c r="C278" s="1025"/>
      <c r="D278" s="1025"/>
      <c r="E278" s="1025"/>
      <c r="F278" s="1025"/>
      <c r="G278" s="1025"/>
      <c r="H278" s="1269"/>
      <c r="I278" s="1056"/>
      <c r="J278" s="1111"/>
      <c r="K278" s="1025"/>
    </row>
    <row r="279" spans="1:11">
      <c r="A279" s="1025"/>
      <c r="B279" s="1025"/>
      <c r="C279" s="1025"/>
      <c r="D279" s="1025"/>
      <c r="E279" s="1025"/>
      <c r="F279" s="1025"/>
      <c r="G279" s="1025"/>
      <c r="H279" s="1269"/>
      <c r="I279" s="1056"/>
      <c r="J279" s="1111"/>
      <c r="K279" s="1025"/>
    </row>
    <row r="280" spans="1:11">
      <c r="A280" s="1025"/>
      <c r="B280" s="1025"/>
      <c r="C280" s="1025"/>
      <c r="D280" s="1025"/>
      <c r="E280" s="1025"/>
      <c r="F280" s="1025"/>
      <c r="G280" s="1025"/>
      <c r="H280" s="1269"/>
      <c r="I280" s="1056"/>
      <c r="J280" s="1111"/>
      <c r="K280" s="1025"/>
    </row>
    <row r="281" spans="1:11" ht="15.75" thickBot="1">
      <c r="A281" s="1037"/>
      <c r="B281" s="1038"/>
      <c r="C281" s="1026"/>
      <c r="D281" s="1026"/>
      <c r="E281" s="1026"/>
      <c r="F281" s="1059"/>
      <c r="G281" s="1054"/>
      <c r="H281" s="1269"/>
      <c r="I281" s="1056"/>
      <c r="J281" s="1111"/>
      <c r="K281" s="1025"/>
    </row>
    <row r="282" spans="1:11" ht="20.25" thickBot="1">
      <c r="A282" s="1552"/>
      <c r="B282" s="1553"/>
      <c r="C282" s="1553"/>
      <c r="D282" s="1553"/>
      <c r="E282" s="1553"/>
      <c r="F282" s="1554">
        <f>SUM(F161:F169,F171:F281)</f>
        <v>0</v>
      </c>
      <c r="G282" s="1553"/>
      <c r="H282" s="1558">
        <f>SUM(H61:H281)</f>
        <v>11667.82965</v>
      </c>
      <c r="I282" s="1554">
        <f>SUM(I161:I281)</f>
        <v>0</v>
      </c>
      <c r="J282" s="1111"/>
      <c r="K282" s="1115"/>
    </row>
  </sheetData>
  <autoFilter ref="A1:K61" xr:uid="{68558C6E-B70B-45FB-8F0C-BA5ADC1E9DF3}">
    <sortState xmlns:xlrd2="http://schemas.microsoft.com/office/spreadsheetml/2017/richdata2" ref="A2:K61">
      <sortCondition ref="J1:J61"/>
    </sortState>
  </autoFilter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EE4A-0C67-4244-B9EB-8E3A2DB789B0}">
  <dimension ref="A1:K280"/>
  <sheetViews>
    <sheetView zoomScale="80" zoomScaleNormal="80" workbookViewId="0">
      <pane ySplit="1" topLeftCell="A30" activePane="bottomLeft" state="frozen"/>
      <selection pane="bottomLeft" activeCell="A2" sqref="A2:K49"/>
    </sheetView>
  </sheetViews>
  <sheetFormatPr defaultColWidth="9.140625" defaultRowHeight="15"/>
  <cols>
    <col min="1" max="1" width="15.140625" style="1032" bestFit="1" customWidth="1"/>
    <col min="2" max="2" width="13.5703125" style="1032" customWidth="1"/>
    <col min="3" max="3" width="44.5703125" style="1032" bestFit="1" customWidth="1"/>
    <col min="4" max="4" width="22.28515625" style="1032" bestFit="1" customWidth="1"/>
    <col min="5" max="5" width="11.5703125" style="1032" customWidth="1"/>
    <col min="6" max="6" width="22" style="1032" bestFit="1" customWidth="1"/>
    <col min="7" max="7" width="15" style="1032" customWidth="1"/>
    <col min="8" max="8" width="24.85546875" style="1032" bestFit="1" customWidth="1"/>
    <col min="9" max="9" width="23.28515625" style="1032" bestFit="1" customWidth="1"/>
    <col min="10" max="10" width="13.140625" style="1032" customWidth="1"/>
    <col min="11" max="11" width="21.5703125" style="1032" bestFit="1" customWidth="1"/>
    <col min="12" max="16384" width="9.140625" style="1032"/>
  </cols>
  <sheetData>
    <row r="1" spans="1:11" s="1566" customFormat="1" ht="14.25" customHeight="1">
      <c r="A1" s="1559" t="s">
        <v>2519</v>
      </c>
      <c r="B1" s="1560" t="s">
        <v>2</v>
      </c>
      <c r="C1" s="1560" t="s">
        <v>3</v>
      </c>
      <c r="D1" s="1560" t="s">
        <v>4</v>
      </c>
      <c r="E1" s="1560" t="s">
        <v>5</v>
      </c>
      <c r="F1" s="1561" t="s">
        <v>644</v>
      </c>
      <c r="G1" s="1562" t="s">
        <v>555</v>
      </c>
      <c r="H1" s="1563" t="s">
        <v>7</v>
      </c>
      <c r="I1" s="1564" t="s">
        <v>307</v>
      </c>
      <c r="J1" s="1562" t="s">
        <v>370</v>
      </c>
      <c r="K1" s="1565" t="s">
        <v>3013</v>
      </c>
    </row>
    <row r="2" spans="1:11" s="1031" customFormat="1" ht="15.75">
      <c r="A2" s="1294">
        <v>45931</v>
      </c>
      <c r="B2" s="1294">
        <v>46296</v>
      </c>
      <c r="C2" s="1085" t="s">
        <v>3008</v>
      </c>
      <c r="D2" s="1085" t="s">
        <v>70</v>
      </c>
      <c r="E2" s="1085" t="s">
        <v>279</v>
      </c>
      <c r="F2" s="1296">
        <v>588.15</v>
      </c>
      <c r="G2" s="1101">
        <v>0.16</v>
      </c>
      <c r="H2" s="1083">
        <f t="shared" ref="H2:H31" si="0">F2*G2*(1-10%)</f>
        <v>84.693600000000004</v>
      </c>
      <c r="I2" s="1518"/>
      <c r="J2" s="1085"/>
      <c r="K2" s="1173" t="s">
        <v>2015</v>
      </c>
    </row>
    <row r="3" spans="1:11" s="1690" customFormat="1" ht="15.75">
      <c r="A3" s="1684">
        <v>45931</v>
      </c>
      <c r="B3" s="1684">
        <v>46296</v>
      </c>
      <c r="C3" s="1677" t="s">
        <v>3009</v>
      </c>
      <c r="D3" s="1677" t="s">
        <v>9</v>
      </c>
      <c r="E3" s="1677" t="s">
        <v>3010</v>
      </c>
      <c r="F3" s="1685">
        <v>2291.9699999999998</v>
      </c>
      <c r="G3" s="1686">
        <v>0.1</v>
      </c>
      <c r="H3" s="1687">
        <f t="shared" si="0"/>
        <v>206.2773</v>
      </c>
      <c r="I3" s="1688"/>
      <c r="J3" s="1677"/>
      <c r="K3" s="1689" t="s">
        <v>3011</v>
      </c>
    </row>
    <row r="4" spans="1:11" s="1690" customFormat="1" ht="15.75">
      <c r="A4" s="1691">
        <v>45932</v>
      </c>
      <c r="B4" s="1691">
        <v>46297</v>
      </c>
      <c r="C4" s="1678" t="s">
        <v>3014</v>
      </c>
      <c r="D4" s="1678" t="s">
        <v>9</v>
      </c>
      <c r="E4" s="1678" t="s">
        <v>10</v>
      </c>
      <c r="F4" s="1692">
        <v>4133.2700000000004</v>
      </c>
      <c r="G4" s="1693">
        <v>0.25</v>
      </c>
      <c r="H4" s="1694">
        <f t="shared" si="0"/>
        <v>929.98575000000017</v>
      </c>
      <c r="I4" s="1695">
        <v>92.99</v>
      </c>
      <c r="J4" s="1678" t="s">
        <v>1470</v>
      </c>
      <c r="K4" s="1696" t="s">
        <v>2015</v>
      </c>
    </row>
    <row r="5" spans="1:11" s="1690" customFormat="1" ht="15.75">
      <c r="A5" s="1697">
        <v>45932</v>
      </c>
      <c r="B5" s="1698">
        <v>46297</v>
      </c>
      <c r="C5" s="1679" t="s">
        <v>3012</v>
      </c>
      <c r="D5" s="1679" t="s">
        <v>1862</v>
      </c>
      <c r="E5" s="1679" t="s">
        <v>10</v>
      </c>
      <c r="F5" s="1699">
        <v>2158.84</v>
      </c>
      <c r="G5" s="1700">
        <v>0.1</v>
      </c>
      <c r="H5" s="1701">
        <f t="shared" si="0"/>
        <v>194.29560000000001</v>
      </c>
      <c r="I5" s="1702">
        <f>194.3/2</f>
        <v>97.15</v>
      </c>
      <c r="J5" s="1703" t="s">
        <v>1577</v>
      </c>
      <c r="K5" s="1704" t="s">
        <v>2015</v>
      </c>
    </row>
    <row r="6" spans="1:11" s="1690" customFormat="1" ht="15.75">
      <c r="A6" s="1684">
        <v>45932</v>
      </c>
      <c r="B6" s="1684">
        <v>46297</v>
      </c>
      <c r="C6" s="1677" t="s">
        <v>3016</v>
      </c>
      <c r="D6" s="1677" t="s">
        <v>9</v>
      </c>
      <c r="E6" s="1677" t="s">
        <v>29</v>
      </c>
      <c r="F6" s="1705">
        <v>1561.21</v>
      </c>
      <c r="G6" s="1686">
        <v>0.2</v>
      </c>
      <c r="H6" s="1687">
        <f t="shared" si="0"/>
        <v>281.01780000000002</v>
      </c>
      <c r="I6" s="1688"/>
      <c r="J6" s="1677"/>
      <c r="K6" s="1689" t="s">
        <v>2015</v>
      </c>
    </row>
    <row r="7" spans="1:11" s="1690" customFormat="1" ht="15.75">
      <c r="A7" s="1706">
        <v>45933</v>
      </c>
      <c r="B7" s="1706">
        <v>46298</v>
      </c>
      <c r="C7" s="1680" t="s">
        <v>3021</v>
      </c>
      <c r="D7" s="1680" t="s">
        <v>448</v>
      </c>
      <c r="E7" s="1680" t="s">
        <v>2682</v>
      </c>
      <c r="F7" s="1707">
        <v>3106.33</v>
      </c>
      <c r="G7" s="1708">
        <v>0.2</v>
      </c>
      <c r="H7" s="1709">
        <f t="shared" si="0"/>
        <v>559.13940000000014</v>
      </c>
      <c r="I7" s="1710">
        <v>279.57</v>
      </c>
      <c r="J7" s="1680" t="s">
        <v>1577</v>
      </c>
      <c r="K7" s="1711" t="s">
        <v>2015</v>
      </c>
    </row>
    <row r="8" spans="1:11" s="1690" customFormat="1" ht="15.75">
      <c r="A8" s="1712">
        <v>45933</v>
      </c>
      <c r="B8" s="1713">
        <v>46298</v>
      </c>
      <c r="C8" s="1681" t="s">
        <v>3042</v>
      </c>
      <c r="D8" s="1681" t="s">
        <v>448</v>
      </c>
      <c r="E8" s="1681" t="s">
        <v>143</v>
      </c>
      <c r="F8" s="1714">
        <v>2025.77</v>
      </c>
      <c r="G8" s="1715">
        <v>0.15</v>
      </c>
      <c r="H8" s="1716">
        <f t="shared" si="0"/>
        <v>273.47895</v>
      </c>
      <c r="I8" s="1717" t="s">
        <v>442</v>
      </c>
      <c r="J8" s="1718"/>
      <c r="K8" s="1719" t="s">
        <v>2010</v>
      </c>
    </row>
    <row r="9" spans="1:11" s="1726" customFormat="1" ht="15.75">
      <c r="A9" s="1720">
        <v>45933</v>
      </c>
      <c r="B9" s="1721">
        <v>46298</v>
      </c>
      <c r="C9" s="1682" t="s">
        <v>3020</v>
      </c>
      <c r="D9" s="1682" t="s">
        <v>70</v>
      </c>
      <c r="E9" s="1682" t="s">
        <v>279</v>
      </c>
      <c r="F9" s="1722">
        <v>1253.98</v>
      </c>
      <c r="G9" s="1723">
        <v>0.1</v>
      </c>
      <c r="H9" s="1687">
        <f t="shared" si="0"/>
        <v>112.85820000000001</v>
      </c>
      <c r="I9" s="1724"/>
      <c r="J9" s="1725"/>
      <c r="K9" s="1689" t="s">
        <v>2015</v>
      </c>
    </row>
    <row r="10" spans="1:11" s="1733" customFormat="1" ht="15" customHeight="1">
      <c r="A10" s="1727">
        <v>45933</v>
      </c>
      <c r="B10" s="1728">
        <v>46300</v>
      </c>
      <c r="C10" s="1683" t="s">
        <v>3017</v>
      </c>
      <c r="D10" s="1683" t="s">
        <v>448</v>
      </c>
      <c r="E10" s="1683" t="s">
        <v>1610</v>
      </c>
      <c r="F10" s="1729">
        <v>2218.5700000000002</v>
      </c>
      <c r="G10" s="1730">
        <v>0.1</v>
      </c>
      <c r="H10" s="1694">
        <f t="shared" si="0"/>
        <v>199.67130000000003</v>
      </c>
      <c r="I10" s="1731">
        <v>19.96</v>
      </c>
      <c r="J10" s="1732" t="s">
        <v>1470</v>
      </c>
      <c r="K10" s="1696" t="s">
        <v>2015</v>
      </c>
    </row>
    <row r="11" spans="1:11" s="1690" customFormat="1" ht="15.75">
      <c r="A11" s="1720">
        <v>45932</v>
      </c>
      <c r="B11" s="1721">
        <v>46300</v>
      </c>
      <c r="C11" s="1682" t="s">
        <v>3015</v>
      </c>
      <c r="D11" s="1682" t="s">
        <v>1924</v>
      </c>
      <c r="E11" s="1682" t="s">
        <v>1310</v>
      </c>
      <c r="F11" s="1722">
        <v>2575.36</v>
      </c>
      <c r="G11" s="1723">
        <v>0.1</v>
      </c>
      <c r="H11" s="1687">
        <f t="shared" si="0"/>
        <v>231.7824</v>
      </c>
      <c r="I11" s="1724"/>
      <c r="J11" s="1725"/>
      <c r="K11" s="1689" t="s">
        <v>2010</v>
      </c>
    </row>
    <row r="12" spans="1:11" s="1733" customFormat="1">
      <c r="A12" s="1720">
        <v>45933</v>
      </c>
      <c r="B12" s="1721">
        <v>46300</v>
      </c>
      <c r="C12" s="1677" t="s">
        <v>3019</v>
      </c>
      <c r="D12" s="1677" t="s">
        <v>9</v>
      </c>
      <c r="E12" s="1677" t="s">
        <v>10</v>
      </c>
      <c r="F12" s="1705">
        <v>1040.96</v>
      </c>
      <c r="G12" s="1686">
        <v>0.2</v>
      </c>
      <c r="H12" s="1687">
        <f t="shared" si="0"/>
        <v>187.37280000000001</v>
      </c>
      <c r="I12" s="1724"/>
      <c r="J12" s="1725"/>
      <c r="K12" s="1677" t="s">
        <v>2015</v>
      </c>
    </row>
    <row r="13" spans="1:11" s="1733" customFormat="1" ht="15.75">
      <c r="A13" s="1720">
        <v>45936</v>
      </c>
      <c r="B13" s="1721">
        <v>46301</v>
      </c>
      <c r="C13" s="1677" t="s">
        <v>3022</v>
      </c>
      <c r="D13" s="1677" t="s">
        <v>1924</v>
      </c>
      <c r="E13" s="1677" t="s">
        <v>945</v>
      </c>
      <c r="F13" s="1705">
        <v>760.63</v>
      </c>
      <c r="G13" s="1686">
        <v>0.19</v>
      </c>
      <c r="H13" s="1687">
        <f t="shared" si="0"/>
        <v>130.06773000000001</v>
      </c>
      <c r="I13" s="1724"/>
      <c r="J13" s="1725"/>
      <c r="K13" s="1689" t="s">
        <v>2015</v>
      </c>
    </row>
    <row r="14" spans="1:11" s="1733" customFormat="1" ht="15.75">
      <c r="A14" s="1720">
        <v>45933</v>
      </c>
      <c r="B14" s="1721">
        <v>46302</v>
      </c>
      <c r="C14" s="1677" t="s">
        <v>3024</v>
      </c>
      <c r="D14" s="1682" t="s">
        <v>70</v>
      </c>
      <c r="E14" s="1677" t="s">
        <v>279</v>
      </c>
      <c r="F14" s="1705">
        <v>1344.29</v>
      </c>
      <c r="G14" s="1686">
        <v>0.1</v>
      </c>
      <c r="H14" s="1687">
        <f t="shared" si="0"/>
        <v>120.98610000000001</v>
      </c>
      <c r="I14" s="1724"/>
      <c r="J14" s="1725"/>
      <c r="K14" s="1689" t="s">
        <v>2010</v>
      </c>
    </row>
    <row r="15" spans="1:11" s="1733" customFormat="1">
      <c r="A15" s="1697">
        <v>45938</v>
      </c>
      <c r="B15" s="1698">
        <v>46304</v>
      </c>
      <c r="C15" s="1680" t="s">
        <v>3025</v>
      </c>
      <c r="D15" s="1679" t="s">
        <v>448</v>
      </c>
      <c r="E15" s="1680" t="s">
        <v>10</v>
      </c>
      <c r="F15" s="1707">
        <v>2357.41</v>
      </c>
      <c r="G15" s="1708">
        <v>0.1</v>
      </c>
      <c r="H15" s="1709">
        <f t="shared" si="0"/>
        <v>212.1669</v>
      </c>
      <c r="I15" s="1702">
        <f>212.17/2</f>
        <v>106.08499999999999</v>
      </c>
      <c r="J15" s="1734" t="s">
        <v>1577</v>
      </c>
      <c r="K15" s="1680" t="s">
        <v>2015</v>
      </c>
    </row>
    <row r="16" spans="1:11" s="1735" customFormat="1" ht="15.75">
      <c r="A16" s="1720">
        <v>45933</v>
      </c>
      <c r="B16" s="1721">
        <v>46304</v>
      </c>
      <c r="C16" s="1677" t="s">
        <v>3018</v>
      </c>
      <c r="D16" s="1682" t="s">
        <v>9</v>
      </c>
      <c r="E16" s="1677" t="s">
        <v>10</v>
      </c>
      <c r="F16" s="1705">
        <v>1325.1</v>
      </c>
      <c r="G16" s="1686">
        <v>0.25</v>
      </c>
      <c r="H16" s="1687">
        <f t="shared" si="0"/>
        <v>298.14749999999998</v>
      </c>
      <c r="I16" s="1724"/>
      <c r="J16" s="1725"/>
      <c r="K16" s="1689" t="s">
        <v>2015</v>
      </c>
    </row>
    <row r="17" spans="1:11" s="1735" customFormat="1" ht="15.75">
      <c r="A17" s="1684">
        <v>45939</v>
      </c>
      <c r="B17" s="1684">
        <v>46304</v>
      </c>
      <c r="C17" s="1677" t="s">
        <v>3027</v>
      </c>
      <c r="D17" s="1677" t="s">
        <v>448</v>
      </c>
      <c r="E17" s="1677" t="s">
        <v>29</v>
      </c>
      <c r="F17" s="1736">
        <v>3598.4</v>
      </c>
      <c r="G17" s="1686">
        <v>0.1</v>
      </c>
      <c r="H17" s="1687">
        <f t="shared" si="0"/>
        <v>323.85600000000005</v>
      </c>
      <c r="I17" s="1724"/>
      <c r="J17" s="1725"/>
      <c r="K17" s="1689" t="s">
        <v>2015</v>
      </c>
    </row>
    <row r="18" spans="1:11" s="1737" customFormat="1" ht="15.75">
      <c r="A18" s="1691">
        <v>45939</v>
      </c>
      <c r="B18" s="1691">
        <v>46306</v>
      </c>
      <c r="C18" s="1678" t="s">
        <v>3026</v>
      </c>
      <c r="D18" s="1678" t="s">
        <v>1862</v>
      </c>
      <c r="E18" s="1678" t="s">
        <v>143</v>
      </c>
      <c r="F18" s="1692">
        <v>4188.1099999999997</v>
      </c>
      <c r="G18" s="1693">
        <v>0.1</v>
      </c>
      <c r="H18" s="1694">
        <f t="shared" si="0"/>
        <v>376.92989999999998</v>
      </c>
      <c r="I18" s="1731">
        <v>37.69</v>
      </c>
      <c r="J18" s="1732" t="s">
        <v>1470</v>
      </c>
      <c r="K18" s="1696" t="s">
        <v>2015</v>
      </c>
    </row>
    <row r="19" spans="1:11" s="1737" customFormat="1" ht="15.75">
      <c r="A19" s="1697">
        <v>45944</v>
      </c>
      <c r="B19" s="1706">
        <v>46306</v>
      </c>
      <c r="C19" s="1680" t="s">
        <v>2713</v>
      </c>
      <c r="D19" s="1679" t="s">
        <v>9</v>
      </c>
      <c r="E19" s="1680" t="s">
        <v>22</v>
      </c>
      <c r="F19" s="1738">
        <v>1815.75</v>
      </c>
      <c r="G19" s="1708">
        <v>0.1</v>
      </c>
      <c r="H19" s="1709">
        <f t="shared" si="0"/>
        <v>163.41750000000002</v>
      </c>
      <c r="I19" s="1702">
        <f>163.42/2</f>
        <v>81.709999999999994</v>
      </c>
      <c r="J19" s="1734" t="s">
        <v>1577</v>
      </c>
      <c r="K19" s="1711" t="s">
        <v>2015</v>
      </c>
    </row>
    <row r="20" spans="1:11" s="1737" customFormat="1" ht="15.75">
      <c r="A20" s="1720">
        <v>45936</v>
      </c>
      <c r="B20" s="1684">
        <v>46306</v>
      </c>
      <c r="C20" s="1677" t="s">
        <v>2346</v>
      </c>
      <c r="D20" s="1682" t="s">
        <v>448</v>
      </c>
      <c r="E20" s="1677" t="s">
        <v>945</v>
      </c>
      <c r="F20" s="1685">
        <v>1649.92</v>
      </c>
      <c r="G20" s="1686">
        <v>0.1</v>
      </c>
      <c r="H20" s="1687">
        <f t="shared" si="0"/>
        <v>148.49280000000002</v>
      </c>
      <c r="I20" s="1724"/>
      <c r="J20" s="1725"/>
      <c r="K20" s="1689" t="s">
        <v>2015</v>
      </c>
    </row>
    <row r="21" spans="1:11" s="1737" customFormat="1" ht="15.75">
      <c r="A21" s="1739">
        <v>45943</v>
      </c>
      <c r="B21" s="1740">
        <v>46308</v>
      </c>
      <c r="C21" s="1741" t="s">
        <v>2410</v>
      </c>
      <c r="D21" s="1742" t="s">
        <v>448</v>
      </c>
      <c r="E21" s="1741" t="s">
        <v>362</v>
      </c>
      <c r="F21" s="1743">
        <v>1357.16</v>
      </c>
      <c r="G21" s="1744">
        <v>0.1</v>
      </c>
      <c r="H21" s="1745">
        <f t="shared" si="0"/>
        <v>122.1444</v>
      </c>
      <c r="I21" s="1746">
        <f>122.14/2</f>
        <v>61.07</v>
      </c>
      <c r="J21" s="1747" t="s">
        <v>1759</v>
      </c>
      <c r="K21" s="1748" t="s">
        <v>2274</v>
      </c>
    </row>
    <row r="22" spans="1:11" s="1737" customFormat="1" ht="15.75">
      <c r="A22" s="1720">
        <v>45938</v>
      </c>
      <c r="B22" s="1684">
        <v>46308</v>
      </c>
      <c r="C22" s="1737" t="s">
        <v>2775</v>
      </c>
      <c r="D22" s="1682" t="s">
        <v>2472</v>
      </c>
      <c r="E22" s="1682" t="s">
        <v>945</v>
      </c>
      <c r="F22" s="1736">
        <v>2266.4299999999998</v>
      </c>
      <c r="G22" s="1686">
        <v>0.1</v>
      </c>
      <c r="H22" s="1687">
        <f t="shared" si="0"/>
        <v>203.9787</v>
      </c>
      <c r="I22" s="1724"/>
      <c r="J22" s="1725"/>
      <c r="K22" s="1689" t="s">
        <v>2015</v>
      </c>
    </row>
    <row r="23" spans="1:11" s="1737" customFormat="1" ht="15.75">
      <c r="A23" s="1720">
        <v>45950</v>
      </c>
      <c r="B23" s="1721">
        <v>46311</v>
      </c>
      <c r="C23" s="1677" t="s">
        <v>3032</v>
      </c>
      <c r="D23" s="1682" t="s">
        <v>9</v>
      </c>
      <c r="E23" s="1682" t="s">
        <v>10</v>
      </c>
      <c r="F23" s="1722">
        <v>4522.29</v>
      </c>
      <c r="G23" s="1723">
        <v>0.15</v>
      </c>
      <c r="H23" s="1687">
        <f t="shared" si="0"/>
        <v>610.50914999999998</v>
      </c>
      <c r="I23" s="1724"/>
      <c r="J23" s="1725"/>
      <c r="K23" s="1689" t="s">
        <v>2274</v>
      </c>
    </row>
    <row r="24" spans="1:11" s="1737" customFormat="1" ht="15.75">
      <c r="A24" s="1720">
        <v>45945</v>
      </c>
      <c r="B24" s="1721">
        <v>46311</v>
      </c>
      <c r="C24" s="1677" t="s">
        <v>2348</v>
      </c>
      <c r="D24" s="1682" t="s">
        <v>25</v>
      </c>
      <c r="E24" s="1682" t="s">
        <v>945</v>
      </c>
      <c r="F24" s="1722">
        <v>1839.8</v>
      </c>
      <c r="G24" s="1723">
        <v>0.15</v>
      </c>
      <c r="H24" s="1687">
        <f t="shared" si="0"/>
        <v>248.37299999999999</v>
      </c>
      <c r="I24" s="1724"/>
      <c r="J24" s="1725"/>
      <c r="K24" s="1689" t="s">
        <v>2015</v>
      </c>
    </row>
    <row r="25" spans="1:11" s="1737" customFormat="1" ht="15.75">
      <c r="A25" s="1720">
        <v>45946</v>
      </c>
      <c r="B25" s="1721">
        <v>46311</v>
      </c>
      <c r="C25" s="1677" t="s">
        <v>3028</v>
      </c>
      <c r="D25" s="1682" t="s">
        <v>9</v>
      </c>
      <c r="E25" s="1682" t="s">
        <v>10</v>
      </c>
      <c r="F25" s="1722">
        <v>1262.79</v>
      </c>
      <c r="G25" s="1723">
        <v>0.1</v>
      </c>
      <c r="H25" s="1687">
        <f t="shared" si="0"/>
        <v>113.6511</v>
      </c>
      <c r="I25" s="1724"/>
      <c r="J25" s="1725"/>
      <c r="K25" s="1689" t="s">
        <v>2015</v>
      </c>
    </row>
    <row r="26" spans="1:11" s="1737" customFormat="1" ht="15.75">
      <c r="A26" s="1706">
        <v>45940</v>
      </c>
      <c r="B26" s="1706">
        <v>46312</v>
      </c>
      <c r="C26" s="1680" t="s">
        <v>2714</v>
      </c>
      <c r="D26" s="1680" t="s">
        <v>1862</v>
      </c>
      <c r="E26" s="1680" t="s">
        <v>10</v>
      </c>
      <c r="F26" s="1749">
        <v>4286.2299999999996</v>
      </c>
      <c r="G26" s="1708">
        <v>0.2</v>
      </c>
      <c r="H26" s="1709">
        <f t="shared" si="0"/>
        <v>771.52139999999997</v>
      </c>
      <c r="I26" s="1710">
        <f>H26/2</f>
        <v>385.76069999999999</v>
      </c>
      <c r="J26" s="1680" t="s">
        <v>1577</v>
      </c>
      <c r="K26" s="1711" t="s">
        <v>2015</v>
      </c>
    </row>
    <row r="27" spans="1:11" s="1737" customFormat="1" ht="15.75">
      <c r="A27" s="1720">
        <v>45947</v>
      </c>
      <c r="B27" s="1721">
        <v>46312</v>
      </c>
      <c r="C27" s="1677" t="s">
        <v>3031</v>
      </c>
      <c r="D27" s="1682" t="s">
        <v>448</v>
      </c>
      <c r="E27" s="1682" t="s">
        <v>945</v>
      </c>
      <c r="F27" s="1750">
        <v>2717.58</v>
      </c>
      <c r="G27" s="1723">
        <v>0.15</v>
      </c>
      <c r="H27" s="1687">
        <f t="shared" si="0"/>
        <v>366.87330000000003</v>
      </c>
      <c r="I27" s="1724"/>
      <c r="J27" s="1725"/>
      <c r="K27" s="1689" t="s">
        <v>2274</v>
      </c>
    </row>
    <row r="28" spans="1:11" s="1737" customFormat="1">
      <c r="A28" s="1720">
        <v>45947</v>
      </c>
      <c r="B28" s="1721">
        <v>46312</v>
      </c>
      <c r="C28" s="1682" t="s">
        <v>3029</v>
      </c>
      <c r="D28" s="1682" t="s">
        <v>70</v>
      </c>
      <c r="E28" s="1682" t="s">
        <v>279</v>
      </c>
      <c r="F28" s="1751">
        <v>2545.0700000000002</v>
      </c>
      <c r="G28" s="1723">
        <v>0.11</v>
      </c>
      <c r="H28" s="1687">
        <f t="shared" si="0"/>
        <v>251.96193000000005</v>
      </c>
      <c r="I28" s="1724"/>
      <c r="J28" s="1725"/>
      <c r="K28" s="1677" t="s">
        <v>2012</v>
      </c>
    </row>
    <row r="29" spans="1:11" s="1737" customFormat="1" ht="15.75">
      <c r="A29" s="1720">
        <v>45947</v>
      </c>
      <c r="B29" s="1721">
        <v>46312</v>
      </c>
      <c r="C29" s="1682" t="s">
        <v>1090</v>
      </c>
      <c r="D29" s="1682" t="s">
        <v>70</v>
      </c>
      <c r="E29" s="1682" t="s">
        <v>279</v>
      </c>
      <c r="F29" s="1722">
        <v>1580.33</v>
      </c>
      <c r="G29" s="1723">
        <v>0.1</v>
      </c>
      <c r="H29" s="1687">
        <f t="shared" si="0"/>
        <v>142.22970000000001</v>
      </c>
      <c r="I29" s="1724"/>
      <c r="J29" s="1725"/>
      <c r="K29" s="1689" t="s">
        <v>2015</v>
      </c>
    </row>
    <row r="30" spans="1:11" s="1737" customFormat="1" ht="15.75">
      <c r="A30" s="1720">
        <v>45947</v>
      </c>
      <c r="B30" s="1721">
        <v>46314</v>
      </c>
      <c r="C30" s="1677" t="s">
        <v>3030</v>
      </c>
      <c r="D30" s="1682" t="s">
        <v>448</v>
      </c>
      <c r="E30" s="1682" t="s">
        <v>10</v>
      </c>
      <c r="F30" s="1722">
        <v>1710.54</v>
      </c>
      <c r="G30" s="1723">
        <v>0.15</v>
      </c>
      <c r="H30" s="1687">
        <f t="shared" si="0"/>
        <v>230.92289999999997</v>
      </c>
      <c r="I30" s="1724"/>
      <c r="J30" s="1725"/>
      <c r="K30" s="1689" t="s">
        <v>2015</v>
      </c>
    </row>
    <row r="31" spans="1:11" s="1737" customFormat="1" ht="15.75">
      <c r="A31" s="1720">
        <v>45950</v>
      </c>
      <c r="B31" s="1721">
        <v>46315</v>
      </c>
      <c r="C31" s="1682" t="s">
        <v>2286</v>
      </c>
      <c r="D31" s="1682" t="s">
        <v>9</v>
      </c>
      <c r="E31" s="1677" t="s">
        <v>1310</v>
      </c>
      <c r="F31" s="1685">
        <v>3427.4</v>
      </c>
      <c r="G31" s="1686">
        <v>0.1</v>
      </c>
      <c r="H31" s="1687">
        <f t="shared" si="0"/>
        <v>308.46600000000001</v>
      </c>
      <c r="I31" s="1724"/>
      <c r="J31" s="1725"/>
      <c r="K31" s="1689" t="s">
        <v>2015</v>
      </c>
    </row>
    <row r="32" spans="1:11" s="1737" customFormat="1" ht="15.75">
      <c r="A32" s="1720">
        <v>45950</v>
      </c>
      <c r="B32" s="1721">
        <v>46315</v>
      </c>
      <c r="C32" s="1682" t="s">
        <v>3034</v>
      </c>
      <c r="D32" s="1682" t="s">
        <v>9</v>
      </c>
      <c r="E32" s="1682" t="s">
        <v>29</v>
      </c>
      <c r="F32" s="1722">
        <v>2637.23</v>
      </c>
      <c r="G32" s="1723">
        <v>0.1</v>
      </c>
      <c r="H32" s="1687">
        <f t="shared" ref="H32:H57" si="1">F32*G32*(1-10%)</f>
        <v>237.35070000000002</v>
      </c>
      <c r="I32" s="1724"/>
      <c r="J32" s="1725"/>
      <c r="K32" s="1689" t="s">
        <v>2015</v>
      </c>
    </row>
    <row r="33" spans="1:11" s="1737" customFormat="1" ht="15.75">
      <c r="A33" s="1739">
        <v>45951</v>
      </c>
      <c r="B33" s="1740">
        <v>46316</v>
      </c>
      <c r="C33" s="1741" t="s">
        <v>3036</v>
      </c>
      <c r="D33" s="1742" t="s">
        <v>25</v>
      </c>
      <c r="E33" s="1741" t="s">
        <v>10</v>
      </c>
      <c r="F33" s="1743">
        <v>1003.4</v>
      </c>
      <c r="G33" s="1744">
        <v>0.15</v>
      </c>
      <c r="H33" s="1745">
        <f t="shared" si="1"/>
        <v>135.459</v>
      </c>
      <c r="I33" s="1746">
        <f>135.46/2</f>
        <v>67.73</v>
      </c>
      <c r="J33" s="1747" t="s">
        <v>1759</v>
      </c>
      <c r="K33" s="1748" t="s">
        <v>2015</v>
      </c>
    </row>
    <row r="34" spans="1:11" s="1737" customFormat="1" ht="15.75">
      <c r="A34" s="1720">
        <v>45951</v>
      </c>
      <c r="B34" s="1721">
        <v>46316</v>
      </c>
      <c r="C34" s="1682" t="s">
        <v>2357</v>
      </c>
      <c r="D34" s="1682" t="s">
        <v>448</v>
      </c>
      <c r="E34" s="1682" t="s">
        <v>10</v>
      </c>
      <c r="F34" s="1736">
        <v>2490</v>
      </c>
      <c r="G34" s="1723">
        <v>0.1</v>
      </c>
      <c r="H34" s="1687">
        <f t="shared" si="1"/>
        <v>224.1</v>
      </c>
      <c r="I34" s="1724"/>
      <c r="J34" s="1725"/>
      <c r="K34" s="1689" t="s">
        <v>2015</v>
      </c>
    </row>
    <row r="35" spans="1:11" s="1737" customFormat="1" ht="15.75">
      <c r="A35" s="1727">
        <v>45951</v>
      </c>
      <c r="B35" s="1728">
        <v>46318</v>
      </c>
      <c r="C35" s="1683" t="s">
        <v>3078</v>
      </c>
      <c r="D35" s="1683" t="s">
        <v>70</v>
      </c>
      <c r="E35" s="1683" t="s">
        <v>279</v>
      </c>
      <c r="F35" s="1729">
        <v>2414.6799999999998</v>
      </c>
      <c r="G35" s="1730">
        <v>0.1</v>
      </c>
      <c r="H35" s="1694">
        <f t="shared" si="1"/>
        <v>217.3212</v>
      </c>
      <c r="I35" s="1731">
        <v>21.73</v>
      </c>
      <c r="J35" s="1732" t="s">
        <v>1470</v>
      </c>
      <c r="K35" s="1696" t="s">
        <v>2015</v>
      </c>
    </row>
    <row r="36" spans="1:11" s="1737" customFormat="1" ht="15.75">
      <c r="A36" s="1720">
        <v>45954</v>
      </c>
      <c r="B36" s="1721">
        <v>46319</v>
      </c>
      <c r="C36" s="1682" t="s">
        <v>3038</v>
      </c>
      <c r="D36" s="1682" t="s">
        <v>9</v>
      </c>
      <c r="E36" s="1682" t="s">
        <v>22</v>
      </c>
      <c r="F36" s="1722">
        <v>1186.33</v>
      </c>
      <c r="G36" s="1723">
        <v>0.1</v>
      </c>
      <c r="H36" s="1687">
        <f t="shared" si="1"/>
        <v>106.7697</v>
      </c>
      <c r="I36" s="1724"/>
      <c r="J36" s="1725"/>
      <c r="K36" s="1689" t="s">
        <v>2015</v>
      </c>
    </row>
    <row r="37" spans="1:11" s="1737" customFormat="1" ht="15.75">
      <c r="A37" s="1727">
        <v>45950</v>
      </c>
      <c r="B37" s="1728">
        <v>46320</v>
      </c>
      <c r="C37" s="1683" t="s">
        <v>3033</v>
      </c>
      <c r="D37" s="1683" t="s">
        <v>448</v>
      </c>
      <c r="E37" s="1683" t="s">
        <v>945</v>
      </c>
      <c r="F37" s="1752">
        <v>2499.91</v>
      </c>
      <c r="G37" s="1730">
        <v>0.2</v>
      </c>
      <c r="H37" s="1694">
        <f t="shared" si="1"/>
        <v>449.98379999999997</v>
      </c>
      <c r="I37" s="1731">
        <v>44.99</v>
      </c>
      <c r="J37" s="1732" t="s">
        <v>1470</v>
      </c>
      <c r="K37" s="1696" t="s">
        <v>2015</v>
      </c>
    </row>
    <row r="38" spans="1:11" s="1737" customFormat="1" ht="15.75">
      <c r="A38" s="1697">
        <v>45951</v>
      </c>
      <c r="B38" s="1698">
        <v>46320</v>
      </c>
      <c r="C38" s="1680" t="s">
        <v>2715</v>
      </c>
      <c r="D38" s="1679" t="s">
        <v>1924</v>
      </c>
      <c r="E38" s="1679" t="s">
        <v>945</v>
      </c>
      <c r="F38" s="1699">
        <v>2457.12</v>
      </c>
      <c r="G38" s="1700">
        <v>0.15</v>
      </c>
      <c r="H38" s="1709">
        <f t="shared" si="1"/>
        <v>331.71120000000002</v>
      </c>
      <c r="I38" s="1702">
        <f>331.71/2</f>
        <v>165.85499999999999</v>
      </c>
      <c r="J38" s="1734" t="s">
        <v>1577</v>
      </c>
      <c r="K38" s="1711" t="s">
        <v>2015</v>
      </c>
    </row>
    <row r="39" spans="1:11" s="1737" customFormat="1" ht="15.75">
      <c r="A39" s="1720">
        <v>45956</v>
      </c>
      <c r="B39" s="1721">
        <v>46321</v>
      </c>
      <c r="C39" s="1677" t="s">
        <v>3037</v>
      </c>
      <c r="D39" s="1682" t="s">
        <v>9</v>
      </c>
      <c r="E39" s="1682" t="s">
        <v>10</v>
      </c>
      <c r="F39" s="1722">
        <v>1041.82</v>
      </c>
      <c r="G39" s="1723">
        <v>0.25</v>
      </c>
      <c r="H39" s="1687">
        <f t="shared" si="1"/>
        <v>234.40949999999998</v>
      </c>
      <c r="I39" s="1724"/>
      <c r="J39" s="1725"/>
      <c r="K39" s="1689" t="s">
        <v>2015</v>
      </c>
    </row>
    <row r="40" spans="1:11" s="1737" customFormat="1" ht="15.75">
      <c r="A40" s="1727">
        <v>45951</v>
      </c>
      <c r="B40" s="1728">
        <v>46322</v>
      </c>
      <c r="C40" s="1683" t="s">
        <v>3035</v>
      </c>
      <c r="D40" s="1683" t="s">
        <v>1924</v>
      </c>
      <c r="E40" s="1683" t="s">
        <v>945</v>
      </c>
      <c r="F40" s="1729">
        <v>1752.25</v>
      </c>
      <c r="G40" s="1730">
        <v>0.2</v>
      </c>
      <c r="H40" s="1694">
        <f t="shared" si="1"/>
        <v>315.40500000000003</v>
      </c>
      <c r="I40" s="1731">
        <v>31.54</v>
      </c>
      <c r="J40" s="1732" t="s">
        <v>1470</v>
      </c>
      <c r="K40" s="1696" t="s">
        <v>2015</v>
      </c>
    </row>
    <row r="41" spans="1:11" s="1737" customFormat="1" ht="15.75">
      <c r="A41" s="1727">
        <v>45957</v>
      </c>
      <c r="B41" s="1728">
        <v>46323</v>
      </c>
      <c r="C41" s="1683" t="s">
        <v>2362</v>
      </c>
      <c r="D41" s="1683" t="s">
        <v>448</v>
      </c>
      <c r="E41" s="1683" t="s">
        <v>945</v>
      </c>
      <c r="F41" s="1729">
        <v>1514.87</v>
      </c>
      <c r="G41" s="1730">
        <v>0.1</v>
      </c>
      <c r="H41" s="1694">
        <f t="shared" si="1"/>
        <v>136.3383</v>
      </c>
      <c r="I41" s="1731">
        <v>25</v>
      </c>
      <c r="J41" s="1732" t="s">
        <v>1470</v>
      </c>
      <c r="K41" s="1696" t="s">
        <v>2012</v>
      </c>
    </row>
    <row r="42" spans="1:11" s="1737" customFormat="1" ht="15.75">
      <c r="A42" s="1727">
        <v>45953</v>
      </c>
      <c r="B42" s="1728">
        <v>46323</v>
      </c>
      <c r="C42" s="1683" t="s">
        <v>2707</v>
      </c>
      <c r="D42" s="1683" t="s">
        <v>9</v>
      </c>
      <c r="E42" s="1683" t="s">
        <v>945</v>
      </c>
      <c r="F42" s="1753">
        <v>2043.47</v>
      </c>
      <c r="G42" s="1730">
        <v>0.15</v>
      </c>
      <c r="H42" s="1694">
        <f t="shared" si="1"/>
        <v>275.86845</v>
      </c>
      <c r="I42" s="1731">
        <v>27.58</v>
      </c>
      <c r="J42" s="1732" t="s">
        <v>1470</v>
      </c>
      <c r="K42" s="1696" t="s">
        <v>2015</v>
      </c>
    </row>
    <row r="43" spans="1:11" s="1737" customFormat="1" ht="15.75">
      <c r="A43" s="1697">
        <v>45953</v>
      </c>
      <c r="B43" s="1698">
        <v>46323</v>
      </c>
      <c r="C43" s="1679" t="s">
        <v>2716</v>
      </c>
      <c r="D43" s="1679" t="s">
        <v>448</v>
      </c>
      <c r="E43" s="1679" t="s">
        <v>945</v>
      </c>
      <c r="F43" s="1754">
        <v>1792.93</v>
      </c>
      <c r="G43" s="1700">
        <v>0.15</v>
      </c>
      <c r="H43" s="1709">
        <f t="shared" si="1"/>
        <v>242.04555000000002</v>
      </c>
      <c r="I43" s="1702">
        <f>242.05/2</f>
        <v>121.02500000000001</v>
      </c>
      <c r="J43" s="1734" t="s">
        <v>1577</v>
      </c>
      <c r="K43" s="1711" t="s">
        <v>2015</v>
      </c>
    </row>
    <row r="44" spans="1:11" s="1737" customFormat="1" ht="15.75">
      <c r="A44" s="1720">
        <v>45958</v>
      </c>
      <c r="B44" s="1721">
        <v>46323</v>
      </c>
      <c r="C44" s="1682" t="s">
        <v>3039</v>
      </c>
      <c r="D44" s="1682" t="s">
        <v>9</v>
      </c>
      <c r="E44" s="1682" t="s">
        <v>945</v>
      </c>
      <c r="F44" s="1722">
        <v>1232.22</v>
      </c>
      <c r="G44" s="1723">
        <v>0.15</v>
      </c>
      <c r="H44" s="1687">
        <f t="shared" si="1"/>
        <v>166.34970000000001</v>
      </c>
      <c r="I44" s="1724"/>
      <c r="J44" s="1725"/>
      <c r="K44" s="1689" t="s">
        <v>2015</v>
      </c>
    </row>
    <row r="45" spans="1:11" s="1737" customFormat="1" ht="15.75">
      <c r="A45" s="1755">
        <v>45953</v>
      </c>
      <c r="B45" s="1756">
        <v>46324</v>
      </c>
      <c r="C45" s="1757" t="s">
        <v>2363</v>
      </c>
      <c r="D45" s="1757" t="s">
        <v>21</v>
      </c>
      <c r="E45" s="1757" t="s">
        <v>279</v>
      </c>
      <c r="F45" s="1758">
        <v>672.94</v>
      </c>
      <c r="G45" s="1759">
        <v>0.22</v>
      </c>
      <c r="H45" s="1760">
        <f t="shared" si="1"/>
        <v>133.24212000000003</v>
      </c>
      <c r="I45" s="1761">
        <f>133.24/2</f>
        <v>66.62</v>
      </c>
      <c r="J45" s="1762" t="s">
        <v>1219</v>
      </c>
      <c r="K45" s="1763" t="s">
        <v>2015</v>
      </c>
    </row>
    <row r="46" spans="1:11" s="1737" customFormat="1" ht="15.75">
      <c r="A46" s="1720">
        <v>45959</v>
      </c>
      <c r="B46" s="1721">
        <v>46324</v>
      </c>
      <c r="C46" s="1682" t="s">
        <v>3040</v>
      </c>
      <c r="D46" s="1682" t="s">
        <v>9</v>
      </c>
      <c r="E46" s="1682" t="s">
        <v>10</v>
      </c>
      <c r="F46" s="1722">
        <v>976.72</v>
      </c>
      <c r="G46" s="1723">
        <v>0.1</v>
      </c>
      <c r="H46" s="1687">
        <f t="shared" si="1"/>
        <v>87.904800000000009</v>
      </c>
      <c r="I46" s="1724"/>
      <c r="J46" s="1725"/>
      <c r="K46" s="1689" t="s">
        <v>2015</v>
      </c>
    </row>
    <row r="47" spans="1:11" s="1690" customFormat="1" ht="15.75">
      <c r="A47" s="1727">
        <v>45954</v>
      </c>
      <c r="B47" s="1728">
        <v>46326</v>
      </c>
      <c r="C47" s="1683" t="s">
        <v>587</v>
      </c>
      <c r="D47" s="1683" t="s">
        <v>25</v>
      </c>
      <c r="E47" s="1683" t="s">
        <v>22</v>
      </c>
      <c r="F47" s="1729">
        <v>1505.41</v>
      </c>
      <c r="G47" s="1730">
        <v>0.15</v>
      </c>
      <c r="H47" s="1694">
        <f t="shared" si="1"/>
        <v>203.23034999999999</v>
      </c>
      <c r="I47" s="1731">
        <v>20.329999999999998</v>
      </c>
      <c r="J47" s="1732" t="s">
        <v>1470</v>
      </c>
      <c r="K47" s="1696" t="s">
        <v>2015</v>
      </c>
    </row>
    <row r="48" spans="1:11" s="1737" customFormat="1" ht="15.75">
      <c r="A48" s="1720">
        <v>45961</v>
      </c>
      <c r="B48" s="1721">
        <v>46326</v>
      </c>
      <c r="C48" s="1682" t="s">
        <v>3038</v>
      </c>
      <c r="D48" s="1682" t="s">
        <v>112</v>
      </c>
      <c r="E48" s="1682" t="s">
        <v>945</v>
      </c>
      <c r="F48" s="1722">
        <v>1469.7</v>
      </c>
      <c r="G48" s="1723">
        <v>0.15</v>
      </c>
      <c r="H48" s="1687">
        <f t="shared" si="1"/>
        <v>198.40950000000001</v>
      </c>
      <c r="I48" s="1724"/>
      <c r="J48" s="1725"/>
      <c r="K48" s="1689" t="s">
        <v>2010</v>
      </c>
    </row>
    <row r="49" spans="1:11" s="1737" customFormat="1">
      <c r="A49" s="1720">
        <v>45940</v>
      </c>
      <c r="B49" s="1721" t="s">
        <v>1805</v>
      </c>
      <c r="C49" s="1721" t="s">
        <v>3043</v>
      </c>
      <c r="D49" s="1721" t="s">
        <v>25</v>
      </c>
      <c r="E49" s="1721" t="s">
        <v>279</v>
      </c>
      <c r="F49" s="1751">
        <v>97.51</v>
      </c>
      <c r="G49" s="1723">
        <v>0.1</v>
      </c>
      <c r="H49" s="1687">
        <f t="shared" si="1"/>
        <v>8.7759000000000018</v>
      </c>
      <c r="I49" s="1764"/>
      <c r="J49" s="1765"/>
      <c r="K49" s="1684" t="s">
        <v>1805</v>
      </c>
    </row>
    <row r="50" spans="1:11" ht="15.75">
      <c r="A50" s="1037"/>
      <c r="B50" s="1038"/>
      <c r="C50" s="1026"/>
      <c r="D50" s="1026"/>
      <c r="E50" s="1026"/>
      <c r="F50" s="1059"/>
      <c r="G50" s="1054"/>
      <c r="H50" s="1055">
        <f t="shared" si="1"/>
        <v>0</v>
      </c>
      <c r="I50" s="1056"/>
      <c r="J50" s="1111"/>
      <c r="K50" s="1115"/>
    </row>
    <row r="51" spans="1:11" ht="15.75">
      <c r="A51" s="1037"/>
      <c r="B51" s="1038"/>
      <c r="C51" s="1026"/>
      <c r="D51" s="1026"/>
      <c r="E51" s="1026"/>
      <c r="F51" s="1059"/>
      <c r="G51" s="1054"/>
      <c r="H51" s="1055">
        <f t="shared" si="1"/>
        <v>0</v>
      </c>
      <c r="I51" s="1056"/>
      <c r="J51" s="1111"/>
      <c r="K51" s="1115"/>
    </row>
    <row r="52" spans="1:11" ht="15.75">
      <c r="A52" s="1037"/>
      <c r="B52" s="1038"/>
      <c r="C52" s="1026"/>
      <c r="D52" s="1026"/>
      <c r="E52" s="1026"/>
      <c r="F52" s="1059"/>
      <c r="G52" s="1054"/>
      <c r="H52" s="1055">
        <f t="shared" si="1"/>
        <v>0</v>
      </c>
      <c r="I52" s="1056"/>
      <c r="J52" s="1111"/>
      <c r="K52" s="1115"/>
    </row>
    <row r="53" spans="1:11" ht="15.75">
      <c r="A53" s="1037"/>
      <c r="B53" s="1038"/>
      <c r="C53" s="1026"/>
      <c r="D53" s="1026"/>
      <c r="E53" s="1026"/>
      <c r="F53" s="1059"/>
      <c r="G53" s="1054"/>
      <c r="H53" s="1055">
        <f t="shared" si="1"/>
        <v>0</v>
      </c>
      <c r="I53" s="1056"/>
      <c r="J53" s="1111"/>
      <c r="K53" s="1115"/>
    </row>
    <row r="54" spans="1:11" ht="15.75">
      <c r="A54" s="1037"/>
      <c r="B54" s="1038"/>
      <c r="C54" s="1026"/>
      <c r="D54" s="1026"/>
      <c r="E54" s="1026"/>
      <c r="F54" s="1059"/>
      <c r="G54" s="1054"/>
      <c r="H54" s="1055">
        <f t="shared" si="1"/>
        <v>0</v>
      </c>
      <c r="I54" s="1056"/>
      <c r="J54" s="1111"/>
      <c r="K54" s="1115"/>
    </row>
    <row r="55" spans="1:11" ht="15.75">
      <c r="A55" s="1037"/>
      <c r="B55" s="1038"/>
      <c r="C55" s="1026"/>
      <c r="D55" s="1026"/>
      <c r="E55" s="1026"/>
      <c r="F55" s="1059"/>
      <c r="G55" s="1054"/>
      <c r="H55" s="1055">
        <f t="shared" si="1"/>
        <v>0</v>
      </c>
      <c r="I55" s="1056"/>
      <c r="J55" s="1111"/>
      <c r="K55" s="1115"/>
    </row>
    <row r="56" spans="1:11" ht="15.75">
      <c r="A56" s="1037"/>
      <c r="B56" s="1038"/>
      <c r="C56" s="1026"/>
      <c r="D56" s="1026"/>
      <c r="E56" s="1026"/>
      <c r="F56" s="1059"/>
      <c r="G56" s="1054"/>
      <c r="H56" s="1055">
        <f t="shared" si="1"/>
        <v>0</v>
      </c>
      <c r="I56" s="1056"/>
      <c r="J56" s="1111"/>
      <c r="K56" s="1115"/>
    </row>
    <row r="57" spans="1:11" ht="15.75">
      <c r="A57" s="1037"/>
      <c r="B57" s="1038"/>
      <c r="C57" s="1026"/>
      <c r="D57" s="1026"/>
      <c r="E57" s="1026"/>
      <c r="F57" s="1059"/>
      <c r="G57" s="1054"/>
      <c r="H57" s="1269">
        <f t="shared" si="1"/>
        <v>0</v>
      </c>
      <c r="I57" s="1056"/>
      <c r="J57" s="1111"/>
      <c r="K57" s="1115"/>
    </row>
    <row r="58" spans="1:11" ht="16.5" thickBot="1">
      <c r="A58" s="1038"/>
      <c r="B58" s="1038"/>
      <c r="C58" s="1026"/>
      <c r="D58" s="1026"/>
      <c r="E58" s="1026"/>
      <c r="F58" s="1059"/>
      <c r="G58" s="1054"/>
      <c r="H58" s="1269"/>
      <c r="I58" s="1662"/>
      <c r="J58" s="1289"/>
      <c r="K58" s="1290"/>
    </row>
    <row r="59" spans="1:11" ht="20.25" thickBot="1">
      <c r="A59" s="1664"/>
      <c r="B59" s="1665"/>
      <c r="C59" s="1665"/>
      <c r="D59" s="1665"/>
      <c r="E59" s="1669"/>
      <c r="F59" s="1670">
        <f>SUM(F3:F6,F7:F58)</f>
        <v>95709.999999999985</v>
      </c>
      <c r="G59" s="1667"/>
      <c r="H59" s="1668">
        <f>SUM(H3:H58)</f>
        <v>12025.250280000006</v>
      </c>
      <c r="I59" s="1671">
        <f>SUM(I3:I58)</f>
        <v>1754.3856999999998</v>
      </c>
      <c r="J59" s="1644"/>
      <c r="K59" s="1666"/>
    </row>
    <row r="60" spans="1:11" ht="15.75" customHeight="1">
      <c r="A60" s="1043"/>
      <c r="B60" s="1043"/>
      <c r="C60" s="1075"/>
      <c r="D60" s="1075"/>
      <c r="E60" s="1075"/>
      <c r="F60" s="1102"/>
      <c r="G60" s="1076"/>
      <c r="H60" s="1663"/>
      <c r="I60" s="1077"/>
      <c r="J60" s="1261"/>
      <c r="K60" s="1291"/>
    </row>
    <row r="61" spans="1:11" ht="15.75" customHeight="1">
      <c r="A61" s="1037"/>
      <c r="B61" s="1038"/>
      <c r="C61" s="1026"/>
      <c r="D61" s="1026"/>
      <c r="E61" s="1026"/>
      <c r="F61" s="1059"/>
      <c r="G61" s="1054"/>
      <c r="H61" s="1269"/>
      <c r="I61" s="1056"/>
      <c r="J61" s="1111"/>
      <c r="K61" s="1115"/>
    </row>
    <row r="62" spans="1:11" ht="15.75" customHeight="1">
      <c r="A62" s="1037"/>
      <c r="B62" s="1038"/>
      <c r="C62" s="1026"/>
      <c r="D62" s="1026"/>
      <c r="E62" s="1026"/>
      <c r="F62" s="1059"/>
      <c r="G62" s="1054"/>
      <c r="H62" s="1269"/>
      <c r="I62" s="1056"/>
      <c r="J62" s="1111"/>
      <c r="K62" s="1115"/>
    </row>
    <row r="63" spans="1:11" ht="15.75" customHeight="1">
      <c r="A63" s="1037"/>
      <c r="B63" s="1038"/>
      <c r="C63" s="1026"/>
      <c r="D63" s="1026"/>
      <c r="E63" s="1026"/>
      <c r="F63" s="1059"/>
      <c r="G63" s="1054"/>
      <c r="H63" s="1269"/>
      <c r="I63" s="1056"/>
      <c r="J63" s="1111"/>
      <c r="K63" s="1115"/>
    </row>
    <row r="64" spans="1:11" ht="15.75" customHeight="1">
      <c r="A64" s="1037"/>
      <c r="B64" s="1038"/>
      <c r="C64" s="1026"/>
      <c r="D64" s="1026"/>
      <c r="E64" s="1026"/>
      <c r="F64" s="1059"/>
      <c r="G64" s="1054"/>
      <c r="H64" s="1269"/>
      <c r="I64" s="1056"/>
      <c r="J64" s="1111"/>
      <c r="K64" s="1115"/>
    </row>
    <row r="65" spans="1:11" ht="15.75" customHeight="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115"/>
    </row>
    <row r="66" spans="1:11" ht="15.75" customHeight="1">
      <c r="A66" s="1037"/>
      <c r="B66" s="1038"/>
      <c r="C66" s="1026"/>
      <c r="D66" s="1026"/>
      <c r="E66" s="1026"/>
      <c r="F66" s="1059"/>
      <c r="G66" s="1054"/>
      <c r="H66" s="1269"/>
      <c r="I66" s="1056"/>
      <c r="J66" s="1111"/>
      <c r="K66" s="1115"/>
    </row>
    <row r="67" spans="1:11" ht="15.75" customHeight="1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1115"/>
    </row>
    <row r="68" spans="1:11" ht="15.75" customHeight="1">
      <c r="A68" s="1037"/>
      <c r="B68" s="1038"/>
      <c r="C68" s="1026"/>
      <c r="D68" s="1026"/>
      <c r="E68" s="1026"/>
      <c r="F68" s="1059"/>
      <c r="G68" s="1054"/>
      <c r="H68" s="1269"/>
      <c r="I68" s="1056"/>
      <c r="J68" s="1111"/>
      <c r="K68" s="1025"/>
    </row>
    <row r="69" spans="1:11" ht="15.75" customHeight="1">
      <c r="A69" s="1037"/>
      <c r="B69" s="1038"/>
      <c r="C69" s="1026"/>
      <c r="D69" s="1026"/>
      <c r="E69" s="1026"/>
      <c r="F69" s="1059"/>
      <c r="G69" s="1054"/>
      <c r="H69" s="1269"/>
      <c r="I69" s="1056"/>
      <c r="J69" s="1111"/>
      <c r="K69" s="1115"/>
    </row>
    <row r="70" spans="1:11" ht="15.75" customHeight="1">
      <c r="A70" s="1037"/>
      <c r="B70" s="1038"/>
      <c r="C70" s="1026"/>
      <c r="D70" s="1026"/>
      <c r="E70" s="1026"/>
      <c r="F70" s="1059"/>
      <c r="G70" s="1059"/>
      <c r="H70" s="1269"/>
      <c r="I70" s="1056"/>
      <c r="J70" s="1111"/>
      <c r="K70" s="1115"/>
    </row>
    <row r="71" spans="1:11" ht="15.75" customHeight="1">
      <c r="A71" s="1037"/>
      <c r="B71" s="1038"/>
      <c r="C71" s="1026"/>
      <c r="D71" s="1026"/>
      <c r="E71" s="1026"/>
      <c r="F71" s="1059"/>
      <c r="G71" s="1059"/>
      <c r="H71" s="1269"/>
      <c r="I71" s="1056"/>
      <c r="J71" s="1111"/>
      <c r="K71" s="1025"/>
    </row>
    <row r="72" spans="1:11" ht="15.75" customHeight="1">
      <c r="A72" s="1037"/>
      <c r="B72" s="1038"/>
      <c r="C72" s="1026"/>
      <c r="D72" s="1026"/>
      <c r="E72" s="1026"/>
      <c r="F72" s="1059"/>
      <c r="G72" s="1059"/>
      <c r="H72" s="1269"/>
      <c r="I72" s="1056"/>
      <c r="J72" s="1111"/>
      <c r="K72" s="1025"/>
    </row>
    <row r="73" spans="1:11" ht="15.75" customHeight="1">
      <c r="A73" s="1037"/>
      <c r="B73" s="1038"/>
      <c r="C73" s="1026"/>
      <c r="D73" s="1026"/>
      <c r="E73" s="1026"/>
      <c r="F73" s="1059"/>
      <c r="G73" s="1054"/>
      <c r="H73" s="1269"/>
      <c r="I73" s="1056"/>
      <c r="J73" s="1111"/>
      <c r="K73" s="1115"/>
    </row>
    <row r="74" spans="1:11" ht="15.75" customHeight="1">
      <c r="A74" s="1037"/>
      <c r="B74" s="1038"/>
      <c r="C74" s="1026"/>
      <c r="D74" s="1026"/>
      <c r="E74" s="1026"/>
      <c r="F74" s="1059"/>
      <c r="G74" s="1054"/>
      <c r="H74" s="1269"/>
      <c r="I74" s="1056"/>
      <c r="J74" s="1111"/>
      <c r="K74" s="1115"/>
    </row>
    <row r="75" spans="1:11" ht="15.75" customHeight="1">
      <c r="A75" s="1037"/>
      <c r="B75" s="1038"/>
      <c r="C75" s="1026"/>
      <c r="D75" s="1026"/>
      <c r="E75" s="1026"/>
      <c r="F75" s="1059"/>
      <c r="G75" s="1054"/>
      <c r="H75" s="1269"/>
      <c r="I75" s="1056"/>
      <c r="J75" s="1111"/>
      <c r="K75" s="1115"/>
    </row>
    <row r="76" spans="1:11" ht="15.75">
      <c r="A76" s="1037"/>
      <c r="B76" s="1038"/>
      <c r="C76" s="1026"/>
      <c r="D76" s="1026"/>
      <c r="E76" s="1026"/>
      <c r="F76" s="1059"/>
      <c r="G76" s="1054"/>
      <c r="H76" s="1269"/>
      <c r="I76" s="1056"/>
      <c r="J76" s="1111"/>
      <c r="K76" s="1115"/>
    </row>
    <row r="77" spans="1:11" ht="15.75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1115"/>
    </row>
    <row r="78" spans="1:11" ht="15.75">
      <c r="A78" s="1037"/>
      <c r="B78" s="1038"/>
      <c r="C78" s="1025"/>
      <c r="D78" s="1025"/>
      <c r="E78" s="1025"/>
      <c r="F78" s="1059"/>
      <c r="G78" s="1062"/>
      <c r="H78" s="1055"/>
      <c r="I78" s="1056"/>
      <c r="J78" s="1111"/>
      <c r="K78" s="1115"/>
    </row>
    <row r="79" spans="1:11" ht="15.75">
      <c r="A79" s="1037"/>
      <c r="B79" s="1039"/>
      <c r="C79" s="1025"/>
      <c r="D79" s="1025"/>
      <c r="E79" s="1025"/>
      <c r="F79" s="1059"/>
      <c r="G79" s="1054"/>
      <c r="H79" s="1269"/>
      <c r="I79" s="1056"/>
      <c r="J79" s="1111"/>
      <c r="K79" s="1115"/>
    </row>
    <row r="80" spans="1:11" ht="15.75">
      <c r="A80" s="1037"/>
      <c r="B80" s="1038"/>
      <c r="C80" s="1026"/>
      <c r="D80" s="1026"/>
      <c r="E80" s="1026"/>
      <c r="F80" s="1059"/>
      <c r="G80" s="1054"/>
      <c r="H80" s="1269"/>
      <c r="I80" s="1056"/>
      <c r="J80" s="1111"/>
      <c r="K80" s="1115"/>
    </row>
    <row r="81" spans="1:11" ht="15.75">
      <c r="A81" s="1037"/>
      <c r="B81" s="1038"/>
      <c r="C81" s="1026"/>
      <c r="D81" s="1026"/>
      <c r="E81" s="1026"/>
      <c r="F81" s="1059"/>
      <c r="G81" s="1054"/>
      <c r="H81" s="1269"/>
      <c r="I81" s="1056"/>
      <c r="J81" s="1111"/>
      <c r="K81" s="1115"/>
    </row>
    <row r="82" spans="1:11" ht="15.75">
      <c r="A82" s="1037"/>
      <c r="B82" s="1038"/>
      <c r="C82" s="1026"/>
      <c r="D82" s="1026"/>
      <c r="E82" s="1026"/>
      <c r="F82" s="1059"/>
      <c r="G82" s="1054"/>
      <c r="H82" s="1269"/>
      <c r="I82" s="1056"/>
      <c r="J82" s="1111"/>
      <c r="K82" s="1115"/>
    </row>
    <row r="83" spans="1:11" ht="15.75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1115"/>
    </row>
    <row r="84" spans="1:11" ht="15.75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115"/>
    </row>
    <row r="85" spans="1:11" ht="15.75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115"/>
    </row>
    <row r="86" spans="1:11" ht="15.75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115"/>
    </row>
    <row r="87" spans="1:11" ht="15.75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5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115"/>
    </row>
    <row r="89" spans="1:11" ht="15.75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115"/>
    </row>
    <row r="90" spans="1:11" ht="15.75">
      <c r="A90" s="1037"/>
      <c r="B90" s="1038"/>
      <c r="C90" s="1026"/>
      <c r="D90" s="1026"/>
      <c r="E90" s="1026"/>
      <c r="F90" s="1059"/>
      <c r="G90" s="1054"/>
      <c r="H90" s="1269"/>
      <c r="I90" s="1056"/>
      <c r="J90" s="1111"/>
      <c r="K90" s="1115"/>
    </row>
    <row r="91" spans="1:11" ht="15.75">
      <c r="A91" s="1037"/>
      <c r="B91" s="1038"/>
      <c r="C91" s="1026"/>
      <c r="D91" s="1026"/>
      <c r="E91" s="1026"/>
      <c r="F91" s="1059"/>
      <c r="G91" s="1054"/>
      <c r="H91" s="1269"/>
      <c r="I91" s="1056"/>
      <c r="J91" s="1111"/>
      <c r="K91" s="1115"/>
    </row>
    <row r="92" spans="1:11" ht="15.75">
      <c r="A92" s="1037"/>
      <c r="B92" s="1038"/>
      <c r="C92" s="1026"/>
      <c r="D92" s="1026"/>
      <c r="E92" s="1026"/>
      <c r="F92" s="1059"/>
      <c r="G92" s="1054"/>
      <c r="H92" s="1269"/>
      <c r="I92" s="1056"/>
      <c r="J92" s="1111"/>
      <c r="K92" s="1115"/>
    </row>
    <row r="93" spans="1:11">
      <c r="A93" s="1037"/>
      <c r="B93" s="1038"/>
      <c r="C93" s="1026"/>
      <c r="D93" s="1026"/>
      <c r="E93" s="1026"/>
      <c r="F93" s="1059"/>
      <c r="G93" s="1059"/>
      <c r="H93" s="1269"/>
      <c r="I93" s="1056"/>
      <c r="J93" s="1111"/>
      <c r="K93" s="1025"/>
    </row>
    <row r="94" spans="1:11">
      <c r="A94" s="1037"/>
      <c r="B94" s="1038"/>
      <c r="C94" s="1026"/>
      <c r="D94" s="1026"/>
      <c r="E94" s="1026"/>
      <c r="F94" s="1059"/>
      <c r="G94" s="1059"/>
      <c r="H94" s="1269"/>
      <c r="I94" s="1056"/>
      <c r="J94" s="1111"/>
      <c r="K94" s="1025"/>
    </row>
    <row r="95" spans="1:11">
      <c r="A95" s="1037"/>
      <c r="B95" s="1038"/>
      <c r="C95" s="1026"/>
      <c r="D95" s="1026"/>
      <c r="E95" s="1026"/>
      <c r="F95" s="1059"/>
      <c r="G95" s="1059"/>
      <c r="H95" s="1269"/>
      <c r="I95" s="1056"/>
      <c r="J95" s="1111"/>
      <c r="K95" s="1025"/>
    </row>
    <row r="96" spans="1:11" ht="15.75">
      <c r="A96" s="1037"/>
      <c r="B96" s="1038"/>
      <c r="C96" s="1026"/>
      <c r="D96" s="1026"/>
      <c r="E96" s="1026"/>
      <c r="F96" s="1059"/>
      <c r="G96" s="1054"/>
      <c r="H96" s="1269"/>
      <c r="I96" s="1056"/>
      <c r="J96" s="1111"/>
      <c r="K96" s="1115"/>
    </row>
    <row r="97" spans="1:11">
      <c r="A97" s="1037"/>
      <c r="B97" s="1038"/>
      <c r="C97" s="1026"/>
      <c r="D97" s="1026"/>
      <c r="E97" s="1026"/>
      <c r="F97" s="1059"/>
      <c r="G97" s="1059"/>
      <c r="H97" s="1269"/>
      <c r="I97" s="1056"/>
      <c r="J97" s="1111"/>
      <c r="K97" s="1025"/>
    </row>
    <row r="98" spans="1:11">
      <c r="A98" s="1037"/>
      <c r="B98" s="1038"/>
      <c r="C98" s="1026"/>
      <c r="D98" s="1026"/>
      <c r="E98" s="1026"/>
      <c r="F98" s="1059"/>
      <c r="G98" s="1059"/>
      <c r="H98" s="1269"/>
      <c r="I98" s="1056"/>
      <c r="J98" s="1111"/>
      <c r="K98" s="1025"/>
    </row>
    <row r="99" spans="1:11">
      <c r="A99" s="1037"/>
      <c r="B99" s="1038"/>
      <c r="C99" s="1026"/>
      <c r="D99" s="1026"/>
      <c r="E99" s="1026"/>
      <c r="F99" s="1059"/>
      <c r="G99" s="1059"/>
      <c r="H99" s="1269"/>
      <c r="I99" s="1056"/>
      <c r="J99" s="1111"/>
      <c r="K99" s="1025"/>
    </row>
    <row r="100" spans="1:11" ht="15.75">
      <c r="A100" s="1037"/>
      <c r="B100" s="1038"/>
      <c r="C100" s="1026"/>
      <c r="D100" s="1026"/>
      <c r="E100" s="1026"/>
      <c r="F100" s="1059"/>
      <c r="G100" s="1054"/>
      <c r="H100" s="1269"/>
      <c r="I100" s="1056"/>
      <c r="J100" s="1111"/>
      <c r="K100" s="1115"/>
    </row>
    <row r="101" spans="1:11" ht="15.75">
      <c r="A101" s="1037"/>
      <c r="B101" s="1038"/>
      <c r="C101" s="1026"/>
      <c r="D101" s="1026"/>
      <c r="E101" s="1026"/>
      <c r="F101" s="1059"/>
      <c r="G101" s="1054"/>
      <c r="H101" s="1269"/>
      <c r="I101" s="1056"/>
      <c r="J101" s="1111"/>
      <c r="K101" s="1115"/>
    </row>
    <row r="102" spans="1:11">
      <c r="A102" s="1037"/>
      <c r="B102" s="1038"/>
      <c r="C102" s="1026"/>
      <c r="D102" s="1026"/>
      <c r="E102" s="1026"/>
      <c r="F102" s="1059"/>
      <c r="G102" s="1059"/>
      <c r="H102" s="1269"/>
      <c r="I102" s="1056"/>
      <c r="J102" s="1111"/>
      <c r="K102" s="1025"/>
    </row>
    <row r="103" spans="1:11">
      <c r="A103" s="1037"/>
      <c r="B103" s="1038"/>
      <c r="C103" s="1026"/>
      <c r="D103" s="1026"/>
      <c r="E103" s="1026"/>
      <c r="F103" s="1059"/>
      <c r="G103" s="1059"/>
      <c r="H103" s="1269"/>
      <c r="I103" s="1056"/>
      <c r="J103" s="1111"/>
      <c r="K103" s="1025"/>
    </row>
    <row r="104" spans="1:11">
      <c r="A104" s="1037"/>
      <c r="B104" s="1038"/>
      <c r="C104" s="1026"/>
      <c r="D104" s="1026"/>
      <c r="E104" s="1026"/>
      <c r="F104" s="1059"/>
      <c r="G104" s="1059"/>
      <c r="H104" s="1269"/>
      <c r="I104" s="1056"/>
      <c r="J104" s="1111"/>
      <c r="K104" s="1025"/>
    </row>
    <row r="105" spans="1:11">
      <c r="A105" s="1037"/>
      <c r="B105" s="1038"/>
      <c r="C105" s="1026"/>
      <c r="D105" s="1026"/>
      <c r="E105" s="1026"/>
      <c r="F105" s="1059"/>
      <c r="G105" s="1059"/>
      <c r="H105" s="1269"/>
      <c r="I105" s="1056"/>
      <c r="J105" s="1111"/>
      <c r="K105" s="1025"/>
    </row>
    <row r="106" spans="1:11">
      <c r="A106" s="1037"/>
      <c r="B106" s="1038"/>
      <c r="C106" s="1026"/>
      <c r="D106" s="1026"/>
      <c r="E106" s="1026"/>
      <c r="F106" s="1059"/>
      <c r="G106" s="1059"/>
      <c r="H106" s="1269"/>
      <c r="I106" s="1056"/>
      <c r="J106" s="1111"/>
      <c r="K106" s="1025"/>
    </row>
    <row r="107" spans="1:11">
      <c r="A107" s="1037"/>
      <c r="B107" s="1038"/>
      <c r="C107" s="1026"/>
      <c r="D107" s="1026"/>
      <c r="E107" s="1026"/>
      <c r="F107" s="1059"/>
      <c r="G107" s="1059"/>
      <c r="H107" s="1269"/>
      <c r="I107" s="1056"/>
      <c r="J107" s="1111"/>
      <c r="K107" s="1025"/>
    </row>
    <row r="108" spans="1:11" ht="15.75">
      <c r="A108" s="1037"/>
      <c r="B108" s="1038"/>
      <c r="C108" s="1026"/>
      <c r="D108" s="1026"/>
      <c r="E108" s="1026"/>
      <c r="F108" s="1059"/>
      <c r="G108" s="1054"/>
      <c r="H108" s="1269"/>
      <c r="I108" s="1056"/>
      <c r="J108" s="1111"/>
      <c r="K108" s="1115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1025"/>
    </row>
    <row r="110" spans="1:11">
      <c r="A110" s="1037"/>
      <c r="B110" s="1038"/>
      <c r="C110" s="1026"/>
      <c r="D110" s="1026"/>
      <c r="E110" s="1026"/>
      <c r="F110" s="1059"/>
      <c r="G110" s="1059"/>
      <c r="H110" s="1269"/>
      <c r="I110" s="1056"/>
      <c r="J110" s="1111"/>
      <c r="K110" s="1025"/>
    </row>
    <row r="111" spans="1:11">
      <c r="A111" s="1037"/>
      <c r="B111" s="1038"/>
      <c r="C111" s="1026"/>
      <c r="D111" s="1026"/>
      <c r="E111" s="1026"/>
      <c r="F111" s="1059"/>
      <c r="G111" s="1059"/>
      <c r="H111" s="1269"/>
      <c r="I111" s="1056"/>
      <c r="J111" s="1111"/>
      <c r="K111" s="1025"/>
    </row>
    <row r="112" spans="1:11" ht="15.75">
      <c r="A112" s="1037"/>
      <c r="B112" s="1038"/>
      <c r="C112" s="1026"/>
      <c r="D112" s="1026"/>
      <c r="E112" s="1026"/>
      <c r="F112" s="1059"/>
      <c r="G112" s="1059"/>
      <c r="H112" s="1269"/>
      <c r="I112" s="1056"/>
      <c r="J112" s="1111"/>
      <c r="K112" s="1115"/>
    </row>
    <row r="113" spans="1:11">
      <c r="A113" s="1037"/>
      <c r="B113" s="1038"/>
      <c r="C113" s="1026"/>
      <c r="D113" s="1026"/>
      <c r="E113" s="1026"/>
      <c r="F113" s="1059"/>
      <c r="G113" s="1059"/>
      <c r="H113" s="1269"/>
      <c r="I113" s="1056"/>
      <c r="J113" s="1111"/>
      <c r="K113" s="1025"/>
    </row>
    <row r="114" spans="1:11">
      <c r="A114" s="1037"/>
      <c r="B114" s="1038"/>
      <c r="C114" s="1026"/>
      <c r="D114" s="1026"/>
      <c r="E114" s="1026"/>
      <c r="F114" s="1059"/>
      <c r="G114" s="1059"/>
      <c r="H114" s="1269"/>
      <c r="I114" s="1056"/>
      <c r="J114" s="1111"/>
      <c r="K114" s="1025"/>
    </row>
    <row r="115" spans="1:11">
      <c r="A115" s="1037"/>
      <c r="B115" s="1038"/>
      <c r="C115" s="1026"/>
      <c r="D115" s="1026"/>
      <c r="E115" s="1026"/>
      <c r="F115" s="1059"/>
      <c r="G115" s="1059"/>
      <c r="H115" s="1269"/>
      <c r="I115" s="1056"/>
      <c r="J115" s="1111"/>
      <c r="K115" s="1025"/>
    </row>
    <row r="116" spans="1:11">
      <c r="A116" s="1037"/>
      <c r="B116" s="1038"/>
      <c r="C116" s="1026"/>
      <c r="D116" s="1026"/>
      <c r="E116" s="1026"/>
      <c r="F116" s="1059"/>
      <c r="G116" s="1059"/>
      <c r="H116" s="1269"/>
      <c r="I116" s="1056"/>
      <c r="J116" s="1111"/>
      <c r="K116" s="1025"/>
    </row>
    <row r="117" spans="1:11">
      <c r="A117" s="1037"/>
      <c r="B117" s="1038"/>
      <c r="C117" s="1026"/>
      <c r="D117" s="1026"/>
      <c r="E117" s="1026"/>
      <c r="F117" s="1059"/>
      <c r="G117" s="1054"/>
      <c r="H117" s="1269"/>
      <c r="I117" s="1056"/>
      <c r="J117" s="1111"/>
      <c r="K117" s="1025"/>
    </row>
    <row r="118" spans="1:11" ht="15.75">
      <c r="A118" s="1037"/>
      <c r="B118" s="1038"/>
      <c r="C118" s="1025"/>
      <c r="D118" s="1026"/>
      <c r="E118" s="1026"/>
      <c r="F118" s="1059"/>
      <c r="G118" s="1054"/>
      <c r="H118" s="1269"/>
      <c r="I118" s="1056"/>
      <c r="J118" s="1111"/>
      <c r="K118" s="1115"/>
    </row>
    <row r="119" spans="1:11" ht="15.75">
      <c r="A119" s="1037"/>
      <c r="B119" s="1038"/>
      <c r="C119" s="1026"/>
      <c r="D119" s="1026"/>
      <c r="E119" s="1026"/>
      <c r="F119" s="1059"/>
      <c r="G119" s="1054"/>
      <c r="H119" s="1269"/>
      <c r="I119" s="1056"/>
      <c r="J119" s="1111"/>
      <c r="K119" s="1115"/>
    </row>
    <row r="120" spans="1:11" ht="15.75">
      <c r="A120" s="1037"/>
      <c r="B120" s="1038"/>
      <c r="C120" s="1026"/>
      <c r="D120" s="1026"/>
      <c r="E120" s="1026"/>
      <c r="F120" s="1059"/>
      <c r="G120" s="1054"/>
      <c r="H120" s="1269"/>
      <c r="I120" s="1056"/>
      <c r="J120" s="1111"/>
      <c r="K120" s="1115"/>
    </row>
    <row r="121" spans="1:11" ht="15.75">
      <c r="A121" s="1037"/>
      <c r="B121" s="1038"/>
      <c r="C121" s="1026"/>
      <c r="D121" s="1026"/>
      <c r="E121" s="1026"/>
      <c r="F121" s="1059"/>
      <c r="G121" s="1054"/>
      <c r="H121" s="1269"/>
      <c r="I121" s="1056"/>
      <c r="J121" s="1111"/>
      <c r="K121" s="1115"/>
    </row>
    <row r="122" spans="1:11" ht="15.75">
      <c r="A122" s="1037"/>
      <c r="B122" s="1038"/>
      <c r="C122" s="1026"/>
      <c r="D122" s="1026"/>
      <c r="E122" s="1026"/>
      <c r="F122" s="1059"/>
      <c r="G122" s="1054"/>
      <c r="H122" s="1269"/>
      <c r="I122" s="1056"/>
      <c r="J122" s="1111"/>
      <c r="K122" s="1115"/>
    </row>
    <row r="123" spans="1:11">
      <c r="A123" s="1037"/>
      <c r="B123" s="1038"/>
      <c r="C123" s="1026"/>
      <c r="D123" s="1026"/>
      <c r="E123" s="1026"/>
      <c r="F123" s="1059"/>
      <c r="G123" s="1059"/>
      <c r="H123" s="1269"/>
      <c r="I123" s="1056"/>
      <c r="J123" s="1111"/>
      <c r="K123" s="1025"/>
    </row>
    <row r="124" spans="1:11">
      <c r="A124" s="1037"/>
      <c r="B124" s="1038"/>
      <c r="C124" s="1026"/>
      <c r="D124" s="1026"/>
      <c r="E124" s="1026"/>
      <c r="F124" s="1059"/>
      <c r="G124" s="1059"/>
      <c r="H124" s="1269"/>
      <c r="I124" s="1056"/>
      <c r="J124" s="1111"/>
      <c r="K124" s="1025"/>
    </row>
    <row r="125" spans="1:11" ht="15.75">
      <c r="A125" s="1037"/>
      <c r="B125" s="1038"/>
      <c r="C125" s="1026"/>
      <c r="D125" s="1026"/>
      <c r="E125" s="1026"/>
      <c r="F125" s="1059"/>
      <c r="G125" s="1054"/>
      <c r="H125" s="1269"/>
      <c r="I125" s="1056"/>
      <c r="J125" s="1111"/>
      <c r="K125" s="1115"/>
    </row>
    <row r="126" spans="1:11" ht="15.75">
      <c r="A126" s="1037"/>
      <c r="B126" s="1038"/>
      <c r="C126" s="1026"/>
      <c r="D126" s="1026"/>
      <c r="E126" s="1026"/>
      <c r="F126" s="1059"/>
      <c r="G126" s="1054"/>
      <c r="H126" s="1269"/>
      <c r="I126" s="1056"/>
      <c r="J126" s="1111"/>
      <c r="K126" s="1115"/>
    </row>
    <row r="127" spans="1:11" ht="15.75">
      <c r="A127" s="1037"/>
      <c r="B127" s="1038"/>
      <c r="C127" s="1026"/>
      <c r="D127" s="1026"/>
      <c r="E127" s="1026"/>
      <c r="F127" s="1059"/>
      <c r="G127" s="1054"/>
      <c r="H127" s="1269"/>
      <c r="I127" s="1056"/>
      <c r="J127" s="1111"/>
      <c r="K127" s="1115"/>
    </row>
    <row r="128" spans="1:11">
      <c r="A128" s="1037"/>
      <c r="B128" s="1038"/>
      <c r="C128" s="1026"/>
      <c r="D128" s="1026"/>
      <c r="E128" s="1026"/>
      <c r="F128" s="1059"/>
      <c r="G128" s="1054"/>
      <c r="H128" s="1269"/>
      <c r="I128" s="1056"/>
      <c r="J128" s="1111"/>
      <c r="K128" s="1025"/>
    </row>
    <row r="129" spans="1:11">
      <c r="A129" s="1037"/>
      <c r="B129" s="1038"/>
      <c r="C129" s="1026"/>
      <c r="D129" s="1026"/>
      <c r="E129" s="1026"/>
      <c r="F129" s="1059"/>
      <c r="G129" s="1054"/>
      <c r="H129" s="1269"/>
      <c r="I129" s="1056"/>
      <c r="J129" s="1111"/>
      <c r="K129" s="1025"/>
    </row>
    <row r="130" spans="1:11">
      <c r="A130" s="1037"/>
      <c r="B130" s="1038"/>
      <c r="C130" s="1026"/>
      <c r="D130" s="1026"/>
      <c r="E130" s="1026"/>
      <c r="F130" s="1059"/>
      <c r="G130" s="1059"/>
      <c r="H130" s="1269"/>
      <c r="I130" s="1056"/>
      <c r="J130" s="1111"/>
      <c r="K130" s="1025"/>
    </row>
    <row r="131" spans="1:11">
      <c r="A131" s="1037"/>
      <c r="B131" s="1038"/>
      <c r="C131" s="1026"/>
      <c r="D131" s="1026"/>
      <c r="E131" s="1026"/>
      <c r="F131" s="1059"/>
      <c r="G131" s="1059"/>
      <c r="H131" s="1269"/>
      <c r="I131" s="1056"/>
      <c r="J131" s="1111"/>
      <c r="K131" s="1025"/>
    </row>
    <row r="132" spans="1:11">
      <c r="A132" s="1037"/>
      <c r="B132" s="1038"/>
      <c r="C132" s="1026"/>
      <c r="D132" s="1026"/>
      <c r="E132" s="1026"/>
      <c r="F132" s="1059"/>
      <c r="G132" s="1059"/>
      <c r="H132" s="1269"/>
      <c r="I132" s="1056"/>
      <c r="J132" s="1111"/>
      <c r="K132" s="1025"/>
    </row>
    <row r="133" spans="1:11">
      <c r="A133" s="1037"/>
      <c r="B133" s="1038"/>
      <c r="C133" s="1026"/>
      <c r="D133" s="1026"/>
      <c r="E133" s="1026"/>
      <c r="F133" s="1059"/>
      <c r="G133" s="1059"/>
      <c r="H133" s="1269"/>
      <c r="I133" s="1056"/>
      <c r="J133" s="1111"/>
      <c r="K133" s="1025"/>
    </row>
    <row r="134" spans="1:11" ht="15.75">
      <c r="A134" s="1037"/>
      <c r="B134" s="1038"/>
      <c r="C134" s="1026"/>
      <c r="D134" s="1026"/>
      <c r="E134" s="1026"/>
      <c r="F134" s="1059"/>
      <c r="G134" s="1054"/>
      <c r="H134" s="1269"/>
      <c r="I134" s="1056"/>
      <c r="J134" s="1111"/>
      <c r="K134" s="1115"/>
    </row>
    <row r="135" spans="1:11" ht="15.75">
      <c r="A135" s="1037"/>
      <c r="B135" s="1038"/>
      <c r="C135" s="1026"/>
      <c r="D135" s="1026"/>
      <c r="E135" s="1026"/>
      <c r="F135" s="1059"/>
      <c r="G135" s="1059"/>
      <c r="H135" s="1269"/>
      <c r="I135" s="1056"/>
      <c r="J135" s="1111"/>
      <c r="K135" s="1115"/>
    </row>
    <row r="136" spans="1:11">
      <c r="A136" s="1037"/>
      <c r="B136" s="1038"/>
      <c r="C136" s="1026"/>
      <c r="D136" s="1026"/>
      <c r="E136" s="1026"/>
      <c r="F136" s="1059"/>
      <c r="G136" s="1059"/>
      <c r="H136" s="1269"/>
      <c r="I136" s="1056"/>
      <c r="J136" s="1111"/>
      <c r="K136" s="1025"/>
    </row>
    <row r="137" spans="1:11">
      <c r="A137" s="1037"/>
      <c r="B137" s="1038"/>
      <c r="C137" s="1026"/>
      <c r="D137" s="1026"/>
      <c r="E137" s="1026"/>
      <c r="F137" s="1059"/>
      <c r="G137" s="1054"/>
      <c r="H137" s="1269"/>
      <c r="I137" s="1056"/>
      <c r="J137" s="1111"/>
      <c r="K137" s="1025"/>
    </row>
    <row r="138" spans="1:11" ht="15.75">
      <c r="A138" s="1037"/>
      <c r="B138" s="1038"/>
      <c r="C138" s="1026"/>
      <c r="D138" s="1026"/>
      <c r="E138" s="1026"/>
      <c r="F138" s="1059"/>
      <c r="G138" s="1054"/>
      <c r="H138" s="1269"/>
      <c r="I138" s="1056"/>
      <c r="J138" s="1111"/>
      <c r="K138" s="1115"/>
    </row>
    <row r="139" spans="1:11">
      <c r="A139" s="1037"/>
      <c r="B139" s="1038"/>
      <c r="C139" s="1026"/>
      <c r="D139" s="1026"/>
      <c r="E139" s="1026"/>
      <c r="F139" s="1059"/>
      <c r="G139" s="1054"/>
      <c r="H139" s="1269"/>
      <c r="I139" s="1056"/>
      <c r="J139" s="1111"/>
      <c r="K139" s="1025"/>
    </row>
    <row r="140" spans="1:11">
      <c r="A140" s="1037"/>
      <c r="B140" s="1038"/>
      <c r="C140" s="1026"/>
      <c r="D140" s="1026"/>
      <c r="E140" s="1026"/>
      <c r="F140" s="1059"/>
      <c r="G140" s="1059"/>
      <c r="H140" s="1269"/>
      <c r="I140" s="1056"/>
      <c r="J140" s="1111"/>
      <c r="K140" s="1025"/>
    </row>
    <row r="141" spans="1:11">
      <c r="A141" s="1037"/>
      <c r="B141" s="1038"/>
      <c r="C141" s="1026"/>
      <c r="D141" s="1026"/>
      <c r="E141" s="1026"/>
      <c r="F141" s="1059"/>
      <c r="G141" s="1059"/>
      <c r="H141" s="1269"/>
      <c r="I141" s="1056"/>
      <c r="J141" s="1111"/>
      <c r="K141" s="1025"/>
    </row>
    <row r="142" spans="1:11" ht="15.75">
      <c r="A142" s="1037"/>
      <c r="B142" s="1038"/>
      <c r="C142" s="1026"/>
      <c r="D142" s="1026"/>
      <c r="E142" s="1026"/>
      <c r="F142" s="1059"/>
      <c r="G142" s="1054"/>
      <c r="H142" s="1269"/>
      <c r="I142" s="1056"/>
      <c r="J142" s="1111"/>
      <c r="K142" s="1115"/>
    </row>
    <row r="143" spans="1:11" ht="15.75">
      <c r="A143" s="1037"/>
      <c r="B143" s="1038"/>
      <c r="C143" s="1026"/>
      <c r="D143" s="1026"/>
      <c r="E143" s="1026"/>
      <c r="F143" s="1059"/>
      <c r="G143" s="1054"/>
      <c r="H143" s="1269"/>
      <c r="I143" s="1056"/>
      <c r="J143" s="1111"/>
      <c r="K143" s="1115"/>
    </row>
    <row r="144" spans="1:11" ht="15.75">
      <c r="A144" s="1037"/>
      <c r="B144" s="1038"/>
      <c r="C144" s="1026"/>
      <c r="D144" s="1026"/>
      <c r="E144" s="1026"/>
      <c r="F144" s="1059"/>
      <c r="G144" s="1054"/>
      <c r="H144" s="1269"/>
      <c r="I144" s="1056"/>
      <c r="J144" s="1111"/>
      <c r="K144" s="1115"/>
    </row>
    <row r="145" spans="1:11" ht="15.75">
      <c r="A145" s="1037"/>
      <c r="B145" s="1038"/>
      <c r="C145" s="1026"/>
      <c r="D145" s="1026"/>
      <c r="E145" s="1026"/>
      <c r="F145" s="1059"/>
      <c r="G145" s="1054"/>
      <c r="H145" s="1269"/>
      <c r="I145" s="1056"/>
      <c r="J145" s="1111"/>
      <c r="K145" s="1115"/>
    </row>
    <row r="146" spans="1:11" ht="15.75">
      <c r="A146" s="1037"/>
      <c r="B146" s="1038"/>
      <c r="C146" s="1026"/>
      <c r="D146" s="1026"/>
      <c r="E146" s="1026"/>
      <c r="F146" s="1059"/>
      <c r="G146" s="1054"/>
      <c r="H146" s="1269"/>
      <c r="I146" s="1056"/>
      <c r="J146" s="1111"/>
      <c r="K146" s="1115"/>
    </row>
    <row r="147" spans="1:11">
      <c r="A147" s="1037"/>
      <c r="B147" s="1038"/>
      <c r="C147" s="1026"/>
      <c r="D147" s="1026"/>
      <c r="E147" s="1026"/>
      <c r="F147" s="1059"/>
      <c r="G147" s="1054"/>
      <c r="H147" s="1269"/>
      <c r="I147" s="1056"/>
      <c r="J147" s="1111"/>
      <c r="K147" s="1025"/>
    </row>
    <row r="148" spans="1:11">
      <c r="A148" s="1037"/>
      <c r="B148" s="1038"/>
      <c r="C148" s="1025"/>
      <c r="D148" s="1026"/>
      <c r="E148" s="1026"/>
      <c r="F148" s="1061"/>
      <c r="G148" s="1054"/>
      <c r="H148" s="1055"/>
      <c r="I148" s="1056"/>
      <c r="J148" s="1111"/>
      <c r="K148" s="1025"/>
    </row>
    <row r="149" spans="1:11">
      <c r="A149" s="1037"/>
      <c r="B149" s="1038"/>
      <c r="C149" s="1026"/>
      <c r="D149" s="1026"/>
      <c r="E149" s="1026"/>
      <c r="F149" s="1059"/>
      <c r="G149" s="1054"/>
      <c r="H149" s="1269"/>
      <c r="I149" s="1056"/>
      <c r="J149" s="1111"/>
      <c r="K149" s="1025"/>
    </row>
    <row r="150" spans="1:11">
      <c r="A150" s="1037"/>
      <c r="B150" s="1038"/>
      <c r="C150" s="1026"/>
      <c r="D150" s="1026"/>
      <c r="E150" s="1026"/>
      <c r="F150" s="1059"/>
      <c r="G150" s="1054"/>
      <c r="H150" s="1269"/>
      <c r="I150" s="1056"/>
      <c r="J150" s="1111"/>
      <c r="K150" s="1025"/>
    </row>
    <row r="151" spans="1:11">
      <c r="A151" s="1037"/>
      <c r="B151" s="1038"/>
      <c r="C151" s="1026"/>
      <c r="D151" s="1026"/>
      <c r="E151" s="1026"/>
      <c r="F151" s="1059"/>
      <c r="G151" s="1059"/>
      <c r="H151" s="1269"/>
      <c r="I151" s="1056"/>
      <c r="J151" s="1111"/>
      <c r="K151" s="1025"/>
    </row>
    <row r="152" spans="1:11">
      <c r="A152" s="1037"/>
      <c r="B152" s="1038"/>
      <c r="C152" s="1026"/>
      <c r="D152" s="1026"/>
      <c r="E152" s="1026"/>
      <c r="F152" s="1059"/>
      <c r="G152" s="1059"/>
      <c r="H152" s="1269"/>
      <c r="I152" s="1056"/>
      <c r="J152" s="1111"/>
      <c r="K152" s="1025"/>
    </row>
    <row r="153" spans="1:11" ht="15.75">
      <c r="A153" s="1037"/>
      <c r="B153" s="1038"/>
      <c r="C153" s="1026"/>
      <c r="D153" s="1026"/>
      <c r="E153" s="1026"/>
      <c r="F153" s="1059"/>
      <c r="G153" s="1054"/>
      <c r="H153" s="1269"/>
      <c r="I153" s="1056"/>
      <c r="J153" s="1111"/>
      <c r="K153" s="1115"/>
    </row>
    <row r="154" spans="1:11">
      <c r="A154" s="1037"/>
      <c r="B154" s="1038"/>
      <c r="C154" s="1026"/>
      <c r="D154" s="1026"/>
      <c r="E154" s="1026"/>
      <c r="F154" s="1059"/>
      <c r="G154" s="1054"/>
      <c r="H154" s="1269"/>
      <c r="I154" s="1056"/>
      <c r="J154" s="1111"/>
      <c r="K154" s="1025"/>
    </row>
    <row r="155" spans="1:11">
      <c r="A155" s="1037"/>
      <c r="B155" s="1038"/>
      <c r="C155" s="1026"/>
      <c r="D155" s="1026"/>
      <c r="E155" s="1026"/>
      <c r="F155" s="1059"/>
      <c r="G155" s="1059"/>
      <c r="H155" s="1269"/>
      <c r="I155" s="1056"/>
      <c r="J155" s="1111"/>
      <c r="K155" s="1025"/>
    </row>
    <row r="156" spans="1:11">
      <c r="A156" s="1037"/>
      <c r="B156" s="1038"/>
      <c r="C156" s="1026"/>
      <c r="D156" s="1026"/>
      <c r="E156" s="1026"/>
      <c r="F156" s="1059"/>
      <c r="G156" s="1059"/>
      <c r="H156" s="1269"/>
      <c r="I156" s="1056"/>
      <c r="J156" s="1111"/>
      <c r="K156" s="1025"/>
    </row>
    <row r="157" spans="1:11">
      <c r="A157" s="1037"/>
      <c r="B157" s="1038"/>
      <c r="C157" s="1026"/>
      <c r="D157" s="1026"/>
      <c r="E157" s="1026"/>
      <c r="F157" s="1059"/>
      <c r="G157" s="1054"/>
      <c r="H157" s="1269"/>
      <c r="I157" s="1056"/>
      <c r="J157" s="1111"/>
      <c r="K157" s="1025"/>
    </row>
    <row r="158" spans="1:11">
      <c r="A158" s="1037"/>
      <c r="B158" s="1038"/>
      <c r="C158" s="1026"/>
      <c r="D158" s="1026"/>
      <c r="E158" s="1026"/>
      <c r="F158" s="1059"/>
      <c r="G158" s="1054"/>
      <c r="H158" s="1269"/>
      <c r="I158" s="1056"/>
      <c r="J158" s="1111"/>
      <c r="K158" s="1025"/>
    </row>
    <row r="159" spans="1:11">
      <c r="A159" s="1037"/>
      <c r="B159" s="1038"/>
      <c r="C159" s="1026"/>
      <c r="D159" s="1026"/>
      <c r="E159" s="1026"/>
      <c r="F159" s="1059"/>
      <c r="G159" s="1054"/>
      <c r="H159" s="1269"/>
      <c r="I159" s="1056"/>
      <c r="J159" s="1111"/>
      <c r="K159" s="1025"/>
    </row>
    <row r="160" spans="1:11" ht="15.75">
      <c r="A160" s="1037"/>
      <c r="B160" s="1038"/>
      <c r="C160" s="1026"/>
      <c r="D160" s="1026"/>
      <c r="E160" s="1026"/>
      <c r="F160" s="1059"/>
      <c r="G160" s="1054"/>
      <c r="H160" s="1269"/>
      <c r="I160" s="1056"/>
      <c r="J160" s="1111"/>
      <c r="K160" s="1115"/>
    </row>
    <row r="161" spans="1:11">
      <c r="A161" s="1037"/>
      <c r="B161" s="1038"/>
      <c r="C161" s="1026"/>
      <c r="D161" s="1026"/>
      <c r="E161" s="1026"/>
      <c r="F161" s="1059"/>
      <c r="G161" s="1054"/>
      <c r="H161" s="1269"/>
      <c r="I161" s="1056"/>
      <c r="J161" s="1111"/>
      <c r="K161" s="1025"/>
    </row>
    <row r="162" spans="1:11">
      <c r="A162" s="1037"/>
      <c r="B162" s="1038"/>
      <c r="C162" s="290"/>
      <c r="D162" s="1026"/>
      <c r="E162" s="1026"/>
      <c r="F162" s="1059"/>
      <c r="G162" s="1054"/>
      <c r="H162" s="1269"/>
      <c r="I162" s="1056"/>
      <c r="J162" s="1111"/>
      <c r="K162" s="1025"/>
    </row>
    <row r="163" spans="1:11">
      <c r="A163" s="1037"/>
      <c r="B163" s="1038"/>
      <c r="C163" s="1026"/>
      <c r="D163" s="1026"/>
      <c r="E163" s="1026"/>
      <c r="F163" s="1059"/>
      <c r="G163" s="1054"/>
      <c r="H163" s="1269"/>
      <c r="I163" s="1056"/>
      <c r="J163" s="1111"/>
      <c r="K163" s="1025"/>
    </row>
    <row r="164" spans="1:11">
      <c r="A164" s="1037"/>
      <c r="B164" s="1038"/>
      <c r="C164" s="1026"/>
      <c r="D164" s="1026"/>
      <c r="E164" s="1026"/>
      <c r="F164" s="1059"/>
      <c r="G164" s="1054"/>
      <c r="H164" s="1269"/>
      <c r="I164" s="1056"/>
      <c r="J164" s="1111"/>
      <c r="K164" s="1025"/>
    </row>
    <row r="165" spans="1:11">
      <c r="A165" s="1037"/>
      <c r="B165" s="1038"/>
      <c r="C165" s="1026"/>
      <c r="D165" s="1026"/>
      <c r="E165" s="1026"/>
      <c r="F165" s="1059"/>
      <c r="G165" s="1054"/>
      <c r="H165" s="1269"/>
      <c r="I165" s="1056"/>
      <c r="J165" s="1111"/>
      <c r="K165" s="1025"/>
    </row>
    <row r="166" spans="1:11">
      <c r="A166" s="1037"/>
      <c r="B166" s="1038"/>
      <c r="C166" s="1026"/>
      <c r="D166" s="1026"/>
      <c r="E166" s="1026"/>
      <c r="F166" s="1059"/>
      <c r="G166" s="1054"/>
      <c r="H166" s="1269"/>
      <c r="I166" s="1056"/>
      <c r="J166" s="1111"/>
      <c r="K166" s="1025"/>
    </row>
    <row r="167" spans="1:11">
      <c r="A167" s="1037"/>
      <c r="B167" s="1038"/>
      <c r="C167" s="1026"/>
      <c r="D167" s="1026"/>
      <c r="E167" s="1026"/>
      <c r="F167" s="1059"/>
      <c r="G167" s="1054"/>
      <c r="H167" s="1269"/>
      <c r="I167" s="1056"/>
      <c r="J167" s="1111"/>
      <c r="K167" s="1025"/>
    </row>
    <row r="168" spans="1:11">
      <c r="A168" s="1037"/>
      <c r="B168" s="1038"/>
      <c r="C168" s="1026"/>
      <c r="D168" s="1026"/>
      <c r="E168" s="1026"/>
      <c r="F168" s="1059"/>
      <c r="G168" s="1054"/>
      <c r="H168" s="1269"/>
      <c r="I168" s="1056"/>
      <c r="J168" s="1111"/>
      <c r="K168" s="1025"/>
    </row>
    <row r="169" spans="1:11">
      <c r="A169" s="1037"/>
      <c r="B169" s="1038"/>
      <c r="C169" s="1026"/>
      <c r="D169" s="1026"/>
      <c r="E169" s="1026"/>
      <c r="F169" s="1059"/>
      <c r="G169" s="1054"/>
      <c r="H169" s="1269"/>
      <c r="I169" s="1056"/>
      <c r="J169" s="1111"/>
      <c r="K169" s="1025"/>
    </row>
    <row r="170" spans="1:11">
      <c r="A170" s="1037"/>
      <c r="B170" s="1038"/>
      <c r="C170" s="1026"/>
      <c r="D170" s="1026"/>
      <c r="E170" s="1026"/>
      <c r="F170" s="1059"/>
      <c r="G170" s="1054"/>
      <c r="H170" s="1269"/>
      <c r="I170" s="1056"/>
      <c r="J170" s="1111"/>
      <c r="K170" s="1025"/>
    </row>
    <row r="171" spans="1:11">
      <c r="A171" s="1037"/>
      <c r="B171" s="1038"/>
      <c r="C171" s="1026"/>
      <c r="D171" s="1026"/>
      <c r="E171" s="1026"/>
      <c r="F171" s="1059"/>
      <c r="G171" s="1059"/>
      <c r="H171" s="1269"/>
      <c r="I171" s="1056"/>
      <c r="J171" s="1111"/>
      <c r="K171" s="1025"/>
    </row>
    <row r="172" spans="1:11">
      <c r="A172" s="1037"/>
      <c r="B172" s="1038"/>
      <c r="C172" s="1026"/>
      <c r="D172" s="1026"/>
      <c r="E172" s="1026"/>
      <c r="F172" s="1059"/>
      <c r="G172" s="1059"/>
      <c r="H172" s="1269"/>
      <c r="I172" s="1056"/>
      <c r="J172" s="1111"/>
      <c r="K172" s="1025"/>
    </row>
    <row r="173" spans="1:11">
      <c r="A173" s="1037"/>
      <c r="B173" s="1038"/>
      <c r="C173" s="1026"/>
      <c r="D173" s="1026"/>
      <c r="E173" s="1026"/>
      <c r="F173" s="1059"/>
      <c r="G173" s="1054"/>
      <c r="H173" s="1269"/>
      <c r="I173" s="1056"/>
      <c r="J173" s="1111"/>
      <c r="K173" s="1025"/>
    </row>
    <row r="174" spans="1:11">
      <c r="A174" s="1037"/>
      <c r="B174" s="1038"/>
      <c r="C174" s="1026"/>
      <c r="D174" s="1026"/>
      <c r="E174" s="1026"/>
      <c r="F174" s="1059"/>
      <c r="G174" s="1054"/>
      <c r="H174" s="1269"/>
      <c r="I174" s="1056"/>
      <c r="J174" s="1111"/>
      <c r="K174" s="1025"/>
    </row>
    <row r="175" spans="1:11">
      <c r="A175" s="1037"/>
      <c r="B175" s="1038"/>
      <c r="C175" s="1026"/>
      <c r="D175" s="1026"/>
      <c r="E175" s="1026"/>
      <c r="F175" s="1059"/>
      <c r="G175" s="1054"/>
      <c r="H175" s="1269"/>
      <c r="I175" s="1056"/>
      <c r="J175" s="1111"/>
      <c r="K175" s="1025"/>
    </row>
    <row r="176" spans="1:11" ht="15.75">
      <c r="A176" s="1037"/>
      <c r="B176" s="1038"/>
      <c r="C176" s="1026"/>
      <c r="D176" s="1026"/>
      <c r="E176" s="1026"/>
      <c r="F176" s="1059"/>
      <c r="G176" s="1059"/>
      <c r="H176" s="1269"/>
      <c r="I176" s="1056"/>
      <c r="J176" s="1111"/>
      <c r="K176" s="1115"/>
    </row>
    <row r="177" spans="1:11">
      <c r="A177" s="1037"/>
      <c r="B177" s="1038"/>
      <c r="C177" s="1026"/>
      <c r="D177" s="1026"/>
      <c r="E177" s="1026"/>
      <c r="F177" s="1059"/>
      <c r="G177" s="1059"/>
      <c r="H177" s="1269"/>
      <c r="I177" s="1056"/>
      <c r="J177" s="1111"/>
      <c r="K177" s="1025"/>
    </row>
    <row r="178" spans="1:11" ht="15.75">
      <c r="A178" s="1037"/>
      <c r="B178" s="1038"/>
      <c r="C178" s="1026"/>
      <c r="D178" s="1026"/>
      <c r="E178" s="1026"/>
      <c r="F178" s="1059"/>
      <c r="G178" s="1054"/>
      <c r="H178" s="1269"/>
      <c r="I178" s="1056"/>
      <c r="J178" s="1111"/>
      <c r="K178" s="1115"/>
    </row>
    <row r="179" spans="1:11" ht="15.75">
      <c r="A179" s="1037"/>
      <c r="B179" s="1038"/>
      <c r="C179" s="1026"/>
      <c r="D179" s="1026"/>
      <c r="E179" s="1026"/>
      <c r="F179" s="1059"/>
      <c r="G179" s="1054"/>
      <c r="H179" s="1269"/>
      <c r="I179" s="1056"/>
      <c r="J179" s="1111"/>
      <c r="K179" s="1115"/>
    </row>
    <row r="180" spans="1:11" ht="15.75">
      <c r="A180" s="1037"/>
      <c r="B180" s="1038"/>
      <c r="C180" s="1026"/>
      <c r="D180" s="1026"/>
      <c r="E180" s="1026"/>
      <c r="F180" s="1059"/>
      <c r="G180" s="1054"/>
      <c r="H180" s="1269"/>
      <c r="I180" s="1056"/>
      <c r="J180" s="1111"/>
      <c r="K180" s="1115"/>
    </row>
    <row r="181" spans="1:11" ht="15.75">
      <c r="A181" s="1037"/>
      <c r="B181" s="1038"/>
      <c r="C181" s="1026"/>
      <c r="D181" s="1026"/>
      <c r="E181" s="1026"/>
      <c r="F181" s="1059"/>
      <c r="G181" s="1054"/>
      <c r="H181" s="1269"/>
      <c r="I181" s="1056"/>
      <c r="J181" s="1111"/>
      <c r="K181" s="1115"/>
    </row>
    <row r="182" spans="1:11" ht="15.75">
      <c r="A182" s="1037"/>
      <c r="B182" s="1038"/>
      <c r="C182" s="1026"/>
      <c r="D182" s="1026"/>
      <c r="E182" s="1026"/>
      <c r="F182" s="1059"/>
      <c r="G182" s="1059"/>
      <c r="H182" s="1269"/>
      <c r="I182" s="1056"/>
      <c r="J182" s="1111"/>
      <c r="K182" s="1115"/>
    </row>
    <row r="183" spans="1:11">
      <c r="A183" s="1037"/>
      <c r="B183" s="1038"/>
      <c r="C183" s="1026"/>
      <c r="D183" s="1026"/>
      <c r="E183" s="1026"/>
      <c r="F183" s="1059"/>
      <c r="G183" s="1059"/>
      <c r="H183" s="1269"/>
      <c r="I183" s="1056"/>
      <c r="J183" s="1111"/>
      <c r="K183" s="1025"/>
    </row>
    <row r="184" spans="1:11" ht="15.75">
      <c r="A184" s="1037"/>
      <c r="B184" s="1038"/>
      <c r="C184" s="1026"/>
      <c r="D184" s="1026"/>
      <c r="E184" s="1026"/>
      <c r="F184" s="1059"/>
      <c r="G184" s="1054"/>
      <c r="H184" s="1269"/>
      <c r="I184" s="1056"/>
      <c r="J184" s="1111"/>
      <c r="K184" s="1115"/>
    </row>
    <row r="185" spans="1:11">
      <c r="A185" s="1037"/>
      <c r="B185" s="1038"/>
      <c r="C185" s="1026"/>
      <c r="D185" s="1026"/>
      <c r="E185" s="1026"/>
      <c r="F185" s="1059"/>
      <c r="G185" s="1059"/>
      <c r="H185" s="1269"/>
      <c r="I185" s="1056"/>
      <c r="J185" s="1111"/>
      <c r="K185" s="1025"/>
    </row>
    <row r="186" spans="1:11">
      <c r="A186" s="1037"/>
      <c r="B186" s="1038"/>
      <c r="C186" s="1026"/>
      <c r="D186" s="1026"/>
      <c r="E186" s="1026"/>
      <c r="F186" s="1059"/>
      <c r="G186" s="1059"/>
      <c r="H186" s="1269"/>
      <c r="I186" s="1056"/>
      <c r="J186" s="1111"/>
      <c r="K186" s="1025"/>
    </row>
    <row r="187" spans="1:11">
      <c r="A187" s="1037"/>
      <c r="B187" s="1038"/>
      <c r="C187" s="1026"/>
      <c r="D187" s="1026"/>
      <c r="E187" s="1026"/>
      <c r="F187" s="1059"/>
      <c r="G187" s="1059"/>
      <c r="H187" s="1269"/>
      <c r="I187" s="1056"/>
      <c r="J187" s="1111"/>
      <c r="K187" s="1025"/>
    </row>
    <row r="188" spans="1:11">
      <c r="A188" s="1037"/>
      <c r="B188" s="1038"/>
      <c r="C188" s="1026"/>
      <c r="D188" s="1026"/>
      <c r="E188" s="1026"/>
      <c r="F188" s="1059"/>
      <c r="G188" s="1059"/>
      <c r="H188" s="1269"/>
      <c r="I188" s="1056"/>
      <c r="J188" s="1111"/>
      <c r="K188" s="1025"/>
    </row>
    <row r="189" spans="1:11">
      <c r="A189" s="1037"/>
      <c r="B189" s="1038"/>
      <c r="C189" s="1026"/>
      <c r="D189" s="1026"/>
      <c r="E189" s="1026"/>
      <c r="F189" s="1059"/>
      <c r="G189" s="1054"/>
      <c r="H189" s="1269"/>
      <c r="I189" s="1056"/>
      <c r="J189" s="1111"/>
      <c r="K189" s="1025"/>
    </row>
    <row r="190" spans="1:11">
      <c r="A190" s="1037"/>
      <c r="B190" s="1038"/>
      <c r="C190" s="1026"/>
      <c r="D190" s="1026"/>
      <c r="E190" s="1026"/>
      <c r="F190" s="1059"/>
      <c r="G190" s="1054"/>
      <c r="H190" s="1269"/>
      <c r="I190" s="1056"/>
      <c r="J190" s="1111"/>
      <c r="K190" s="1025"/>
    </row>
    <row r="191" spans="1:11">
      <c r="A191" s="1037"/>
      <c r="B191" s="1038"/>
      <c r="C191" s="1026"/>
      <c r="D191" s="1026"/>
      <c r="E191" s="1026"/>
      <c r="F191" s="1059"/>
      <c r="G191" s="1054"/>
      <c r="H191" s="1269"/>
      <c r="I191" s="1056"/>
      <c r="J191" s="1111"/>
      <c r="K191" s="1025"/>
    </row>
    <row r="192" spans="1:11">
      <c r="A192" s="1037"/>
      <c r="B192" s="1038"/>
      <c r="C192" s="1026"/>
      <c r="D192" s="1026"/>
      <c r="E192" s="1026"/>
      <c r="F192" s="1059"/>
      <c r="G192" s="1054"/>
      <c r="H192" s="1269"/>
      <c r="I192" s="1056"/>
      <c r="J192" s="1111"/>
      <c r="K192" s="1025"/>
    </row>
    <row r="193" spans="1:11">
      <c r="A193" s="1037"/>
      <c r="B193" s="1038"/>
      <c r="C193" s="1026"/>
      <c r="D193" s="1026"/>
      <c r="E193" s="1026"/>
      <c r="F193" s="1059"/>
      <c r="G193" s="1054"/>
      <c r="H193" s="1269"/>
      <c r="I193" s="1056"/>
      <c r="J193" s="1111"/>
      <c r="K193" s="1025"/>
    </row>
    <row r="194" spans="1:11">
      <c r="A194" s="1037"/>
      <c r="B194" s="1038"/>
      <c r="C194" s="1026"/>
      <c r="D194" s="1026"/>
      <c r="E194" s="1026"/>
      <c r="F194" s="1059"/>
      <c r="G194" s="1054"/>
      <c r="H194" s="1269"/>
      <c r="I194" s="1056"/>
      <c r="J194" s="1111"/>
      <c r="K194" s="1025"/>
    </row>
    <row r="195" spans="1:11">
      <c r="A195" s="1037"/>
      <c r="B195" s="1038"/>
      <c r="C195" s="1026"/>
      <c r="D195" s="1026"/>
      <c r="E195" s="1026"/>
      <c r="F195" s="1059"/>
      <c r="G195" s="1054"/>
      <c r="H195" s="1269"/>
      <c r="I195" s="1056"/>
      <c r="J195" s="1111"/>
      <c r="K195" s="1025"/>
    </row>
    <row r="196" spans="1:11">
      <c r="A196" s="1037"/>
      <c r="B196" s="1038"/>
      <c r="C196" s="1026"/>
      <c r="D196" s="1026"/>
      <c r="E196" s="1026"/>
      <c r="F196" s="1059"/>
      <c r="G196" s="1059"/>
      <c r="H196" s="1269"/>
      <c r="I196" s="1056"/>
      <c r="J196" s="1111"/>
      <c r="K196" s="1025"/>
    </row>
    <row r="197" spans="1:11">
      <c r="A197" s="1037"/>
      <c r="B197" s="1038"/>
      <c r="C197" s="1026"/>
      <c r="D197" s="1026"/>
      <c r="E197" s="1026"/>
      <c r="F197" s="1059"/>
      <c r="G197" s="1059"/>
      <c r="H197" s="1269"/>
      <c r="I197" s="1056"/>
      <c r="J197" s="1111"/>
      <c r="K197" s="1025"/>
    </row>
    <row r="198" spans="1:11" ht="15.75">
      <c r="A198" s="1037"/>
      <c r="B198" s="1038"/>
      <c r="C198" s="1026"/>
      <c r="D198" s="1026"/>
      <c r="E198" s="1026"/>
      <c r="F198" s="1059"/>
      <c r="G198" s="1054"/>
      <c r="H198" s="1269"/>
      <c r="I198" s="1056"/>
      <c r="J198" s="1111"/>
      <c r="K198" s="1115"/>
    </row>
    <row r="199" spans="1:11">
      <c r="A199" s="1037"/>
      <c r="B199" s="1038"/>
      <c r="C199" s="1026"/>
      <c r="D199" s="1026"/>
      <c r="E199" s="1026"/>
      <c r="F199" s="1059"/>
      <c r="G199" s="1054"/>
      <c r="H199" s="1269"/>
      <c r="I199" s="1056"/>
      <c r="J199" s="1111"/>
      <c r="K199" s="1025"/>
    </row>
    <row r="200" spans="1:11">
      <c r="A200" s="1037"/>
      <c r="B200" s="1038"/>
      <c r="C200" s="1025"/>
      <c r="D200" s="1025"/>
      <c r="E200" s="1025"/>
      <c r="F200" s="1061"/>
      <c r="G200" s="1054"/>
      <c r="H200" s="1269"/>
      <c r="I200" s="1056"/>
      <c r="J200" s="1111"/>
      <c r="K200" s="1025"/>
    </row>
    <row r="201" spans="1:11">
      <c r="A201" s="1037"/>
      <c r="B201" s="1038"/>
      <c r="C201" s="1026"/>
      <c r="D201" s="1026"/>
      <c r="E201" s="1026"/>
      <c r="F201" s="1061"/>
      <c r="G201" s="1054"/>
      <c r="H201" s="1269"/>
      <c r="I201" s="1056"/>
      <c r="J201" s="1111"/>
      <c r="K201" s="1025"/>
    </row>
    <row r="202" spans="1:11" ht="15.75">
      <c r="A202" s="1037"/>
      <c r="B202" s="1038"/>
      <c r="C202" s="1026"/>
      <c r="D202" s="1026"/>
      <c r="E202" s="1026"/>
      <c r="F202" s="1059"/>
      <c r="G202" s="1059"/>
      <c r="H202" s="1269"/>
      <c r="I202" s="1056"/>
      <c r="J202" s="1111"/>
      <c r="K202" s="1115"/>
    </row>
    <row r="203" spans="1:11">
      <c r="A203" s="1037"/>
      <c r="B203" s="1038"/>
      <c r="C203" s="1026"/>
      <c r="D203" s="1026"/>
      <c r="E203" s="1026"/>
      <c r="F203" s="1059"/>
      <c r="G203" s="1059"/>
      <c r="H203" s="1269"/>
      <c r="I203" s="1056"/>
      <c r="J203" s="1111"/>
      <c r="K203" s="1025"/>
    </row>
    <row r="204" spans="1:11" ht="15.75">
      <c r="A204" s="1037"/>
      <c r="B204" s="1038"/>
      <c r="C204" s="1026"/>
      <c r="D204" s="1026"/>
      <c r="E204" s="1026"/>
      <c r="F204" s="1059"/>
      <c r="G204" s="1054"/>
      <c r="H204" s="1269"/>
      <c r="I204" s="1056"/>
      <c r="J204" s="1111"/>
      <c r="K204" s="1115"/>
    </row>
    <row r="205" spans="1:11" ht="15.75">
      <c r="A205" s="1037"/>
      <c r="B205" s="1038"/>
      <c r="C205" s="1026"/>
      <c r="D205" s="1026"/>
      <c r="E205" s="1026"/>
      <c r="F205" s="1059"/>
      <c r="G205" s="1054"/>
      <c r="H205" s="1269"/>
      <c r="I205" s="1056"/>
      <c r="J205" s="1111"/>
      <c r="K205" s="1115"/>
    </row>
    <row r="206" spans="1:11" ht="15.75">
      <c r="A206" s="1037"/>
      <c r="B206" s="1038"/>
      <c r="C206" s="1026"/>
      <c r="D206" s="1026"/>
      <c r="E206" s="1026"/>
      <c r="F206" s="1059"/>
      <c r="G206" s="1054"/>
      <c r="H206" s="1269"/>
      <c r="I206" s="1056"/>
      <c r="J206" s="1111"/>
      <c r="K206" s="1115"/>
    </row>
    <row r="207" spans="1:11" ht="15.75">
      <c r="A207" s="1037"/>
      <c r="B207" s="1038"/>
      <c r="C207" s="1026"/>
      <c r="D207" s="1026"/>
      <c r="E207" s="1026"/>
      <c r="F207" s="1059"/>
      <c r="G207" s="1054"/>
      <c r="H207" s="1269"/>
      <c r="I207" s="1056"/>
      <c r="J207" s="1111"/>
      <c r="K207" s="1115"/>
    </row>
    <row r="208" spans="1:11" ht="15.75">
      <c r="A208" s="1037"/>
      <c r="B208" s="1038"/>
      <c r="C208" s="1026"/>
      <c r="D208" s="1026"/>
      <c r="E208" s="1026"/>
      <c r="F208" s="1059"/>
      <c r="G208" s="1054"/>
      <c r="H208" s="1269"/>
      <c r="I208" s="1056"/>
      <c r="J208" s="1111"/>
      <c r="K208" s="1115"/>
    </row>
    <row r="209" spans="1:11" ht="15.75">
      <c r="A209" s="1037"/>
      <c r="B209" s="1038"/>
      <c r="C209" s="1026"/>
      <c r="D209" s="1026"/>
      <c r="E209" s="1026"/>
      <c r="F209" s="1059"/>
      <c r="G209" s="1054"/>
      <c r="H209" s="1269"/>
      <c r="I209" s="1056"/>
      <c r="J209" s="1111"/>
      <c r="K209" s="1115"/>
    </row>
    <row r="210" spans="1:11" ht="15.75">
      <c r="A210" s="1037"/>
      <c r="B210" s="1038"/>
      <c r="C210" s="1026"/>
      <c r="D210" s="1026"/>
      <c r="E210" s="1026"/>
      <c r="F210" s="1059"/>
      <c r="G210" s="1054"/>
      <c r="H210" s="1269"/>
      <c r="I210" s="1056"/>
      <c r="J210" s="1111"/>
      <c r="K210" s="1115"/>
    </row>
    <row r="211" spans="1:11" ht="15.75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115"/>
    </row>
    <row r="212" spans="1:11" ht="15.75">
      <c r="A212" s="1037"/>
      <c r="B212" s="1038"/>
      <c r="C212" s="1026"/>
      <c r="D212" s="1026"/>
      <c r="F212" s="1059"/>
      <c r="G212" s="1054"/>
      <c r="H212" s="1269"/>
      <c r="I212" s="1056"/>
      <c r="J212" s="1111"/>
      <c r="K212" s="1115"/>
    </row>
    <row r="213" spans="1:11" ht="15.75">
      <c r="A213" s="1037"/>
      <c r="B213" s="1038"/>
      <c r="C213" s="1026"/>
      <c r="D213" s="1026"/>
      <c r="E213" s="1026"/>
      <c r="F213" s="1059"/>
      <c r="G213" s="1054"/>
      <c r="H213" s="1269"/>
      <c r="I213" s="1056"/>
      <c r="J213" s="1111"/>
      <c r="K213" s="1115"/>
    </row>
    <row r="214" spans="1:11" ht="15.75">
      <c r="A214" s="1037"/>
      <c r="B214" s="1038"/>
      <c r="C214" s="1026"/>
      <c r="D214" s="1026"/>
      <c r="E214" s="1026"/>
      <c r="F214" s="1059"/>
      <c r="G214" s="1054"/>
      <c r="H214" s="1269"/>
      <c r="I214" s="1056"/>
      <c r="J214" s="1111"/>
      <c r="K214" s="1115"/>
    </row>
    <row r="215" spans="1:11" ht="15.75">
      <c r="A215" s="1037"/>
      <c r="B215" s="1038"/>
      <c r="C215" s="1026"/>
      <c r="D215" s="1026"/>
      <c r="E215" s="1026"/>
      <c r="F215" s="1059"/>
      <c r="G215" s="1054"/>
      <c r="H215" s="1269"/>
      <c r="I215" s="1056"/>
      <c r="J215" s="1111"/>
      <c r="K215" s="1115"/>
    </row>
    <row r="216" spans="1:11" ht="15.75">
      <c r="A216" s="1037"/>
      <c r="B216" s="1038"/>
      <c r="C216" s="1026"/>
      <c r="D216" s="1026"/>
      <c r="E216" s="1026"/>
      <c r="F216" s="1059"/>
      <c r="G216" s="1054"/>
      <c r="H216" s="1269"/>
      <c r="I216" s="1056"/>
      <c r="J216" s="1111"/>
      <c r="K216" s="1115"/>
    </row>
    <row r="217" spans="1:11">
      <c r="A217" s="1037"/>
      <c r="B217" s="1038"/>
      <c r="C217" s="1026"/>
      <c r="D217" s="1026"/>
      <c r="E217" s="1026"/>
      <c r="F217" s="1059"/>
      <c r="G217" s="1054"/>
      <c r="H217" s="1269"/>
      <c r="I217" s="1056"/>
      <c r="J217" s="1111"/>
      <c r="K217" s="1025"/>
    </row>
    <row r="218" spans="1:11">
      <c r="A218" s="1039"/>
      <c r="B218" s="1039"/>
      <c r="C218" s="1025"/>
      <c r="D218" s="1025"/>
      <c r="E218" s="1025"/>
      <c r="F218" s="1061"/>
      <c r="G218" s="1062"/>
      <c r="H218" s="1269"/>
      <c r="I218" s="1056"/>
      <c r="J218" s="1111"/>
      <c r="K218" s="1025"/>
    </row>
    <row r="219" spans="1:11">
      <c r="A219" s="1039"/>
      <c r="B219" s="1039"/>
      <c r="C219" s="1025"/>
      <c r="D219" s="1025"/>
      <c r="E219" s="1025"/>
      <c r="F219" s="1061"/>
      <c r="G219" s="1062"/>
      <c r="H219" s="1269"/>
      <c r="I219" s="1056"/>
      <c r="J219" s="1111"/>
      <c r="K219" s="1025"/>
    </row>
    <row r="220" spans="1:11">
      <c r="A220" s="1039"/>
      <c r="B220" s="1039"/>
      <c r="C220" s="1025"/>
      <c r="D220" s="1025"/>
      <c r="E220" s="1025"/>
      <c r="F220" s="1061"/>
      <c r="G220" s="1062"/>
      <c r="H220" s="1269"/>
      <c r="I220" s="1056"/>
      <c r="J220" s="1111"/>
      <c r="K220" s="1025"/>
    </row>
    <row r="221" spans="1:11">
      <c r="A221" s="1039"/>
      <c r="B221" s="1039"/>
      <c r="C221" s="1025"/>
      <c r="D221" s="1025"/>
      <c r="E221" s="1025"/>
      <c r="F221" s="1061"/>
      <c r="G221" s="1062"/>
      <c r="H221" s="1269"/>
      <c r="I221" s="1056"/>
      <c r="J221" s="1111"/>
      <c r="K221" s="1025"/>
    </row>
    <row r="222" spans="1:11">
      <c r="A222" s="1039"/>
      <c r="B222" s="1039"/>
      <c r="C222" s="1025"/>
      <c r="D222" s="1025"/>
      <c r="E222" s="1025"/>
      <c r="F222" s="1061"/>
      <c r="G222" s="1062"/>
      <c r="H222" s="1269"/>
      <c r="I222" s="1056"/>
      <c r="J222" s="1111"/>
      <c r="K222" s="1025"/>
    </row>
    <row r="223" spans="1:11">
      <c r="A223" s="1039"/>
      <c r="B223" s="1039"/>
      <c r="C223" s="1025"/>
      <c r="D223" s="1025"/>
      <c r="E223" s="1025"/>
      <c r="F223" s="1061"/>
      <c r="G223" s="1062"/>
      <c r="H223" s="1269"/>
      <c r="I223" s="1056"/>
      <c r="J223" s="1111"/>
      <c r="K223" s="1025"/>
    </row>
    <row r="224" spans="1:11">
      <c r="A224" s="1039"/>
      <c r="B224" s="1039"/>
      <c r="C224" s="1025"/>
      <c r="D224" s="1025"/>
      <c r="E224" s="1025"/>
      <c r="F224" s="1061"/>
      <c r="G224" s="1062"/>
      <c r="H224" s="1269"/>
      <c r="I224" s="1056"/>
      <c r="J224" s="1111"/>
      <c r="K224" s="1025"/>
    </row>
    <row r="225" spans="1:11">
      <c r="A225" s="1039"/>
      <c r="B225" s="1039"/>
      <c r="C225" s="1025"/>
      <c r="D225" s="1025"/>
      <c r="E225" s="1025"/>
      <c r="F225" s="1061"/>
      <c r="G225" s="1062"/>
      <c r="H225" s="1269"/>
      <c r="I225" s="1056"/>
      <c r="J225" s="1111"/>
      <c r="K225" s="1025"/>
    </row>
    <row r="226" spans="1:11">
      <c r="A226" s="1039"/>
      <c r="B226" s="1039"/>
      <c r="C226" s="1025"/>
      <c r="D226" s="1025"/>
      <c r="E226" s="1025"/>
      <c r="F226" s="1061"/>
      <c r="G226" s="1062"/>
      <c r="H226" s="1269"/>
      <c r="I226" s="1056"/>
      <c r="J226" s="1111"/>
      <c r="K226" s="1025"/>
    </row>
    <row r="227" spans="1:11">
      <c r="A227" s="1039"/>
      <c r="B227" s="1039"/>
      <c r="C227" s="1025"/>
      <c r="D227" s="1025"/>
      <c r="E227" s="1025"/>
      <c r="F227" s="1061"/>
      <c r="G227" s="1062"/>
      <c r="H227" s="1269"/>
      <c r="I227" s="1056"/>
      <c r="J227" s="1111"/>
      <c r="K227" s="1025"/>
    </row>
    <row r="228" spans="1:11">
      <c r="A228" s="1039"/>
      <c r="B228" s="1039"/>
      <c r="C228" s="1025"/>
      <c r="D228" s="1025"/>
      <c r="E228" s="1025"/>
      <c r="F228" s="1061"/>
      <c r="G228" s="1062"/>
      <c r="H228" s="1269"/>
      <c r="I228" s="1056"/>
      <c r="J228" s="1111"/>
      <c r="K228" s="1025"/>
    </row>
    <row r="229" spans="1:11">
      <c r="A229" s="1039"/>
      <c r="B229" s="1039"/>
      <c r="C229" s="1025"/>
      <c r="D229" s="1025"/>
      <c r="E229" s="1025"/>
      <c r="F229" s="1061"/>
      <c r="G229" s="1062"/>
      <c r="H229" s="1269"/>
      <c r="I229" s="1056"/>
      <c r="J229" s="1111"/>
      <c r="K229" s="1025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1025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1025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1025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1025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1025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1025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1025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1025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1025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1025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1025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1025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1025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1025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1025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1025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1025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1025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1025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1025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1025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1025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1025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1025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1025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1025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1025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1025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1025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1025"/>
    </row>
    <row r="260" spans="1:11">
      <c r="A260" s="1039"/>
      <c r="B260" s="1039"/>
      <c r="C260" s="1025"/>
      <c r="D260" s="1025"/>
      <c r="E260" s="1025"/>
      <c r="F260" s="1061"/>
      <c r="G260" s="1062"/>
      <c r="H260" s="1269"/>
      <c r="I260" s="1056"/>
      <c r="J260" s="1111"/>
      <c r="K260" s="1025"/>
    </row>
    <row r="261" spans="1:11">
      <c r="A261" s="1039"/>
      <c r="B261" s="1039"/>
      <c r="C261" s="1025"/>
      <c r="D261" s="1025"/>
      <c r="E261" s="1025"/>
      <c r="F261" s="1061"/>
      <c r="G261" s="1062"/>
      <c r="H261" s="1269"/>
      <c r="I261" s="1056"/>
      <c r="J261" s="1111"/>
      <c r="K261" s="1025"/>
    </row>
    <row r="262" spans="1:11">
      <c r="A262" s="1039"/>
      <c r="B262" s="1039"/>
      <c r="C262" s="1025"/>
      <c r="D262" s="1025"/>
      <c r="E262" s="1025"/>
      <c r="F262" s="1061"/>
      <c r="G262" s="1062"/>
      <c r="H262" s="1269"/>
      <c r="I262" s="1056"/>
      <c r="J262" s="1111"/>
      <c r="K262" s="1025"/>
    </row>
    <row r="263" spans="1:11">
      <c r="A263" s="1039"/>
      <c r="B263" s="1039"/>
      <c r="C263" s="1025"/>
      <c r="D263" s="1025"/>
      <c r="E263" s="1025"/>
      <c r="F263" s="1061"/>
      <c r="G263" s="1062"/>
      <c r="H263" s="1269"/>
      <c r="I263" s="1056"/>
      <c r="J263" s="1111"/>
      <c r="K263" s="1025"/>
    </row>
    <row r="264" spans="1:11">
      <c r="A264" s="1039"/>
      <c r="B264" s="1039"/>
      <c r="C264" s="1025"/>
      <c r="D264" s="1025"/>
      <c r="E264" s="1025"/>
      <c r="F264" s="1061"/>
      <c r="G264" s="1062"/>
      <c r="H264" s="1269"/>
      <c r="I264" s="1056"/>
      <c r="J264" s="1111"/>
      <c r="K264" s="1025"/>
    </row>
    <row r="265" spans="1:11">
      <c r="A265" s="1025"/>
      <c r="B265" s="1025"/>
      <c r="C265" s="1025"/>
      <c r="D265" s="1025"/>
      <c r="E265" s="1025"/>
      <c r="F265" s="1025"/>
      <c r="G265" s="1025"/>
      <c r="H265" s="1269"/>
      <c r="I265" s="1056"/>
      <c r="J265" s="1111"/>
      <c r="K265" s="1025"/>
    </row>
    <row r="266" spans="1:11">
      <c r="A266" s="1025"/>
      <c r="B266" s="1025"/>
      <c r="C266" s="1025"/>
      <c r="D266" s="1025"/>
      <c r="E266" s="1025"/>
      <c r="F266" s="1025"/>
      <c r="G266" s="1025"/>
      <c r="H266" s="1269"/>
      <c r="I266" s="1056"/>
      <c r="J266" s="1111"/>
      <c r="K266" s="1025"/>
    </row>
    <row r="267" spans="1:11">
      <c r="A267" s="1025"/>
      <c r="B267" s="1025"/>
      <c r="C267" s="1025"/>
      <c r="D267" s="1025"/>
      <c r="E267" s="1025"/>
      <c r="F267" s="1025"/>
      <c r="G267" s="1025"/>
      <c r="H267" s="1269"/>
      <c r="I267" s="1056"/>
      <c r="J267" s="1111"/>
      <c r="K267" s="1025"/>
    </row>
    <row r="268" spans="1:11">
      <c r="A268" s="1025"/>
      <c r="B268" s="1025"/>
      <c r="C268" s="1025"/>
      <c r="D268" s="1025"/>
      <c r="E268" s="1025"/>
      <c r="F268" s="1025"/>
      <c r="G268" s="1025"/>
      <c r="H268" s="1269"/>
      <c r="I268" s="1056"/>
      <c r="J268" s="1111"/>
      <c r="K268" s="1025"/>
    </row>
    <row r="269" spans="1:11">
      <c r="A269" s="1025"/>
      <c r="B269" s="1025"/>
      <c r="C269" s="1025"/>
      <c r="D269" s="1025"/>
      <c r="E269" s="1025"/>
      <c r="F269" s="1025"/>
      <c r="G269" s="1025"/>
      <c r="H269" s="1269"/>
      <c r="I269" s="1056"/>
      <c r="J269" s="1111"/>
      <c r="K269" s="1025"/>
    </row>
    <row r="270" spans="1:11">
      <c r="A270" s="1025"/>
      <c r="B270" s="1025"/>
      <c r="C270" s="1025"/>
      <c r="D270" s="1025"/>
      <c r="E270" s="1025"/>
      <c r="F270" s="1025"/>
      <c r="G270" s="1025"/>
      <c r="H270" s="1269"/>
      <c r="I270" s="1056"/>
      <c r="J270" s="1111"/>
      <c r="K270" s="1025"/>
    </row>
    <row r="271" spans="1:11">
      <c r="A271" s="1025"/>
      <c r="B271" s="1025"/>
      <c r="C271" s="1025"/>
      <c r="D271" s="1025"/>
      <c r="E271" s="1025"/>
      <c r="F271" s="1025"/>
      <c r="G271" s="1025"/>
      <c r="H271" s="1269"/>
      <c r="I271" s="1056"/>
      <c r="J271" s="1111"/>
      <c r="K271" s="1025"/>
    </row>
    <row r="272" spans="1:11">
      <c r="A272" s="1025"/>
      <c r="B272" s="1025"/>
      <c r="C272" s="1025"/>
      <c r="D272" s="1025"/>
      <c r="E272" s="1025"/>
      <c r="F272" s="1025"/>
      <c r="G272" s="1025"/>
      <c r="H272" s="1269"/>
      <c r="I272" s="1056"/>
      <c r="J272" s="1111"/>
      <c r="K272" s="1025"/>
    </row>
    <row r="273" spans="1:11">
      <c r="A273" s="1025"/>
      <c r="B273" s="1025"/>
      <c r="C273" s="1025"/>
      <c r="D273" s="1025"/>
      <c r="E273" s="1025"/>
      <c r="F273" s="1025"/>
      <c r="G273" s="1025"/>
      <c r="H273" s="1269"/>
      <c r="I273" s="1056"/>
      <c r="J273" s="1111"/>
      <c r="K273" s="1025"/>
    </row>
    <row r="274" spans="1:11">
      <c r="A274" s="1025"/>
      <c r="B274" s="1025"/>
      <c r="C274" s="1025"/>
      <c r="D274" s="1025"/>
      <c r="E274" s="1025"/>
      <c r="F274" s="1025"/>
      <c r="G274" s="1025"/>
      <c r="H274" s="1269"/>
      <c r="I274" s="1056"/>
      <c r="J274" s="1111"/>
      <c r="K274" s="1025"/>
    </row>
    <row r="275" spans="1:11">
      <c r="A275" s="1025"/>
      <c r="B275" s="1025"/>
      <c r="C275" s="1025"/>
      <c r="D275" s="1025"/>
      <c r="E275" s="1025"/>
      <c r="F275" s="1025"/>
      <c r="G275" s="1025"/>
      <c r="H275" s="1269"/>
      <c r="I275" s="1056"/>
      <c r="J275" s="1111"/>
      <c r="K275" s="1025"/>
    </row>
    <row r="276" spans="1:11">
      <c r="A276" s="1025"/>
      <c r="B276" s="1025"/>
      <c r="C276" s="1025"/>
      <c r="D276" s="1025"/>
      <c r="E276" s="1025"/>
      <c r="F276" s="1025"/>
      <c r="G276" s="1025"/>
      <c r="H276" s="1269"/>
      <c r="I276" s="1056"/>
      <c r="J276" s="1111"/>
      <c r="K276" s="1025"/>
    </row>
    <row r="277" spans="1:11">
      <c r="A277" s="1025"/>
      <c r="B277" s="1025"/>
      <c r="C277" s="1025"/>
      <c r="D277" s="1025"/>
      <c r="E277" s="1025"/>
      <c r="F277" s="1025"/>
      <c r="G277" s="1025"/>
      <c r="H277" s="1269"/>
      <c r="I277" s="1056"/>
      <c r="J277" s="1111"/>
      <c r="K277" s="1025"/>
    </row>
    <row r="278" spans="1:11">
      <c r="A278" s="1025"/>
      <c r="B278" s="1025"/>
      <c r="C278" s="1025"/>
      <c r="D278" s="1025"/>
      <c r="E278" s="1025"/>
      <c r="F278" s="1025"/>
      <c r="G278" s="1025"/>
      <c r="H278" s="1269"/>
      <c r="I278" s="1056"/>
      <c r="J278" s="1111"/>
      <c r="K278" s="1025"/>
    </row>
    <row r="279" spans="1:11" ht="15.75" thickBot="1">
      <c r="A279" s="1037"/>
      <c r="B279" s="1038"/>
      <c r="C279" s="1026"/>
      <c r="D279" s="1026"/>
      <c r="E279" s="1026"/>
      <c r="F279" s="1059"/>
      <c r="G279" s="1054"/>
      <c r="H279" s="1269"/>
      <c r="I279" s="1056"/>
      <c r="J279" s="1111"/>
      <c r="K279" s="1025"/>
    </row>
    <row r="280" spans="1:11" ht="20.25" thickBot="1">
      <c r="A280" s="1552"/>
      <c r="B280" s="1553"/>
      <c r="C280" s="1553"/>
      <c r="D280" s="1553"/>
      <c r="E280" s="1553"/>
      <c r="F280" s="1554">
        <f>SUM(F159:F167,F169:F279)</f>
        <v>0</v>
      </c>
      <c r="G280" s="1553"/>
      <c r="H280" s="1558">
        <f>SUM(H59:H279)</f>
        <v>12025.250280000006</v>
      </c>
      <c r="I280" s="1554">
        <f>SUM(I159:I279)</f>
        <v>0</v>
      </c>
      <c r="J280" s="1111"/>
      <c r="K280" s="1115"/>
    </row>
  </sheetData>
  <autoFilter ref="A1:K57" xr:uid="{08E6EE4A-0C67-4244-B9EB-8E3A2DB789B0}">
    <sortState xmlns:xlrd2="http://schemas.microsoft.com/office/spreadsheetml/2017/richdata2" ref="A2:K57">
      <sortCondition ref="B1:B57"/>
    </sortState>
  </autoFilter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C2E4-EF53-45A3-8331-EB912A4BEBA1}">
  <dimension ref="A1:K282"/>
  <sheetViews>
    <sheetView zoomScale="85" zoomScaleNormal="85" workbookViewId="0">
      <pane ySplit="1" topLeftCell="A19" activePane="bottomLeft" state="frozen"/>
      <selection pane="bottomLeft" activeCell="A2" sqref="A2:K42"/>
    </sheetView>
  </sheetViews>
  <sheetFormatPr defaultColWidth="9.140625" defaultRowHeight="15"/>
  <cols>
    <col min="1" max="1" width="15.140625" style="1032" bestFit="1" customWidth="1"/>
    <col min="2" max="2" width="13.5703125" style="1032" customWidth="1"/>
    <col min="3" max="3" width="44.5703125" style="1032" bestFit="1" customWidth="1"/>
    <col min="4" max="4" width="22.28515625" style="1032" bestFit="1" customWidth="1"/>
    <col min="5" max="5" width="11.5703125" style="1032" customWidth="1"/>
    <col min="6" max="6" width="22" style="1032" bestFit="1" customWidth="1"/>
    <col min="7" max="7" width="15" style="1032" customWidth="1"/>
    <col min="8" max="8" width="24.85546875" style="1032" bestFit="1" customWidth="1"/>
    <col min="9" max="9" width="23.28515625" style="1032" bestFit="1" customWidth="1"/>
    <col min="10" max="10" width="13.140625" style="1032" customWidth="1"/>
    <col min="11" max="11" width="16.5703125" style="1032" customWidth="1"/>
    <col min="12" max="16384" width="9.140625" style="1032"/>
  </cols>
  <sheetData>
    <row r="1" spans="1:11" s="1566" customFormat="1" ht="14.25" customHeight="1">
      <c r="A1" s="1559" t="s">
        <v>2519</v>
      </c>
      <c r="B1" s="1560" t="s">
        <v>2</v>
      </c>
      <c r="C1" s="1560" t="s">
        <v>3</v>
      </c>
      <c r="D1" s="1560" t="s">
        <v>4</v>
      </c>
      <c r="E1" s="1560" t="s">
        <v>5</v>
      </c>
      <c r="F1" s="1561" t="s">
        <v>644</v>
      </c>
      <c r="G1" s="1562" t="s">
        <v>555</v>
      </c>
      <c r="H1" s="1563" t="s">
        <v>7</v>
      </c>
      <c r="I1" s="1564" t="s">
        <v>307</v>
      </c>
      <c r="J1" s="1562" t="s">
        <v>370</v>
      </c>
      <c r="K1" s="1565" t="s">
        <v>3013</v>
      </c>
    </row>
    <row r="2" spans="1:11" s="1737" customFormat="1" ht="15.75">
      <c r="A2" s="1727">
        <v>45957</v>
      </c>
      <c r="B2" s="1728">
        <v>46327</v>
      </c>
      <c r="C2" s="1683" t="s">
        <v>2128</v>
      </c>
      <c r="D2" s="1683" t="s">
        <v>70</v>
      </c>
      <c r="E2" s="1683" t="s">
        <v>1310</v>
      </c>
      <c r="F2" s="1729">
        <v>1445.17</v>
      </c>
      <c r="G2" s="1730">
        <v>0.1</v>
      </c>
      <c r="H2" s="1694">
        <f t="shared" ref="H2:H39" si="0">F2*G2*(1-10%)</f>
        <v>130.06530000000004</v>
      </c>
      <c r="I2" s="1731">
        <v>13</v>
      </c>
      <c r="J2" s="1732" t="s">
        <v>2070</v>
      </c>
      <c r="K2" s="1844" t="s">
        <v>2274</v>
      </c>
    </row>
    <row r="3" spans="1:11" s="1737" customFormat="1" ht="15.75">
      <c r="A3" s="1720">
        <v>45961</v>
      </c>
      <c r="B3" s="1721">
        <v>46327</v>
      </c>
      <c r="C3" s="1682" t="s">
        <v>3044</v>
      </c>
      <c r="D3" s="1682" t="s">
        <v>448</v>
      </c>
      <c r="E3" s="1682" t="s">
        <v>22</v>
      </c>
      <c r="F3" s="1722">
        <v>1899.3</v>
      </c>
      <c r="G3" s="1723">
        <v>0.1</v>
      </c>
      <c r="H3" s="1687">
        <f t="shared" si="0"/>
        <v>170.93700000000001</v>
      </c>
      <c r="I3" s="1724"/>
      <c r="J3" s="1725"/>
      <c r="K3" s="1845" t="s">
        <v>2015</v>
      </c>
    </row>
    <row r="4" spans="1:11" s="1737" customFormat="1" ht="15.75">
      <c r="A4" s="1684">
        <v>45961</v>
      </c>
      <c r="B4" s="1684">
        <v>46327</v>
      </c>
      <c r="C4" s="1677" t="s">
        <v>3045</v>
      </c>
      <c r="D4" s="1677" t="s">
        <v>9</v>
      </c>
      <c r="E4" s="1677" t="s">
        <v>10</v>
      </c>
      <c r="F4" s="1685">
        <v>1731.46</v>
      </c>
      <c r="G4" s="1686">
        <v>0.15</v>
      </c>
      <c r="H4" s="1687">
        <f t="shared" si="0"/>
        <v>233.74709999999999</v>
      </c>
      <c r="I4" s="1688"/>
      <c r="J4" s="1677"/>
      <c r="K4" s="1689" t="s">
        <v>2015</v>
      </c>
    </row>
    <row r="5" spans="1:11" s="1690" customFormat="1" ht="15.75">
      <c r="A5" s="1720">
        <v>45961</v>
      </c>
      <c r="B5" s="1721">
        <v>46327</v>
      </c>
      <c r="C5" s="1677" t="s">
        <v>3046</v>
      </c>
      <c r="D5" s="1682" t="s">
        <v>61</v>
      </c>
      <c r="E5" s="1682" t="s">
        <v>1552</v>
      </c>
      <c r="F5" s="1722">
        <v>1419.13</v>
      </c>
      <c r="G5" s="1723">
        <v>0.1</v>
      </c>
      <c r="H5" s="1687">
        <f t="shared" si="0"/>
        <v>127.72170000000001</v>
      </c>
      <c r="I5" s="1724"/>
      <c r="J5" s="1725"/>
      <c r="K5" s="1689" t="s">
        <v>2015</v>
      </c>
    </row>
    <row r="6" spans="1:11" s="1678" customFormat="1" ht="15.75">
      <c r="A6" s="1691">
        <v>45966</v>
      </c>
      <c r="B6" s="1691">
        <v>46331</v>
      </c>
      <c r="C6" s="1678" t="s">
        <v>3048</v>
      </c>
      <c r="D6" s="1678" t="s">
        <v>14</v>
      </c>
      <c r="E6" s="1678" t="s">
        <v>19</v>
      </c>
      <c r="F6" s="1692">
        <v>5795.14</v>
      </c>
      <c r="G6" s="1693">
        <v>0.1</v>
      </c>
      <c r="H6" s="1694">
        <f t="shared" si="0"/>
        <v>521.56259999999997</v>
      </c>
      <c r="I6" s="1695">
        <v>52.15</v>
      </c>
      <c r="J6" s="1678" t="s">
        <v>2070</v>
      </c>
      <c r="K6" s="1696" t="s">
        <v>2015</v>
      </c>
    </row>
    <row r="7" spans="1:11" s="1678" customFormat="1" ht="15.75">
      <c r="A7" s="1691">
        <v>45960</v>
      </c>
      <c r="B7" s="1691">
        <v>46331</v>
      </c>
      <c r="C7" s="1678" t="s">
        <v>3041</v>
      </c>
      <c r="D7" s="1678" t="s">
        <v>448</v>
      </c>
      <c r="E7" s="1678" t="s">
        <v>10</v>
      </c>
      <c r="F7" s="1840">
        <v>1790.32</v>
      </c>
      <c r="G7" s="1693">
        <v>0.1</v>
      </c>
      <c r="H7" s="1694">
        <f t="shared" si="0"/>
        <v>161.12880000000001</v>
      </c>
      <c r="I7" s="1695">
        <v>16.11</v>
      </c>
      <c r="J7" s="1678" t="s">
        <v>2070</v>
      </c>
      <c r="K7" s="1696" t="s">
        <v>2015</v>
      </c>
    </row>
    <row r="8" spans="1:11" s="1737" customFormat="1" ht="15.75">
      <c r="A8" s="1776">
        <v>45966</v>
      </c>
      <c r="B8" s="1777">
        <v>46332</v>
      </c>
      <c r="C8" s="1778" t="s">
        <v>3049</v>
      </c>
      <c r="D8" s="1778" t="s">
        <v>448</v>
      </c>
      <c r="E8" s="1778" t="s">
        <v>19</v>
      </c>
      <c r="F8" s="1839">
        <v>1376.92</v>
      </c>
      <c r="G8" s="1779">
        <v>0.1</v>
      </c>
      <c r="H8" s="1694">
        <f t="shared" si="0"/>
        <v>123.92280000000001</v>
      </c>
      <c r="I8" s="1780">
        <v>12.39</v>
      </c>
      <c r="J8" s="1781" t="s">
        <v>2070</v>
      </c>
      <c r="K8" s="1782" t="s">
        <v>2015</v>
      </c>
    </row>
    <row r="9" spans="1:11" s="1690" customFormat="1" ht="15.75">
      <c r="A9" s="1720">
        <v>45967</v>
      </c>
      <c r="B9" s="1721">
        <v>46332</v>
      </c>
      <c r="C9" s="1682" t="s">
        <v>3050</v>
      </c>
      <c r="D9" s="1682" t="s">
        <v>448</v>
      </c>
      <c r="E9" s="1682" t="s">
        <v>19</v>
      </c>
      <c r="F9" s="1722">
        <v>1437.78</v>
      </c>
      <c r="G9" s="1723">
        <v>0.15</v>
      </c>
      <c r="H9" s="1687">
        <f t="shared" si="0"/>
        <v>194.1003</v>
      </c>
      <c r="I9" s="1724"/>
      <c r="J9" s="1725"/>
      <c r="K9" s="1689" t="s">
        <v>2015</v>
      </c>
    </row>
    <row r="10" spans="1:11" s="1737" customFormat="1" ht="15" customHeight="1">
      <c r="A10" s="1720">
        <v>45967</v>
      </c>
      <c r="B10" s="1721">
        <v>46332</v>
      </c>
      <c r="C10" s="1682" t="s">
        <v>3051</v>
      </c>
      <c r="D10" s="1682" t="s">
        <v>9</v>
      </c>
      <c r="E10" s="1682" t="s">
        <v>10</v>
      </c>
      <c r="F10" s="1722">
        <v>1328.03</v>
      </c>
      <c r="G10" s="1723">
        <v>0.1</v>
      </c>
      <c r="H10" s="1687">
        <f t="shared" si="0"/>
        <v>119.5227</v>
      </c>
      <c r="I10" s="1724"/>
      <c r="J10" s="1725"/>
      <c r="K10" s="1689" t="s">
        <v>2015</v>
      </c>
    </row>
    <row r="11" spans="1:11" s="1737" customFormat="1">
      <c r="A11" s="1720">
        <v>45967</v>
      </c>
      <c r="B11" s="1721">
        <v>46334</v>
      </c>
      <c r="C11" s="1682" t="s">
        <v>3052</v>
      </c>
      <c r="D11" s="1682" t="s">
        <v>448</v>
      </c>
      <c r="E11" s="1682" t="s">
        <v>19</v>
      </c>
      <c r="F11" s="1722">
        <v>2375.46</v>
      </c>
      <c r="G11" s="1723">
        <v>0.1</v>
      </c>
      <c r="H11" s="1687">
        <f t="shared" si="0"/>
        <v>213.79140000000001</v>
      </c>
      <c r="I11" s="1724"/>
      <c r="J11" s="1725"/>
      <c r="K11" s="1677" t="s">
        <v>2015</v>
      </c>
    </row>
    <row r="12" spans="1:11" s="1737" customFormat="1" ht="15.75">
      <c r="A12" s="1727">
        <v>45964</v>
      </c>
      <c r="B12" s="1728">
        <v>46335</v>
      </c>
      <c r="C12" s="1678" t="s">
        <v>3047</v>
      </c>
      <c r="D12" s="1678" t="s">
        <v>9</v>
      </c>
      <c r="E12" s="1678" t="s">
        <v>10</v>
      </c>
      <c r="F12" s="1692">
        <v>2271.7800000000002</v>
      </c>
      <c r="G12" s="1693">
        <v>0.1</v>
      </c>
      <c r="H12" s="1694">
        <f t="shared" si="0"/>
        <v>204.46020000000001</v>
      </c>
      <c r="I12" s="1731">
        <f>6+223.59</f>
        <v>229.59</v>
      </c>
      <c r="J12" s="1732" t="s">
        <v>2070</v>
      </c>
      <c r="K12" s="1696" t="s">
        <v>2015</v>
      </c>
    </row>
    <row r="13" spans="1:11" s="1737" customFormat="1">
      <c r="A13" s="1727">
        <v>45971</v>
      </c>
      <c r="B13" s="1728">
        <v>46336</v>
      </c>
      <c r="C13" s="1678" t="s">
        <v>3055</v>
      </c>
      <c r="D13" s="1678" t="s">
        <v>1862</v>
      </c>
      <c r="E13" s="1678" t="s">
        <v>1310</v>
      </c>
      <c r="F13" s="1692">
        <v>2939.94</v>
      </c>
      <c r="G13" s="1693">
        <v>0.1</v>
      </c>
      <c r="H13" s="1694">
        <f t="shared" si="0"/>
        <v>264.59460000000001</v>
      </c>
      <c r="I13" s="1731">
        <v>26.45</v>
      </c>
      <c r="J13" s="1732" t="s">
        <v>2070</v>
      </c>
      <c r="K13" s="1678" t="s">
        <v>2274</v>
      </c>
    </row>
    <row r="14" spans="1:11" s="1737" customFormat="1" ht="15.75">
      <c r="A14" s="1727">
        <v>45972</v>
      </c>
      <c r="B14" s="1728">
        <v>46336</v>
      </c>
      <c r="C14" s="1683" t="s">
        <v>3056</v>
      </c>
      <c r="D14" s="1683" t="s">
        <v>3003</v>
      </c>
      <c r="E14" s="1678" t="s">
        <v>279</v>
      </c>
      <c r="F14" s="1692">
        <v>418.33</v>
      </c>
      <c r="G14" s="1693">
        <v>0.15</v>
      </c>
      <c r="H14" s="1694">
        <f t="shared" si="0"/>
        <v>56.474550000000001</v>
      </c>
      <c r="I14" s="1731">
        <v>5.64</v>
      </c>
      <c r="J14" s="1732" t="s">
        <v>2070</v>
      </c>
      <c r="K14" s="1696" t="s">
        <v>2274</v>
      </c>
    </row>
    <row r="15" spans="1:11" s="1737" customFormat="1" ht="15.75">
      <c r="A15" s="1720">
        <v>45971</v>
      </c>
      <c r="B15" s="1721">
        <v>46336</v>
      </c>
      <c r="C15" s="1677" t="s">
        <v>1583</v>
      </c>
      <c r="D15" s="1682" t="s">
        <v>304</v>
      </c>
      <c r="E15" s="1677" t="s">
        <v>19</v>
      </c>
      <c r="F15" s="1705">
        <v>846.08</v>
      </c>
      <c r="G15" s="1686">
        <v>0.1</v>
      </c>
      <c r="H15" s="1687">
        <f t="shared" si="0"/>
        <v>76.147200000000012</v>
      </c>
      <c r="I15" s="1724"/>
      <c r="J15" s="1725"/>
      <c r="K15" s="1689" t="s">
        <v>2015</v>
      </c>
    </row>
    <row r="16" spans="1:11" s="1690" customFormat="1" ht="15.75">
      <c r="A16" s="1697">
        <v>45975</v>
      </c>
      <c r="B16" s="1698">
        <v>46337</v>
      </c>
      <c r="C16" s="1680" t="s">
        <v>3063</v>
      </c>
      <c r="D16" s="1679" t="s">
        <v>9</v>
      </c>
      <c r="E16" s="1680" t="s">
        <v>10</v>
      </c>
      <c r="F16" s="1707">
        <v>2530.1999999999998</v>
      </c>
      <c r="G16" s="1708">
        <v>0.1</v>
      </c>
      <c r="H16" s="1709">
        <f t="shared" si="0"/>
        <v>227.71799999999999</v>
      </c>
      <c r="I16" s="1702">
        <f>227.72/2</f>
        <v>113.86</v>
      </c>
      <c r="J16" s="1734" t="s">
        <v>1577</v>
      </c>
      <c r="K16" s="1711" t="s">
        <v>2274</v>
      </c>
    </row>
    <row r="17" spans="1:11" s="1737" customFormat="1" ht="15.75">
      <c r="A17" s="1720">
        <v>45968</v>
      </c>
      <c r="B17" s="1721">
        <v>46337</v>
      </c>
      <c r="C17" s="1677" t="s">
        <v>3053</v>
      </c>
      <c r="D17" s="1682" t="s">
        <v>448</v>
      </c>
      <c r="E17" s="1677" t="s">
        <v>10</v>
      </c>
      <c r="F17" s="1705">
        <v>821.6</v>
      </c>
      <c r="G17" s="1686">
        <v>0.15</v>
      </c>
      <c r="H17" s="1687">
        <f t="shared" si="0"/>
        <v>110.916</v>
      </c>
      <c r="I17" s="1724"/>
      <c r="J17" s="1725"/>
      <c r="K17" s="1689" t="s">
        <v>2015</v>
      </c>
    </row>
    <row r="18" spans="1:11" s="1737" customFormat="1" ht="15.75">
      <c r="A18" s="1691">
        <v>45973</v>
      </c>
      <c r="B18" s="1691">
        <v>46338</v>
      </c>
      <c r="C18" s="1678" t="s">
        <v>3058</v>
      </c>
      <c r="D18" s="1678" t="s">
        <v>9</v>
      </c>
      <c r="E18" s="1678" t="s">
        <v>1161</v>
      </c>
      <c r="F18" s="1836">
        <v>2632.35</v>
      </c>
      <c r="G18" s="1693">
        <v>0.1</v>
      </c>
      <c r="H18" s="1694">
        <f t="shared" si="0"/>
        <v>236.91150000000002</v>
      </c>
      <c r="I18" s="1731">
        <v>23.69</v>
      </c>
      <c r="J18" s="1732" t="s">
        <v>2070</v>
      </c>
      <c r="K18" s="1696" t="s">
        <v>2274</v>
      </c>
    </row>
    <row r="19" spans="1:11" s="1737" customFormat="1" ht="15.75">
      <c r="A19" s="1684">
        <v>45972</v>
      </c>
      <c r="B19" s="1684">
        <v>46338</v>
      </c>
      <c r="C19" s="1677" t="s">
        <v>3057</v>
      </c>
      <c r="D19" s="1677" t="s">
        <v>198</v>
      </c>
      <c r="E19" s="1677" t="s">
        <v>948</v>
      </c>
      <c r="F19" s="1705">
        <v>2623.28</v>
      </c>
      <c r="G19" s="1686">
        <v>0.1</v>
      </c>
      <c r="H19" s="1687">
        <f t="shared" si="0"/>
        <v>236.09520000000003</v>
      </c>
      <c r="I19" s="1724"/>
      <c r="J19" s="1725"/>
      <c r="K19" s="1689" t="s">
        <v>2015</v>
      </c>
    </row>
    <row r="20" spans="1:11" s="1737" customFormat="1" ht="15.75">
      <c r="A20" s="1720">
        <v>45973</v>
      </c>
      <c r="B20" s="1684">
        <v>46338</v>
      </c>
      <c r="C20" s="1677" t="s">
        <v>3059</v>
      </c>
      <c r="D20" s="1682" t="s">
        <v>448</v>
      </c>
      <c r="E20" s="1677" t="s">
        <v>2682</v>
      </c>
      <c r="F20" s="1784">
        <v>1753.3</v>
      </c>
      <c r="G20" s="1686">
        <v>0.24</v>
      </c>
      <c r="H20" s="1687">
        <f t="shared" si="0"/>
        <v>378.71279999999996</v>
      </c>
      <c r="I20" s="1724"/>
      <c r="J20" s="1725"/>
      <c r="K20" s="1689" t="s">
        <v>2015</v>
      </c>
    </row>
    <row r="21" spans="1:11" s="1737" customFormat="1" ht="15.75">
      <c r="A21" s="1720">
        <v>45973</v>
      </c>
      <c r="B21" s="1684">
        <v>46338</v>
      </c>
      <c r="C21" s="1677" t="s">
        <v>3060</v>
      </c>
      <c r="D21" s="1682" t="s">
        <v>25</v>
      </c>
      <c r="E21" s="1677" t="s">
        <v>10</v>
      </c>
      <c r="F21" s="1705">
        <v>752.47</v>
      </c>
      <c r="G21" s="1686">
        <v>0.15</v>
      </c>
      <c r="H21" s="1687">
        <f t="shared" si="0"/>
        <v>101.58345000000001</v>
      </c>
      <c r="I21" s="1724"/>
      <c r="J21" s="1725"/>
      <c r="K21" s="1689" t="s">
        <v>2015</v>
      </c>
    </row>
    <row r="22" spans="1:11" s="1737" customFormat="1" ht="15.75">
      <c r="A22" s="1720">
        <v>45978</v>
      </c>
      <c r="B22" s="1684">
        <v>46338</v>
      </c>
      <c r="C22" s="1677" t="s">
        <v>3065</v>
      </c>
      <c r="D22" s="1682" t="s">
        <v>9</v>
      </c>
      <c r="E22" s="1677" t="s">
        <v>22</v>
      </c>
      <c r="F22" s="1705">
        <v>2402.4899999999998</v>
      </c>
      <c r="G22" s="1686">
        <v>0.1</v>
      </c>
      <c r="H22" s="1687">
        <f t="shared" si="0"/>
        <v>216.22409999999999</v>
      </c>
      <c r="I22" s="1724"/>
      <c r="J22" s="1725"/>
      <c r="K22" s="1689" t="s">
        <v>2274</v>
      </c>
    </row>
    <row r="23" spans="1:11" s="1737" customFormat="1" ht="15.75">
      <c r="A23" s="1684">
        <v>45971</v>
      </c>
      <c r="B23" s="1684">
        <v>46342</v>
      </c>
      <c r="C23" s="1677" t="s">
        <v>3054</v>
      </c>
      <c r="D23" s="1677" t="s">
        <v>25</v>
      </c>
      <c r="E23" s="1677" t="s">
        <v>1552</v>
      </c>
      <c r="F23" s="1705">
        <v>1473.44</v>
      </c>
      <c r="G23" s="1686">
        <v>0.1</v>
      </c>
      <c r="H23" s="1687">
        <f t="shared" si="0"/>
        <v>132.60960000000003</v>
      </c>
      <c r="I23" s="1688"/>
      <c r="J23" s="1677"/>
      <c r="K23" s="1689" t="s">
        <v>2015</v>
      </c>
    </row>
    <row r="24" spans="1:11" s="1737" customFormat="1" ht="15.75">
      <c r="A24" s="1727">
        <v>45978</v>
      </c>
      <c r="B24" s="1691">
        <v>46343</v>
      </c>
      <c r="C24" s="1690" t="s">
        <v>3064</v>
      </c>
      <c r="D24" s="1683" t="s">
        <v>14</v>
      </c>
      <c r="E24" s="1683" t="s">
        <v>1552</v>
      </c>
      <c r="F24" s="1838">
        <v>3360.64</v>
      </c>
      <c r="G24" s="1693">
        <v>0.1</v>
      </c>
      <c r="H24" s="1694">
        <f t="shared" si="0"/>
        <v>302.45760000000001</v>
      </c>
      <c r="I24" s="1731">
        <v>30.24</v>
      </c>
      <c r="J24" s="1732" t="s">
        <v>2070</v>
      </c>
      <c r="K24" s="1696" t="s">
        <v>2015</v>
      </c>
    </row>
    <row r="25" spans="1:11" s="1737" customFormat="1" ht="15.75">
      <c r="A25" s="1720">
        <v>45979</v>
      </c>
      <c r="B25" s="1721">
        <v>46344</v>
      </c>
      <c r="C25" s="1677" t="s">
        <v>3066</v>
      </c>
      <c r="D25" s="1682" t="s">
        <v>448</v>
      </c>
      <c r="E25" s="1682" t="s">
        <v>29</v>
      </c>
      <c r="F25" s="1722">
        <v>1945.07</v>
      </c>
      <c r="G25" s="1723">
        <v>0.1</v>
      </c>
      <c r="H25" s="1687">
        <f t="shared" si="0"/>
        <v>175.05630000000002</v>
      </c>
      <c r="I25" s="1724"/>
      <c r="J25" s="1725"/>
      <c r="K25" s="1689" t="s">
        <v>2015</v>
      </c>
    </row>
    <row r="26" spans="1:11" s="1737" customFormat="1" ht="15.75">
      <c r="A26" s="1697">
        <v>45978</v>
      </c>
      <c r="B26" s="1698">
        <v>46345</v>
      </c>
      <c r="C26" s="1680" t="s">
        <v>2133</v>
      </c>
      <c r="D26" s="1679" t="s">
        <v>448</v>
      </c>
      <c r="E26" s="1679" t="s">
        <v>10</v>
      </c>
      <c r="F26" s="1754">
        <v>1703.5</v>
      </c>
      <c r="G26" s="1700">
        <v>0.14000000000000001</v>
      </c>
      <c r="H26" s="1709">
        <f t="shared" si="0"/>
        <v>214.64100000000002</v>
      </c>
      <c r="I26" s="1702">
        <f>214.64/2</f>
        <v>107.32</v>
      </c>
      <c r="J26" s="1734" t="s">
        <v>1577</v>
      </c>
      <c r="K26" s="1711" t="s">
        <v>2015</v>
      </c>
    </row>
    <row r="27" spans="1:11" s="1737" customFormat="1" ht="15.75">
      <c r="A27" s="1720">
        <v>45980</v>
      </c>
      <c r="B27" s="1721">
        <v>46345</v>
      </c>
      <c r="C27" s="1677" t="s">
        <v>3068</v>
      </c>
      <c r="D27" s="1682" t="s">
        <v>1862</v>
      </c>
      <c r="E27" s="1682" t="s">
        <v>1552</v>
      </c>
      <c r="F27" s="1722">
        <v>5574.89</v>
      </c>
      <c r="G27" s="1723">
        <v>0.15</v>
      </c>
      <c r="H27" s="1687">
        <f t="shared" si="0"/>
        <v>752.61015000000009</v>
      </c>
      <c r="I27" s="1724"/>
      <c r="J27" s="1725"/>
      <c r="K27" s="1689" t="s">
        <v>2274</v>
      </c>
    </row>
    <row r="28" spans="1:11" s="1737" customFormat="1" ht="15.75">
      <c r="A28" s="1684">
        <v>45980</v>
      </c>
      <c r="B28" s="1684">
        <v>46345</v>
      </c>
      <c r="C28" s="1677" t="s">
        <v>2034</v>
      </c>
      <c r="D28" s="1677" t="s">
        <v>70</v>
      </c>
      <c r="E28" s="1677" t="s">
        <v>279</v>
      </c>
      <c r="F28" s="1705">
        <v>3396.03</v>
      </c>
      <c r="G28" s="1686">
        <v>0.1</v>
      </c>
      <c r="H28" s="1687">
        <f t="shared" si="0"/>
        <v>305.64270000000005</v>
      </c>
      <c r="I28" s="1688"/>
      <c r="J28" s="1677"/>
      <c r="K28" s="1689" t="s">
        <v>2015</v>
      </c>
    </row>
    <row r="29" spans="1:11" s="1737" customFormat="1" ht="15.75">
      <c r="A29" s="1739">
        <v>45982</v>
      </c>
      <c r="B29" s="1773">
        <v>46347</v>
      </c>
      <c r="C29" s="1741" t="s">
        <v>3069</v>
      </c>
      <c r="D29" s="1742" t="s">
        <v>448</v>
      </c>
      <c r="E29" s="1742" t="s">
        <v>279</v>
      </c>
      <c r="F29" s="1783">
        <v>1655.17</v>
      </c>
      <c r="G29" s="1775">
        <v>0.1</v>
      </c>
      <c r="H29" s="1745">
        <f t="shared" si="0"/>
        <v>148.96530000000001</v>
      </c>
      <c r="I29" s="1746">
        <f>148.97/2</f>
        <v>74.484999999999999</v>
      </c>
      <c r="J29" s="1747" t="s">
        <v>3070</v>
      </c>
      <c r="K29" s="1748" t="s">
        <v>2274</v>
      </c>
    </row>
    <row r="30" spans="1:11" s="1737" customFormat="1" ht="15.75">
      <c r="A30" s="1697">
        <v>45982</v>
      </c>
      <c r="B30" s="1698">
        <v>46347</v>
      </c>
      <c r="C30" s="1679" t="s">
        <v>3072</v>
      </c>
      <c r="D30" s="1679" t="s">
        <v>448</v>
      </c>
      <c r="E30" s="1679" t="s">
        <v>279</v>
      </c>
      <c r="F30" s="1842">
        <v>1799.82</v>
      </c>
      <c r="G30" s="1700">
        <v>0.1</v>
      </c>
      <c r="H30" s="1709">
        <f t="shared" si="0"/>
        <v>161.9838</v>
      </c>
      <c r="I30" s="1702">
        <f>161.98/2</f>
        <v>80.989999999999995</v>
      </c>
      <c r="J30" s="1734" t="s">
        <v>1577</v>
      </c>
      <c r="K30" s="1711" t="s">
        <v>2274</v>
      </c>
    </row>
    <row r="31" spans="1:11" s="1737" customFormat="1" ht="15.75">
      <c r="A31" s="1766">
        <v>45982</v>
      </c>
      <c r="B31" s="1767">
        <v>46347</v>
      </c>
      <c r="C31" s="1246" t="s">
        <v>3023</v>
      </c>
      <c r="D31" s="1246" t="s">
        <v>21</v>
      </c>
      <c r="E31" s="1246" t="s">
        <v>279</v>
      </c>
      <c r="F31" s="1837">
        <v>1969.58</v>
      </c>
      <c r="G31" s="1843">
        <v>0.1</v>
      </c>
      <c r="H31" s="1768">
        <f t="shared" si="0"/>
        <v>177.26220000000001</v>
      </c>
      <c r="I31" s="1769"/>
      <c r="J31" s="1770"/>
      <c r="K31" s="1771" t="s">
        <v>2015</v>
      </c>
    </row>
    <row r="32" spans="1:11" s="1737" customFormat="1" ht="15.75">
      <c r="A32" s="1720">
        <v>45985</v>
      </c>
      <c r="B32" s="1721">
        <v>46350</v>
      </c>
      <c r="C32" s="1677" t="s">
        <v>3074</v>
      </c>
      <c r="D32" s="1682" t="s">
        <v>25</v>
      </c>
      <c r="E32" s="1682" t="s">
        <v>279</v>
      </c>
      <c r="F32" s="1722">
        <v>1120.9100000000001</v>
      </c>
      <c r="G32" s="1723">
        <v>0.1</v>
      </c>
      <c r="H32" s="1687">
        <f t="shared" si="0"/>
        <v>100.88190000000002</v>
      </c>
      <c r="I32" s="1724"/>
      <c r="J32" s="1725"/>
      <c r="K32" s="1689" t="s">
        <v>2015</v>
      </c>
    </row>
    <row r="33" spans="1:11" s="1737" customFormat="1">
      <c r="A33" s="1697">
        <v>45980</v>
      </c>
      <c r="B33" s="1698">
        <v>46352</v>
      </c>
      <c r="C33" s="1679" t="s">
        <v>3067</v>
      </c>
      <c r="D33" s="1679" t="s">
        <v>1924</v>
      </c>
      <c r="E33" s="1680" t="s">
        <v>19</v>
      </c>
      <c r="F33" s="1749">
        <v>1710.58</v>
      </c>
      <c r="G33" s="1708">
        <v>0.15</v>
      </c>
      <c r="H33" s="1709">
        <f t="shared" si="0"/>
        <v>230.92830000000001</v>
      </c>
      <c r="I33" s="1702">
        <f>230.93/2</f>
        <v>115.465</v>
      </c>
      <c r="J33" s="1734" t="s">
        <v>1577</v>
      </c>
      <c r="K33" s="1680" t="s">
        <v>2015</v>
      </c>
    </row>
    <row r="34" spans="1:11" s="1737" customFormat="1" ht="15.75">
      <c r="A34" s="1720">
        <v>45986</v>
      </c>
      <c r="B34" s="1721">
        <v>46352</v>
      </c>
      <c r="C34" s="1682" t="s">
        <v>2733</v>
      </c>
      <c r="D34" s="1682" t="s">
        <v>9</v>
      </c>
      <c r="E34" s="1682" t="s">
        <v>1310</v>
      </c>
      <c r="F34" s="1722">
        <v>3588.5</v>
      </c>
      <c r="G34" s="1723">
        <v>0.13800000000000001</v>
      </c>
      <c r="H34" s="1687">
        <f t="shared" si="0"/>
        <v>445.69170000000003</v>
      </c>
      <c r="I34" s="1724"/>
      <c r="J34" s="1725"/>
      <c r="K34" s="1689" t="s">
        <v>2015</v>
      </c>
    </row>
    <row r="35" spans="1:11" s="1737" customFormat="1" ht="15.75">
      <c r="A35" s="1720">
        <v>45988</v>
      </c>
      <c r="B35" s="1684">
        <v>46353</v>
      </c>
      <c r="C35" s="1677" t="s">
        <v>2297</v>
      </c>
      <c r="D35" s="1682" t="s">
        <v>9</v>
      </c>
      <c r="E35" s="1677" t="s">
        <v>143</v>
      </c>
      <c r="F35" s="1705">
        <v>1536.61</v>
      </c>
      <c r="G35" s="1686">
        <v>0.13</v>
      </c>
      <c r="H35" s="1687">
        <f t="shared" si="0"/>
        <v>179.78336999999999</v>
      </c>
      <c r="I35" s="1724"/>
      <c r="J35" s="1725"/>
      <c r="K35" s="1689" t="s">
        <v>2015</v>
      </c>
    </row>
    <row r="36" spans="1:11" s="1737" customFormat="1" ht="15.75">
      <c r="A36" s="1720">
        <v>45988</v>
      </c>
      <c r="B36" s="1721">
        <v>46354</v>
      </c>
      <c r="C36" s="1682" t="s">
        <v>2736</v>
      </c>
      <c r="D36" s="1682" t="s">
        <v>9</v>
      </c>
      <c r="E36" s="1682" t="s">
        <v>3075</v>
      </c>
      <c r="F36" s="1784">
        <v>2452.8200000000002</v>
      </c>
      <c r="G36" s="1723">
        <v>0.1</v>
      </c>
      <c r="H36" s="1687">
        <f t="shared" si="0"/>
        <v>220.75380000000004</v>
      </c>
      <c r="I36" s="1724"/>
      <c r="J36" s="1725"/>
      <c r="K36" s="1689" t="s">
        <v>2015</v>
      </c>
    </row>
    <row r="37" spans="1:11" s="1772" customFormat="1" ht="15.75">
      <c r="A37" s="1720">
        <v>45987</v>
      </c>
      <c r="B37" s="1721">
        <v>46355</v>
      </c>
      <c r="C37" s="1682" t="s">
        <v>3061</v>
      </c>
      <c r="D37" s="1682" t="s">
        <v>9</v>
      </c>
      <c r="E37" s="1677" t="s">
        <v>10</v>
      </c>
      <c r="F37" s="1705">
        <v>1964.53</v>
      </c>
      <c r="G37" s="1686">
        <v>0.1</v>
      </c>
      <c r="H37" s="1687">
        <f t="shared" si="0"/>
        <v>176.80770000000001</v>
      </c>
      <c r="I37" s="1724"/>
      <c r="J37" s="1725"/>
      <c r="K37" s="1689" t="s">
        <v>2015</v>
      </c>
    </row>
    <row r="38" spans="1:11" s="1737" customFormat="1" ht="15.75">
      <c r="A38" s="1720">
        <v>45982</v>
      </c>
      <c r="B38" s="1721">
        <v>46356</v>
      </c>
      <c r="C38" s="1682" t="s">
        <v>3071</v>
      </c>
      <c r="D38" s="1682" t="s">
        <v>448</v>
      </c>
      <c r="E38" s="1682" t="s">
        <v>19</v>
      </c>
      <c r="F38" s="1841">
        <v>2320.9899999999998</v>
      </c>
      <c r="G38" s="1723">
        <v>0.15</v>
      </c>
      <c r="H38" s="1687">
        <f t="shared" si="0"/>
        <v>313.33364999999998</v>
      </c>
      <c r="I38" s="1724"/>
      <c r="J38" s="1725"/>
      <c r="K38" s="1689" t="s">
        <v>2015</v>
      </c>
    </row>
    <row r="39" spans="1:11" s="1737" customFormat="1" ht="15.75">
      <c r="A39" s="1720">
        <v>45982</v>
      </c>
      <c r="B39" s="1721">
        <v>46356</v>
      </c>
      <c r="C39" s="1682" t="s">
        <v>3073</v>
      </c>
      <c r="D39" s="1682" t="s">
        <v>1924</v>
      </c>
      <c r="E39" s="1682" t="s">
        <v>19</v>
      </c>
      <c r="F39" s="1722">
        <v>1661.41</v>
      </c>
      <c r="G39" s="1723">
        <v>0.1</v>
      </c>
      <c r="H39" s="1687">
        <f t="shared" si="0"/>
        <v>149.52690000000001</v>
      </c>
      <c r="I39" s="1724"/>
      <c r="J39" s="1725"/>
      <c r="K39" s="1689" t="s">
        <v>2015</v>
      </c>
    </row>
    <row r="40" spans="1:11" s="1737" customFormat="1" ht="15.75">
      <c r="A40" s="1739">
        <v>45982</v>
      </c>
      <c r="B40" s="1773" t="s">
        <v>1805</v>
      </c>
      <c r="C40" s="1741" t="s">
        <v>3069</v>
      </c>
      <c r="D40" s="1742" t="s">
        <v>25</v>
      </c>
      <c r="E40" s="1742" t="s">
        <v>279</v>
      </c>
      <c r="F40" s="1774"/>
      <c r="G40" s="1775"/>
      <c r="H40" s="1745">
        <v>-94.1</v>
      </c>
      <c r="I40" s="1746">
        <v>-47.05</v>
      </c>
      <c r="J40" s="1747" t="s">
        <v>3070</v>
      </c>
      <c r="K40" s="1748" t="s">
        <v>2414</v>
      </c>
    </row>
    <row r="41" spans="1:11" s="1737" customFormat="1">
      <c r="A41" s="1720">
        <v>45973</v>
      </c>
      <c r="B41" s="1721" t="s">
        <v>1805</v>
      </c>
      <c r="C41" s="1684" t="s">
        <v>3062</v>
      </c>
      <c r="D41" s="1721" t="s">
        <v>70</v>
      </c>
      <c r="E41" s="1721" t="s">
        <v>279</v>
      </c>
      <c r="F41" s="1751">
        <v>138.46</v>
      </c>
      <c r="G41" s="1723">
        <v>0.1</v>
      </c>
      <c r="H41" s="1687">
        <f t="shared" ref="H41:H59" si="1">F41*G41*(1-10%)</f>
        <v>12.461400000000001</v>
      </c>
      <c r="I41" s="1764"/>
      <c r="J41" s="1765"/>
      <c r="K41" s="1684" t="s">
        <v>1805</v>
      </c>
    </row>
    <row r="42" spans="1:11" s="1737" customFormat="1" ht="15.75">
      <c r="A42" s="1720">
        <v>45975</v>
      </c>
      <c r="B42" s="1721" t="s">
        <v>1805</v>
      </c>
      <c r="C42" s="1682" t="s">
        <v>3061</v>
      </c>
      <c r="D42" s="1682" t="s">
        <v>25</v>
      </c>
      <c r="E42" s="1682" t="s">
        <v>143</v>
      </c>
      <c r="F42" s="1751"/>
      <c r="G42" s="1723">
        <v>0.1</v>
      </c>
      <c r="H42" s="1687">
        <f t="shared" si="1"/>
        <v>0</v>
      </c>
      <c r="I42" s="1724"/>
      <c r="J42" s="1725"/>
      <c r="K42" s="1689" t="s">
        <v>1805</v>
      </c>
    </row>
    <row r="43" spans="1:11" ht="15.75">
      <c r="A43" s="1037"/>
      <c r="B43" s="1038"/>
      <c r="C43" s="1026"/>
      <c r="D43" s="1026"/>
      <c r="E43" s="1026"/>
      <c r="F43" s="1059"/>
      <c r="G43" s="1054"/>
      <c r="H43" s="1055">
        <f t="shared" si="1"/>
        <v>0</v>
      </c>
      <c r="I43" s="1089"/>
      <c r="J43" s="1111"/>
      <c r="K43" s="1115"/>
    </row>
    <row r="44" spans="1:11" ht="15.75">
      <c r="A44" s="1037"/>
      <c r="B44" s="1038"/>
      <c r="C44" s="1026"/>
      <c r="D44" s="1026"/>
      <c r="E44" s="1026"/>
      <c r="F44" s="1484"/>
      <c r="G44" s="1054"/>
      <c r="H44" s="1055">
        <f t="shared" si="1"/>
        <v>0</v>
      </c>
      <c r="I44" s="1056"/>
      <c r="J44" s="1111"/>
      <c r="K44" s="1115"/>
    </row>
    <row r="45" spans="1:11" ht="15.75">
      <c r="A45" s="1037"/>
      <c r="B45" s="1038"/>
      <c r="C45" s="1026"/>
      <c r="D45" s="1026"/>
      <c r="E45" s="1026"/>
      <c r="F45" s="1059"/>
      <c r="G45" s="1054"/>
      <c r="H45" s="1055">
        <f t="shared" si="1"/>
        <v>0</v>
      </c>
      <c r="I45" s="1056"/>
      <c r="J45" s="1111"/>
      <c r="K45" s="1115"/>
    </row>
    <row r="46" spans="1:11" ht="15.75">
      <c r="A46" s="1037"/>
      <c r="B46" s="1038"/>
      <c r="C46" s="1026"/>
      <c r="D46" s="1026"/>
      <c r="E46" s="1026"/>
      <c r="F46" s="1059"/>
      <c r="G46" s="1054"/>
      <c r="H46" s="1055">
        <f t="shared" si="1"/>
        <v>0</v>
      </c>
      <c r="I46" s="1056"/>
      <c r="J46" s="1111"/>
      <c r="K46" s="1115"/>
    </row>
    <row r="47" spans="1:11" ht="15.75">
      <c r="A47" s="1037"/>
      <c r="B47" s="1038"/>
      <c r="C47" s="1026"/>
      <c r="D47" s="1026"/>
      <c r="E47" s="1026"/>
      <c r="F47" s="1059"/>
      <c r="G47" s="1054"/>
      <c r="H47" s="1055">
        <f t="shared" si="1"/>
        <v>0</v>
      </c>
      <c r="I47" s="1056"/>
      <c r="J47" s="1111"/>
      <c r="K47" s="1115"/>
    </row>
    <row r="48" spans="1:11" ht="15.75">
      <c r="A48" s="1037"/>
      <c r="B48" s="1038"/>
      <c r="C48" s="1026"/>
      <c r="D48" s="1026"/>
      <c r="E48" s="1026"/>
      <c r="F48" s="1059"/>
      <c r="G48" s="1054"/>
      <c r="H48" s="1055">
        <f t="shared" si="1"/>
        <v>0</v>
      </c>
      <c r="I48" s="1056"/>
      <c r="J48" s="1111"/>
      <c r="K48" s="1115"/>
    </row>
    <row r="49" spans="1:11" ht="15.75">
      <c r="A49" s="1037"/>
      <c r="B49" s="1038"/>
      <c r="C49" s="1026"/>
      <c r="D49" s="1026"/>
      <c r="E49" s="1026"/>
      <c r="F49" s="1059"/>
      <c r="G49" s="1054"/>
      <c r="H49" s="1055">
        <f t="shared" si="1"/>
        <v>0</v>
      </c>
      <c r="I49" s="1056"/>
      <c r="J49" s="1111"/>
      <c r="K49" s="1115"/>
    </row>
    <row r="50" spans="1:11" ht="15.75">
      <c r="A50" s="1037"/>
      <c r="B50" s="1038"/>
      <c r="C50" s="1026"/>
      <c r="D50" s="1026"/>
      <c r="E50" s="1026"/>
      <c r="F50" s="1059"/>
      <c r="G50" s="1054"/>
      <c r="H50" s="1055">
        <f t="shared" si="1"/>
        <v>0</v>
      </c>
      <c r="I50" s="1056"/>
      <c r="J50" s="1111"/>
      <c r="K50" s="1115"/>
    </row>
    <row r="51" spans="1:11" ht="15.75">
      <c r="A51" s="1037"/>
      <c r="B51" s="1038"/>
      <c r="C51" s="1026"/>
      <c r="D51" s="1026"/>
      <c r="E51" s="1026"/>
      <c r="F51" s="1059"/>
      <c r="G51" s="1054"/>
      <c r="H51" s="1055">
        <f t="shared" si="1"/>
        <v>0</v>
      </c>
      <c r="I51" s="1056"/>
      <c r="J51" s="1111"/>
      <c r="K51" s="1115"/>
    </row>
    <row r="52" spans="1:11" ht="15.75">
      <c r="A52" s="1037"/>
      <c r="B52" s="1038"/>
      <c r="C52" s="1026"/>
      <c r="D52" s="1026"/>
      <c r="E52" s="1026"/>
      <c r="F52" s="1059"/>
      <c r="G52" s="1054"/>
      <c r="H52" s="1055">
        <f t="shared" si="1"/>
        <v>0</v>
      </c>
      <c r="I52" s="1056"/>
      <c r="J52" s="1111"/>
      <c r="K52" s="1115"/>
    </row>
    <row r="53" spans="1:11" ht="15.75">
      <c r="A53" s="1037"/>
      <c r="B53" s="1038"/>
      <c r="C53" s="1026"/>
      <c r="D53" s="1026"/>
      <c r="E53" s="1026"/>
      <c r="F53" s="1059"/>
      <c r="G53" s="1054"/>
      <c r="H53" s="1055">
        <f t="shared" si="1"/>
        <v>0</v>
      </c>
      <c r="I53" s="1056"/>
      <c r="J53" s="1111"/>
      <c r="K53" s="1115"/>
    </row>
    <row r="54" spans="1:11" ht="15.75">
      <c r="A54" s="1037"/>
      <c r="B54" s="1038"/>
      <c r="C54" s="1026"/>
      <c r="D54" s="1026"/>
      <c r="E54" s="1026"/>
      <c r="F54" s="1059"/>
      <c r="G54" s="1054"/>
      <c r="H54" s="1055">
        <f t="shared" si="1"/>
        <v>0</v>
      </c>
      <c r="I54" s="1056"/>
      <c r="J54" s="1111"/>
      <c r="K54" s="1115"/>
    </row>
    <row r="55" spans="1:11" ht="15.75">
      <c r="A55" s="1037"/>
      <c r="B55" s="1038"/>
      <c r="C55" s="1026"/>
      <c r="D55" s="1026"/>
      <c r="E55" s="1026"/>
      <c r="F55" s="1059"/>
      <c r="G55" s="1054"/>
      <c r="H55" s="1055">
        <f t="shared" si="1"/>
        <v>0</v>
      </c>
      <c r="I55" s="1056"/>
      <c r="J55" s="1111"/>
      <c r="K55" s="1115"/>
    </row>
    <row r="56" spans="1:11" ht="15.75">
      <c r="A56" s="1037"/>
      <c r="B56" s="1038"/>
      <c r="C56" s="1026"/>
      <c r="D56" s="1026"/>
      <c r="E56" s="1026"/>
      <c r="F56" s="1059"/>
      <c r="G56" s="1054"/>
      <c r="H56" s="1055">
        <f t="shared" si="1"/>
        <v>0</v>
      </c>
      <c r="I56" s="1056"/>
      <c r="J56" s="1111"/>
      <c r="K56" s="1115"/>
    </row>
    <row r="57" spans="1:11" ht="15.75">
      <c r="A57" s="1037"/>
      <c r="B57" s="1038"/>
      <c r="C57" s="1026"/>
      <c r="D57" s="1026"/>
      <c r="E57" s="1026"/>
      <c r="F57" s="1059"/>
      <c r="G57" s="1054"/>
      <c r="H57" s="1055">
        <f t="shared" si="1"/>
        <v>0</v>
      </c>
      <c r="I57" s="1056"/>
      <c r="J57" s="1111"/>
      <c r="K57" s="1115"/>
    </row>
    <row r="58" spans="1:11" ht="15.75">
      <c r="A58" s="1037"/>
      <c r="B58" s="1038"/>
      <c r="C58" s="1026"/>
      <c r="D58" s="1026"/>
      <c r="E58" s="1026"/>
      <c r="F58" s="1059"/>
      <c r="G58" s="1054"/>
      <c r="H58" s="1055">
        <f t="shared" si="1"/>
        <v>0</v>
      </c>
      <c r="I58" s="1056"/>
      <c r="J58" s="1111"/>
      <c r="K58" s="1115"/>
    </row>
    <row r="59" spans="1:11" ht="15.75">
      <c r="A59" s="1037"/>
      <c r="B59" s="1038"/>
      <c r="C59" s="1026"/>
      <c r="D59" s="1026"/>
      <c r="E59" s="1026"/>
      <c r="F59" s="1059"/>
      <c r="G59" s="1054"/>
      <c r="H59" s="1269">
        <f t="shared" si="1"/>
        <v>0</v>
      </c>
      <c r="I59" s="1056"/>
      <c r="J59" s="1111"/>
      <c r="K59" s="1115"/>
    </row>
    <row r="60" spans="1:11" ht="16.5" thickBot="1">
      <c r="A60" s="1039"/>
      <c r="B60" s="1039"/>
      <c r="C60" s="1025"/>
      <c r="D60" s="1025"/>
      <c r="E60" s="1025"/>
      <c r="F60" s="1059"/>
      <c r="G60" s="1054"/>
      <c r="H60" s="1269"/>
      <c r="I60" s="1662"/>
      <c r="J60" s="1111"/>
      <c r="K60" s="1115"/>
    </row>
    <row r="61" spans="1:11" ht="15.75" customHeight="1" thickBot="1">
      <c r="A61" s="1673"/>
      <c r="B61" s="1674"/>
      <c r="C61" s="1674"/>
      <c r="D61" s="1674"/>
      <c r="E61" s="1675"/>
      <c r="F61" s="1670">
        <f>SUM(F3:F6,F7:F60)</f>
        <v>78518.310000000027</v>
      </c>
      <c r="G61" s="1667"/>
      <c r="H61" s="1668">
        <f>SUM(H3:H60)</f>
        <v>8083.5693700000002</v>
      </c>
      <c r="I61" s="1671">
        <f>SUM(I3:I60)</f>
        <v>841.33000000000015</v>
      </c>
      <c r="J61" s="1676"/>
      <c r="K61" s="1115"/>
    </row>
    <row r="62" spans="1:11" ht="15.75" customHeight="1">
      <c r="A62" s="1037"/>
      <c r="B62" s="1037"/>
      <c r="C62" s="1026"/>
      <c r="D62" s="1026"/>
      <c r="E62" s="1026"/>
      <c r="F62" s="1102"/>
      <c r="G62" s="1076"/>
      <c r="H62" s="1663"/>
      <c r="I62" s="1077"/>
      <c r="J62" s="1111"/>
      <c r="K62" s="1115"/>
    </row>
    <row r="63" spans="1:11" ht="15.75" customHeight="1">
      <c r="A63" s="1037"/>
      <c r="B63" s="1038"/>
      <c r="C63" s="1026"/>
      <c r="D63" s="1026"/>
      <c r="E63" s="1026"/>
      <c r="F63" s="1059"/>
      <c r="G63" s="1054"/>
      <c r="H63" s="1269"/>
      <c r="I63" s="1056">
        <f>SUM(I12,J12)</f>
        <v>229.59</v>
      </c>
      <c r="J63" s="1111"/>
      <c r="K63" s="1115"/>
    </row>
    <row r="64" spans="1:11" ht="15.75" customHeight="1">
      <c r="A64" s="1037"/>
      <c r="B64" s="1038"/>
      <c r="C64" s="1026"/>
      <c r="D64" s="1026"/>
      <c r="E64" s="1026"/>
      <c r="F64" s="1059"/>
      <c r="G64" s="1054"/>
      <c r="H64" s="1269"/>
      <c r="I64" s="1056"/>
      <c r="J64" s="1111"/>
      <c r="K64" s="1115"/>
    </row>
    <row r="65" spans="1:11" ht="15.75" customHeight="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115"/>
    </row>
    <row r="66" spans="1:11" ht="15.75" customHeight="1">
      <c r="A66" s="1037"/>
      <c r="B66" s="1038"/>
      <c r="C66" s="1026"/>
      <c r="D66" s="1026"/>
      <c r="E66" s="1026"/>
      <c r="F66" s="1059"/>
      <c r="G66" s="1054"/>
      <c r="H66" s="1269"/>
      <c r="I66" s="1056"/>
      <c r="J66" s="1111"/>
      <c r="K66" s="1115"/>
    </row>
    <row r="67" spans="1:11" ht="15.75" customHeight="1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1115"/>
    </row>
    <row r="68" spans="1:11" ht="15.75" customHeight="1">
      <c r="A68" s="1037"/>
      <c r="B68" s="1038"/>
      <c r="C68" s="1026"/>
      <c r="D68" s="1026"/>
      <c r="E68" s="1026"/>
      <c r="F68" s="1059"/>
      <c r="G68" s="1054"/>
      <c r="H68" s="1269"/>
      <c r="I68" s="1056"/>
      <c r="J68" s="1111"/>
      <c r="K68" s="1115"/>
    </row>
    <row r="69" spans="1:11" ht="15.75" customHeight="1">
      <c r="A69" s="1037"/>
      <c r="B69" s="1038"/>
      <c r="C69" s="1026"/>
      <c r="D69" s="1026"/>
      <c r="E69" s="1026"/>
      <c r="F69" s="1059"/>
      <c r="G69" s="1054"/>
      <c r="H69" s="1269"/>
      <c r="I69" s="1056"/>
      <c r="J69" s="1111"/>
      <c r="K69" s="1115"/>
    </row>
    <row r="70" spans="1:11" ht="15.75" customHeight="1">
      <c r="A70" s="1037"/>
      <c r="B70" s="1038"/>
      <c r="C70" s="1026"/>
      <c r="D70" s="1026"/>
      <c r="E70" s="1026"/>
      <c r="F70" s="1059"/>
      <c r="G70" s="1054"/>
      <c r="H70" s="1269"/>
      <c r="I70" s="1056"/>
      <c r="J70" s="1111"/>
      <c r="K70" s="1025"/>
    </row>
    <row r="71" spans="1:11" ht="15.75" customHeight="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115"/>
    </row>
    <row r="72" spans="1:11" ht="15.75" customHeight="1">
      <c r="A72" s="1037"/>
      <c r="B72" s="1038"/>
      <c r="C72" s="1026"/>
      <c r="D72" s="1026"/>
      <c r="E72" s="1026"/>
      <c r="F72" s="1059"/>
      <c r="G72" s="1059"/>
      <c r="H72" s="1269"/>
      <c r="I72" s="1056"/>
      <c r="J72" s="1111"/>
      <c r="K72" s="1115"/>
    </row>
    <row r="73" spans="1:11" ht="15.75" customHeight="1">
      <c r="A73" s="1037"/>
      <c r="B73" s="1038"/>
      <c r="C73" s="1026"/>
      <c r="D73" s="1026"/>
      <c r="E73" s="1026"/>
      <c r="F73" s="1059"/>
      <c r="G73" s="1059"/>
      <c r="H73" s="1269"/>
      <c r="I73" s="1056"/>
      <c r="J73" s="1111"/>
      <c r="K73" s="1025"/>
    </row>
    <row r="74" spans="1:11" ht="15.75" customHeight="1">
      <c r="A74" s="1037"/>
      <c r="B74" s="1038"/>
      <c r="C74" s="1026"/>
      <c r="D74" s="1026"/>
      <c r="E74" s="1026"/>
      <c r="F74" s="1059"/>
      <c r="G74" s="1059"/>
      <c r="H74" s="1269"/>
      <c r="I74" s="1056"/>
      <c r="J74" s="1111"/>
      <c r="K74" s="1025"/>
    </row>
    <row r="75" spans="1:11" ht="15.75" customHeight="1">
      <c r="A75" s="1037"/>
      <c r="B75" s="1038"/>
      <c r="C75" s="1026"/>
      <c r="D75" s="1026"/>
      <c r="E75" s="1026"/>
      <c r="F75" s="1059"/>
      <c r="G75" s="1054"/>
      <c r="H75" s="1269"/>
      <c r="I75" s="1056"/>
      <c r="J75" s="1111"/>
      <c r="K75" s="1115"/>
    </row>
    <row r="76" spans="1:11" ht="15.75" customHeight="1">
      <c r="A76" s="1037"/>
      <c r="B76" s="1038"/>
      <c r="C76" s="1026"/>
      <c r="D76" s="1026"/>
      <c r="E76" s="1026"/>
      <c r="F76" s="1059"/>
      <c r="G76" s="1054"/>
      <c r="H76" s="1269"/>
      <c r="I76" s="1056"/>
      <c r="J76" s="1111"/>
      <c r="K76" s="1115"/>
    </row>
    <row r="77" spans="1:11" ht="15.75" customHeight="1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1115"/>
    </row>
    <row r="78" spans="1:11" ht="15.75">
      <c r="A78" s="1037"/>
      <c r="B78" s="1038"/>
      <c r="C78" s="1026"/>
      <c r="D78" s="1026"/>
      <c r="E78" s="1026"/>
      <c r="F78" s="1059"/>
      <c r="G78" s="1054"/>
      <c r="H78" s="1269"/>
      <c r="I78" s="1056"/>
      <c r="J78" s="1111"/>
      <c r="K78" s="1115"/>
    </row>
    <row r="79" spans="1:11" ht="15.75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1115"/>
    </row>
    <row r="80" spans="1:11" ht="15.75">
      <c r="A80" s="1037"/>
      <c r="B80" s="1038"/>
      <c r="C80" s="1025"/>
      <c r="D80" s="1025"/>
      <c r="E80" s="1025"/>
      <c r="F80" s="1059"/>
      <c r="G80" s="1062"/>
      <c r="H80" s="1055"/>
      <c r="I80" s="1056"/>
      <c r="J80" s="1111"/>
      <c r="K80" s="1115"/>
    </row>
    <row r="81" spans="1:11" ht="15.75">
      <c r="A81" s="1037"/>
      <c r="B81" s="1039"/>
      <c r="C81" s="1025"/>
      <c r="D81" s="1025"/>
      <c r="E81" s="1025"/>
      <c r="F81" s="1059"/>
      <c r="G81" s="1054"/>
      <c r="H81" s="1269"/>
      <c r="I81" s="1056"/>
      <c r="J81" s="1111"/>
      <c r="K81" s="1115"/>
    </row>
    <row r="82" spans="1:11" ht="15.75">
      <c r="A82" s="1037"/>
      <c r="B82" s="1038"/>
      <c r="C82" s="1026"/>
      <c r="D82" s="1026"/>
      <c r="E82" s="1026"/>
      <c r="F82" s="1059"/>
      <c r="G82" s="1054"/>
      <c r="H82" s="1269"/>
      <c r="I82" s="1056"/>
      <c r="J82" s="1111"/>
      <c r="K82" s="1115"/>
    </row>
    <row r="83" spans="1:11" ht="15.75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1115"/>
    </row>
    <row r="84" spans="1:11" ht="15.75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115"/>
    </row>
    <row r="85" spans="1:11" ht="15.75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115"/>
    </row>
    <row r="86" spans="1:11" ht="15.75">
      <c r="A86" s="1037"/>
      <c r="B86" s="1038"/>
      <c r="C86" s="1026" t="s">
        <v>442</v>
      </c>
      <c r="D86" s="1026"/>
      <c r="E86" s="1026"/>
      <c r="F86" s="1059"/>
      <c r="G86" s="1054"/>
      <c r="H86" s="1269"/>
      <c r="I86" s="1056"/>
      <c r="J86" s="1111"/>
      <c r="K86" s="1115"/>
    </row>
    <row r="87" spans="1:11" ht="15.75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5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115"/>
    </row>
    <row r="89" spans="1:11" ht="15.75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115"/>
    </row>
    <row r="90" spans="1:11" ht="15.75">
      <c r="A90" s="1037"/>
      <c r="B90" s="1038"/>
      <c r="C90" s="1026"/>
      <c r="D90" s="1026"/>
      <c r="E90" s="1026"/>
      <c r="F90" s="1059"/>
      <c r="G90" s="1054"/>
      <c r="H90" s="1269"/>
      <c r="I90" s="1056"/>
      <c r="J90" s="1111"/>
      <c r="K90" s="1115"/>
    </row>
    <row r="91" spans="1:11" ht="15.75">
      <c r="A91" s="1037"/>
      <c r="B91" s="1038"/>
      <c r="C91" s="1026"/>
      <c r="D91" s="1026"/>
      <c r="E91" s="1026"/>
      <c r="F91" s="1059"/>
      <c r="G91" s="1054"/>
      <c r="H91" s="1269"/>
      <c r="I91" s="1056"/>
      <c r="J91" s="1111"/>
      <c r="K91" s="1115"/>
    </row>
    <row r="92" spans="1:11" ht="15.75">
      <c r="A92" s="1037"/>
      <c r="B92" s="1038"/>
      <c r="C92" s="1026"/>
      <c r="D92" s="1026"/>
      <c r="E92" s="1026"/>
      <c r="F92" s="1059"/>
      <c r="G92" s="1054"/>
      <c r="H92" s="1269"/>
      <c r="I92" s="1056"/>
      <c r="J92" s="1111"/>
      <c r="K92" s="1115"/>
    </row>
    <row r="93" spans="1:11" ht="15.75">
      <c r="A93" s="1037"/>
      <c r="B93" s="1038"/>
      <c r="C93" s="1026"/>
      <c r="D93" s="1026"/>
      <c r="E93" s="1026"/>
      <c r="F93" s="1059"/>
      <c r="G93" s="1054"/>
      <c r="H93" s="1269"/>
      <c r="I93" s="1056"/>
      <c r="J93" s="1111"/>
      <c r="K93" s="1115"/>
    </row>
    <row r="94" spans="1:11" ht="15.75">
      <c r="A94" s="1037"/>
      <c r="B94" s="1038"/>
      <c r="C94" s="1026"/>
      <c r="D94" s="1026"/>
      <c r="E94" s="1026"/>
      <c r="F94" s="1059"/>
      <c r="G94" s="1054"/>
      <c r="H94" s="1269"/>
      <c r="I94" s="1056"/>
      <c r="J94" s="1111"/>
      <c r="K94" s="1115"/>
    </row>
    <row r="95" spans="1:11">
      <c r="A95" s="1037"/>
      <c r="B95" s="1038"/>
      <c r="C95" s="1026"/>
      <c r="D95" s="1026"/>
      <c r="E95" s="1026"/>
      <c r="F95" s="1059"/>
      <c r="G95" s="1059"/>
      <c r="H95" s="1269"/>
      <c r="I95" s="1056"/>
      <c r="J95" s="1111"/>
      <c r="K95" s="1025"/>
    </row>
    <row r="96" spans="1:11">
      <c r="A96" s="1037"/>
      <c r="B96" s="1038"/>
      <c r="C96" s="1026"/>
      <c r="D96" s="1026"/>
      <c r="E96" s="1026"/>
      <c r="F96" s="1059"/>
      <c r="G96" s="1059"/>
      <c r="H96" s="1269"/>
      <c r="I96" s="1056"/>
      <c r="J96" s="1111"/>
      <c r="K96" s="1025"/>
    </row>
    <row r="97" spans="1:11">
      <c r="A97" s="1037"/>
      <c r="B97" s="1038"/>
      <c r="C97" s="1026"/>
      <c r="D97" s="1026"/>
      <c r="E97" s="1026"/>
      <c r="F97" s="1059"/>
      <c r="G97" s="1059"/>
      <c r="H97" s="1269"/>
      <c r="I97" s="1056"/>
      <c r="J97" s="1111"/>
      <c r="K97" s="1025"/>
    </row>
    <row r="98" spans="1:11" ht="15.75">
      <c r="A98" s="1037"/>
      <c r="B98" s="1038"/>
      <c r="C98" s="1026"/>
      <c r="D98" s="1026"/>
      <c r="E98" s="1026"/>
      <c r="F98" s="1059"/>
      <c r="G98" s="1054"/>
      <c r="H98" s="1269"/>
      <c r="I98" s="1056"/>
      <c r="J98" s="1111"/>
      <c r="K98" s="1115"/>
    </row>
    <row r="99" spans="1:11">
      <c r="A99" s="1037"/>
      <c r="B99" s="1038"/>
      <c r="C99" s="1026"/>
      <c r="D99" s="1026"/>
      <c r="E99" s="1026"/>
      <c r="F99" s="1059"/>
      <c r="G99" s="1059"/>
      <c r="H99" s="1269"/>
      <c r="I99" s="1056"/>
      <c r="J99" s="1111"/>
      <c r="K99" s="1025"/>
    </row>
    <row r="100" spans="1:11">
      <c r="A100" s="1037"/>
      <c r="B100" s="1038"/>
      <c r="C100" s="1026"/>
      <c r="D100" s="1026"/>
      <c r="E100" s="1026"/>
      <c r="F100" s="1059"/>
      <c r="G100" s="1059"/>
      <c r="H100" s="1269"/>
      <c r="I100" s="1056"/>
      <c r="J100" s="1111"/>
      <c r="K100" s="1025"/>
    </row>
    <row r="101" spans="1:11">
      <c r="A101" s="1037"/>
      <c r="B101" s="1038"/>
      <c r="C101" s="1026"/>
      <c r="D101" s="1026"/>
      <c r="E101" s="1026"/>
      <c r="F101" s="1059"/>
      <c r="G101" s="1059"/>
      <c r="H101" s="1269"/>
      <c r="I101" s="1056"/>
      <c r="J101" s="1111"/>
      <c r="K101" s="1025"/>
    </row>
    <row r="102" spans="1:11" ht="15.75">
      <c r="A102" s="1037"/>
      <c r="B102" s="1038"/>
      <c r="C102" s="1026"/>
      <c r="D102" s="1026"/>
      <c r="E102" s="1026"/>
      <c r="F102" s="1059"/>
      <c r="G102" s="1054"/>
      <c r="H102" s="1269"/>
      <c r="I102" s="1056"/>
      <c r="J102" s="1111"/>
      <c r="K102" s="1115"/>
    </row>
    <row r="103" spans="1:11" ht="15.75">
      <c r="A103" s="1037"/>
      <c r="B103" s="1038"/>
      <c r="C103" s="1026"/>
      <c r="D103" s="1026"/>
      <c r="E103" s="1026"/>
      <c r="F103" s="1059"/>
      <c r="G103" s="1054"/>
      <c r="H103" s="1269"/>
      <c r="I103" s="1056"/>
      <c r="J103" s="1111"/>
      <c r="K103" s="1115"/>
    </row>
    <row r="104" spans="1:11">
      <c r="A104" s="1037"/>
      <c r="B104" s="1038"/>
      <c r="C104" s="1026"/>
      <c r="D104" s="1026"/>
      <c r="E104" s="1026"/>
      <c r="F104" s="1059"/>
      <c r="G104" s="1059"/>
      <c r="H104" s="1269"/>
      <c r="I104" s="1056"/>
      <c r="J104" s="1111"/>
      <c r="K104" s="1025"/>
    </row>
    <row r="105" spans="1:11">
      <c r="A105" s="1037"/>
      <c r="B105" s="1038"/>
      <c r="C105" s="1026"/>
      <c r="D105" s="1026"/>
      <c r="E105" s="1026"/>
      <c r="F105" s="1059"/>
      <c r="G105" s="1059"/>
      <c r="H105" s="1269"/>
      <c r="I105" s="1056"/>
      <c r="J105" s="1111"/>
      <c r="K105" s="1025"/>
    </row>
    <row r="106" spans="1:11">
      <c r="A106" s="1037"/>
      <c r="B106" s="1038"/>
      <c r="C106" s="1026"/>
      <c r="D106" s="1026"/>
      <c r="E106" s="1026"/>
      <c r="F106" s="1059"/>
      <c r="G106" s="1059"/>
      <c r="H106" s="1269"/>
      <c r="I106" s="1056"/>
      <c r="J106" s="1111"/>
      <c r="K106" s="1025"/>
    </row>
    <row r="107" spans="1:11">
      <c r="A107" s="1037"/>
      <c r="B107" s="1038"/>
      <c r="C107" s="1026"/>
      <c r="D107" s="1026"/>
      <c r="E107" s="1026"/>
      <c r="F107" s="1059"/>
      <c r="G107" s="1059"/>
      <c r="H107" s="1269"/>
      <c r="I107" s="1056"/>
      <c r="J107" s="1111"/>
      <c r="K107" s="1025"/>
    </row>
    <row r="108" spans="1:11">
      <c r="A108" s="1037"/>
      <c r="B108" s="1038"/>
      <c r="C108" s="1026"/>
      <c r="D108" s="1026"/>
      <c r="E108" s="1026"/>
      <c r="F108" s="1059"/>
      <c r="G108" s="1059"/>
      <c r="H108" s="1269"/>
      <c r="I108" s="1056"/>
      <c r="J108" s="1111"/>
      <c r="K108" s="1025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1025"/>
    </row>
    <row r="110" spans="1:11" ht="15.75">
      <c r="A110" s="1037"/>
      <c r="B110" s="1038"/>
      <c r="C110" s="1026"/>
      <c r="D110" s="1026"/>
      <c r="E110" s="1026"/>
      <c r="F110" s="1059"/>
      <c r="G110" s="1054"/>
      <c r="H110" s="1269"/>
      <c r="I110" s="1056"/>
      <c r="J110" s="1111"/>
      <c r="K110" s="1115"/>
    </row>
    <row r="111" spans="1:11">
      <c r="A111" s="1037"/>
      <c r="B111" s="1038"/>
      <c r="C111" s="1026"/>
      <c r="D111" s="1026"/>
      <c r="E111" s="1026"/>
      <c r="F111" s="1059"/>
      <c r="G111" s="1059"/>
      <c r="H111" s="1269"/>
      <c r="I111" s="1056"/>
      <c r="J111" s="1111"/>
      <c r="K111" s="1025"/>
    </row>
    <row r="112" spans="1:11">
      <c r="A112" s="1037"/>
      <c r="B112" s="1038"/>
      <c r="C112" s="1026"/>
      <c r="D112" s="1026"/>
      <c r="E112" s="1026"/>
      <c r="F112" s="1059"/>
      <c r="G112" s="1059"/>
      <c r="H112" s="1269"/>
      <c r="I112" s="1056"/>
      <c r="J112" s="1111"/>
      <c r="K112" s="1025"/>
    </row>
    <row r="113" spans="1:11">
      <c r="A113" s="1037"/>
      <c r="B113" s="1038"/>
      <c r="C113" s="1026"/>
      <c r="D113" s="1026"/>
      <c r="E113" s="1026"/>
      <c r="F113" s="1059"/>
      <c r="G113" s="1059"/>
      <c r="H113" s="1269"/>
      <c r="I113" s="1056"/>
      <c r="J113" s="1111"/>
      <c r="K113" s="1025"/>
    </row>
    <row r="114" spans="1:11" ht="15.75">
      <c r="A114" s="1037"/>
      <c r="B114" s="1038"/>
      <c r="C114" s="1026"/>
      <c r="D114" s="1026"/>
      <c r="E114" s="1026"/>
      <c r="F114" s="1059"/>
      <c r="G114" s="1059"/>
      <c r="H114" s="1269"/>
      <c r="I114" s="1056"/>
      <c r="J114" s="1111"/>
      <c r="K114" s="1115"/>
    </row>
    <row r="115" spans="1:11">
      <c r="A115" s="1037"/>
      <c r="B115" s="1038"/>
      <c r="C115" s="1026"/>
      <c r="D115" s="1026"/>
      <c r="E115" s="1026"/>
      <c r="F115" s="1059"/>
      <c r="G115" s="1059"/>
      <c r="H115" s="1269"/>
      <c r="I115" s="1056"/>
      <c r="J115" s="1111"/>
      <c r="K115" s="1025"/>
    </row>
    <row r="116" spans="1:11">
      <c r="A116" s="1037"/>
      <c r="B116" s="1038"/>
      <c r="C116" s="1026"/>
      <c r="D116" s="1026"/>
      <c r="E116" s="1026"/>
      <c r="F116" s="1059"/>
      <c r="G116" s="1059"/>
      <c r="H116" s="1269"/>
      <c r="I116" s="1056"/>
      <c r="J116" s="1111"/>
      <c r="K116" s="1025"/>
    </row>
    <row r="117" spans="1:11">
      <c r="A117" s="1037"/>
      <c r="B117" s="1038"/>
      <c r="C117" s="1026"/>
      <c r="D117" s="1026"/>
      <c r="E117" s="1026"/>
      <c r="F117" s="1059"/>
      <c r="G117" s="1059"/>
      <c r="H117" s="1269"/>
      <c r="I117" s="1056"/>
      <c r="J117" s="1111"/>
      <c r="K117" s="1025"/>
    </row>
    <row r="118" spans="1:11">
      <c r="A118" s="1037"/>
      <c r="B118" s="1038"/>
      <c r="C118" s="1026"/>
      <c r="D118" s="1026"/>
      <c r="E118" s="1026"/>
      <c r="F118" s="1059"/>
      <c r="G118" s="1059"/>
      <c r="H118" s="1269"/>
      <c r="I118" s="1056"/>
      <c r="J118" s="1111"/>
      <c r="K118" s="1025"/>
    </row>
    <row r="119" spans="1:11">
      <c r="A119" s="1037"/>
      <c r="B119" s="1038"/>
      <c r="C119" s="1026"/>
      <c r="D119" s="1026"/>
      <c r="E119" s="1026"/>
      <c r="F119" s="1059"/>
      <c r="G119" s="1054"/>
      <c r="H119" s="1269"/>
      <c r="I119" s="1056"/>
      <c r="J119" s="1111"/>
      <c r="K119" s="1025"/>
    </row>
    <row r="120" spans="1:11" ht="15.75">
      <c r="A120" s="1037"/>
      <c r="B120" s="1038"/>
      <c r="C120" s="1025"/>
      <c r="D120" s="1026"/>
      <c r="E120" s="1026"/>
      <c r="F120" s="1059"/>
      <c r="G120" s="1054"/>
      <c r="H120" s="1269"/>
      <c r="I120" s="1056"/>
      <c r="J120" s="1111"/>
      <c r="K120" s="1115"/>
    </row>
    <row r="121" spans="1:11" ht="15.75">
      <c r="A121" s="1037"/>
      <c r="B121" s="1038"/>
      <c r="C121" s="1026"/>
      <c r="D121" s="1026"/>
      <c r="E121" s="1026"/>
      <c r="F121" s="1059"/>
      <c r="G121" s="1054"/>
      <c r="H121" s="1269"/>
      <c r="I121" s="1056"/>
      <c r="J121" s="1111"/>
      <c r="K121" s="1115"/>
    </row>
    <row r="122" spans="1:11" ht="15.75">
      <c r="A122" s="1037"/>
      <c r="B122" s="1038"/>
      <c r="C122" s="1026"/>
      <c r="D122" s="1026"/>
      <c r="E122" s="1026"/>
      <c r="F122" s="1059"/>
      <c r="G122" s="1054"/>
      <c r="H122" s="1269"/>
      <c r="I122" s="1056"/>
      <c r="J122" s="1111"/>
      <c r="K122" s="1115"/>
    </row>
    <row r="123" spans="1:11" ht="15.75">
      <c r="A123" s="1037"/>
      <c r="B123" s="1038"/>
      <c r="C123" s="1026"/>
      <c r="D123" s="1026"/>
      <c r="E123" s="1026"/>
      <c r="F123" s="1059"/>
      <c r="G123" s="1054"/>
      <c r="H123" s="1269"/>
      <c r="I123" s="1056"/>
      <c r="J123" s="1111"/>
      <c r="K123" s="1115"/>
    </row>
    <row r="124" spans="1:11" ht="15.75">
      <c r="A124" s="1037"/>
      <c r="B124" s="1038"/>
      <c r="C124" s="1026"/>
      <c r="D124" s="1026"/>
      <c r="E124" s="1026"/>
      <c r="F124" s="1059"/>
      <c r="G124" s="1054"/>
      <c r="H124" s="1269"/>
      <c r="I124" s="1056"/>
      <c r="J124" s="1111"/>
      <c r="K124" s="1115"/>
    </row>
    <row r="125" spans="1:11">
      <c r="A125" s="1037"/>
      <c r="B125" s="1038"/>
      <c r="C125" s="1026"/>
      <c r="D125" s="1026"/>
      <c r="E125" s="1026"/>
      <c r="F125" s="1059"/>
      <c r="G125" s="1059"/>
      <c r="H125" s="1269"/>
      <c r="I125" s="1056"/>
      <c r="J125" s="1111"/>
      <c r="K125" s="1025"/>
    </row>
    <row r="126" spans="1:11">
      <c r="A126" s="1037"/>
      <c r="B126" s="1038"/>
      <c r="C126" s="1026"/>
      <c r="D126" s="1026"/>
      <c r="E126" s="1026"/>
      <c r="F126" s="1059"/>
      <c r="G126" s="1059"/>
      <c r="H126" s="1269"/>
      <c r="I126" s="1056"/>
      <c r="J126" s="1111"/>
      <c r="K126" s="1025"/>
    </row>
    <row r="127" spans="1:11" ht="15.75">
      <c r="A127" s="1037"/>
      <c r="B127" s="1038"/>
      <c r="C127" s="1026"/>
      <c r="D127" s="1026"/>
      <c r="E127" s="1026"/>
      <c r="F127" s="1059"/>
      <c r="G127" s="1054"/>
      <c r="H127" s="1269"/>
      <c r="I127" s="1056"/>
      <c r="J127" s="1111"/>
      <c r="K127" s="1115"/>
    </row>
    <row r="128" spans="1:11" ht="15.75">
      <c r="A128" s="1037"/>
      <c r="B128" s="1038"/>
      <c r="C128" s="1026"/>
      <c r="D128" s="1026"/>
      <c r="E128" s="1026"/>
      <c r="F128" s="1059"/>
      <c r="G128" s="1054"/>
      <c r="H128" s="1269"/>
      <c r="I128" s="1056"/>
      <c r="J128" s="1111"/>
      <c r="K128" s="1115"/>
    </row>
    <row r="129" spans="1:11" ht="15.75">
      <c r="A129" s="1037"/>
      <c r="B129" s="1038"/>
      <c r="C129" s="1026"/>
      <c r="D129" s="1026"/>
      <c r="E129" s="1026"/>
      <c r="F129" s="1059"/>
      <c r="G129" s="1054"/>
      <c r="H129" s="1269"/>
      <c r="I129" s="1056"/>
      <c r="J129" s="1111"/>
      <c r="K129" s="1115"/>
    </row>
    <row r="130" spans="1:11">
      <c r="A130" s="1037"/>
      <c r="B130" s="1038"/>
      <c r="C130" s="1026"/>
      <c r="D130" s="1026"/>
      <c r="E130" s="1026"/>
      <c r="F130" s="1059"/>
      <c r="G130" s="1054"/>
      <c r="H130" s="1269"/>
      <c r="I130" s="1056"/>
      <c r="J130" s="1111"/>
      <c r="K130" s="1025"/>
    </row>
    <row r="131" spans="1:11">
      <c r="A131" s="1037"/>
      <c r="B131" s="1038"/>
      <c r="C131" s="1026"/>
      <c r="D131" s="1026"/>
      <c r="E131" s="1026"/>
      <c r="F131" s="1059"/>
      <c r="G131" s="1054"/>
      <c r="H131" s="1269"/>
      <c r="I131" s="1056"/>
      <c r="J131" s="1111"/>
      <c r="K131" s="1025"/>
    </row>
    <row r="132" spans="1:11">
      <c r="A132" s="1037"/>
      <c r="B132" s="1038"/>
      <c r="C132" s="1026"/>
      <c r="D132" s="1026"/>
      <c r="E132" s="1026"/>
      <c r="F132" s="1059"/>
      <c r="G132" s="1059"/>
      <c r="H132" s="1269"/>
      <c r="I132" s="1056"/>
      <c r="J132" s="1111"/>
      <c r="K132" s="1025"/>
    </row>
    <row r="133" spans="1:11">
      <c r="A133" s="1037"/>
      <c r="B133" s="1038"/>
      <c r="C133" s="1026"/>
      <c r="D133" s="1026"/>
      <c r="E133" s="1026"/>
      <c r="F133" s="1059"/>
      <c r="G133" s="1059"/>
      <c r="H133" s="1269"/>
      <c r="I133" s="1056"/>
      <c r="J133" s="1111"/>
      <c r="K133" s="1025"/>
    </row>
    <row r="134" spans="1:11">
      <c r="A134" s="1037"/>
      <c r="B134" s="1038"/>
      <c r="C134" s="1026"/>
      <c r="D134" s="1026"/>
      <c r="E134" s="1026"/>
      <c r="F134" s="1059"/>
      <c r="G134" s="1059"/>
      <c r="H134" s="1269"/>
      <c r="I134" s="1056"/>
      <c r="J134" s="1111"/>
      <c r="K134" s="1025"/>
    </row>
    <row r="135" spans="1:11">
      <c r="A135" s="1037"/>
      <c r="B135" s="1038"/>
      <c r="C135" s="1026"/>
      <c r="D135" s="1026"/>
      <c r="E135" s="1026"/>
      <c r="F135" s="1059"/>
      <c r="G135" s="1059"/>
      <c r="H135" s="1269"/>
      <c r="I135" s="1056"/>
      <c r="J135" s="1111"/>
      <c r="K135" s="1025"/>
    </row>
    <row r="136" spans="1:11" ht="15.75">
      <c r="A136" s="1037"/>
      <c r="B136" s="1038"/>
      <c r="C136" s="1026"/>
      <c r="D136" s="1026"/>
      <c r="E136" s="1026"/>
      <c r="F136" s="1059"/>
      <c r="G136" s="1054"/>
      <c r="H136" s="1269"/>
      <c r="I136" s="1056"/>
      <c r="J136" s="1111"/>
      <c r="K136" s="1115"/>
    </row>
    <row r="137" spans="1:11" ht="15.75">
      <c r="A137" s="1037"/>
      <c r="B137" s="1038"/>
      <c r="C137" s="1026"/>
      <c r="D137" s="1026"/>
      <c r="E137" s="1026"/>
      <c r="F137" s="1059"/>
      <c r="G137" s="1059"/>
      <c r="H137" s="1269"/>
      <c r="I137" s="1056"/>
      <c r="J137" s="1111"/>
      <c r="K137" s="1115"/>
    </row>
    <row r="138" spans="1:11">
      <c r="A138" s="1037"/>
      <c r="B138" s="1038"/>
      <c r="C138" s="1026"/>
      <c r="D138" s="1026"/>
      <c r="E138" s="1026"/>
      <c r="F138" s="1059"/>
      <c r="G138" s="1059"/>
      <c r="H138" s="1269"/>
      <c r="I138" s="1056"/>
      <c r="J138" s="1111"/>
      <c r="K138" s="1025"/>
    </row>
    <row r="139" spans="1:11">
      <c r="A139" s="1037"/>
      <c r="B139" s="1038"/>
      <c r="C139" s="1026"/>
      <c r="D139" s="1026"/>
      <c r="E139" s="1026"/>
      <c r="F139" s="1059"/>
      <c r="G139" s="1054"/>
      <c r="H139" s="1269"/>
      <c r="I139" s="1056"/>
      <c r="J139" s="1111"/>
      <c r="K139" s="1025"/>
    </row>
    <row r="140" spans="1:11" ht="15.75">
      <c r="A140" s="1037"/>
      <c r="B140" s="1038"/>
      <c r="C140" s="1026"/>
      <c r="D140" s="1026"/>
      <c r="E140" s="1026"/>
      <c r="F140" s="1059"/>
      <c r="G140" s="1054"/>
      <c r="H140" s="1269"/>
      <c r="I140" s="1056"/>
      <c r="J140" s="1111"/>
      <c r="K140" s="1115"/>
    </row>
    <row r="141" spans="1:11">
      <c r="A141" s="1037"/>
      <c r="B141" s="1038"/>
      <c r="C141" s="1026"/>
      <c r="D141" s="1026"/>
      <c r="E141" s="1026"/>
      <c r="F141" s="1059"/>
      <c r="G141" s="1054"/>
      <c r="H141" s="1269"/>
      <c r="I141" s="1056"/>
      <c r="J141" s="1111"/>
      <c r="K141" s="1025"/>
    </row>
    <row r="142" spans="1:11">
      <c r="A142" s="1037"/>
      <c r="B142" s="1038"/>
      <c r="C142" s="1026"/>
      <c r="D142" s="1026"/>
      <c r="E142" s="1026"/>
      <c r="F142" s="1059"/>
      <c r="G142" s="1059"/>
      <c r="H142" s="1269"/>
      <c r="I142" s="1056"/>
      <c r="J142" s="1111"/>
      <c r="K142" s="1025"/>
    </row>
    <row r="143" spans="1:11">
      <c r="A143" s="1037"/>
      <c r="B143" s="1038"/>
      <c r="C143" s="1026"/>
      <c r="D143" s="1026"/>
      <c r="E143" s="1026"/>
      <c r="F143" s="1059"/>
      <c r="G143" s="1059"/>
      <c r="H143" s="1269"/>
      <c r="I143" s="1056"/>
      <c r="J143" s="1111"/>
      <c r="K143" s="1025"/>
    </row>
    <row r="144" spans="1:11" ht="15.75">
      <c r="A144" s="1037"/>
      <c r="B144" s="1038"/>
      <c r="C144" s="1026"/>
      <c r="D144" s="1026"/>
      <c r="E144" s="1026"/>
      <c r="F144" s="1059"/>
      <c r="G144" s="1054"/>
      <c r="H144" s="1269"/>
      <c r="I144" s="1056"/>
      <c r="J144" s="1111"/>
      <c r="K144" s="1115"/>
    </row>
    <row r="145" spans="1:11" ht="15.75">
      <c r="A145" s="1037"/>
      <c r="B145" s="1038"/>
      <c r="C145" s="1026"/>
      <c r="D145" s="1026"/>
      <c r="E145" s="1026"/>
      <c r="F145" s="1059"/>
      <c r="G145" s="1054"/>
      <c r="H145" s="1269"/>
      <c r="I145" s="1056"/>
      <c r="J145" s="1111"/>
      <c r="K145" s="1115"/>
    </row>
    <row r="146" spans="1:11" ht="15.75">
      <c r="A146" s="1037"/>
      <c r="B146" s="1038"/>
      <c r="C146" s="1026"/>
      <c r="D146" s="1026"/>
      <c r="E146" s="1026"/>
      <c r="F146" s="1059"/>
      <c r="G146" s="1054"/>
      <c r="H146" s="1269"/>
      <c r="I146" s="1056"/>
      <c r="J146" s="1111"/>
      <c r="K146" s="1115"/>
    </row>
    <row r="147" spans="1:11" ht="15.75">
      <c r="A147" s="1037"/>
      <c r="B147" s="1038"/>
      <c r="C147" s="1026"/>
      <c r="D147" s="1026"/>
      <c r="E147" s="1026"/>
      <c r="F147" s="1059"/>
      <c r="G147" s="1054"/>
      <c r="H147" s="1269"/>
      <c r="I147" s="1056"/>
      <c r="J147" s="1111"/>
      <c r="K147" s="1115"/>
    </row>
    <row r="148" spans="1:11" ht="15.75">
      <c r="A148" s="1037"/>
      <c r="B148" s="1038"/>
      <c r="C148" s="1026"/>
      <c r="D148" s="1026"/>
      <c r="E148" s="1026"/>
      <c r="F148" s="1059"/>
      <c r="G148" s="1054"/>
      <c r="H148" s="1269"/>
      <c r="I148" s="1056"/>
      <c r="J148" s="1111"/>
      <c r="K148" s="1115"/>
    </row>
    <row r="149" spans="1:11">
      <c r="A149" s="1037"/>
      <c r="B149" s="1038"/>
      <c r="C149" s="1026"/>
      <c r="D149" s="1026"/>
      <c r="E149" s="1026"/>
      <c r="F149" s="1059"/>
      <c r="G149" s="1054"/>
      <c r="H149" s="1269"/>
      <c r="I149" s="1056"/>
      <c r="J149" s="1111"/>
      <c r="K149" s="1025"/>
    </row>
    <row r="150" spans="1:11">
      <c r="A150" s="1037"/>
      <c r="B150" s="1038"/>
      <c r="C150" s="1025"/>
      <c r="D150" s="1026"/>
      <c r="E150" s="1026"/>
      <c r="F150" s="1061"/>
      <c r="G150" s="1054"/>
      <c r="H150" s="1055"/>
      <c r="I150" s="1056"/>
      <c r="J150" s="1111"/>
      <c r="K150" s="1025"/>
    </row>
    <row r="151" spans="1:11">
      <c r="A151" s="1037"/>
      <c r="B151" s="1038"/>
      <c r="C151" s="1026"/>
      <c r="D151" s="1026"/>
      <c r="E151" s="1026"/>
      <c r="F151" s="1059"/>
      <c r="G151" s="1054"/>
      <c r="H151" s="1269"/>
      <c r="I151" s="1056"/>
      <c r="J151" s="1111"/>
      <c r="K151" s="1025"/>
    </row>
    <row r="152" spans="1:11">
      <c r="A152" s="1037"/>
      <c r="B152" s="1038"/>
      <c r="C152" s="1026"/>
      <c r="D152" s="1026"/>
      <c r="E152" s="1026"/>
      <c r="F152" s="1059"/>
      <c r="G152" s="1054"/>
      <c r="H152" s="1269"/>
      <c r="I152" s="1056"/>
      <c r="J152" s="1111"/>
      <c r="K152" s="1025"/>
    </row>
    <row r="153" spans="1:11">
      <c r="A153" s="1037"/>
      <c r="B153" s="1038"/>
      <c r="C153" s="1026"/>
      <c r="D153" s="1026"/>
      <c r="E153" s="1026"/>
      <c r="F153" s="1059"/>
      <c r="G153" s="1059"/>
      <c r="H153" s="1269"/>
      <c r="I153" s="1056"/>
      <c r="J153" s="1111"/>
      <c r="K153" s="1025"/>
    </row>
    <row r="154" spans="1:11">
      <c r="A154" s="1037"/>
      <c r="B154" s="1038"/>
      <c r="C154" s="1026"/>
      <c r="D154" s="1026"/>
      <c r="E154" s="1026"/>
      <c r="F154" s="1059"/>
      <c r="G154" s="1059"/>
      <c r="H154" s="1269"/>
      <c r="I154" s="1056"/>
      <c r="J154" s="1111"/>
      <c r="K154" s="1025"/>
    </row>
    <row r="155" spans="1:11" ht="15.75">
      <c r="A155" s="1037"/>
      <c r="B155" s="1038"/>
      <c r="C155" s="1026"/>
      <c r="D155" s="1026"/>
      <c r="E155" s="1026"/>
      <c r="F155" s="1059"/>
      <c r="G155" s="1054"/>
      <c r="H155" s="1269"/>
      <c r="I155" s="1056"/>
      <c r="J155" s="1111"/>
      <c r="K155" s="1115"/>
    </row>
    <row r="156" spans="1:11">
      <c r="A156" s="1037"/>
      <c r="B156" s="1038"/>
      <c r="C156" s="1026"/>
      <c r="D156" s="1026"/>
      <c r="E156" s="1026"/>
      <c r="F156" s="1059"/>
      <c r="G156" s="1054"/>
      <c r="H156" s="1269"/>
      <c r="I156" s="1056"/>
      <c r="J156" s="1111"/>
      <c r="K156" s="1025"/>
    </row>
    <row r="157" spans="1:11">
      <c r="A157" s="1037"/>
      <c r="B157" s="1038"/>
      <c r="C157" s="1026"/>
      <c r="D157" s="1026"/>
      <c r="E157" s="1026"/>
      <c r="F157" s="1059"/>
      <c r="G157" s="1059"/>
      <c r="H157" s="1269"/>
      <c r="I157" s="1056"/>
      <c r="J157" s="1111"/>
      <c r="K157" s="1025"/>
    </row>
    <row r="158" spans="1:11">
      <c r="A158" s="1037"/>
      <c r="B158" s="1038"/>
      <c r="C158" s="1026"/>
      <c r="D158" s="1026"/>
      <c r="E158" s="1026"/>
      <c r="F158" s="1059"/>
      <c r="G158" s="1059"/>
      <c r="H158" s="1269"/>
      <c r="I158" s="1056"/>
      <c r="J158" s="1111"/>
      <c r="K158" s="1025"/>
    </row>
    <row r="159" spans="1:11">
      <c r="A159" s="1037"/>
      <c r="B159" s="1038"/>
      <c r="C159" s="1026"/>
      <c r="D159" s="1026"/>
      <c r="E159" s="1026"/>
      <c r="F159" s="1059"/>
      <c r="G159" s="1054"/>
      <c r="H159" s="1269"/>
      <c r="I159" s="1056"/>
      <c r="J159" s="1111"/>
      <c r="K159" s="1025"/>
    </row>
    <row r="160" spans="1:11">
      <c r="A160" s="1037"/>
      <c r="B160" s="1038"/>
      <c r="C160" s="1026"/>
      <c r="D160" s="1026"/>
      <c r="E160" s="1026"/>
      <c r="F160" s="1059"/>
      <c r="G160" s="1054"/>
      <c r="H160" s="1269"/>
      <c r="I160" s="1056"/>
      <c r="J160" s="1111"/>
      <c r="K160" s="1025"/>
    </row>
    <row r="161" spans="1:11">
      <c r="A161" s="1037"/>
      <c r="B161" s="1038"/>
      <c r="C161" s="1026"/>
      <c r="D161" s="1026"/>
      <c r="E161" s="1026"/>
      <c r="F161" s="1059"/>
      <c r="G161" s="1054"/>
      <c r="H161" s="1269"/>
      <c r="I161" s="1056"/>
      <c r="J161" s="1111"/>
      <c r="K161" s="1025"/>
    </row>
    <row r="162" spans="1:11" ht="15.75">
      <c r="A162" s="1037"/>
      <c r="B162" s="1038"/>
      <c r="C162" s="1026"/>
      <c r="D162" s="1026"/>
      <c r="E162" s="1026"/>
      <c r="F162" s="1059"/>
      <c r="G162" s="1054"/>
      <c r="H162" s="1269"/>
      <c r="I162" s="1056"/>
      <c r="J162" s="1111"/>
      <c r="K162" s="1115"/>
    </row>
    <row r="163" spans="1:11">
      <c r="A163" s="1037"/>
      <c r="B163" s="1038"/>
      <c r="C163" s="1026"/>
      <c r="D163" s="1026"/>
      <c r="E163" s="1026"/>
      <c r="F163" s="1059"/>
      <c r="G163" s="1054"/>
      <c r="H163" s="1269"/>
      <c r="I163" s="1056"/>
      <c r="J163" s="1111"/>
      <c r="K163" s="1025"/>
    </row>
    <row r="164" spans="1:11">
      <c r="A164" s="1037"/>
      <c r="B164" s="1038"/>
      <c r="C164" s="290"/>
      <c r="D164" s="1026"/>
      <c r="E164" s="1026"/>
      <c r="F164" s="1059"/>
      <c r="G164" s="1054"/>
      <c r="H164" s="1269"/>
      <c r="I164" s="1056"/>
      <c r="J164" s="1111"/>
      <c r="K164" s="1025"/>
    </row>
    <row r="165" spans="1:11">
      <c r="A165" s="1037"/>
      <c r="B165" s="1038"/>
      <c r="C165" s="1026"/>
      <c r="D165" s="1026"/>
      <c r="E165" s="1026"/>
      <c r="F165" s="1059"/>
      <c r="G165" s="1054"/>
      <c r="H165" s="1269"/>
      <c r="I165" s="1056"/>
      <c r="J165" s="1111"/>
      <c r="K165" s="1025"/>
    </row>
    <row r="166" spans="1:11">
      <c r="A166" s="1037"/>
      <c r="B166" s="1038"/>
      <c r="C166" s="1026"/>
      <c r="D166" s="1026"/>
      <c r="E166" s="1026"/>
      <c r="F166" s="1059"/>
      <c r="G166" s="1054"/>
      <c r="H166" s="1269"/>
      <c r="I166" s="1056"/>
      <c r="J166" s="1111"/>
      <c r="K166" s="1025"/>
    </row>
    <row r="167" spans="1:11">
      <c r="A167" s="1037"/>
      <c r="B167" s="1038"/>
      <c r="C167" s="1026"/>
      <c r="D167" s="1026"/>
      <c r="E167" s="1026"/>
      <c r="F167" s="1059"/>
      <c r="G167" s="1054"/>
      <c r="H167" s="1269"/>
      <c r="I167" s="1056"/>
      <c r="J167" s="1111"/>
      <c r="K167" s="1025"/>
    </row>
    <row r="168" spans="1:11">
      <c r="A168" s="1037"/>
      <c r="B168" s="1038"/>
      <c r="C168" s="1026"/>
      <c r="D168" s="1026"/>
      <c r="E168" s="1026"/>
      <c r="F168" s="1059"/>
      <c r="G168" s="1054"/>
      <c r="H168" s="1269"/>
      <c r="I168" s="1056"/>
      <c r="J168" s="1111"/>
      <c r="K168" s="1025"/>
    </row>
    <row r="169" spans="1:11">
      <c r="A169" s="1037"/>
      <c r="B169" s="1038"/>
      <c r="C169" s="1026"/>
      <c r="D169" s="1026"/>
      <c r="E169" s="1026"/>
      <c r="F169" s="1059"/>
      <c r="G169" s="1054"/>
      <c r="H169" s="1269"/>
      <c r="I169" s="1056"/>
      <c r="J169" s="1111"/>
      <c r="K169" s="1025"/>
    </row>
    <row r="170" spans="1:11">
      <c r="A170" s="1037"/>
      <c r="B170" s="1038"/>
      <c r="C170" s="1026"/>
      <c r="D170" s="1026"/>
      <c r="E170" s="1026"/>
      <c r="F170" s="1059"/>
      <c r="G170" s="1054"/>
      <c r="H170" s="1269"/>
      <c r="I170" s="1056"/>
      <c r="J170" s="1111"/>
      <c r="K170" s="1025"/>
    </row>
    <row r="171" spans="1:11">
      <c r="A171" s="1037"/>
      <c r="B171" s="1038"/>
      <c r="C171" s="1026"/>
      <c r="D171" s="1026"/>
      <c r="E171" s="1026"/>
      <c r="F171" s="1059"/>
      <c r="G171" s="1054"/>
      <c r="H171" s="1269"/>
      <c r="I171" s="1056"/>
      <c r="J171" s="1111"/>
      <c r="K171" s="1025"/>
    </row>
    <row r="172" spans="1:11">
      <c r="A172" s="1037"/>
      <c r="B172" s="1038"/>
      <c r="C172" s="1026"/>
      <c r="D172" s="1026"/>
      <c r="E172" s="1026"/>
      <c r="F172" s="1059"/>
      <c r="G172" s="1054"/>
      <c r="H172" s="1269"/>
      <c r="I172" s="1056"/>
      <c r="J172" s="1111"/>
      <c r="K172" s="1025"/>
    </row>
    <row r="173" spans="1:11">
      <c r="A173" s="1037"/>
      <c r="B173" s="1038"/>
      <c r="C173" s="1026"/>
      <c r="D173" s="1026"/>
      <c r="E173" s="1026"/>
      <c r="F173" s="1059"/>
      <c r="G173" s="1059"/>
      <c r="H173" s="1269"/>
      <c r="I173" s="1056"/>
      <c r="J173" s="1111"/>
      <c r="K173" s="1025"/>
    </row>
    <row r="174" spans="1:11">
      <c r="A174" s="1037"/>
      <c r="B174" s="1038"/>
      <c r="C174" s="1026"/>
      <c r="D174" s="1026"/>
      <c r="E174" s="1026"/>
      <c r="F174" s="1059"/>
      <c r="G174" s="1059"/>
      <c r="H174" s="1269"/>
      <c r="I174" s="1056"/>
      <c r="J174" s="1111"/>
      <c r="K174" s="1025"/>
    </row>
    <row r="175" spans="1:11">
      <c r="A175" s="1037"/>
      <c r="B175" s="1038"/>
      <c r="C175" s="1026"/>
      <c r="D175" s="1026"/>
      <c r="E175" s="1026"/>
      <c r="F175" s="1059"/>
      <c r="G175" s="1054"/>
      <c r="H175" s="1269"/>
      <c r="I175" s="1056"/>
      <c r="J175" s="1111"/>
      <c r="K175" s="1025"/>
    </row>
    <row r="176" spans="1:11">
      <c r="A176" s="1037"/>
      <c r="B176" s="1038"/>
      <c r="C176" s="1026"/>
      <c r="D176" s="1026"/>
      <c r="E176" s="1026"/>
      <c r="F176" s="1059"/>
      <c r="G176" s="1054"/>
      <c r="H176" s="1269"/>
      <c r="I176" s="1056"/>
      <c r="J176" s="1111"/>
      <c r="K176" s="1025"/>
    </row>
    <row r="177" spans="1:11">
      <c r="A177" s="1037"/>
      <c r="B177" s="1038"/>
      <c r="C177" s="1026"/>
      <c r="D177" s="1026"/>
      <c r="E177" s="1026"/>
      <c r="F177" s="1059"/>
      <c r="G177" s="1054"/>
      <c r="H177" s="1269"/>
      <c r="I177" s="1056"/>
      <c r="J177" s="1111"/>
      <c r="K177" s="1025"/>
    </row>
    <row r="178" spans="1:11" ht="15.75">
      <c r="A178" s="1037"/>
      <c r="B178" s="1038"/>
      <c r="C178" s="1026"/>
      <c r="D178" s="1026"/>
      <c r="E178" s="1026"/>
      <c r="F178" s="1059"/>
      <c r="G178" s="1059"/>
      <c r="H178" s="1269"/>
      <c r="I178" s="1056"/>
      <c r="J178" s="1111"/>
      <c r="K178" s="1115"/>
    </row>
    <row r="179" spans="1:11">
      <c r="A179" s="1037"/>
      <c r="B179" s="1038"/>
      <c r="C179" s="1026"/>
      <c r="D179" s="1026"/>
      <c r="E179" s="1026"/>
      <c r="F179" s="1059"/>
      <c r="G179" s="1059"/>
      <c r="H179" s="1269"/>
      <c r="I179" s="1056"/>
      <c r="J179" s="1111"/>
      <c r="K179" s="1025"/>
    </row>
    <row r="180" spans="1:11" ht="15.75">
      <c r="A180" s="1037"/>
      <c r="B180" s="1038"/>
      <c r="C180" s="1026"/>
      <c r="D180" s="1026"/>
      <c r="E180" s="1026"/>
      <c r="F180" s="1059"/>
      <c r="G180" s="1054"/>
      <c r="H180" s="1269"/>
      <c r="I180" s="1056"/>
      <c r="J180" s="1111"/>
      <c r="K180" s="1115"/>
    </row>
    <row r="181" spans="1:11" ht="15.75">
      <c r="A181" s="1037"/>
      <c r="B181" s="1038"/>
      <c r="C181" s="1026"/>
      <c r="D181" s="1026"/>
      <c r="E181" s="1026"/>
      <c r="F181" s="1059"/>
      <c r="G181" s="1054"/>
      <c r="H181" s="1269"/>
      <c r="I181" s="1056"/>
      <c r="J181" s="1111"/>
      <c r="K181" s="1115"/>
    </row>
    <row r="182" spans="1:11" ht="15.75">
      <c r="A182" s="1037"/>
      <c r="B182" s="1038"/>
      <c r="C182" s="1026"/>
      <c r="D182" s="1026"/>
      <c r="E182" s="1026"/>
      <c r="F182" s="1059"/>
      <c r="G182" s="1054"/>
      <c r="H182" s="1269"/>
      <c r="I182" s="1056"/>
      <c r="J182" s="1111"/>
      <c r="K182" s="1115"/>
    </row>
    <row r="183" spans="1:11" ht="15.75">
      <c r="A183" s="1037"/>
      <c r="B183" s="1038"/>
      <c r="C183" s="1026"/>
      <c r="D183" s="1026"/>
      <c r="E183" s="1026"/>
      <c r="F183" s="1059"/>
      <c r="G183" s="1054"/>
      <c r="H183" s="1269"/>
      <c r="I183" s="1056"/>
      <c r="J183" s="1111"/>
      <c r="K183" s="1115"/>
    </row>
    <row r="184" spans="1:11" ht="15.75">
      <c r="A184" s="1037"/>
      <c r="B184" s="1038"/>
      <c r="C184" s="1026"/>
      <c r="D184" s="1026"/>
      <c r="E184" s="1026"/>
      <c r="F184" s="1059"/>
      <c r="G184" s="1059"/>
      <c r="H184" s="1269"/>
      <c r="I184" s="1056"/>
      <c r="J184" s="1111"/>
      <c r="K184" s="1115"/>
    </row>
    <row r="185" spans="1:11">
      <c r="A185" s="1037"/>
      <c r="B185" s="1038"/>
      <c r="C185" s="1026"/>
      <c r="D185" s="1026"/>
      <c r="E185" s="1026"/>
      <c r="F185" s="1059"/>
      <c r="G185" s="1059"/>
      <c r="H185" s="1269"/>
      <c r="I185" s="1056"/>
      <c r="J185" s="1111"/>
      <c r="K185" s="1025"/>
    </row>
    <row r="186" spans="1:11" ht="15.75">
      <c r="A186" s="1037"/>
      <c r="B186" s="1038"/>
      <c r="C186" s="1026"/>
      <c r="D186" s="1026"/>
      <c r="E186" s="1026"/>
      <c r="F186" s="1059"/>
      <c r="G186" s="1054"/>
      <c r="H186" s="1269"/>
      <c r="I186" s="1056"/>
      <c r="J186" s="1111"/>
      <c r="K186" s="1115"/>
    </row>
    <row r="187" spans="1:11">
      <c r="A187" s="1037"/>
      <c r="B187" s="1038"/>
      <c r="C187" s="1026"/>
      <c r="D187" s="1026"/>
      <c r="E187" s="1026"/>
      <c r="F187" s="1059"/>
      <c r="G187" s="1059"/>
      <c r="H187" s="1269"/>
      <c r="I187" s="1056"/>
      <c r="J187" s="1111"/>
      <c r="K187" s="1025"/>
    </row>
    <row r="188" spans="1:11">
      <c r="A188" s="1037"/>
      <c r="B188" s="1038"/>
      <c r="C188" s="1026"/>
      <c r="D188" s="1026"/>
      <c r="E188" s="1026"/>
      <c r="F188" s="1059"/>
      <c r="G188" s="1059"/>
      <c r="H188" s="1269"/>
      <c r="I188" s="1056"/>
      <c r="J188" s="1111"/>
      <c r="K188" s="1025"/>
    </row>
    <row r="189" spans="1:11">
      <c r="A189" s="1037"/>
      <c r="B189" s="1038"/>
      <c r="C189" s="1026"/>
      <c r="D189" s="1026"/>
      <c r="E189" s="1026"/>
      <c r="F189" s="1059"/>
      <c r="G189" s="1059"/>
      <c r="H189" s="1269"/>
      <c r="I189" s="1056"/>
      <c r="J189" s="1111"/>
      <c r="K189" s="1025"/>
    </row>
    <row r="190" spans="1:11">
      <c r="A190" s="1037"/>
      <c r="B190" s="1038"/>
      <c r="C190" s="1026"/>
      <c r="D190" s="1026"/>
      <c r="E190" s="1026"/>
      <c r="F190" s="1059"/>
      <c r="G190" s="1059"/>
      <c r="H190" s="1269"/>
      <c r="I190" s="1056"/>
      <c r="J190" s="1111"/>
      <c r="K190" s="1025"/>
    </row>
    <row r="191" spans="1:11">
      <c r="A191" s="1037"/>
      <c r="B191" s="1038"/>
      <c r="C191" s="1026"/>
      <c r="D191" s="1026"/>
      <c r="E191" s="1026"/>
      <c r="F191" s="1059"/>
      <c r="G191" s="1054"/>
      <c r="H191" s="1269"/>
      <c r="I191" s="1056"/>
      <c r="J191" s="1111"/>
      <c r="K191" s="1025"/>
    </row>
    <row r="192" spans="1:11">
      <c r="A192" s="1037"/>
      <c r="B192" s="1038"/>
      <c r="C192" s="1026"/>
      <c r="D192" s="1026"/>
      <c r="E192" s="1026"/>
      <c r="F192" s="1059"/>
      <c r="G192" s="1054"/>
      <c r="H192" s="1269"/>
      <c r="I192" s="1056"/>
      <c r="J192" s="1111"/>
      <c r="K192" s="1025"/>
    </row>
    <row r="193" spans="1:11">
      <c r="A193" s="1037"/>
      <c r="B193" s="1038"/>
      <c r="C193" s="1026"/>
      <c r="D193" s="1026"/>
      <c r="E193" s="1026"/>
      <c r="F193" s="1059"/>
      <c r="G193" s="1054"/>
      <c r="H193" s="1269"/>
      <c r="I193" s="1056"/>
      <c r="J193" s="1111"/>
      <c r="K193" s="1025"/>
    </row>
    <row r="194" spans="1:11">
      <c r="A194" s="1037"/>
      <c r="B194" s="1038"/>
      <c r="C194" s="1026"/>
      <c r="D194" s="1026"/>
      <c r="E194" s="1026"/>
      <c r="F194" s="1059"/>
      <c r="G194" s="1054"/>
      <c r="H194" s="1269"/>
      <c r="I194" s="1056"/>
      <c r="J194" s="1111"/>
      <c r="K194" s="1025"/>
    </row>
    <row r="195" spans="1:11">
      <c r="A195" s="1037"/>
      <c r="B195" s="1038"/>
      <c r="C195" s="1026"/>
      <c r="D195" s="1026"/>
      <c r="E195" s="1026"/>
      <c r="F195" s="1059"/>
      <c r="G195" s="1054"/>
      <c r="H195" s="1269"/>
      <c r="I195" s="1056"/>
      <c r="J195" s="1111"/>
      <c r="K195" s="1025"/>
    </row>
    <row r="196" spans="1:11">
      <c r="A196" s="1037"/>
      <c r="B196" s="1038"/>
      <c r="C196" s="1026"/>
      <c r="D196" s="1026"/>
      <c r="E196" s="1026"/>
      <c r="F196" s="1059"/>
      <c r="G196" s="1054"/>
      <c r="H196" s="1269"/>
      <c r="I196" s="1056"/>
      <c r="J196" s="1111"/>
      <c r="K196" s="1025"/>
    </row>
    <row r="197" spans="1:11">
      <c r="A197" s="1037"/>
      <c r="B197" s="1038"/>
      <c r="C197" s="1026"/>
      <c r="D197" s="1026"/>
      <c r="E197" s="1026"/>
      <c r="F197" s="1059"/>
      <c r="G197" s="1054"/>
      <c r="H197" s="1269"/>
      <c r="I197" s="1056"/>
      <c r="J197" s="1111"/>
      <c r="K197" s="1025"/>
    </row>
    <row r="198" spans="1:11">
      <c r="A198" s="1037"/>
      <c r="B198" s="1038"/>
      <c r="C198" s="1026"/>
      <c r="D198" s="1026"/>
      <c r="E198" s="1026"/>
      <c r="F198" s="1059"/>
      <c r="G198" s="1059"/>
      <c r="H198" s="1269"/>
      <c r="I198" s="1056"/>
      <c r="J198" s="1111"/>
      <c r="K198" s="1025"/>
    </row>
    <row r="199" spans="1:11">
      <c r="A199" s="1037"/>
      <c r="B199" s="1038"/>
      <c r="C199" s="1026"/>
      <c r="D199" s="1026"/>
      <c r="E199" s="1026"/>
      <c r="F199" s="1059"/>
      <c r="G199" s="1059"/>
      <c r="H199" s="1269"/>
      <c r="I199" s="1056"/>
      <c r="J199" s="1111"/>
      <c r="K199" s="1025"/>
    </row>
    <row r="200" spans="1:11" ht="15.75">
      <c r="A200" s="1037"/>
      <c r="B200" s="1038"/>
      <c r="C200" s="1026"/>
      <c r="D200" s="1026"/>
      <c r="E200" s="1026"/>
      <c r="F200" s="1059"/>
      <c r="G200" s="1054"/>
      <c r="H200" s="1269"/>
      <c r="I200" s="1056"/>
      <c r="J200" s="1111"/>
      <c r="K200" s="1115"/>
    </row>
    <row r="201" spans="1:11">
      <c r="A201" s="1037"/>
      <c r="B201" s="1038"/>
      <c r="C201" s="1026"/>
      <c r="D201" s="1026"/>
      <c r="E201" s="1026"/>
      <c r="F201" s="1059"/>
      <c r="G201" s="1054"/>
      <c r="H201" s="1269"/>
      <c r="I201" s="1056"/>
      <c r="J201" s="1111"/>
      <c r="K201" s="1025"/>
    </row>
    <row r="202" spans="1:11">
      <c r="A202" s="1037"/>
      <c r="B202" s="1038"/>
      <c r="C202" s="1025"/>
      <c r="D202" s="1025"/>
      <c r="E202" s="1025"/>
      <c r="F202" s="1061"/>
      <c r="G202" s="1054"/>
      <c r="H202" s="1269"/>
      <c r="I202" s="1056"/>
      <c r="J202" s="1111"/>
      <c r="K202" s="1025"/>
    </row>
    <row r="203" spans="1:11">
      <c r="A203" s="1037"/>
      <c r="B203" s="1038"/>
      <c r="C203" s="1026"/>
      <c r="D203" s="1026"/>
      <c r="E203" s="1026"/>
      <c r="F203" s="1061"/>
      <c r="G203" s="1054"/>
      <c r="H203" s="1269"/>
      <c r="I203" s="1056"/>
      <c r="J203" s="1111"/>
      <c r="K203" s="1025"/>
    </row>
    <row r="204" spans="1:11" ht="15.75">
      <c r="A204" s="1037"/>
      <c r="B204" s="1038"/>
      <c r="C204" s="1026"/>
      <c r="D204" s="1026"/>
      <c r="E204" s="1026"/>
      <c r="F204" s="1059"/>
      <c r="G204" s="1059"/>
      <c r="H204" s="1269"/>
      <c r="I204" s="1056"/>
      <c r="J204" s="1111"/>
      <c r="K204" s="1115"/>
    </row>
    <row r="205" spans="1:11">
      <c r="A205" s="1037"/>
      <c r="B205" s="1038"/>
      <c r="C205" s="1026"/>
      <c r="D205" s="1026"/>
      <c r="E205" s="1026"/>
      <c r="F205" s="1059"/>
      <c r="G205" s="1059"/>
      <c r="H205" s="1269"/>
      <c r="I205" s="1056"/>
      <c r="J205" s="1111"/>
      <c r="K205" s="1025"/>
    </row>
    <row r="206" spans="1:11" ht="15.75">
      <c r="A206" s="1037"/>
      <c r="B206" s="1038"/>
      <c r="C206" s="1026"/>
      <c r="D206" s="1026"/>
      <c r="E206" s="1026"/>
      <c r="F206" s="1059"/>
      <c r="G206" s="1054"/>
      <c r="H206" s="1269"/>
      <c r="I206" s="1056"/>
      <c r="J206" s="1111"/>
      <c r="K206" s="1115"/>
    </row>
    <row r="207" spans="1:11" ht="15.75">
      <c r="A207" s="1037"/>
      <c r="B207" s="1038"/>
      <c r="C207" s="1026"/>
      <c r="D207" s="1026"/>
      <c r="E207" s="1026"/>
      <c r="F207" s="1059"/>
      <c r="G207" s="1054"/>
      <c r="H207" s="1269"/>
      <c r="I207" s="1056"/>
      <c r="J207" s="1111"/>
      <c r="K207" s="1115"/>
    </row>
    <row r="208" spans="1:11" ht="15.75">
      <c r="A208" s="1037"/>
      <c r="B208" s="1038"/>
      <c r="C208" s="1026"/>
      <c r="D208" s="1026"/>
      <c r="E208" s="1026"/>
      <c r="F208" s="1059"/>
      <c r="G208" s="1054"/>
      <c r="H208" s="1269"/>
      <c r="I208" s="1056"/>
      <c r="J208" s="1111"/>
      <c r="K208" s="1115"/>
    </row>
    <row r="209" spans="1:11" ht="15.75">
      <c r="A209" s="1037"/>
      <c r="B209" s="1038"/>
      <c r="C209" s="1026"/>
      <c r="D209" s="1026"/>
      <c r="E209" s="1026"/>
      <c r="F209" s="1059"/>
      <c r="G209" s="1054"/>
      <c r="H209" s="1269"/>
      <c r="I209" s="1056"/>
      <c r="J209" s="1111"/>
      <c r="K209" s="1115"/>
    </row>
    <row r="210" spans="1:11" ht="15.75">
      <c r="A210" s="1037"/>
      <c r="B210" s="1038"/>
      <c r="C210" s="1026"/>
      <c r="D210" s="1026"/>
      <c r="E210" s="1026"/>
      <c r="F210" s="1059"/>
      <c r="G210" s="1054"/>
      <c r="H210" s="1269"/>
      <c r="I210" s="1056"/>
      <c r="J210" s="1111"/>
      <c r="K210" s="1115"/>
    </row>
    <row r="211" spans="1:11" ht="15.75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115"/>
    </row>
    <row r="212" spans="1:11" ht="15.75">
      <c r="A212" s="1037"/>
      <c r="B212" s="1038"/>
      <c r="C212" s="1026"/>
      <c r="D212" s="1026"/>
      <c r="E212" s="1026"/>
      <c r="F212" s="1059"/>
      <c r="G212" s="1054"/>
      <c r="H212" s="1269"/>
      <c r="I212" s="1056"/>
      <c r="J212" s="1111"/>
      <c r="K212" s="1115"/>
    </row>
    <row r="213" spans="1:11" ht="15.75">
      <c r="A213" s="1037"/>
      <c r="B213" s="1038"/>
      <c r="C213" s="1026"/>
      <c r="D213" s="1026"/>
      <c r="E213" s="1026"/>
      <c r="F213" s="1059"/>
      <c r="G213" s="1054"/>
      <c r="H213" s="1269"/>
      <c r="I213" s="1056"/>
      <c r="J213" s="1111"/>
      <c r="K213" s="1115"/>
    </row>
    <row r="214" spans="1:11" ht="15.75">
      <c r="A214" s="1037"/>
      <c r="B214" s="1038"/>
      <c r="C214" s="1026"/>
      <c r="D214" s="1026"/>
      <c r="F214" s="1059"/>
      <c r="G214" s="1054"/>
      <c r="H214" s="1269"/>
      <c r="I214" s="1056"/>
      <c r="J214" s="1111"/>
      <c r="K214" s="1115"/>
    </row>
    <row r="215" spans="1:11" ht="15.75">
      <c r="A215" s="1037"/>
      <c r="B215" s="1038"/>
      <c r="C215" s="1026"/>
      <c r="D215" s="1026"/>
      <c r="E215" s="1026"/>
      <c r="F215" s="1059"/>
      <c r="G215" s="1054"/>
      <c r="H215" s="1269"/>
      <c r="I215" s="1056"/>
      <c r="J215" s="1111"/>
      <c r="K215" s="1115"/>
    </row>
    <row r="216" spans="1:11" ht="15.75">
      <c r="A216" s="1037"/>
      <c r="B216" s="1038"/>
      <c r="C216" s="1026"/>
      <c r="D216" s="1026"/>
      <c r="E216" s="1026"/>
      <c r="F216" s="1059"/>
      <c r="G216" s="1054"/>
      <c r="H216" s="1269"/>
      <c r="I216" s="1056"/>
      <c r="J216" s="1111"/>
      <c r="K216" s="1115"/>
    </row>
    <row r="217" spans="1:11" ht="15.75">
      <c r="A217" s="1037"/>
      <c r="B217" s="1038"/>
      <c r="C217" s="1026"/>
      <c r="D217" s="1026"/>
      <c r="E217" s="1026"/>
      <c r="F217" s="1059"/>
      <c r="G217" s="1054"/>
      <c r="H217" s="1269"/>
      <c r="I217" s="1056"/>
      <c r="J217" s="1111"/>
      <c r="K217" s="1115"/>
    </row>
    <row r="218" spans="1:11" ht="15.75">
      <c r="A218" s="1037"/>
      <c r="B218" s="1038"/>
      <c r="C218" s="1026"/>
      <c r="D218" s="1026"/>
      <c r="E218" s="1026"/>
      <c r="F218" s="1059"/>
      <c r="G218" s="1054"/>
      <c r="H218" s="1269"/>
      <c r="I218" s="1056"/>
      <c r="J218" s="1111"/>
      <c r="K218" s="1115"/>
    </row>
    <row r="219" spans="1:11">
      <c r="A219" s="1037"/>
      <c r="B219" s="1038"/>
      <c r="C219" s="1026"/>
      <c r="D219" s="1026"/>
      <c r="E219" s="1026"/>
      <c r="F219" s="1059"/>
      <c r="G219" s="1054"/>
      <c r="H219" s="1269"/>
      <c r="I219" s="1056"/>
      <c r="J219" s="1111"/>
      <c r="K219" s="1025"/>
    </row>
    <row r="220" spans="1:11">
      <c r="A220" s="1039"/>
      <c r="B220" s="1039"/>
      <c r="C220" s="1025"/>
      <c r="D220" s="1025"/>
      <c r="E220" s="1025"/>
      <c r="F220" s="1061"/>
      <c r="G220" s="1062"/>
      <c r="H220" s="1269"/>
      <c r="I220" s="1056"/>
      <c r="J220" s="1111"/>
      <c r="K220" s="1025"/>
    </row>
    <row r="221" spans="1:11">
      <c r="A221" s="1039"/>
      <c r="B221" s="1039"/>
      <c r="C221" s="1025"/>
      <c r="D221" s="1025"/>
      <c r="E221" s="1025"/>
      <c r="F221" s="1061"/>
      <c r="G221" s="1062"/>
      <c r="H221" s="1269"/>
      <c r="I221" s="1056"/>
      <c r="J221" s="1111"/>
      <c r="K221" s="1025"/>
    </row>
    <row r="222" spans="1:11">
      <c r="A222" s="1039"/>
      <c r="B222" s="1039"/>
      <c r="C222" s="1025"/>
      <c r="D222" s="1025"/>
      <c r="E222" s="1025"/>
      <c r="F222" s="1061"/>
      <c r="G222" s="1062"/>
      <c r="H222" s="1269"/>
      <c r="I222" s="1056"/>
      <c r="J222" s="1111"/>
      <c r="K222" s="1025"/>
    </row>
    <row r="223" spans="1:11">
      <c r="A223" s="1039"/>
      <c r="B223" s="1039"/>
      <c r="C223" s="1025"/>
      <c r="D223" s="1025"/>
      <c r="E223" s="1025"/>
      <c r="F223" s="1061"/>
      <c r="G223" s="1062"/>
      <c r="H223" s="1269"/>
      <c r="I223" s="1056"/>
      <c r="J223" s="1111"/>
      <c r="K223" s="1025"/>
    </row>
    <row r="224" spans="1:11">
      <c r="A224" s="1039"/>
      <c r="B224" s="1039"/>
      <c r="C224" s="1025"/>
      <c r="D224" s="1025"/>
      <c r="E224" s="1025"/>
      <c r="F224" s="1061"/>
      <c r="G224" s="1062"/>
      <c r="H224" s="1269"/>
      <c r="I224" s="1056"/>
      <c r="J224" s="1111"/>
      <c r="K224" s="1025"/>
    </row>
    <row r="225" spans="1:11">
      <c r="A225" s="1039"/>
      <c r="B225" s="1039"/>
      <c r="C225" s="1025"/>
      <c r="D225" s="1025"/>
      <c r="E225" s="1025"/>
      <c r="F225" s="1061"/>
      <c r="G225" s="1062"/>
      <c r="H225" s="1269"/>
      <c r="I225" s="1056"/>
      <c r="J225" s="1111"/>
      <c r="K225" s="1025"/>
    </row>
    <row r="226" spans="1:11">
      <c r="A226" s="1039"/>
      <c r="B226" s="1039"/>
      <c r="C226" s="1025"/>
      <c r="D226" s="1025"/>
      <c r="E226" s="1025"/>
      <c r="F226" s="1061"/>
      <c r="G226" s="1062"/>
      <c r="H226" s="1269"/>
      <c r="I226" s="1056"/>
      <c r="J226" s="1111"/>
      <c r="K226" s="1025"/>
    </row>
    <row r="227" spans="1:11">
      <c r="A227" s="1039"/>
      <c r="B227" s="1039"/>
      <c r="C227" s="1025"/>
      <c r="D227" s="1025"/>
      <c r="E227" s="1025"/>
      <c r="F227" s="1061"/>
      <c r="G227" s="1062"/>
      <c r="H227" s="1269"/>
      <c r="I227" s="1056"/>
      <c r="J227" s="1111"/>
      <c r="K227" s="1025"/>
    </row>
    <row r="228" spans="1:11">
      <c r="A228" s="1039"/>
      <c r="B228" s="1039"/>
      <c r="C228" s="1025"/>
      <c r="D228" s="1025"/>
      <c r="E228" s="1025"/>
      <c r="F228" s="1061"/>
      <c r="G228" s="1062"/>
      <c r="H228" s="1269"/>
      <c r="I228" s="1056"/>
      <c r="J228" s="1111"/>
      <c r="K228" s="1025"/>
    </row>
    <row r="229" spans="1:11">
      <c r="A229" s="1039"/>
      <c r="B229" s="1039"/>
      <c r="C229" s="1025"/>
      <c r="D229" s="1025"/>
      <c r="E229" s="1025"/>
      <c r="F229" s="1061"/>
      <c r="G229" s="1062"/>
      <c r="H229" s="1269"/>
      <c r="I229" s="1056"/>
      <c r="J229" s="1111"/>
      <c r="K229" s="1025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1025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1025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1025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1025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1025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1025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1025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1025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1025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1025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1025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1025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1025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1025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1025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1025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1025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1025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1025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1025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1025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1025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1025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1025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1025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1025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1025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1025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1025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1025"/>
    </row>
    <row r="260" spans="1:11">
      <c r="A260" s="1039"/>
      <c r="B260" s="1039"/>
      <c r="C260" s="1025"/>
      <c r="D260" s="1025"/>
      <c r="E260" s="1025"/>
      <c r="F260" s="1061"/>
      <c r="G260" s="1062"/>
      <c r="H260" s="1269"/>
      <c r="I260" s="1056"/>
      <c r="J260" s="1111"/>
      <c r="K260" s="1025"/>
    </row>
    <row r="261" spans="1:11">
      <c r="A261" s="1039"/>
      <c r="B261" s="1039"/>
      <c r="C261" s="1025"/>
      <c r="D261" s="1025"/>
      <c r="E261" s="1025"/>
      <c r="F261" s="1061"/>
      <c r="G261" s="1062"/>
      <c r="H261" s="1269"/>
      <c r="I261" s="1056"/>
      <c r="J261" s="1111"/>
      <c r="K261" s="1025"/>
    </row>
    <row r="262" spans="1:11">
      <c r="A262" s="1039"/>
      <c r="B262" s="1039"/>
      <c r="C262" s="1025"/>
      <c r="D262" s="1025"/>
      <c r="E262" s="1025"/>
      <c r="F262" s="1061"/>
      <c r="G262" s="1062"/>
      <c r="H262" s="1269"/>
      <c r="I262" s="1056"/>
      <c r="J262" s="1111"/>
      <c r="K262" s="1025"/>
    </row>
    <row r="263" spans="1:11">
      <c r="A263" s="1039"/>
      <c r="B263" s="1039"/>
      <c r="C263" s="1025"/>
      <c r="D263" s="1025"/>
      <c r="E263" s="1025"/>
      <c r="F263" s="1061"/>
      <c r="G263" s="1062"/>
      <c r="H263" s="1269"/>
      <c r="I263" s="1056"/>
      <c r="J263" s="1111"/>
      <c r="K263" s="1025"/>
    </row>
    <row r="264" spans="1:11">
      <c r="A264" s="1039"/>
      <c r="B264" s="1039"/>
      <c r="C264" s="1025"/>
      <c r="D264" s="1025"/>
      <c r="E264" s="1025"/>
      <c r="F264" s="1061"/>
      <c r="G264" s="1062"/>
      <c r="H264" s="1269"/>
      <c r="I264" s="1056"/>
      <c r="J264" s="1111"/>
      <c r="K264" s="1025"/>
    </row>
    <row r="265" spans="1:11">
      <c r="A265" s="1039"/>
      <c r="B265" s="1039"/>
      <c r="C265" s="1025"/>
      <c r="D265" s="1025"/>
      <c r="E265" s="1025"/>
      <c r="F265" s="1061"/>
      <c r="G265" s="1062"/>
      <c r="H265" s="1269"/>
      <c r="I265" s="1056"/>
      <c r="J265" s="1111"/>
      <c r="K265" s="1025"/>
    </row>
    <row r="266" spans="1:11">
      <c r="A266" s="1039"/>
      <c r="B266" s="1039"/>
      <c r="C266" s="1025"/>
      <c r="D266" s="1025"/>
      <c r="E266" s="1025"/>
      <c r="F266" s="1061"/>
      <c r="G266" s="1062"/>
      <c r="H266" s="1269"/>
      <c r="I266" s="1056"/>
      <c r="J266" s="1111"/>
      <c r="K266" s="1025"/>
    </row>
    <row r="267" spans="1:11">
      <c r="A267" s="1025"/>
      <c r="B267" s="1025"/>
      <c r="C267" s="1025"/>
      <c r="D267" s="1025"/>
      <c r="E267" s="1025"/>
      <c r="F267" s="1025"/>
      <c r="G267" s="1025"/>
      <c r="H267" s="1269"/>
      <c r="I267" s="1056"/>
      <c r="J267" s="1111"/>
      <c r="K267" s="1025"/>
    </row>
    <row r="268" spans="1:11">
      <c r="A268" s="1025"/>
      <c r="B268" s="1025"/>
      <c r="C268" s="1025"/>
      <c r="D268" s="1025"/>
      <c r="E268" s="1025"/>
      <c r="F268" s="1025"/>
      <c r="G268" s="1025"/>
      <c r="H268" s="1269"/>
      <c r="I268" s="1056"/>
      <c r="J268" s="1111"/>
      <c r="K268" s="1025"/>
    </row>
    <row r="269" spans="1:11">
      <c r="A269" s="1025"/>
      <c r="B269" s="1025"/>
      <c r="C269" s="1025"/>
      <c r="D269" s="1025"/>
      <c r="E269" s="1025"/>
      <c r="F269" s="1025"/>
      <c r="G269" s="1025"/>
      <c r="H269" s="1269"/>
      <c r="I269" s="1056"/>
      <c r="J269" s="1111"/>
      <c r="K269" s="1025"/>
    </row>
    <row r="270" spans="1:11">
      <c r="A270" s="1025"/>
      <c r="B270" s="1025"/>
      <c r="C270" s="1025"/>
      <c r="D270" s="1025"/>
      <c r="E270" s="1025"/>
      <c r="F270" s="1025"/>
      <c r="G270" s="1025"/>
      <c r="H270" s="1269"/>
      <c r="I270" s="1056"/>
      <c r="J270" s="1111"/>
      <c r="K270" s="1025"/>
    </row>
    <row r="271" spans="1:11">
      <c r="A271" s="1025"/>
      <c r="B271" s="1025"/>
      <c r="C271" s="1025"/>
      <c r="D271" s="1025"/>
      <c r="E271" s="1025"/>
      <c r="F271" s="1025"/>
      <c r="G271" s="1025"/>
      <c r="H271" s="1269"/>
      <c r="I271" s="1056"/>
      <c r="J271" s="1111"/>
      <c r="K271" s="1025"/>
    </row>
    <row r="272" spans="1:11">
      <c r="A272" s="1025"/>
      <c r="B272" s="1025"/>
      <c r="C272" s="1025"/>
      <c r="D272" s="1025"/>
      <c r="E272" s="1025"/>
      <c r="F272" s="1025"/>
      <c r="G272" s="1025"/>
      <c r="H272" s="1269"/>
      <c r="I272" s="1056"/>
      <c r="J272" s="1111"/>
      <c r="K272" s="1025"/>
    </row>
    <row r="273" spans="1:11">
      <c r="A273" s="1025"/>
      <c r="B273" s="1025"/>
      <c r="C273" s="1025"/>
      <c r="D273" s="1025"/>
      <c r="E273" s="1025"/>
      <c r="F273" s="1025"/>
      <c r="G273" s="1025"/>
      <c r="H273" s="1269"/>
      <c r="I273" s="1056"/>
      <c r="J273" s="1111"/>
      <c r="K273" s="1025"/>
    </row>
    <row r="274" spans="1:11">
      <c r="A274" s="1025"/>
      <c r="B274" s="1025"/>
      <c r="C274" s="1025"/>
      <c r="D274" s="1025"/>
      <c r="E274" s="1025"/>
      <c r="F274" s="1025"/>
      <c r="G274" s="1025"/>
      <c r="H274" s="1269"/>
      <c r="I274" s="1056"/>
      <c r="J274" s="1111"/>
      <c r="K274" s="1025"/>
    </row>
    <row r="275" spans="1:11">
      <c r="A275" s="1025"/>
      <c r="B275" s="1025"/>
      <c r="C275" s="1025"/>
      <c r="D275" s="1025"/>
      <c r="E275" s="1025"/>
      <c r="F275" s="1025"/>
      <c r="G275" s="1025"/>
      <c r="H275" s="1269"/>
      <c r="I275" s="1056"/>
      <c r="J275" s="1111"/>
      <c r="K275" s="1025"/>
    </row>
    <row r="276" spans="1:11">
      <c r="A276" s="1025"/>
      <c r="B276" s="1025"/>
      <c r="C276" s="1025"/>
      <c r="D276" s="1025"/>
      <c r="E276" s="1025"/>
      <c r="F276" s="1025"/>
      <c r="G276" s="1025"/>
      <c r="H276" s="1269"/>
      <c r="I276" s="1056"/>
      <c r="J276" s="1111"/>
      <c r="K276" s="1025"/>
    </row>
    <row r="277" spans="1:11">
      <c r="A277" s="1025"/>
      <c r="B277" s="1025"/>
      <c r="C277" s="1025"/>
      <c r="D277" s="1025"/>
      <c r="E277" s="1025"/>
      <c r="F277" s="1025"/>
      <c r="G277" s="1025"/>
      <c r="H277" s="1269"/>
      <c r="I277" s="1056"/>
      <c r="J277" s="1111"/>
      <c r="K277" s="1025"/>
    </row>
    <row r="278" spans="1:11">
      <c r="A278" s="1025"/>
      <c r="B278" s="1025"/>
      <c r="C278" s="1025"/>
      <c r="D278" s="1025"/>
      <c r="E278" s="1025"/>
      <c r="F278" s="1025"/>
      <c r="G278" s="1025"/>
      <c r="H278" s="1269"/>
      <c r="I278" s="1056"/>
      <c r="J278" s="1111"/>
      <c r="K278" s="1025"/>
    </row>
    <row r="279" spans="1:11">
      <c r="A279" s="1025"/>
      <c r="B279" s="1025"/>
      <c r="C279" s="1025"/>
      <c r="D279" s="1025"/>
      <c r="E279" s="1025"/>
      <c r="F279" s="1025"/>
      <c r="G279" s="1025"/>
      <c r="H279" s="1269"/>
      <c r="I279" s="1056"/>
      <c r="J279" s="1111"/>
      <c r="K279" s="1025"/>
    </row>
    <row r="280" spans="1:11">
      <c r="A280" s="1025"/>
      <c r="B280" s="1025"/>
      <c r="C280" s="1025"/>
      <c r="D280" s="1025"/>
      <c r="E280" s="1025"/>
      <c r="F280" s="1025"/>
      <c r="G280" s="1025"/>
      <c r="H280" s="1269"/>
      <c r="I280" s="1056"/>
      <c r="J280" s="1111"/>
      <c r="K280" s="1025"/>
    </row>
    <row r="281" spans="1:11" ht="15.75" thickBot="1">
      <c r="A281" s="1037"/>
      <c r="B281" s="1038"/>
      <c r="C281" s="1026"/>
      <c r="D281" s="1026"/>
      <c r="E281" s="1026"/>
      <c r="F281" s="1059"/>
      <c r="G281" s="1054"/>
      <c r="H281" s="1269"/>
      <c r="I281" s="1056"/>
      <c r="J281" s="1111"/>
      <c r="K281" s="1025"/>
    </row>
    <row r="282" spans="1:11" ht="20.25" thickBot="1">
      <c r="A282" s="1552"/>
      <c r="B282" s="1553"/>
      <c r="C282" s="1553"/>
      <c r="D282" s="1553"/>
      <c r="E282" s="1553"/>
      <c r="F282" s="1554">
        <f>SUM(F161:F169,F171:F281)</f>
        <v>0</v>
      </c>
      <c r="G282" s="1553"/>
      <c r="H282" s="1558">
        <f>SUM(H61:H281)</f>
        <v>8083.5693700000002</v>
      </c>
      <c r="I282" s="1554">
        <f>SUM(I161:I281)</f>
        <v>0</v>
      </c>
      <c r="J282" s="1111"/>
      <c r="K282" s="1115"/>
    </row>
  </sheetData>
  <autoFilter ref="A1:K1" xr:uid="{1E6CC2E4-EF53-45A3-8331-EB912A4BEBA1}">
    <sortState xmlns:xlrd2="http://schemas.microsoft.com/office/spreadsheetml/2017/richdata2" ref="A2:K59">
      <sortCondition ref="B1"/>
    </sortState>
  </autoFilter>
  <pageMargins left="0.511811024" right="0.511811024" top="0.78740157499999996" bottom="0.78740157499999996" header="0.31496062000000002" footer="0.3149606200000000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01A9A-7A57-48CA-8FAF-6614D533B057}">
  <dimension ref="A1:L282"/>
  <sheetViews>
    <sheetView topLeftCell="A40" zoomScale="80" zoomScaleNormal="80" workbookViewId="0">
      <selection activeCell="C35" sqref="C35"/>
    </sheetView>
  </sheetViews>
  <sheetFormatPr defaultColWidth="9.140625" defaultRowHeight="15"/>
  <cols>
    <col min="1" max="1" width="15.140625" style="1032" bestFit="1" customWidth="1"/>
    <col min="2" max="2" width="11.5703125" style="1032" bestFit="1" customWidth="1"/>
    <col min="3" max="3" width="51.7109375" style="1032" bestFit="1" customWidth="1"/>
    <col min="4" max="4" width="22.28515625" style="1032" bestFit="1" customWidth="1"/>
    <col min="5" max="5" width="14.140625" style="1032" bestFit="1" customWidth="1"/>
    <col min="6" max="6" width="22" style="1032" bestFit="1" customWidth="1"/>
    <col min="7" max="7" width="13.42578125" style="1032" bestFit="1" customWidth="1"/>
    <col min="8" max="8" width="24.85546875" style="1032" bestFit="1" customWidth="1"/>
    <col min="9" max="9" width="21" style="1032" bestFit="1" customWidth="1"/>
    <col min="10" max="10" width="13.140625" style="1032" customWidth="1"/>
    <col min="11" max="11" width="16.5703125" style="1032" customWidth="1"/>
    <col min="12" max="16384" width="9.140625" style="1032"/>
  </cols>
  <sheetData>
    <row r="1" spans="1:12" s="1566" customFormat="1" ht="14.25" customHeight="1">
      <c r="A1" s="1559" t="s">
        <v>2519</v>
      </c>
      <c r="B1" s="1560" t="s">
        <v>2</v>
      </c>
      <c r="C1" s="1560" t="s">
        <v>3</v>
      </c>
      <c r="D1" s="1560" t="s">
        <v>4</v>
      </c>
      <c r="E1" s="1560" t="s">
        <v>5</v>
      </c>
      <c r="F1" s="1561" t="s">
        <v>644</v>
      </c>
      <c r="G1" s="1562" t="s">
        <v>555</v>
      </c>
      <c r="H1" s="1563" t="s">
        <v>7</v>
      </c>
      <c r="I1" s="1564" t="s">
        <v>307</v>
      </c>
      <c r="J1" s="1562" t="s">
        <v>370</v>
      </c>
      <c r="K1" s="1565" t="s">
        <v>3013</v>
      </c>
    </row>
    <row r="2" spans="1:12" ht="15.75">
      <c r="A2" s="1040">
        <v>45995</v>
      </c>
      <c r="B2" s="1042">
        <v>46357</v>
      </c>
      <c r="C2" s="1026" t="s">
        <v>3083</v>
      </c>
      <c r="D2" s="1030" t="s">
        <v>448</v>
      </c>
      <c r="E2" s="1030" t="s">
        <v>10</v>
      </c>
      <c r="F2" s="1072">
        <v>4452.96</v>
      </c>
      <c r="G2" s="1073">
        <v>0.1</v>
      </c>
      <c r="H2" s="1067">
        <f t="shared" ref="H2:H10" si="0">F2*G2*(1-10%)</f>
        <v>400.76640000000003</v>
      </c>
      <c r="I2" s="1068">
        <v>40.07</v>
      </c>
      <c r="J2" s="1112" t="s">
        <v>1470</v>
      </c>
      <c r="K2" s="1117" t="s">
        <v>2010</v>
      </c>
    </row>
    <row r="3" spans="1:12" ht="15.75">
      <c r="A3" s="1040">
        <v>45992</v>
      </c>
      <c r="B3" s="1042">
        <v>46357</v>
      </c>
      <c r="C3" s="1026" t="s">
        <v>1164</v>
      </c>
      <c r="D3" s="1030" t="s">
        <v>25</v>
      </c>
      <c r="E3" s="1030" t="s">
        <v>22</v>
      </c>
      <c r="F3" s="1072">
        <v>902.86</v>
      </c>
      <c r="G3" s="1073">
        <v>0.1</v>
      </c>
      <c r="H3" s="1067">
        <f t="shared" si="0"/>
        <v>81.257400000000004</v>
      </c>
      <c r="I3" s="1068">
        <v>8.1199999999999992</v>
      </c>
      <c r="J3" s="1112" t="s">
        <v>1470</v>
      </c>
      <c r="K3" s="1117" t="s">
        <v>2015</v>
      </c>
    </row>
    <row r="4" spans="1:12" ht="15.75">
      <c r="A4" s="1379">
        <v>45992</v>
      </c>
      <c r="B4" s="1379">
        <v>46357</v>
      </c>
      <c r="C4" s="1025" t="s">
        <v>631</v>
      </c>
      <c r="D4" s="1380" t="s">
        <v>9</v>
      </c>
      <c r="E4" s="1380" t="s">
        <v>10</v>
      </c>
      <c r="F4" s="1381">
        <v>1143.32</v>
      </c>
      <c r="G4" s="1384">
        <v>0.1</v>
      </c>
      <c r="H4" s="1340">
        <f t="shared" si="0"/>
        <v>102.89879999999999</v>
      </c>
      <c r="I4" s="1463">
        <f>H4/2</f>
        <v>51.449399999999997</v>
      </c>
      <c r="J4" s="1380" t="s">
        <v>1759</v>
      </c>
      <c r="K4" s="1341" t="s">
        <v>2015</v>
      </c>
    </row>
    <row r="5" spans="1:12" ht="15.75">
      <c r="A5" s="1037">
        <v>45992</v>
      </c>
      <c r="B5" s="1038">
        <v>46357</v>
      </c>
      <c r="C5" s="1025" t="s">
        <v>1609</v>
      </c>
      <c r="D5" s="1026" t="s">
        <v>149</v>
      </c>
      <c r="E5" s="1026" t="s">
        <v>279</v>
      </c>
      <c r="F5" s="1053">
        <v>2018.94</v>
      </c>
      <c r="G5" s="1054">
        <v>0.1</v>
      </c>
      <c r="H5" s="1055">
        <f t="shared" si="0"/>
        <v>181.7046</v>
      </c>
      <c r="I5" s="1056"/>
      <c r="J5" s="1111"/>
      <c r="K5" s="1115" t="s">
        <v>2015</v>
      </c>
    </row>
    <row r="6" spans="1:12" s="1025" customFormat="1" ht="15.75">
      <c r="A6" s="1039">
        <v>45992</v>
      </c>
      <c r="B6" s="1039">
        <v>46357</v>
      </c>
      <c r="C6" s="1025" t="s">
        <v>1920</v>
      </c>
      <c r="D6" s="1025" t="s">
        <v>322</v>
      </c>
      <c r="E6" s="1025" t="s">
        <v>19</v>
      </c>
      <c r="F6" s="1023">
        <v>1619.83</v>
      </c>
      <c r="G6" s="1062">
        <v>0.15</v>
      </c>
      <c r="H6" s="1055">
        <f t="shared" si="0"/>
        <v>218.67704999999998</v>
      </c>
      <c r="I6" s="1242"/>
      <c r="K6" s="1115" t="s">
        <v>2015</v>
      </c>
      <c r="L6" s="1847"/>
    </row>
    <row r="7" spans="1:12" s="1025" customFormat="1" ht="15.75">
      <c r="A7" s="1039">
        <v>45994</v>
      </c>
      <c r="B7" s="1039">
        <v>46358</v>
      </c>
      <c r="C7" s="1025" t="s">
        <v>2741</v>
      </c>
      <c r="D7" s="1025" t="s">
        <v>1862</v>
      </c>
      <c r="E7" s="1025" t="s">
        <v>2682</v>
      </c>
      <c r="F7" s="1061">
        <v>1780.22</v>
      </c>
      <c r="G7" s="1062">
        <v>0.1</v>
      </c>
      <c r="H7" s="1055">
        <f t="shared" si="0"/>
        <v>160.21980000000002</v>
      </c>
      <c r="I7" s="1242"/>
      <c r="K7" s="1115" t="s">
        <v>2015</v>
      </c>
      <c r="L7" s="1847"/>
    </row>
    <row r="8" spans="1:12" ht="15.75">
      <c r="A8" s="1043">
        <v>45995</v>
      </c>
      <c r="B8" s="1045">
        <v>46360</v>
      </c>
      <c r="C8" s="1075" t="s">
        <v>1500</v>
      </c>
      <c r="D8" s="1075" t="s">
        <v>448</v>
      </c>
      <c r="E8" s="1075" t="s">
        <v>279</v>
      </c>
      <c r="F8" s="1102">
        <v>1462.24</v>
      </c>
      <c r="G8" s="1076">
        <v>0.15</v>
      </c>
      <c r="H8" s="1055">
        <f t="shared" si="0"/>
        <v>197.4024</v>
      </c>
      <c r="I8" s="1077"/>
      <c r="J8" s="1261"/>
      <c r="K8" s="1115" t="s">
        <v>2274</v>
      </c>
    </row>
    <row r="9" spans="1:12" s="1031" customFormat="1" ht="15.75">
      <c r="A9" s="1037">
        <v>45995</v>
      </c>
      <c r="B9" s="1038">
        <v>46360</v>
      </c>
      <c r="C9" s="1026" t="s">
        <v>2389</v>
      </c>
      <c r="D9" s="1026" t="s">
        <v>9</v>
      </c>
      <c r="E9" s="1026" t="s">
        <v>19</v>
      </c>
      <c r="F9" s="1059">
        <v>1472.25</v>
      </c>
      <c r="G9" s="1054">
        <v>0.1</v>
      </c>
      <c r="H9" s="1055">
        <f t="shared" si="0"/>
        <v>132.5025</v>
      </c>
      <c r="I9" s="1056"/>
      <c r="J9" s="1111"/>
      <c r="K9" s="1115" t="s">
        <v>2015</v>
      </c>
    </row>
    <row r="10" spans="1:12" ht="15" customHeight="1">
      <c r="A10" s="1037">
        <v>45995</v>
      </c>
      <c r="B10" s="1038">
        <v>46360</v>
      </c>
      <c r="C10" s="1026" t="s">
        <v>3079</v>
      </c>
      <c r="D10" s="1026" t="s">
        <v>448</v>
      </c>
      <c r="E10" s="1026" t="s">
        <v>19</v>
      </c>
      <c r="F10" s="1059">
        <v>907.53</v>
      </c>
      <c r="G10" s="1054">
        <v>0.25</v>
      </c>
      <c r="H10" s="1055">
        <f t="shared" si="0"/>
        <v>204.19425000000001</v>
      </c>
      <c r="I10" s="1056"/>
      <c r="J10" s="1111"/>
      <c r="K10" s="1025" t="s">
        <v>2015</v>
      </c>
    </row>
    <row r="11" spans="1:12" ht="15.75">
      <c r="A11" s="1037">
        <v>45996</v>
      </c>
      <c r="B11" s="1038">
        <v>46361</v>
      </c>
      <c r="C11" s="1026" t="s">
        <v>3090</v>
      </c>
      <c r="D11" s="1026" t="s">
        <v>9</v>
      </c>
      <c r="E11" s="1026" t="s">
        <v>3080</v>
      </c>
      <c r="F11" s="1059">
        <v>1492.17</v>
      </c>
      <c r="G11" s="1054">
        <v>0.1</v>
      </c>
      <c r="H11" s="1055">
        <v>347.41</v>
      </c>
      <c r="I11" s="1056"/>
      <c r="J11" s="1111"/>
      <c r="K11" s="1115" t="s">
        <v>2274</v>
      </c>
    </row>
    <row r="12" spans="1:12">
      <c r="A12" s="1037">
        <v>45996</v>
      </c>
      <c r="B12" s="1038">
        <v>46362</v>
      </c>
      <c r="C12" s="1025" t="s">
        <v>1930</v>
      </c>
      <c r="D12" s="1025" t="s">
        <v>448</v>
      </c>
      <c r="E12" s="1025" t="s">
        <v>10</v>
      </c>
      <c r="F12" s="1061">
        <v>1844.25</v>
      </c>
      <c r="G12" s="1062">
        <v>0.1</v>
      </c>
      <c r="H12" s="1055">
        <f t="shared" ref="H12:H31" si="1">F12*G12*(1-10%)</f>
        <v>165.98250000000002</v>
      </c>
      <c r="I12" s="1056"/>
      <c r="J12" s="1111"/>
      <c r="K12" s="1025" t="s">
        <v>2015</v>
      </c>
    </row>
    <row r="13" spans="1:12" ht="15.75">
      <c r="A13" s="1037">
        <v>45996</v>
      </c>
      <c r="B13" s="1038">
        <v>46363</v>
      </c>
      <c r="C13" s="1025" t="s">
        <v>3081</v>
      </c>
      <c r="D13" s="1025" t="s">
        <v>70</v>
      </c>
      <c r="E13" s="1025" t="s">
        <v>279</v>
      </c>
      <c r="F13" s="1061">
        <v>3903.57</v>
      </c>
      <c r="G13" s="1062">
        <v>0.1</v>
      </c>
      <c r="H13" s="1055">
        <f t="shared" si="1"/>
        <v>351.32130000000001</v>
      </c>
      <c r="I13" s="1056"/>
      <c r="J13" s="1111"/>
      <c r="K13" s="1115" t="s">
        <v>2015</v>
      </c>
    </row>
    <row r="14" spans="1:12" ht="15.75">
      <c r="A14" s="1040">
        <v>45999</v>
      </c>
      <c r="B14" s="1042">
        <v>46364</v>
      </c>
      <c r="C14" s="1026" t="s">
        <v>3084</v>
      </c>
      <c r="D14" s="1030" t="s">
        <v>448</v>
      </c>
      <c r="E14" s="1027" t="s">
        <v>10</v>
      </c>
      <c r="F14" s="1065">
        <v>3426.9</v>
      </c>
      <c r="G14" s="1066">
        <v>0.1</v>
      </c>
      <c r="H14" s="1067">
        <f t="shared" si="1"/>
        <v>308.42100000000005</v>
      </c>
      <c r="I14" s="1068">
        <v>30.84</v>
      </c>
      <c r="J14" s="1112" t="s">
        <v>1470</v>
      </c>
      <c r="K14" s="1117" t="s">
        <v>2010</v>
      </c>
    </row>
    <row r="15" spans="1:12" ht="15.75">
      <c r="A15" s="1040">
        <v>46000</v>
      </c>
      <c r="B15" s="1042">
        <v>46365</v>
      </c>
      <c r="C15" s="1025" t="s">
        <v>1645</v>
      </c>
      <c r="D15" s="1030" t="s">
        <v>448</v>
      </c>
      <c r="E15" s="1027" t="s">
        <v>19</v>
      </c>
      <c r="F15" s="947">
        <v>2775.03</v>
      </c>
      <c r="G15" s="1066">
        <v>0.1</v>
      </c>
      <c r="H15" s="1067">
        <f t="shared" si="1"/>
        <v>249.75270000000003</v>
      </c>
      <c r="I15" s="1068">
        <v>24.97</v>
      </c>
      <c r="J15" s="1112" t="s">
        <v>1470</v>
      </c>
      <c r="K15" s="1117" t="s">
        <v>2010</v>
      </c>
    </row>
    <row r="16" spans="1:12" ht="15.75">
      <c r="A16" s="1037">
        <v>46000</v>
      </c>
      <c r="B16" s="1038">
        <v>46365</v>
      </c>
      <c r="C16" s="1025" t="s">
        <v>360</v>
      </c>
      <c r="D16" s="1026" t="s">
        <v>25</v>
      </c>
      <c r="E16" s="1025" t="s">
        <v>10</v>
      </c>
      <c r="F16" s="1061">
        <v>1006.65</v>
      </c>
      <c r="G16" s="1062">
        <v>0.1</v>
      </c>
      <c r="H16" s="1055">
        <f t="shared" si="1"/>
        <v>90.598500000000001</v>
      </c>
      <c r="I16" s="1056"/>
      <c r="J16" s="1111"/>
      <c r="K16" s="1115" t="s">
        <v>2015</v>
      </c>
    </row>
    <row r="17" spans="1:11">
      <c r="A17" s="1037">
        <v>46001</v>
      </c>
      <c r="B17" s="1038">
        <v>46366</v>
      </c>
      <c r="C17" s="1039" t="s">
        <v>3141</v>
      </c>
      <c r="D17" s="1038" t="s">
        <v>9</v>
      </c>
      <c r="E17" s="1039" t="s">
        <v>1310</v>
      </c>
      <c r="F17" s="1023">
        <v>3393.93</v>
      </c>
      <c r="G17" s="1062">
        <v>0.1</v>
      </c>
      <c r="H17" s="1055">
        <f t="shared" si="1"/>
        <v>305.45370000000003</v>
      </c>
      <c r="I17" s="1089"/>
      <c r="J17" s="1325"/>
      <c r="K17" s="1039" t="s">
        <v>2015</v>
      </c>
    </row>
    <row r="18" spans="1:11" ht="15.75">
      <c r="A18" s="1039">
        <v>46002</v>
      </c>
      <c r="B18" s="1039">
        <v>46366</v>
      </c>
      <c r="C18" s="1025" t="s">
        <v>1627</v>
      </c>
      <c r="D18" s="1025" t="s">
        <v>9</v>
      </c>
      <c r="E18" s="1025" t="s">
        <v>22</v>
      </c>
      <c r="F18" s="1071">
        <v>1083.0999999999999</v>
      </c>
      <c r="G18" s="1062">
        <v>0.25</v>
      </c>
      <c r="H18" s="1055">
        <f t="shared" si="1"/>
        <v>243.69749999999999</v>
      </c>
      <c r="I18" s="1056"/>
      <c r="J18" s="1111"/>
      <c r="K18" s="1115" t="s">
        <v>2015</v>
      </c>
    </row>
    <row r="19" spans="1:11" ht="15.75">
      <c r="A19" s="1039">
        <v>45996</v>
      </c>
      <c r="B19" s="1039">
        <v>46366</v>
      </c>
      <c r="C19" s="1025" t="s">
        <v>2743</v>
      </c>
      <c r="D19" s="1025" t="s">
        <v>70</v>
      </c>
      <c r="E19" s="1025" t="s">
        <v>279</v>
      </c>
      <c r="F19" s="1061">
        <v>1899.69</v>
      </c>
      <c r="G19" s="1062">
        <v>0.15</v>
      </c>
      <c r="H19" s="1055">
        <f t="shared" si="1"/>
        <v>256.45815000000005</v>
      </c>
      <c r="I19" s="1056"/>
      <c r="J19" s="1111"/>
      <c r="K19" s="1115" t="s">
        <v>2015</v>
      </c>
    </row>
    <row r="20" spans="1:11" ht="15.75">
      <c r="A20" s="1040">
        <v>46000</v>
      </c>
      <c r="B20" s="1041">
        <v>46367</v>
      </c>
      <c r="C20" s="1025" t="s">
        <v>2616</v>
      </c>
      <c r="D20" s="1030" t="s">
        <v>448</v>
      </c>
      <c r="E20" s="1027" t="s">
        <v>279</v>
      </c>
      <c r="F20" s="1508">
        <v>1343.45</v>
      </c>
      <c r="G20" s="1066">
        <v>0.1</v>
      </c>
      <c r="H20" s="1067">
        <f t="shared" si="1"/>
        <v>120.9105</v>
      </c>
      <c r="I20" s="1068">
        <v>12.09</v>
      </c>
      <c r="J20" s="1112" t="s">
        <v>1470</v>
      </c>
      <c r="K20" s="1117" t="s">
        <v>2274</v>
      </c>
    </row>
    <row r="21" spans="1:11" ht="15.75">
      <c r="A21" s="1037">
        <v>46003</v>
      </c>
      <c r="B21" s="1039">
        <v>46369</v>
      </c>
      <c r="C21" s="1025" t="s">
        <v>966</v>
      </c>
      <c r="D21" s="1026" t="s">
        <v>9</v>
      </c>
      <c r="E21" s="1025" t="s">
        <v>10</v>
      </c>
      <c r="F21" s="1061">
        <v>1073.9000000000001</v>
      </c>
      <c r="G21" s="1062">
        <v>0.15</v>
      </c>
      <c r="H21" s="1055">
        <f t="shared" si="1"/>
        <v>144.97650000000002</v>
      </c>
      <c r="I21" s="1056"/>
      <c r="J21" s="1111"/>
      <c r="K21" s="1115" t="s">
        <v>2015</v>
      </c>
    </row>
    <row r="22" spans="1:11" ht="15.75">
      <c r="A22" s="1037">
        <v>46006</v>
      </c>
      <c r="B22" s="1039">
        <v>46370</v>
      </c>
      <c r="C22" s="1025" t="s">
        <v>176</v>
      </c>
      <c r="D22" s="1026" t="s">
        <v>9</v>
      </c>
      <c r="E22" s="1025" t="s">
        <v>29</v>
      </c>
      <c r="F22" s="1061">
        <v>2552.7399999999998</v>
      </c>
      <c r="G22" s="1062">
        <v>0.1</v>
      </c>
      <c r="H22" s="1055">
        <f t="shared" si="1"/>
        <v>229.7466</v>
      </c>
      <c r="I22" s="1056"/>
      <c r="J22" s="1111"/>
      <c r="K22" s="1115" t="s">
        <v>2015</v>
      </c>
    </row>
    <row r="23" spans="1:11">
      <c r="A23" s="1041">
        <v>46003</v>
      </c>
      <c r="B23" s="1041">
        <v>46371</v>
      </c>
      <c r="C23" s="1025" t="s">
        <v>3085</v>
      </c>
      <c r="D23" s="1027" t="s">
        <v>448</v>
      </c>
      <c r="E23" s="1027" t="s">
        <v>10</v>
      </c>
      <c r="F23" s="1090">
        <v>1788.53</v>
      </c>
      <c r="G23" s="1066">
        <v>0.15</v>
      </c>
      <c r="H23" s="1067">
        <f t="shared" si="1"/>
        <v>241.45155</v>
      </c>
      <c r="I23" s="1243">
        <v>24.14</v>
      </c>
      <c r="J23" s="1027" t="s">
        <v>2070</v>
      </c>
      <c r="K23" s="1785" t="s">
        <v>2010</v>
      </c>
    </row>
    <row r="24" spans="1:11" ht="15.75">
      <c r="A24" s="1040">
        <v>46006</v>
      </c>
      <c r="B24" s="1041">
        <v>46371</v>
      </c>
      <c r="C24" s="1032" t="s">
        <v>1933</v>
      </c>
      <c r="D24" s="1030" t="s">
        <v>9</v>
      </c>
      <c r="E24" s="1030" t="s">
        <v>10</v>
      </c>
      <c r="F24" s="1508">
        <v>1765.84</v>
      </c>
      <c r="G24" s="1066">
        <v>0.1</v>
      </c>
      <c r="H24" s="1067">
        <f t="shared" si="1"/>
        <v>158.9256</v>
      </c>
      <c r="I24" s="1068">
        <v>15.89</v>
      </c>
      <c r="J24" s="1112" t="s">
        <v>1470</v>
      </c>
      <c r="K24" s="1117" t="s">
        <v>2015</v>
      </c>
    </row>
    <row r="25" spans="1:11" ht="15.75">
      <c r="A25" s="1040">
        <v>46006</v>
      </c>
      <c r="B25" s="1042">
        <v>46371</v>
      </c>
      <c r="C25" s="1025" t="s">
        <v>2744</v>
      </c>
      <c r="D25" s="1030" t="s">
        <v>25</v>
      </c>
      <c r="E25" s="1030" t="s">
        <v>10</v>
      </c>
      <c r="F25" s="1072">
        <v>3033.97</v>
      </c>
      <c r="G25" s="1073">
        <v>0.1</v>
      </c>
      <c r="H25" s="1067">
        <f t="shared" si="1"/>
        <v>273.0573</v>
      </c>
      <c r="I25" s="1068">
        <v>27.3</v>
      </c>
      <c r="J25" s="1112" t="s">
        <v>1470</v>
      </c>
      <c r="K25" s="1117" t="s">
        <v>2015</v>
      </c>
    </row>
    <row r="26" spans="1:11" ht="15.75">
      <c r="A26" s="1037">
        <v>46006</v>
      </c>
      <c r="B26" s="1038">
        <v>46371</v>
      </c>
      <c r="C26" s="1025" t="s">
        <v>1984</v>
      </c>
      <c r="D26" s="1026" t="s">
        <v>70</v>
      </c>
      <c r="E26" s="1026" t="s">
        <v>279</v>
      </c>
      <c r="F26" s="1053">
        <v>958.42</v>
      </c>
      <c r="G26" s="1054">
        <v>0.1</v>
      </c>
      <c r="H26" s="1055">
        <f t="shared" si="1"/>
        <v>86.257800000000003</v>
      </c>
      <c r="I26" s="1056"/>
      <c r="J26" s="1111"/>
      <c r="K26" s="1115" t="s">
        <v>2015</v>
      </c>
    </row>
    <row r="27" spans="1:11" ht="15.75">
      <c r="A27" s="1037">
        <v>46002</v>
      </c>
      <c r="B27" s="1038">
        <v>46371</v>
      </c>
      <c r="C27" s="1025" t="s">
        <v>2155</v>
      </c>
      <c r="D27" s="1026" t="s">
        <v>448</v>
      </c>
      <c r="E27" s="1026" t="s">
        <v>19</v>
      </c>
      <c r="F27" s="1053">
        <v>429.59</v>
      </c>
      <c r="G27" s="1054">
        <v>0.1</v>
      </c>
      <c r="H27" s="1055">
        <f t="shared" si="1"/>
        <v>38.663100000000007</v>
      </c>
      <c r="I27" s="1056"/>
      <c r="J27" s="1111"/>
      <c r="K27" s="1115" t="s">
        <v>2015</v>
      </c>
    </row>
    <row r="28" spans="1:11" ht="15.75">
      <c r="A28" s="1039">
        <v>46006</v>
      </c>
      <c r="B28" s="1039">
        <v>46371</v>
      </c>
      <c r="C28" s="1025" t="s">
        <v>3089</v>
      </c>
      <c r="D28" s="1025" t="s">
        <v>448</v>
      </c>
      <c r="E28" s="1025" t="s">
        <v>2682</v>
      </c>
      <c r="F28" s="1061">
        <v>2524.9499999999998</v>
      </c>
      <c r="G28" s="1062">
        <v>0.1</v>
      </c>
      <c r="H28" s="1055">
        <f t="shared" si="1"/>
        <v>227.24550000000002</v>
      </c>
      <c r="I28" s="1242"/>
      <c r="J28" s="1025"/>
      <c r="K28" s="1115" t="s">
        <v>2015</v>
      </c>
    </row>
    <row r="29" spans="1:11" ht="15.75">
      <c r="A29" s="1040">
        <v>45994</v>
      </c>
      <c r="B29" s="1042">
        <v>46372</v>
      </c>
      <c r="C29" s="1025" t="s">
        <v>3087</v>
      </c>
      <c r="D29" s="1030" t="s">
        <v>448</v>
      </c>
      <c r="E29" s="1030" t="s">
        <v>29</v>
      </c>
      <c r="F29" s="1072">
        <v>2811.37</v>
      </c>
      <c r="G29" s="1073">
        <v>0.15</v>
      </c>
      <c r="H29" s="1067">
        <f t="shared" si="1"/>
        <v>379.53494999999998</v>
      </c>
      <c r="I29" s="1068">
        <v>37.950000000000003</v>
      </c>
      <c r="J29" s="1112" t="s">
        <v>1470</v>
      </c>
      <c r="K29" s="1117" t="s">
        <v>2274</v>
      </c>
    </row>
    <row r="30" spans="1:11" ht="15.75">
      <c r="A30" s="1040">
        <v>46007</v>
      </c>
      <c r="B30" s="1042">
        <v>46372</v>
      </c>
      <c r="C30" s="1026" t="s">
        <v>3088</v>
      </c>
      <c r="D30" s="1030" t="s">
        <v>61</v>
      </c>
      <c r="E30" s="1030" t="s">
        <v>29</v>
      </c>
      <c r="F30" s="259">
        <v>4226.47</v>
      </c>
      <c r="G30" s="1073">
        <v>0.13</v>
      </c>
      <c r="H30" s="1067">
        <f t="shared" si="1"/>
        <v>494.49699000000004</v>
      </c>
      <c r="I30" s="1068">
        <v>49.45</v>
      </c>
      <c r="J30" s="1112" t="s">
        <v>2070</v>
      </c>
      <c r="K30" s="1117" t="s">
        <v>2015</v>
      </c>
    </row>
    <row r="31" spans="1:11" ht="15.75">
      <c r="A31" s="1372">
        <v>46007</v>
      </c>
      <c r="B31" s="1373">
        <v>46372</v>
      </c>
      <c r="C31" s="1026" t="s">
        <v>1934</v>
      </c>
      <c r="D31" s="1377" t="s">
        <v>70</v>
      </c>
      <c r="E31" s="1377" t="s">
        <v>279</v>
      </c>
      <c r="F31" s="1402">
        <v>532.02</v>
      </c>
      <c r="G31" s="1378">
        <v>0.1</v>
      </c>
      <c r="H31" s="1335">
        <f t="shared" si="1"/>
        <v>47.881799999999998</v>
      </c>
      <c r="I31" s="1374">
        <f>H31/2</f>
        <v>23.940899999999999</v>
      </c>
      <c r="J31" s="1375" t="s">
        <v>1996</v>
      </c>
      <c r="K31" s="1337" t="s">
        <v>2015</v>
      </c>
    </row>
    <row r="32" spans="1:11" ht="15.75">
      <c r="A32" s="1037">
        <v>46007</v>
      </c>
      <c r="B32" s="1038">
        <v>46372</v>
      </c>
      <c r="C32" s="1025" t="s">
        <v>3091</v>
      </c>
      <c r="D32" s="1026"/>
      <c r="E32" s="1026" t="s">
        <v>3080</v>
      </c>
      <c r="F32" s="1059">
        <v>3138.06</v>
      </c>
      <c r="G32" s="1054">
        <v>0.15</v>
      </c>
      <c r="H32" s="1055">
        <v>438.36</v>
      </c>
      <c r="I32" s="1056"/>
      <c r="J32" s="1111"/>
      <c r="K32" s="1115" t="s">
        <v>2274</v>
      </c>
    </row>
    <row r="33" spans="1:11" ht="15.75">
      <c r="A33" s="1037">
        <v>46007</v>
      </c>
      <c r="B33" s="1038">
        <v>46372</v>
      </c>
      <c r="C33" s="1026" t="s">
        <v>1634</v>
      </c>
      <c r="D33" s="1026" t="s">
        <v>25</v>
      </c>
      <c r="E33" s="1025" t="s">
        <v>279</v>
      </c>
      <c r="F33" s="1023">
        <v>431.34</v>
      </c>
      <c r="G33" s="1062">
        <v>0.1</v>
      </c>
      <c r="H33" s="1055">
        <f t="shared" ref="H33:H59" si="2">F33*G33*(1-10%)</f>
        <v>38.820599999999999</v>
      </c>
      <c r="I33" s="1056"/>
      <c r="J33" s="1111"/>
      <c r="K33" s="1115" t="s">
        <v>2015</v>
      </c>
    </row>
    <row r="34" spans="1:11" ht="15.75">
      <c r="A34" s="1037">
        <v>46008</v>
      </c>
      <c r="B34" s="1038">
        <v>46373</v>
      </c>
      <c r="C34" s="1026" t="s">
        <v>2157</v>
      </c>
      <c r="D34" s="1026" t="s">
        <v>9</v>
      </c>
      <c r="E34" s="1026" t="s">
        <v>90</v>
      </c>
      <c r="F34" s="1059">
        <v>2504.89</v>
      </c>
      <c r="G34" s="1054">
        <v>0.1</v>
      </c>
      <c r="H34" s="1055">
        <f t="shared" si="2"/>
        <v>225.4401</v>
      </c>
      <c r="I34" s="1056"/>
      <c r="J34" s="1111"/>
      <c r="K34" s="1115" t="s">
        <v>2015</v>
      </c>
    </row>
    <row r="35" spans="1:11" ht="15.75">
      <c r="A35" s="1040">
        <v>46007</v>
      </c>
      <c r="B35" s="1041">
        <v>46374</v>
      </c>
      <c r="C35" s="1025" t="s">
        <v>3093</v>
      </c>
      <c r="D35" s="1030" t="s">
        <v>9</v>
      </c>
      <c r="E35" s="1027" t="s">
        <v>1310</v>
      </c>
      <c r="F35" s="1065">
        <v>2803.56</v>
      </c>
      <c r="G35" s="1066">
        <v>0.1</v>
      </c>
      <c r="H35" s="1067">
        <f t="shared" si="2"/>
        <v>252.32040000000001</v>
      </c>
      <c r="I35" s="1068">
        <v>25.23</v>
      </c>
      <c r="J35" s="1112" t="s">
        <v>1470</v>
      </c>
      <c r="K35" s="1117" t="s">
        <v>2015</v>
      </c>
    </row>
    <row r="36" spans="1:11" ht="15.75">
      <c r="A36" s="1372">
        <v>46008</v>
      </c>
      <c r="B36" s="1373">
        <v>46374</v>
      </c>
      <c r="C36" s="1026" t="s">
        <v>3082</v>
      </c>
      <c r="D36" s="1377" t="s">
        <v>448</v>
      </c>
      <c r="E36" s="1377" t="s">
        <v>19</v>
      </c>
      <c r="F36" s="1846">
        <v>2859.68</v>
      </c>
      <c r="G36" s="1378">
        <v>0.1</v>
      </c>
      <c r="H36" s="1335">
        <f t="shared" si="2"/>
        <v>257.37120000000004</v>
      </c>
      <c r="I36" s="1374">
        <f>H36/2</f>
        <v>128.68560000000002</v>
      </c>
      <c r="J36" s="1375" t="s">
        <v>1996</v>
      </c>
      <c r="K36" s="1337" t="s">
        <v>2015</v>
      </c>
    </row>
    <row r="37" spans="1:11" s="1464" customFormat="1" ht="15.75">
      <c r="A37" s="1037">
        <v>46003</v>
      </c>
      <c r="B37" s="1038">
        <v>46374</v>
      </c>
      <c r="C37" s="1026" t="s">
        <v>826</v>
      </c>
      <c r="D37" s="1026" t="s">
        <v>448</v>
      </c>
      <c r="E37" s="1025" t="s">
        <v>22</v>
      </c>
      <c r="F37" s="1023">
        <v>5275.88</v>
      </c>
      <c r="G37" s="1062">
        <v>0.1</v>
      </c>
      <c r="H37" s="1055">
        <f t="shared" si="2"/>
        <v>474.82920000000007</v>
      </c>
      <c r="I37" s="1056"/>
      <c r="J37" s="1111"/>
      <c r="K37" s="1115" t="s">
        <v>2015</v>
      </c>
    </row>
    <row r="38" spans="1:11" ht="15.75">
      <c r="A38" s="1037">
        <v>46003</v>
      </c>
      <c r="B38" s="1038">
        <v>46374</v>
      </c>
      <c r="C38" s="1026" t="s">
        <v>844</v>
      </c>
      <c r="D38" s="1026" t="s">
        <v>9</v>
      </c>
      <c r="E38" s="1026" t="s">
        <v>22</v>
      </c>
      <c r="F38" s="1059">
        <v>2932.45</v>
      </c>
      <c r="G38" s="1054">
        <v>0.1</v>
      </c>
      <c r="H38" s="1055">
        <f t="shared" si="2"/>
        <v>263.9205</v>
      </c>
      <c r="I38" s="1056"/>
      <c r="J38" s="1111"/>
      <c r="K38" s="1115" t="s">
        <v>2015</v>
      </c>
    </row>
    <row r="39" spans="1:11" ht="15.75">
      <c r="A39" s="1037">
        <v>46007</v>
      </c>
      <c r="B39" s="1038">
        <v>46375</v>
      </c>
      <c r="C39" s="1026" t="s">
        <v>2748</v>
      </c>
      <c r="D39" s="1026" t="s">
        <v>448</v>
      </c>
      <c r="E39" s="1026" t="s">
        <v>19</v>
      </c>
      <c r="F39" s="1135">
        <v>2362.2399999999998</v>
      </c>
      <c r="G39" s="1054">
        <v>0.15</v>
      </c>
      <c r="H39" s="1055">
        <f t="shared" si="2"/>
        <v>318.90239999999994</v>
      </c>
      <c r="I39" s="1056"/>
      <c r="J39" s="1111"/>
      <c r="K39" s="1115" t="s">
        <v>2015</v>
      </c>
    </row>
    <row r="40" spans="1:11" ht="15.75">
      <c r="A40" s="1037">
        <v>46009</v>
      </c>
      <c r="B40" s="1038">
        <v>46375</v>
      </c>
      <c r="C40" s="1025" t="s">
        <v>3098</v>
      </c>
      <c r="D40" s="1026" t="s">
        <v>448</v>
      </c>
      <c r="E40" s="1026" t="s">
        <v>19</v>
      </c>
      <c r="F40" s="1059">
        <v>1945.29</v>
      </c>
      <c r="G40" s="1054">
        <v>0.1</v>
      </c>
      <c r="H40" s="1055">
        <f t="shared" si="2"/>
        <v>175.0761</v>
      </c>
      <c r="I40" s="1056"/>
      <c r="J40" s="1111"/>
      <c r="K40" s="1115" t="s">
        <v>2015</v>
      </c>
    </row>
    <row r="41" spans="1:11" ht="15.75">
      <c r="A41" s="1037">
        <v>46009</v>
      </c>
      <c r="B41" s="1038">
        <v>46376</v>
      </c>
      <c r="C41" s="1025" t="s">
        <v>3086</v>
      </c>
      <c r="D41" s="1026" t="s">
        <v>9</v>
      </c>
      <c r="E41" s="1026" t="s">
        <v>10</v>
      </c>
      <c r="F41" s="1059">
        <v>1920.63</v>
      </c>
      <c r="G41" s="1054">
        <v>0.1</v>
      </c>
      <c r="H41" s="1055">
        <f t="shared" si="2"/>
        <v>172.85670000000002</v>
      </c>
      <c r="I41" s="1056"/>
      <c r="J41" s="1111"/>
      <c r="K41" s="1115" t="s">
        <v>2015</v>
      </c>
    </row>
    <row r="42" spans="1:11" ht="15.75">
      <c r="A42" s="1037">
        <v>46009</v>
      </c>
      <c r="B42" s="1038">
        <v>46377</v>
      </c>
      <c r="C42" s="1026" t="s">
        <v>1637</v>
      </c>
      <c r="D42" s="1026" t="s">
        <v>448</v>
      </c>
      <c r="E42" s="1026" t="s">
        <v>10</v>
      </c>
      <c r="F42" s="1059">
        <v>1742.29</v>
      </c>
      <c r="G42" s="1054">
        <v>0.1</v>
      </c>
      <c r="H42" s="1055">
        <f t="shared" si="2"/>
        <v>156.80610000000001</v>
      </c>
      <c r="I42" s="1089"/>
      <c r="J42" s="1111"/>
      <c r="K42" s="1115" t="s">
        <v>2015</v>
      </c>
    </row>
    <row r="43" spans="1:11" ht="15.75">
      <c r="A43" s="1037">
        <v>46013</v>
      </c>
      <c r="B43" s="1038">
        <v>46378</v>
      </c>
      <c r="C43" s="1026" t="s">
        <v>1936</v>
      </c>
      <c r="D43" s="1026" t="s">
        <v>448</v>
      </c>
      <c r="E43" s="1026" t="s">
        <v>10</v>
      </c>
      <c r="F43" s="1059">
        <v>2578.13</v>
      </c>
      <c r="G43" s="1054">
        <v>0.1</v>
      </c>
      <c r="H43" s="1055">
        <f t="shared" si="2"/>
        <v>232.03170000000006</v>
      </c>
      <c r="I43" s="1056"/>
      <c r="J43" s="1111"/>
      <c r="K43" s="1115" t="s">
        <v>2015</v>
      </c>
    </row>
    <row r="44" spans="1:11" ht="15.75">
      <c r="A44" s="1037">
        <v>46009</v>
      </c>
      <c r="B44" s="1038">
        <v>46379</v>
      </c>
      <c r="C44" s="1026" t="s">
        <v>1082</v>
      </c>
      <c r="D44" s="1026" t="s">
        <v>448</v>
      </c>
      <c r="E44" s="1026" t="s">
        <v>29</v>
      </c>
      <c r="F44" s="1059">
        <v>1602.55</v>
      </c>
      <c r="G44" s="1054">
        <v>0.1</v>
      </c>
      <c r="H44" s="1055">
        <f t="shared" si="2"/>
        <v>144.2295</v>
      </c>
      <c r="I44" s="1056"/>
      <c r="J44" s="1111"/>
      <c r="K44" s="1115" t="s">
        <v>2015</v>
      </c>
    </row>
    <row r="45" spans="1:11" ht="15.75">
      <c r="A45" s="1037">
        <v>46013</v>
      </c>
      <c r="B45" s="1038">
        <v>46382</v>
      </c>
      <c r="C45" s="1026" t="s">
        <v>1938</v>
      </c>
      <c r="D45" s="1026" t="s">
        <v>61</v>
      </c>
      <c r="E45" s="1026" t="s">
        <v>29</v>
      </c>
      <c r="F45" s="1059">
        <v>1843.52</v>
      </c>
      <c r="G45" s="1054">
        <v>0.1</v>
      </c>
      <c r="H45" s="1055">
        <f t="shared" si="2"/>
        <v>165.91679999999999</v>
      </c>
      <c r="I45" s="1056"/>
      <c r="J45" s="1111"/>
      <c r="K45" s="1115" t="s">
        <v>2015</v>
      </c>
    </row>
    <row r="46" spans="1:11" s="1031" customFormat="1" ht="15.75">
      <c r="A46" s="1037">
        <v>46013</v>
      </c>
      <c r="B46" s="1038">
        <v>46382</v>
      </c>
      <c r="C46" s="1026" t="s">
        <v>2752</v>
      </c>
      <c r="D46" s="1026" t="s">
        <v>448</v>
      </c>
      <c r="E46" s="1026" t="s">
        <v>10</v>
      </c>
      <c r="F46" s="1059">
        <v>3620.82</v>
      </c>
      <c r="G46" s="1054">
        <v>0.1</v>
      </c>
      <c r="H46" s="1055">
        <f t="shared" si="2"/>
        <v>325.87380000000007</v>
      </c>
      <c r="I46" s="1056"/>
      <c r="J46" s="1111"/>
      <c r="K46" s="1115" t="s">
        <v>2015</v>
      </c>
    </row>
    <row r="47" spans="1:11" ht="15.75">
      <c r="A47" s="1037">
        <v>46017</v>
      </c>
      <c r="B47" s="1038">
        <v>46382</v>
      </c>
      <c r="C47" s="1026" t="s">
        <v>2170</v>
      </c>
      <c r="D47" s="1026" t="s">
        <v>2235</v>
      </c>
      <c r="E47" s="1026" t="s">
        <v>10</v>
      </c>
      <c r="F47" s="1059">
        <v>2624.13</v>
      </c>
      <c r="G47" s="1054">
        <v>0.12</v>
      </c>
      <c r="H47" s="1055">
        <f t="shared" si="2"/>
        <v>283.40604000000002</v>
      </c>
      <c r="I47" s="1056"/>
      <c r="J47" s="1111"/>
      <c r="K47" s="1115" t="s">
        <v>2015</v>
      </c>
    </row>
    <row r="48" spans="1:11" ht="15.75">
      <c r="A48" s="1037">
        <v>46017</v>
      </c>
      <c r="B48" s="1038">
        <v>46383</v>
      </c>
      <c r="C48" s="1026" t="s">
        <v>3094</v>
      </c>
      <c r="D48" s="1026" t="s">
        <v>3003</v>
      </c>
      <c r="E48" s="1026" t="s">
        <v>279</v>
      </c>
      <c r="F48" s="1059">
        <v>473.49</v>
      </c>
      <c r="G48" s="1054">
        <v>0.15</v>
      </c>
      <c r="H48" s="1055">
        <f t="shared" si="2"/>
        <v>63.921149999999997</v>
      </c>
      <c r="I48" s="1056"/>
      <c r="J48" s="1111"/>
      <c r="K48" s="1115" t="s">
        <v>2015</v>
      </c>
    </row>
    <row r="49" spans="1:11" ht="15.75">
      <c r="A49" s="1040">
        <v>46010</v>
      </c>
      <c r="B49" s="1042">
        <v>46384</v>
      </c>
      <c r="C49" s="1026" t="s">
        <v>1904</v>
      </c>
      <c r="D49" s="1030" t="s">
        <v>448</v>
      </c>
      <c r="E49" s="1030" t="s">
        <v>22</v>
      </c>
      <c r="F49" s="1072">
        <v>1738.11</v>
      </c>
      <c r="G49" s="1073">
        <v>0.12</v>
      </c>
      <c r="H49" s="1067">
        <f t="shared" si="2"/>
        <v>187.71588</v>
      </c>
      <c r="I49" s="1068">
        <v>6</v>
      </c>
      <c r="J49" s="1112" t="s">
        <v>1470</v>
      </c>
      <c r="K49" s="1117" t="s">
        <v>2015</v>
      </c>
    </row>
    <row r="50" spans="1:11" ht="15.75">
      <c r="A50" s="1037">
        <v>46010</v>
      </c>
      <c r="B50" s="1038">
        <v>46384</v>
      </c>
      <c r="C50" s="1026" t="s">
        <v>3095</v>
      </c>
      <c r="D50" s="1026" t="s">
        <v>448</v>
      </c>
      <c r="E50" s="1026" t="s">
        <v>10</v>
      </c>
      <c r="F50" s="1484">
        <v>2047.11</v>
      </c>
      <c r="G50" s="1054">
        <v>0.1</v>
      </c>
      <c r="H50" s="1055">
        <f t="shared" si="2"/>
        <v>184.23990000000001</v>
      </c>
      <c r="I50" s="1056"/>
      <c r="J50" s="1111"/>
      <c r="K50" s="1115" t="s">
        <v>2015</v>
      </c>
    </row>
    <row r="51" spans="1:11" ht="15.75">
      <c r="A51" s="1037">
        <v>46010</v>
      </c>
      <c r="B51" s="1038">
        <v>46384</v>
      </c>
      <c r="C51" s="1026" t="s">
        <v>3096</v>
      </c>
      <c r="D51" s="1026" t="s">
        <v>448</v>
      </c>
      <c r="E51" s="1026" t="s">
        <v>22</v>
      </c>
      <c r="F51" s="1059">
        <v>1611.36</v>
      </c>
      <c r="G51" s="1054">
        <v>0.35</v>
      </c>
      <c r="H51" s="1055">
        <f t="shared" si="2"/>
        <v>507.57839999999993</v>
      </c>
      <c r="I51" s="1056"/>
      <c r="J51" s="1111"/>
      <c r="K51" s="1115" t="s">
        <v>2015</v>
      </c>
    </row>
    <row r="52" spans="1:11" ht="15.75">
      <c r="A52" s="1037">
        <v>46014</v>
      </c>
      <c r="B52" s="1038">
        <v>46384</v>
      </c>
      <c r="C52" s="1026" t="s">
        <v>3092</v>
      </c>
      <c r="D52" s="1026" t="s">
        <v>21</v>
      </c>
      <c r="E52" s="1026" t="s">
        <v>22</v>
      </c>
      <c r="F52" s="1059">
        <v>1478.86</v>
      </c>
      <c r="G52" s="1054">
        <v>0.15</v>
      </c>
      <c r="H52" s="1055">
        <f t="shared" si="2"/>
        <v>199.64609999999999</v>
      </c>
      <c r="I52" s="1056"/>
      <c r="J52" s="1111"/>
      <c r="K52" s="1115" t="s">
        <v>2015</v>
      </c>
    </row>
    <row r="53" spans="1:11" ht="15.75">
      <c r="A53" s="1037">
        <v>46014</v>
      </c>
      <c r="B53" s="1038">
        <v>46384</v>
      </c>
      <c r="C53" s="1026" t="s">
        <v>3097</v>
      </c>
      <c r="D53" s="1026" t="s">
        <v>61</v>
      </c>
      <c r="E53" s="1026" t="s">
        <v>143</v>
      </c>
      <c r="F53" s="1059">
        <v>1158.6500000000001</v>
      </c>
      <c r="G53" s="1054">
        <v>0.1</v>
      </c>
      <c r="H53" s="1055">
        <f t="shared" si="2"/>
        <v>104.27850000000001</v>
      </c>
      <c r="I53" s="1056"/>
      <c r="J53" s="1111"/>
      <c r="K53" s="1115" t="s">
        <v>2015</v>
      </c>
    </row>
    <row r="54" spans="1:11" ht="15.75">
      <c r="A54" s="1037">
        <v>46014</v>
      </c>
      <c r="B54" s="1038">
        <v>46384</v>
      </c>
      <c r="C54" s="1026" t="s">
        <v>485</v>
      </c>
      <c r="D54" s="1026" t="s">
        <v>448</v>
      </c>
      <c r="E54" s="1026" t="s">
        <v>10</v>
      </c>
      <c r="F54" s="1059">
        <v>2127.37</v>
      </c>
      <c r="G54" s="1054">
        <v>0.1</v>
      </c>
      <c r="H54" s="1055">
        <f t="shared" si="2"/>
        <v>191.4633</v>
      </c>
      <c r="I54" s="1056"/>
      <c r="J54" s="1111"/>
      <c r="K54" s="1115" t="s">
        <v>2015</v>
      </c>
    </row>
    <row r="55" spans="1:11" ht="15.75">
      <c r="A55" s="1040">
        <v>46020</v>
      </c>
      <c r="B55" s="1042">
        <v>46385</v>
      </c>
      <c r="C55" s="1026" t="s">
        <v>3142</v>
      </c>
      <c r="D55" s="1030" t="s">
        <v>448</v>
      </c>
      <c r="E55" s="1030" t="s">
        <v>2682</v>
      </c>
      <c r="F55" s="1072">
        <v>5529.48</v>
      </c>
      <c r="G55" s="1073">
        <v>0.1</v>
      </c>
      <c r="H55" s="1067">
        <f t="shared" si="2"/>
        <v>497.65319999999997</v>
      </c>
      <c r="I55" s="1068">
        <v>49.76</v>
      </c>
      <c r="J55" s="1112" t="s">
        <v>1470</v>
      </c>
      <c r="K55" s="1117" t="s">
        <v>2274</v>
      </c>
    </row>
    <row r="56" spans="1:11" ht="15.75">
      <c r="A56" s="1037">
        <v>45994</v>
      </c>
      <c r="B56" s="1038" t="s">
        <v>1805</v>
      </c>
      <c r="C56" s="1026" t="s">
        <v>3076</v>
      </c>
      <c r="D56" s="1026" t="s">
        <v>25</v>
      </c>
      <c r="E56" s="1026" t="s">
        <v>279</v>
      </c>
      <c r="F56" s="1059">
        <v>1008.56</v>
      </c>
      <c r="G56" s="1054">
        <v>0.1</v>
      </c>
      <c r="H56" s="1055">
        <f t="shared" si="2"/>
        <v>90.770399999999995</v>
      </c>
      <c r="I56" s="1056"/>
      <c r="J56" s="1111"/>
      <c r="K56" s="1115" t="s">
        <v>1805</v>
      </c>
    </row>
    <row r="57" spans="1:11" ht="15.75">
      <c r="A57" s="1037"/>
      <c r="B57" s="1038"/>
      <c r="C57" s="1026"/>
      <c r="D57" s="1026"/>
      <c r="E57" s="1026"/>
      <c r="F57" s="1059"/>
      <c r="G57" s="1054"/>
      <c r="H57" s="1055">
        <f t="shared" si="2"/>
        <v>0</v>
      </c>
      <c r="I57" s="1056"/>
      <c r="J57" s="1111"/>
      <c r="K57" s="1115"/>
    </row>
    <row r="58" spans="1:11" ht="15.75">
      <c r="A58" s="1037"/>
      <c r="B58" s="1038"/>
      <c r="C58" s="1026"/>
      <c r="D58" s="1026"/>
      <c r="E58" s="1026"/>
      <c r="F58" s="1059"/>
      <c r="G58" s="1054"/>
      <c r="H58" s="1055">
        <f t="shared" si="2"/>
        <v>0</v>
      </c>
      <c r="I58" s="1056"/>
      <c r="J58" s="1111"/>
      <c r="K58" s="1115"/>
    </row>
    <row r="59" spans="1:11" ht="15.75">
      <c r="A59" s="1037"/>
      <c r="B59" s="1038"/>
      <c r="C59" s="1026"/>
      <c r="D59" s="1026"/>
      <c r="E59" s="1026"/>
      <c r="F59" s="1059"/>
      <c r="G59" s="1054"/>
      <c r="H59" s="1269">
        <f t="shared" si="2"/>
        <v>0</v>
      </c>
      <c r="I59" s="1056"/>
      <c r="J59" s="1111"/>
      <c r="K59" s="1115"/>
    </row>
    <row r="60" spans="1:11" ht="16.5" thickBot="1">
      <c r="A60" s="1039"/>
      <c r="B60" s="1039"/>
      <c r="C60" s="1025"/>
      <c r="D60" s="1025"/>
      <c r="E60" s="1025"/>
      <c r="F60" s="1059"/>
      <c r="G60" s="1054"/>
      <c r="H60" s="1269"/>
      <c r="I60" s="1662"/>
      <c r="J60" s="1111"/>
      <c r="K60" s="1115"/>
    </row>
    <row r="61" spans="1:11" ht="15.75" customHeight="1" thickBot="1">
      <c r="A61" s="1673"/>
      <c r="B61" s="1674"/>
      <c r="C61" s="1674"/>
      <c r="D61" s="1674"/>
      <c r="E61" s="1675"/>
      <c r="F61" s="1670">
        <f>SUM(F3:F6,F7:F60)</f>
        <v>112532.18</v>
      </c>
      <c r="G61" s="1667"/>
      <c r="H61" s="1668">
        <f>SUM(H3:H60)</f>
        <v>11994.528310000002</v>
      </c>
      <c r="I61" s="1671">
        <f>SUM(I3:I60)</f>
        <v>515.81590000000006</v>
      </c>
      <c r="J61" s="1676"/>
      <c r="K61" s="1115"/>
    </row>
    <row r="62" spans="1:11" ht="15.75" customHeight="1">
      <c r="A62" s="1037"/>
      <c r="B62" s="1037"/>
      <c r="C62" s="1026"/>
      <c r="D62" s="1026"/>
      <c r="E62" s="1026"/>
      <c r="F62" s="1102"/>
      <c r="G62" s="1076"/>
      <c r="H62" s="1663"/>
      <c r="I62" s="1077"/>
      <c r="J62" s="1111"/>
      <c r="K62" s="1115"/>
    </row>
    <row r="63" spans="1:11" ht="15.75" customHeight="1">
      <c r="A63" s="1037"/>
      <c r="B63" s="1038"/>
      <c r="C63" s="1026"/>
      <c r="D63" s="1026"/>
      <c r="E63" s="1026"/>
      <c r="F63" s="1059"/>
      <c r="G63" s="1054"/>
      <c r="H63" s="1269"/>
      <c r="I63" s="1056"/>
      <c r="J63" s="1111"/>
      <c r="K63" s="1115"/>
    </row>
    <row r="64" spans="1:11" ht="15.75" customHeight="1">
      <c r="A64" s="1037"/>
      <c r="B64" s="1038"/>
      <c r="C64" s="1026"/>
      <c r="D64" s="1026"/>
      <c r="E64" s="1026"/>
      <c r="F64" s="1059"/>
      <c r="G64" s="1054"/>
      <c r="H64" s="1269"/>
      <c r="I64" s="1056"/>
      <c r="J64" s="1111"/>
      <c r="K64" s="1115"/>
    </row>
    <row r="65" spans="1:11" ht="15.75" customHeight="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115"/>
    </row>
    <row r="66" spans="1:11" ht="15.75" customHeight="1">
      <c r="A66" s="1037"/>
      <c r="B66" s="1038"/>
      <c r="C66" s="1026"/>
      <c r="D66" s="1026"/>
      <c r="E66" s="1026"/>
      <c r="F66" s="1059"/>
      <c r="G66" s="1054"/>
      <c r="H66" s="1269"/>
      <c r="I66" s="1056"/>
      <c r="J66" s="1111"/>
      <c r="K66" s="1115"/>
    </row>
    <row r="67" spans="1:11" ht="15.75" customHeight="1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1115"/>
    </row>
    <row r="68" spans="1:11" ht="15.75" customHeight="1">
      <c r="A68" s="1037"/>
      <c r="B68" s="1038"/>
      <c r="C68" s="1026"/>
      <c r="D68" s="1026"/>
      <c r="E68" s="1026"/>
      <c r="F68" s="1059"/>
      <c r="G68" s="1054"/>
      <c r="H68" s="1269"/>
      <c r="I68" s="1056"/>
      <c r="J68" s="1111"/>
      <c r="K68" s="1115"/>
    </row>
    <row r="69" spans="1:11" ht="15.75" customHeight="1">
      <c r="A69" s="1037"/>
      <c r="B69" s="1038"/>
      <c r="C69" s="1026"/>
      <c r="D69" s="1026"/>
      <c r="E69" s="1026"/>
      <c r="F69" s="1059"/>
      <c r="G69" s="1054"/>
      <c r="H69" s="1269"/>
      <c r="I69" s="1056"/>
      <c r="J69" s="1111"/>
      <c r="K69" s="1115"/>
    </row>
    <row r="70" spans="1:11" ht="15.75" customHeight="1">
      <c r="A70" s="1037"/>
      <c r="B70" s="1038"/>
      <c r="C70" s="1026"/>
      <c r="D70" s="1026"/>
      <c r="E70" s="1026"/>
      <c r="F70" s="1059"/>
      <c r="G70" s="1054"/>
      <c r="H70" s="1269"/>
      <c r="I70" s="1056"/>
      <c r="J70" s="1111"/>
      <c r="K70" s="1025"/>
    </row>
    <row r="71" spans="1:11" ht="15.75" customHeight="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115"/>
    </row>
    <row r="72" spans="1:11" ht="15.75" customHeight="1">
      <c r="A72" s="1037"/>
      <c r="B72" s="1038"/>
      <c r="C72" s="1026"/>
      <c r="D72" s="1026"/>
      <c r="E72" s="1026"/>
      <c r="F72" s="1059"/>
      <c r="G72" s="1059"/>
      <c r="H72" s="1269"/>
      <c r="I72" s="1056"/>
      <c r="J72" s="1111"/>
      <c r="K72" s="1115"/>
    </row>
    <row r="73" spans="1:11" ht="15.75" customHeight="1">
      <c r="A73" s="1037"/>
      <c r="B73" s="1038"/>
      <c r="C73" s="1026"/>
      <c r="D73" s="1026"/>
      <c r="E73" s="1026"/>
      <c r="F73" s="1059"/>
      <c r="G73" s="1059"/>
      <c r="H73" s="1269"/>
      <c r="I73" s="1056"/>
      <c r="J73" s="1111"/>
      <c r="K73" s="1025"/>
    </row>
    <row r="74" spans="1:11" ht="15.75" customHeight="1">
      <c r="A74" s="1037"/>
      <c r="B74" s="1038"/>
      <c r="C74" s="1026"/>
      <c r="D74" s="1026"/>
      <c r="E74" s="1026"/>
      <c r="F74" s="1059"/>
      <c r="G74" s="1059"/>
      <c r="H74" s="1269"/>
      <c r="I74" s="1056"/>
      <c r="J74" s="1111"/>
      <c r="K74" s="1025"/>
    </row>
    <row r="75" spans="1:11" ht="15.75" customHeight="1">
      <c r="A75" s="1037"/>
      <c r="B75" s="1038"/>
      <c r="C75" s="1026"/>
      <c r="D75" s="1026"/>
      <c r="E75" s="1026"/>
      <c r="F75" s="1059"/>
      <c r="G75" s="1054"/>
      <c r="H75" s="1269"/>
      <c r="I75" s="1056"/>
      <c r="J75" s="1111"/>
      <c r="K75" s="1115"/>
    </row>
    <row r="76" spans="1:11" ht="15.75" customHeight="1">
      <c r="A76" s="1037"/>
      <c r="B76" s="1038"/>
      <c r="C76" s="1026"/>
      <c r="D76" s="1026"/>
      <c r="E76" s="1026"/>
      <c r="F76" s="1059"/>
      <c r="G76" s="1054"/>
      <c r="H76" s="1269"/>
      <c r="I76" s="1056"/>
      <c r="J76" s="1111"/>
      <c r="K76" s="1115"/>
    </row>
    <row r="77" spans="1:11" ht="15.75" customHeight="1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1115"/>
    </row>
    <row r="78" spans="1:11" ht="15.75">
      <c r="A78" s="1037"/>
      <c r="B78" s="1038"/>
      <c r="C78" s="1026"/>
      <c r="D78" s="1026"/>
      <c r="E78" s="1026"/>
      <c r="F78" s="1059"/>
      <c r="G78" s="1054"/>
      <c r="H78" s="1269"/>
      <c r="I78" s="1056"/>
      <c r="J78" s="1111"/>
      <c r="K78" s="1115"/>
    </row>
    <row r="79" spans="1:11" ht="15.75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1115"/>
    </row>
    <row r="80" spans="1:11" ht="15.75">
      <c r="A80" s="1037"/>
      <c r="B80" s="1038"/>
      <c r="C80" s="1025"/>
      <c r="D80" s="1025"/>
      <c r="E80" s="1025"/>
      <c r="F80" s="1059"/>
      <c r="G80" s="1062"/>
      <c r="H80" s="1055"/>
      <c r="I80" s="1056"/>
      <c r="J80" s="1111"/>
      <c r="K80" s="1115"/>
    </row>
    <row r="81" spans="1:11" ht="15.75">
      <c r="A81" s="1037"/>
      <c r="B81" s="1039"/>
      <c r="C81" s="1025"/>
      <c r="D81" s="1025"/>
      <c r="E81" s="1025"/>
      <c r="F81" s="1059"/>
      <c r="G81" s="1054"/>
      <c r="H81" s="1269"/>
      <c r="I81" s="1056"/>
      <c r="J81" s="1111"/>
      <c r="K81" s="1115"/>
    </row>
    <row r="82" spans="1:11" ht="15.75">
      <c r="A82" s="1037"/>
      <c r="B82" s="1038"/>
      <c r="C82" s="1026"/>
      <c r="D82" s="1026"/>
      <c r="E82" s="1026"/>
      <c r="F82" s="1059"/>
      <c r="G82" s="1054"/>
      <c r="H82" s="1269"/>
      <c r="I82" s="1056"/>
      <c r="J82" s="1111"/>
      <c r="K82" s="1115"/>
    </row>
    <row r="83" spans="1:11" ht="15.75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1115"/>
    </row>
    <row r="84" spans="1:11" ht="15.75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115"/>
    </row>
    <row r="85" spans="1:11" ht="15.75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115"/>
    </row>
    <row r="86" spans="1:11" ht="15.75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115"/>
    </row>
    <row r="87" spans="1:11" ht="15.75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5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115"/>
    </row>
    <row r="89" spans="1:11" ht="15.75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115"/>
    </row>
    <row r="90" spans="1:11" ht="15.75">
      <c r="A90" s="1037"/>
      <c r="B90" s="1038"/>
      <c r="C90" s="1026"/>
      <c r="D90" s="1026"/>
      <c r="E90" s="1026"/>
      <c r="F90" s="1059"/>
      <c r="G90" s="1054"/>
      <c r="H90" s="1269"/>
      <c r="I90" s="1056"/>
      <c r="J90" s="1111"/>
      <c r="K90" s="1115"/>
    </row>
    <row r="91" spans="1:11" ht="15.75">
      <c r="A91" s="1037"/>
      <c r="B91" s="1038"/>
      <c r="C91" s="1026"/>
      <c r="D91" s="1026"/>
      <c r="E91" s="1026"/>
      <c r="F91" s="1059"/>
      <c r="G91" s="1054"/>
      <c r="H91" s="1269"/>
      <c r="I91" s="1056"/>
      <c r="J91" s="1111"/>
      <c r="K91" s="1115"/>
    </row>
    <row r="92" spans="1:11" ht="15.75">
      <c r="A92" s="1037"/>
      <c r="B92" s="1038"/>
      <c r="C92" s="1026"/>
      <c r="D92" s="1026"/>
      <c r="E92" s="1026"/>
      <c r="F92" s="1059"/>
      <c r="G92" s="1054"/>
      <c r="H92" s="1269"/>
      <c r="I92" s="1056"/>
      <c r="J92" s="1111"/>
      <c r="K92" s="1115"/>
    </row>
    <row r="93" spans="1:11" ht="15.75">
      <c r="A93" s="1037"/>
      <c r="B93" s="1038"/>
      <c r="C93" s="1026"/>
      <c r="D93" s="1026"/>
      <c r="E93" s="1026"/>
      <c r="F93" s="1059"/>
      <c r="G93" s="1054"/>
      <c r="H93" s="1269"/>
      <c r="I93" s="1056"/>
      <c r="J93" s="1111"/>
      <c r="K93" s="1115"/>
    </row>
    <row r="94" spans="1:11" ht="15.75">
      <c r="A94" s="1037"/>
      <c r="B94" s="1038"/>
      <c r="C94" s="1026"/>
      <c r="D94" s="1026"/>
      <c r="E94" s="1026"/>
      <c r="F94" s="1059"/>
      <c r="G94" s="1054"/>
      <c r="H94" s="1269"/>
      <c r="I94" s="1056"/>
      <c r="J94" s="1111"/>
      <c r="K94" s="1115"/>
    </row>
    <row r="95" spans="1:11">
      <c r="A95" s="1037"/>
      <c r="B95" s="1038"/>
      <c r="C95" s="1026"/>
      <c r="D95" s="1026"/>
      <c r="E95" s="1026"/>
      <c r="F95" s="1059"/>
      <c r="G95" s="1059"/>
      <c r="H95" s="1269"/>
      <c r="I95" s="1056"/>
      <c r="J95" s="1111"/>
      <c r="K95" s="1025"/>
    </row>
    <row r="96" spans="1:11">
      <c r="A96" s="1037"/>
      <c r="B96" s="1038"/>
      <c r="C96" s="1026"/>
      <c r="D96" s="1026"/>
      <c r="E96" s="1026"/>
      <c r="F96" s="1059"/>
      <c r="G96" s="1059"/>
      <c r="H96" s="1269"/>
      <c r="I96" s="1056"/>
      <c r="J96" s="1111"/>
      <c r="K96" s="1025"/>
    </row>
    <row r="97" spans="1:11">
      <c r="A97" s="1037"/>
      <c r="B97" s="1038"/>
      <c r="C97" s="1026"/>
      <c r="D97" s="1026"/>
      <c r="E97" s="1026"/>
      <c r="F97" s="1059"/>
      <c r="G97" s="1059"/>
      <c r="H97" s="1269"/>
      <c r="I97" s="1056"/>
      <c r="J97" s="1111"/>
      <c r="K97" s="1025"/>
    </row>
    <row r="98" spans="1:11" ht="15.75">
      <c r="A98" s="1037"/>
      <c r="B98" s="1038"/>
      <c r="C98" s="1026"/>
      <c r="D98" s="1026"/>
      <c r="E98" s="1026"/>
      <c r="F98" s="1059"/>
      <c r="G98" s="1054"/>
      <c r="H98" s="1269"/>
      <c r="I98" s="1056"/>
      <c r="J98" s="1111"/>
      <c r="K98" s="1115"/>
    </row>
    <row r="99" spans="1:11">
      <c r="A99" s="1037"/>
      <c r="B99" s="1038"/>
      <c r="C99" s="1026"/>
      <c r="D99" s="1026"/>
      <c r="E99" s="1026"/>
      <c r="F99" s="1059"/>
      <c r="G99" s="1059"/>
      <c r="H99" s="1269"/>
      <c r="I99" s="1056"/>
      <c r="J99" s="1111"/>
      <c r="K99" s="1025"/>
    </row>
    <row r="100" spans="1:11">
      <c r="A100" s="1037"/>
      <c r="B100" s="1038"/>
      <c r="C100" s="1026"/>
      <c r="D100" s="1026"/>
      <c r="E100" s="1026"/>
      <c r="F100" s="1059"/>
      <c r="G100" s="1059"/>
      <c r="H100" s="1269"/>
      <c r="I100" s="1056"/>
      <c r="J100" s="1111"/>
      <c r="K100" s="1025"/>
    </row>
    <row r="101" spans="1:11">
      <c r="A101" s="1037"/>
      <c r="B101" s="1038"/>
      <c r="C101" s="1026"/>
      <c r="D101" s="1026"/>
      <c r="E101" s="1026"/>
      <c r="F101" s="1059"/>
      <c r="G101" s="1059"/>
      <c r="H101" s="1269"/>
      <c r="I101" s="1056"/>
      <c r="J101" s="1111"/>
      <c r="K101" s="1025"/>
    </row>
    <row r="102" spans="1:11" ht="15.75">
      <c r="A102" s="1037"/>
      <c r="B102" s="1038"/>
      <c r="C102" s="1026"/>
      <c r="D102" s="1026"/>
      <c r="E102" s="1026"/>
      <c r="F102" s="1059"/>
      <c r="G102" s="1054"/>
      <c r="H102" s="1269"/>
      <c r="I102" s="1056"/>
      <c r="J102" s="1111"/>
      <c r="K102" s="1115"/>
    </row>
    <row r="103" spans="1:11" ht="15.75">
      <c r="A103" s="1037"/>
      <c r="B103" s="1038"/>
      <c r="C103" s="1026"/>
      <c r="D103" s="1026"/>
      <c r="E103" s="1026"/>
      <c r="F103" s="1059"/>
      <c r="G103" s="1054"/>
      <c r="H103" s="1269"/>
      <c r="I103" s="1056"/>
      <c r="J103" s="1111"/>
      <c r="K103" s="1115"/>
    </row>
    <row r="104" spans="1:11">
      <c r="A104" s="1037"/>
      <c r="B104" s="1038"/>
      <c r="C104" s="1026"/>
      <c r="D104" s="1026"/>
      <c r="E104" s="1026"/>
      <c r="F104" s="1059"/>
      <c r="G104" s="1059"/>
      <c r="H104" s="1269"/>
      <c r="I104" s="1056"/>
      <c r="J104" s="1111"/>
      <c r="K104" s="1025"/>
    </row>
    <row r="105" spans="1:11">
      <c r="A105" s="1037"/>
      <c r="B105" s="1038"/>
      <c r="C105" s="1026"/>
      <c r="D105" s="1026"/>
      <c r="E105" s="1026"/>
      <c r="F105" s="1059"/>
      <c r="G105" s="1059"/>
      <c r="H105" s="1269"/>
      <c r="I105" s="1056"/>
      <c r="J105" s="1111"/>
      <c r="K105" s="1025"/>
    </row>
    <row r="106" spans="1:11">
      <c r="A106" s="1037"/>
      <c r="B106" s="1038"/>
      <c r="C106" s="1026"/>
      <c r="D106" s="1026"/>
      <c r="E106" s="1026"/>
      <c r="F106" s="1059"/>
      <c r="G106" s="1059"/>
      <c r="H106" s="1269"/>
      <c r="I106" s="1056"/>
      <c r="J106" s="1111"/>
      <c r="K106" s="1025"/>
    </row>
    <row r="107" spans="1:11">
      <c r="A107" s="1037"/>
      <c r="B107" s="1038"/>
      <c r="C107" s="1026"/>
      <c r="D107" s="1026"/>
      <c r="E107" s="1026"/>
      <c r="F107" s="1059"/>
      <c r="G107" s="1059"/>
      <c r="H107" s="1269"/>
      <c r="I107" s="1056"/>
      <c r="J107" s="1111"/>
      <c r="K107" s="1025"/>
    </row>
    <row r="108" spans="1:11">
      <c r="A108" s="1037"/>
      <c r="B108" s="1038"/>
      <c r="C108" s="1026"/>
      <c r="D108" s="1026"/>
      <c r="E108" s="1026"/>
      <c r="F108" s="1059"/>
      <c r="G108" s="1059"/>
      <c r="H108" s="1269"/>
      <c r="I108" s="1056"/>
      <c r="J108" s="1111"/>
      <c r="K108" s="1025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1025"/>
    </row>
    <row r="110" spans="1:11" ht="15.75">
      <c r="A110" s="1037"/>
      <c r="B110" s="1038"/>
      <c r="C110" s="1026"/>
      <c r="D110" s="1026"/>
      <c r="E110" s="1026"/>
      <c r="F110" s="1059"/>
      <c r="G110" s="1054"/>
      <c r="H110" s="1269"/>
      <c r="I110" s="1056"/>
      <c r="J110" s="1111"/>
      <c r="K110" s="1115"/>
    </row>
    <row r="111" spans="1:11">
      <c r="A111" s="1037"/>
      <c r="B111" s="1038"/>
      <c r="C111" s="1026"/>
      <c r="D111" s="1026"/>
      <c r="E111" s="1026"/>
      <c r="F111" s="1059"/>
      <c r="G111" s="1059"/>
      <c r="H111" s="1269"/>
      <c r="I111" s="1056"/>
      <c r="J111" s="1111"/>
      <c r="K111" s="1025"/>
    </row>
    <row r="112" spans="1:11">
      <c r="A112" s="1037"/>
      <c r="B112" s="1038"/>
      <c r="C112" s="1026"/>
      <c r="D112" s="1026"/>
      <c r="E112" s="1026"/>
      <c r="F112" s="1059"/>
      <c r="G112" s="1059"/>
      <c r="H112" s="1269"/>
      <c r="I112" s="1056"/>
      <c r="J112" s="1111"/>
      <c r="K112" s="1025"/>
    </row>
    <row r="113" spans="1:11">
      <c r="A113" s="1037"/>
      <c r="B113" s="1038"/>
      <c r="C113" s="1026"/>
      <c r="D113" s="1026"/>
      <c r="E113" s="1026"/>
      <c r="F113" s="1059"/>
      <c r="G113" s="1059"/>
      <c r="H113" s="1269"/>
      <c r="I113" s="1056"/>
      <c r="J113" s="1111"/>
      <c r="K113" s="1025"/>
    </row>
    <row r="114" spans="1:11" ht="15.75">
      <c r="A114" s="1037"/>
      <c r="B114" s="1038"/>
      <c r="C114" s="1026"/>
      <c r="D114" s="1026"/>
      <c r="E114" s="1026"/>
      <c r="F114" s="1059"/>
      <c r="G114" s="1059"/>
      <c r="H114" s="1269"/>
      <c r="I114" s="1056"/>
      <c r="J114" s="1111"/>
      <c r="K114" s="1115"/>
    </row>
    <row r="115" spans="1:11">
      <c r="A115" s="1037"/>
      <c r="B115" s="1038"/>
      <c r="C115" s="1026"/>
      <c r="D115" s="1026"/>
      <c r="E115" s="1026"/>
      <c r="F115" s="1059"/>
      <c r="G115" s="1059"/>
      <c r="H115" s="1269"/>
      <c r="I115" s="1056"/>
      <c r="J115" s="1111"/>
      <c r="K115" s="1025"/>
    </row>
    <row r="116" spans="1:11">
      <c r="A116" s="1037"/>
      <c r="B116" s="1038"/>
      <c r="C116" s="1026"/>
      <c r="D116" s="1026"/>
      <c r="E116" s="1026"/>
      <c r="F116" s="1059"/>
      <c r="G116" s="1059"/>
      <c r="H116" s="1269"/>
      <c r="I116" s="1056"/>
      <c r="J116" s="1111"/>
      <c r="K116" s="1025"/>
    </row>
    <row r="117" spans="1:11">
      <c r="A117" s="1037"/>
      <c r="B117" s="1038"/>
      <c r="C117" s="1026"/>
      <c r="D117" s="1026"/>
      <c r="E117" s="1026"/>
      <c r="F117" s="1059"/>
      <c r="G117" s="1059"/>
      <c r="H117" s="1269"/>
      <c r="I117" s="1056"/>
      <c r="J117" s="1111"/>
      <c r="K117" s="1025"/>
    </row>
    <row r="118" spans="1:11">
      <c r="A118" s="1037"/>
      <c r="B118" s="1038"/>
      <c r="C118" s="1026"/>
      <c r="D118" s="1026"/>
      <c r="E118" s="1026"/>
      <c r="F118" s="1059"/>
      <c r="G118" s="1059"/>
      <c r="H118" s="1269"/>
      <c r="I118" s="1056"/>
      <c r="J118" s="1111"/>
      <c r="K118" s="1025"/>
    </row>
    <row r="119" spans="1:11">
      <c r="A119" s="1037"/>
      <c r="B119" s="1038"/>
      <c r="C119" s="1026"/>
      <c r="D119" s="1026"/>
      <c r="E119" s="1026"/>
      <c r="F119" s="1059"/>
      <c r="G119" s="1054"/>
      <c r="H119" s="1269"/>
      <c r="I119" s="1056"/>
      <c r="J119" s="1111"/>
      <c r="K119" s="1025"/>
    </row>
    <row r="120" spans="1:11" ht="15.75">
      <c r="A120" s="1037"/>
      <c r="B120" s="1038"/>
      <c r="C120" s="1025"/>
      <c r="D120" s="1026"/>
      <c r="E120" s="1026"/>
      <c r="F120" s="1059"/>
      <c r="G120" s="1054"/>
      <c r="H120" s="1269"/>
      <c r="I120" s="1056"/>
      <c r="J120" s="1111"/>
      <c r="K120" s="1115"/>
    </row>
    <row r="121" spans="1:11" ht="15.75">
      <c r="A121" s="1037"/>
      <c r="B121" s="1038"/>
      <c r="C121" s="1026"/>
      <c r="D121" s="1026"/>
      <c r="E121" s="1026"/>
      <c r="F121" s="1059"/>
      <c r="G121" s="1054"/>
      <c r="H121" s="1269"/>
      <c r="I121" s="1056"/>
      <c r="J121" s="1111"/>
      <c r="K121" s="1115"/>
    </row>
    <row r="122" spans="1:11" ht="15.75">
      <c r="A122" s="1037"/>
      <c r="B122" s="1038"/>
      <c r="C122" s="1026"/>
      <c r="D122" s="1026"/>
      <c r="E122" s="1026"/>
      <c r="F122" s="1059"/>
      <c r="G122" s="1054"/>
      <c r="H122" s="1269"/>
      <c r="I122" s="1056"/>
      <c r="J122" s="1111"/>
      <c r="K122" s="1115"/>
    </row>
    <row r="123" spans="1:11" ht="15.75">
      <c r="A123" s="1037"/>
      <c r="B123" s="1038"/>
      <c r="C123" s="1026"/>
      <c r="D123" s="1026"/>
      <c r="E123" s="1026"/>
      <c r="F123" s="1059"/>
      <c r="G123" s="1054"/>
      <c r="H123" s="1269"/>
      <c r="I123" s="1056"/>
      <c r="J123" s="1111"/>
      <c r="K123" s="1115"/>
    </row>
    <row r="124" spans="1:11" ht="15.75">
      <c r="A124" s="1037"/>
      <c r="B124" s="1038"/>
      <c r="C124" s="1026"/>
      <c r="D124" s="1026"/>
      <c r="E124" s="1026"/>
      <c r="F124" s="1059"/>
      <c r="G124" s="1054"/>
      <c r="H124" s="1269"/>
      <c r="I124" s="1056"/>
      <c r="J124" s="1111"/>
      <c r="K124" s="1115"/>
    </row>
    <row r="125" spans="1:11">
      <c r="A125" s="1037"/>
      <c r="B125" s="1038"/>
      <c r="C125" s="1026"/>
      <c r="D125" s="1026"/>
      <c r="E125" s="1026"/>
      <c r="F125" s="1059"/>
      <c r="G125" s="1059"/>
      <c r="H125" s="1269"/>
      <c r="I125" s="1056"/>
      <c r="J125" s="1111"/>
      <c r="K125" s="1025"/>
    </row>
    <row r="126" spans="1:11">
      <c r="A126" s="1037"/>
      <c r="B126" s="1038"/>
      <c r="C126" s="1026"/>
      <c r="D126" s="1026"/>
      <c r="E126" s="1026"/>
      <c r="F126" s="1059"/>
      <c r="G126" s="1059"/>
      <c r="H126" s="1269"/>
      <c r="I126" s="1056"/>
      <c r="J126" s="1111"/>
      <c r="K126" s="1025"/>
    </row>
    <row r="127" spans="1:11" ht="15.75">
      <c r="A127" s="1037"/>
      <c r="B127" s="1038"/>
      <c r="C127" s="1026"/>
      <c r="D127" s="1026"/>
      <c r="E127" s="1026"/>
      <c r="F127" s="1059"/>
      <c r="G127" s="1054"/>
      <c r="H127" s="1269"/>
      <c r="I127" s="1056"/>
      <c r="J127" s="1111"/>
      <c r="K127" s="1115"/>
    </row>
    <row r="128" spans="1:11" ht="15.75">
      <c r="A128" s="1037"/>
      <c r="B128" s="1038"/>
      <c r="C128" s="1026"/>
      <c r="D128" s="1026"/>
      <c r="E128" s="1026"/>
      <c r="F128" s="1059"/>
      <c r="G128" s="1054"/>
      <c r="H128" s="1269"/>
      <c r="I128" s="1056"/>
      <c r="J128" s="1111"/>
      <c r="K128" s="1115"/>
    </row>
    <row r="129" spans="1:11" ht="15.75">
      <c r="A129" s="1037"/>
      <c r="B129" s="1038"/>
      <c r="C129" s="1026"/>
      <c r="D129" s="1026"/>
      <c r="E129" s="1026"/>
      <c r="F129" s="1059"/>
      <c r="G129" s="1054"/>
      <c r="H129" s="1269"/>
      <c r="I129" s="1056"/>
      <c r="J129" s="1111"/>
      <c r="K129" s="1115"/>
    </row>
    <row r="130" spans="1:11">
      <c r="A130" s="1037"/>
      <c r="B130" s="1038"/>
      <c r="C130" s="1026"/>
      <c r="D130" s="1026"/>
      <c r="E130" s="1026"/>
      <c r="F130" s="1059"/>
      <c r="G130" s="1054"/>
      <c r="H130" s="1269"/>
      <c r="I130" s="1056"/>
      <c r="J130" s="1111"/>
      <c r="K130" s="1025"/>
    </row>
    <row r="131" spans="1:11">
      <c r="A131" s="1037"/>
      <c r="B131" s="1038"/>
      <c r="C131" s="1026"/>
      <c r="D131" s="1026"/>
      <c r="E131" s="1026"/>
      <c r="F131" s="1059"/>
      <c r="G131" s="1054"/>
      <c r="H131" s="1269"/>
      <c r="I131" s="1056"/>
      <c r="J131" s="1111"/>
      <c r="K131" s="1025"/>
    </row>
    <row r="132" spans="1:11">
      <c r="A132" s="1037"/>
      <c r="B132" s="1038"/>
      <c r="C132" s="1026"/>
      <c r="D132" s="1026"/>
      <c r="E132" s="1026"/>
      <c r="F132" s="1059"/>
      <c r="G132" s="1059"/>
      <c r="H132" s="1269"/>
      <c r="I132" s="1056"/>
      <c r="J132" s="1111"/>
      <c r="K132" s="1025"/>
    </row>
    <row r="133" spans="1:11">
      <c r="A133" s="1037"/>
      <c r="B133" s="1038"/>
      <c r="C133" s="1026"/>
      <c r="D133" s="1026"/>
      <c r="E133" s="1026"/>
      <c r="F133" s="1059"/>
      <c r="G133" s="1059"/>
      <c r="H133" s="1269"/>
      <c r="I133" s="1056"/>
      <c r="J133" s="1111"/>
      <c r="K133" s="1025"/>
    </row>
    <row r="134" spans="1:11">
      <c r="A134" s="1037"/>
      <c r="B134" s="1038"/>
      <c r="C134" s="1026"/>
      <c r="D134" s="1026"/>
      <c r="E134" s="1026"/>
      <c r="F134" s="1059"/>
      <c r="G134" s="1059"/>
      <c r="H134" s="1269"/>
      <c r="I134" s="1056"/>
      <c r="J134" s="1111"/>
      <c r="K134" s="1025"/>
    </row>
    <row r="135" spans="1:11">
      <c r="A135" s="1037"/>
      <c r="B135" s="1038"/>
      <c r="C135" s="1026"/>
      <c r="D135" s="1026"/>
      <c r="E135" s="1026"/>
      <c r="F135" s="1059"/>
      <c r="G135" s="1059"/>
      <c r="H135" s="1269"/>
      <c r="I135" s="1056"/>
      <c r="J135" s="1111"/>
      <c r="K135" s="1025"/>
    </row>
    <row r="136" spans="1:11" ht="15.75">
      <c r="A136" s="1037"/>
      <c r="B136" s="1038"/>
      <c r="C136" s="1026"/>
      <c r="D136" s="1026"/>
      <c r="E136" s="1026"/>
      <c r="F136" s="1059"/>
      <c r="G136" s="1054"/>
      <c r="H136" s="1269"/>
      <c r="I136" s="1056"/>
      <c r="J136" s="1111"/>
      <c r="K136" s="1115"/>
    </row>
    <row r="137" spans="1:11" ht="15.75">
      <c r="A137" s="1037"/>
      <c r="B137" s="1038"/>
      <c r="C137" s="1026"/>
      <c r="D137" s="1026"/>
      <c r="E137" s="1026"/>
      <c r="F137" s="1059"/>
      <c r="G137" s="1059"/>
      <c r="H137" s="1269"/>
      <c r="I137" s="1056"/>
      <c r="J137" s="1111"/>
      <c r="K137" s="1115"/>
    </row>
    <row r="138" spans="1:11">
      <c r="A138" s="1037"/>
      <c r="B138" s="1038"/>
      <c r="C138" s="1026"/>
      <c r="D138" s="1026"/>
      <c r="E138" s="1026"/>
      <c r="F138" s="1059"/>
      <c r="G138" s="1059"/>
      <c r="H138" s="1269"/>
      <c r="I138" s="1056"/>
      <c r="J138" s="1111"/>
      <c r="K138" s="1025"/>
    </row>
    <row r="139" spans="1:11">
      <c r="A139" s="1037"/>
      <c r="B139" s="1038"/>
      <c r="C139" s="1026"/>
      <c r="D139" s="1026"/>
      <c r="E139" s="1026"/>
      <c r="F139" s="1059"/>
      <c r="G139" s="1054"/>
      <c r="H139" s="1269"/>
      <c r="I139" s="1056"/>
      <c r="J139" s="1111"/>
      <c r="K139" s="1025"/>
    </row>
    <row r="140" spans="1:11" ht="15.75">
      <c r="A140" s="1037"/>
      <c r="B140" s="1038"/>
      <c r="C140" s="1026"/>
      <c r="D140" s="1026"/>
      <c r="E140" s="1026"/>
      <c r="F140" s="1059"/>
      <c r="G140" s="1054"/>
      <c r="H140" s="1269"/>
      <c r="I140" s="1056"/>
      <c r="J140" s="1111"/>
      <c r="K140" s="1115"/>
    </row>
    <row r="141" spans="1:11">
      <c r="A141" s="1037"/>
      <c r="B141" s="1038"/>
      <c r="C141" s="1026"/>
      <c r="D141" s="1026"/>
      <c r="E141" s="1026"/>
      <c r="F141" s="1059"/>
      <c r="G141" s="1054"/>
      <c r="H141" s="1269"/>
      <c r="I141" s="1056"/>
      <c r="J141" s="1111"/>
      <c r="K141" s="1025"/>
    </row>
    <row r="142" spans="1:11">
      <c r="A142" s="1037"/>
      <c r="B142" s="1038"/>
      <c r="C142" s="1026"/>
      <c r="D142" s="1026"/>
      <c r="E142" s="1026"/>
      <c r="F142" s="1059"/>
      <c r="G142" s="1059"/>
      <c r="H142" s="1269"/>
      <c r="I142" s="1056"/>
      <c r="J142" s="1111"/>
      <c r="K142" s="1025"/>
    </row>
    <row r="143" spans="1:11">
      <c r="A143" s="1037"/>
      <c r="B143" s="1038"/>
      <c r="C143" s="1026"/>
      <c r="D143" s="1026"/>
      <c r="E143" s="1026"/>
      <c r="F143" s="1059"/>
      <c r="G143" s="1059"/>
      <c r="H143" s="1269"/>
      <c r="I143" s="1056"/>
      <c r="J143" s="1111"/>
      <c r="K143" s="1025"/>
    </row>
    <row r="144" spans="1:11" ht="15.75">
      <c r="A144" s="1037"/>
      <c r="B144" s="1038"/>
      <c r="C144" s="1026"/>
      <c r="D144" s="1026"/>
      <c r="E144" s="1026"/>
      <c r="F144" s="1059"/>
      <c r="G144" s="1054"/>
      <c r="H144" s="1269"/>
      <c r="I144" s="1056"/>
      <c r="J144" s="1111"/>
      <c r="K144" s="1115"/>
    </row>
    <row r="145" spans="1:11" ht="15.75">
      <c r="A145" s="1037"/>
      <c r="B145" s="1038"/>
      <c r="C145" s="1026"/>
      <c r="D145" s="1026"/>
      <c r="E145" s="1026"/>
      <c r="F145" s="1059"/>
      <c r="G145" s="1054"/>
      <c r="H145" s="1269"/>
      <c r="I145" s="1056"/>
      <c r="J145" s="1111"/>
      <c r="K145" s="1115"/>
    </row>
    <row r="146" spans="1:11" ht="15.75">
      <c r="A146" s="1037"/>
      <c r="B146" s="1038"/>
      <c r="C146" s="1026"/>
      <c r="D146" s="1026"/>
      <c r="E146" s="1026"/>
      <c r="F146" s="1059"/>
      <c r="G146" s="1054"/>
      <c r="H146" s="1269"/>
      <c r="I146" s="1056"/>
      <c r="J146" s="1111"/>
      <c r="K146" s="1115"/>
    </row>
    <row r="147" spans="1:11" ht="15.75">
      <c r="A147" s="1037"/>
      <c r="B147" s="1038"/>
      <c r="C147" s="1026"/>
      <c r="D147" s="1026"/>
      <c r="E147" s="1026"/>
      <c r="F147" s="1059"/>
      <c r="G147" s="1054"/>
      <c r="H147" s="1269"/>
      <c r="I147" s="1056"/>
      <c r="J147" s="1111"/>
      <c r="K147" s="1115"/>
    </row>
    <row r="148" spans="1:11" ht="15.75">
      <c r="A148" s="1037"/>
      <c r="B148" s="1038"/>
      <c r="C148" s="1026"/>
      <c r="D148" s="1026"/>
      <c r="E148" s="1026"/>
      <c r="F148" s="1059"/>
      <c r="G148" s="1054"/>
      <c r="H148" s="1269"/>
      <c r="I148" s="1056"/>
      <c r="J148" s="1111"/>
      <c r="K148" s="1115"/>
    </row>
    <row r="149" spans="1:11">
      <c r="A149" s="1037"/>
      <c r="B149" s="1038"/>
      <c r="C149" s="1026"/>
      <c r="D149" s="1026"/>
      <c r="E149" s="1026"/>
      <c r="F149" s="1059"/>
      <c r="G149" s="1054"/>
      <c r="H149" s="1269"/>
      <c r="I149" s="1056"/>
      <c r="J149" s="1111"/>
      <c r="K149" s="1025"/>
    </row>
    <row r="150" spans="1:11">
      <c r="A150" s="1037"/>
      <c r="B150" s="1038"/>
      <c r="C150" s="1025"/>
      <c r="D150" s="1026"/>
      <c r="E150" s="1026"/>
      <c r="F150" s="1061"/>
      <c r="G150" s="1054"/>
      <c r="H150" s="1055"/>
      <c r="I150" s="1056"/>
      <c r="J150" s="1111"/>
      <c r="K150" s="1025"/>
    </row>
    <row r="151" spans="1:11">
      <c r="A151" s="1037"/>
      <c r="B151" s="1038"/>
      <c r="C151" s="1026"/>
      <c r="D151" s="1026"/>
      <c r="E151" s="1026"/>
      <c r="F151" s="1059"/>
      <c r="G151" s="1054"/>
      <c r="H151" s="1269"/>
      <c r="I151" s="1056"/>
      <c r="J151" s="1111"/>
      <c r="K151" s="1025"/>
    </row>
    <row r="152" spans="1:11">
      <c r="A152" s="1037"/>
      <c r="B152" s="1038"/>
      <c r="C152" s="1026"/>
      <c r="D152" s="1026"/>
      <c r="E152" s="1026"/>
      <c r="F152" s="1059"/>
      <c r="G152" s="1054"/>
      <c r="H152" s="1269"/>
      <c r="I152" s="1056"/>
      <c r="J152" s="1111"/>
      <c r="K152" s="1025"/>
    </row>
    <row r="153" spans="1:11">
      <c r="A153" s="1037"/>
      <c r="B153" s="1038"/>
      <c r="C153" s="1026"/>
      <c r="D153" s="1026"/>
      <c r="E153" s="1026"/>
      <c r="F153" s="1059"/>
      <c r="G153" s="1059"/>
      <c r="H153" s="1269"/>
      <c r="I153" s="1056"/>
      <c r="J153" s="1111"/>
      <c r="K153" s="1025"/>
    </row>
    <row r="154" spans="1:11">
      <c r="A154" s="1037"/>
      <c r="B154" s="1038"/>
      <c r="C154" s="1026"/>
      <c r="D154" s="1026"/>
      <c r="E154" s="1026"/>
      <c r="F154" s="1059"/>
      <c r="G154" s="1059"/>
      <c r="H154" s="1269"/>
      <c r="I154" s="1056"/>
      <c r="J154" s="1111"/>
      <c r="K154" s="1025"/>
    </row>
    <row r="155" spans="1:11" ht="15.75">
      <c r="A155" s="1037"/>
      <c r="B155" s="1038"/>
      <c r="C155" s="1026"/>
      <c r="D155" s="1026"/>
      <c r="E155" s="1026"/>
      <c r="F155" s="1059"/>
      <c r="G155" s="1054"/>
      <c r="H155" s="1269"/>
      <c r="I155" s="1056"/>
      <c r="J155" s="1111"/>
      <c r="K155" s="1115"/>
    </row>
    <row r="156" spans="1:11">
      <c r="A156" s="1037"/>
      <c r="B156" s="1038"/>
      <c r="C156" s="1026"/>
      <c r="D156" s="1026"/>
      <c r="E156" s="1026"/>
      <c r="F156" s="1059"/>
      <c r="G156" s="1054"/>
      <c r="H156" s="1269"/>
      <c r="I156" s="1056"/>
      <c r="J156" s="1111"/>
      <c r="K156" s="1025"/>
    </row>
    <row r="157" spans="1:11">
      <c r="A157" s="1037"/>
      <c r="B157" s="1038"/>
      <c r="C157" s="1026"/>
      <c r="D157" s="1026"/>
      <c r="E157" s="1026"/>
      <c r="F157" s="1059"/>
      <c r="G157" s="1059"/>
      <c r="H157" s="1269"/>
      <c r="I157" s="1056"/>
      <c r="J157" s="1111"/>
      <c r="K157" s="1025"/>
    </row>
    <row r="158" spans="1:11">
      <c r="A158" s="1037"/>
      <c r="B158" s="1038"/>
      <c r="C158" s="1026"/>
      <c r="D158" s="1026"/>
      <c r="E158" s="1026"/>
      <c r="F158" s="1059"/>
      <c r="G158" s="1059"/>
      <c r="H158" s="1269"/>
      <c r="I158" s="1056"/>
      <c r="J158" s="1111"/>
      <c r="K158" s="1025"/>
    </row>
    <row r="159" spans="1:11">
      <c r="A159" s="1037"/>
      <c r="B159" s="1038"/>
      <c r="C159" s="1026"/>
      <c r="D159" s="1026"/>
      <c r="E159" s="1026"/>
      <c r="F159" s="1059"/>
      <c r="G159" s="1054"/>
      <c r="H159" s="1269"/>
      <c r="I159" s="1056"/>
      <c r="J159" s="1111"/>
      <c r="K159" s="1025"/>
    </row>
    <row r="160" spans="1:11">
      <c r="A160" s="1037"/>
      <c r="B160" s="1038"/>
      <c r="C160" s="1026"/>
      <c r="D160" s="1026"/>
      <c r="E160" s="1026"/>
      <c r="F160" s="1059"/>
      <c r="G160" s="1054"/>
      <c r="H160" s="1269"/>
      <c r="I160" s="1056"/>
      <c r="J160" s="1111"/>
      <c r="K160" s="1025"/>
    </row>
    <row r="161" spans="1:11">
      <c r="A161" s="1037"/>
      <c r="B161" s="1038"/>
      <c r="C161" s="1026"/>
      <c r="D161" s="1026"/>
      <c r="E161" s="1026"/>
      <c r="F161" s="1059"/>
      <c r="G161" s="1054"/>
      <c r="H161" s="1269"/>
      <c r="I161" s="1056"/>
      <c r="J161" s="1111"/>
      <c r="K161" s="1025"/>
    </row>
    <row r="162" spans="1:11" ht="15.75">
      <c r="A162" s="1037"/>
      <c r="B162" s="1038"/>
      <c r="C162" s="1026"/>
      <c r="D162" s="1026"/>
      <c r="E162" s="1026"/>
      <c r="F162" s="1059"/>
      <c r="G162" s="1054"/>
      <c r="H162" s="1269"/>
      <c r="I162" s="1056"/>
      <c r="J162" s="1111"/>
      <c r="K162" s="1115"/>
    </row>
    <row r="163" spans="1:11">
      <c r="A163" s="1037"/>
      <c r="B163" s="1038"/>
      <c r="C163" s="1026"/>
      <c r="D163" s="1026"/>
      <c r="E163" s="1026"/>
      <c r="F163" s="1059"/>
      <c r="G163" s="1054"/>
      <c r="H163" s="1269"/>
      <c r="I163" s="1056"/>
      <c r="J163" s="1111"/>
      <c r="K163" s="1025"/>
    </row>
    <row r="164" spans="1:11">
      <c r="A164" s="1037"/>
      <c r="B164" s="1038"/>
      <c r="C164" s="290"/>
      <c r="D164" s="1026"/>
      <c r="E164" s="1026"/>
      <c r="F164" s="1059"/>
      <c r="G164" s="1054"/>
      <c r="H164" s="1269"/>
      <c r="I164" s="1056"/>
      <c r="J164" s="1111"/>
      <c r="K164" s="1025"/>
    </row>
    <row r="165" spans="1:11">
      <c r="A165" s="1037"/>
      <c r="B165" s="1038"/>
      <c r="C165" s="1026"/>
      <c r="D165" s="1026"/>
      <c r="E165" s="1026"/>
      <c r="F165" s="1059"/>
      <c r="G165" s="1054"/>
      <c r="H165" s="1269"/>
      <c r="I165" s="1056"/>
      <c r="J165" s="1111"/>
      <c r="K165" s="1025"/>
    </row>
    <row r="166" spans="1:11">
      <c r="A166" s="1037"/>
      <c r="B166" s="1038"/>
      <c r="C166" s="1026"/>
      <c r="D166" s="1026"/>
      <c r="E166" s="1026"/>
      <c r="F166" s="1059"/>
      <c r="G166" s="1054"/>
      <c r="H166" s="1269"/>
      <c r="I166" s="1056"/>
      <c r="J166" s="1111"/>
      <c r="K166" s="1025"/>
    </row>
    <row r="167" spans="1:11">
      <c r="A167" s="1037"/>
      <c r="B167" s="1038"/>
      <c r="C167" s="1026"/>
      <c r="D167" s="1026"/>
      <c r="E167" s="1026"/>
      <c r="F167" s="1059"/>
      <c r="G167" s="1054"/>
      <c r="H167" s="1269"/>
      <c r="I167" s="1056"/>
      <c r="J167" s="1111"/>
      <c r="K167" s="1025"/>
    </row>
    <row r="168" spans="1:11">
      <c r="A168" s="1037"/>
      <c r="B168" s="1038"/>
      <c r="C168" s="1026"/>
      <c r="D168" s="1026"/>
      <c r="E168" s="1026"/>
      <c r="F168" s="1059"/>
      <c r="G168" s="1054"/>
      <c r="H168" s="1269"/>
      <c r="I168" s="1056"/>
      <c r="J168" s="1111"/>
      <c r="K168" s="1025"/>
    </row>
    <row r="169" spans="1:11">
      <c r="A169" s="1037"/>
      <c r="B169" s="1038"/>
      <c r="C169" s="1026"/>
      <c r="D169" s="1026"/>
      <c r="E169" s="1026"/>
      <c r="F169" s="1059"/>
      <c r="G169" s="1054"/>
      <c r="H169" s="1269"/>
      <c r="I169" s="1056"/>
      <c r="J169" s="1111"/>
      <c r="K169" s="1025"/>
    </row>
    <row r="170" spans="1:11">
      <c r="A170" s="1037"/>
      <c r="B170" s="1038"/>
      <c r="C170" s="1026"/>
      <c r="D170" s="1026"/>
      <c r="E170" s="1026"/>
      <c r="F170" s="1059"/>
      <c r="G170" s="1054"/>
      <c r="H170" s="1269"/>
      <c r="I170" s="1056"/>
      <c r="J170" s="1111"/>
      <c r="K170" s="1025"/>
    </row>
    <row r="171" spans="1:11">
      <c r="A171" s="1037"/>
      <c r="B171" s="1038"/>
      <c r="C171" s="1026"/>
      <c r="D171" s="1026"/>
      <c r="E171" s="1026"/>
      <c r="F171" s="1059"/>
      <c r="G171" s="1054"/>
      <c r="H171" s="1269"/>
      <c r="I171" s="1056"/>
      <c r="J171" s="1111"/>
      <c r="K171" s="1025"/>
    </row>
    <row r="172" spans="1:11">
      <c r="A172" s="1037"/>
      <c r="B172" s="1038"/>
      <c r="C172" s="1026"/>
      <c r="D172" s="1026"/>
      <c r="E172" s="1026"/>
      <c r="F172" s="1059"/>
      <c r="G172" s="1054"/>
      <c r="H172" s="1269"/>
      <c r="I172" s="1056"/>
      <c r="J172" s="1111"/>
      <c r="K172" s="1025"/>
    </row>
    <row r="173" spans="1:11">
      <c r="A173" s="1037"/>
      <c r="B173" s="1038"/>
      <c r="C173" s="1026"/>
      <c r="D173" s="1026"/>
      <c r="E173" s="1026"/>
      <c r="F173" s="1059"/>
      <c r="G173" s="1059"/>
      <c r="H173" s="1269"/>
      <c r="I173" s="1056"/>
      <c r="J173" s="1111"/>
      <c r="K173" s="1025"/>
    </row>
    <row r="174" spans="1:11">
      <c r="A174" s="1037"/>
      <c r="B174" s="1038"/>
      <c r="C174" s="1026"/>
      <c r="D174" s="1026"/>
      <c r="E174" s="1026"/>
      <c r="F174" s="1059"/>
      <c r="G174" s="1059"/>
      <c r="H174" s="1269"/>
      <c r="I174" s="1056"/>
      <c r="J174" s="1111"/>
      <c r="K174" s="1025"/>
    </row>
    <row r="175" spans="1:11">
      <c r="A175" s="1037"/>
      <c r="B175" s="1038"/>
      <c r="C175" s="1026"/>
      <c r="D175" s="1026"/>
      <c r="E175" s="1026"/>
      <c r="F175" s="1059"/>
      <c r="G175" s="1054"/>
      <c r="H175" s="1269"/>
      <c r="I175" s="1056"/>
      <c r="J175" s="1111"/>
      <c r="K175" s="1025"/>
    </row>
    <row r="176" spans="1:11">
      <c r="A176" s="1037"/>
      <c r="B176" s="1038"/>
      <c r="C176" s="1026"/>
      <c r="D176" s="1026"/>
      <c r="E176" s="1026"/>
      <c r="F176" s="1059"/>
      <c r="G176" s="1054"/>
      <c r="H176" s="1269"/>
      <c r="I176" s="1056"/>
      <c r="J176" s="1111"/>
      <c r="K176" s="1025"/>
    </row>
    <row r="177" spans="1:11">
      <c r="A177" s="1037"/>
      <c r="B177" s="1038"/>
      <c r="C177" s="1026"/>
      <c r="D177" s="1026"/>
      <c r="E177" s="1026"/>
      <c r="F177" s="1059"/>
      <c r="G177" s="1054"/>
      <c r="H177" s="1269"/>
      <c r="I177" s="1056"/>
      <c r="J177" s="1111"/>
      <c r="K177" s="1025"/>
    </row>
    <row r="178" spans="1:11" ht="15.75">
      <c r="A178" s="1037"/>
      <c r="B178" s="1038"/>
      <c r="C178" s="1026"/>
      <c r="D178" s="1026"/>
      <c r="E178" s="1026"/>
      <c r="F178" s="1059"/>
      <c r="G178" s="1059"/>
      <c r="H178" s="1269"/>
      <c r="I178" s="1056"/>
      <c r="J178" s="1111"/>
      <c r="K178" s="1115"/>
    </row>
    <row r="179" spans="1:11">
      <c r="A179" s="1037"/>
      <c r="B179" s="1038"/>
      <c r="C179" s="1026"/>
      <c r="D179" s="1026"/>
      <c r="E179" s="1026"/>
      <c r="F179" s="1059"/>
      <c r="G179" s="1059"/>
      <c r="H179" s="1269"/>
      <c r="I179" s="1056"/>
      <c r="J179" s="1111"/>
      <c r="K179" s="1025"/>
    </row>
    <row r="180" spans="1:11" ht="15.75">
      <c r="A180" s="1037"/>
      <c r="B180" s="1038"/>
      <c r="C180" s="1026"/>
      <c r="D180" s="1026"/>
      <c r="E180" s="1026"/>
      <c r="F180" s="1059"/>
      <c r="G180" s="1054"/>
      <c r="H180" s="1269"/>
      <c r="I180" s="1056"/>
      <c r="J180" s="1111"/>
      <c r="K180" s="1115"/>
    </row>
    <row r="181" spans="1:11" ht="15.75">
      <c r="A181" s="1037"/>
      <c r="B181" s="1038"/>
      <c r="C181" s="1026"/>
      <c r="D181" s="1026"/>
      <c r="E181" s="1026"/>
      <c r="F181" s="1059"/>
      <c r="G181" s="1054"/>
      <c r="H181" s="1269"/>
      <c r="I181" s="1056"/>
      <c r="J181" s="1111"/>
      <c r="K181" s="1115"/>
    </row>
    <row r="182" spans="1:11" ht="15.75">
      <c r="A182" s="1037"/>
      <c r="B182" s="1038"/>
      <c r="C182" s="1026"/>
      <c r="D182" s="1026"/>
      <c r="E182" s="1026"/>
      <c r="F182" s="1059"/>
      <c r="G182" s="1054"/>
      <c r="H182" s="1269"/>
      <c r="I182" s="1056"/>
      <c r="J182" s="1111"/>
      <c r="K182" s="1115"/>
    </row>
    <row r="183" spans="1:11" ht="15.75">
      <c r="A183" s="1037"/>
      <c r="B183" s="1038"/>
      <c r="C183" s="1026"/>
      <c r="D183" s="1026"/>
      <c r="E183" s="1026"/>
      <c r="F183" s="1059"/>
      <c r="G183" s="1054"/>
      <c r="H183" s="1269"/>
      <c r="I183" s="1056"/>
      <c r="J183" s="1111"/>
      <c r="K183" s="1115"/>
    </row>
    <row r="184" spans="1:11" ht="15.75">
      <c r="A184" s="1037"/>
      <c r="B184" s="1038"/>
      <c r="C184" s="1026"/>
      <c r="D184" s="1026"/>
      <c r="E184" s="1026"/>
      <c r="F184" s="1059"/>
      <c r="G184" s="1059"/>
      <c r="H184" s="1269"/>
      <c r="I184" s="1056"/>
      <c r="J184" s="1111"/>
      <c r="K184" s="1115"/>
    </row>
    <row r="185" spans="1:11">
      <c r="A185" s="1037"/>
      <c r="B185" s="1038"/>
      <c r="C185" s="1026"/>
      <c r="D185" s="1026"/>
      <c r="E185" s="1026"/>
      <c r="F185" s="1059"/>
      <c r="G185" s="1059"/>
      <c r="H185" s="1269"/>
      <c r="I185" s="1056"/>
      <c r="J185" s="1111"/>
      <c r="K185" s="1025"/>
    </row>
    <row r="186" spans="1:11" ht="15.75">
      <c r="A186" s="1037"/>
      <c r="B186" s="1038"/>
      <c r="C186" s="1026"/>
      <c r="D186" s="1026"/>
      <c r="E186" s="1026"/>
      <c r="F186" s="1059"/>
      <c r="G186" s="1054"/>
      <c r="H186" s="1269"/>
      <c r="I186" s="1056"/>
      <c r="J186" s="1111"/>
      <c r="K186" s="1115"/>
    </row>
    <row r="187" spans="1:11">
      <c r="A187" s="1037"/>
      <c r="B187" s="1038"/>
      <c r="C187" s="1026"/>
      <c r="D187" s="1026"/>
      <c r="E187" s="1026"/>
      <c r="F187" s="1059"/>
      <c r="G187" s="1059"/>
      <c r="H187" s="1269"/>
      <c r="I187" s="1056"/>
      <c r="J187" s="1111"/>
      <c r="K187" s="1025"/>
    </row>
    <row r="188" spans="1:11">
      <c r="A188" s="1037"/>
      <c r="B188" s="1038"/>
      <c r="C188" s="1026"/>
      <c r="D188" s="1026"/>
      <c r="E188" s="1026"/>
      <c r="F188" s="1059"/>
      <c r="G188" s="1059"/>
      <c r="H188" s="1269"/>
      <c r="I188" s="1056"/>
      <c r="J188" s="1111"/>
      <c r="K188" s="1025"/>
    </row>
    <row r="189" spans="1:11">
      <c r="A189" s="1037"/>
      <c r="B189" s="1038"/>
      <c r="C189" s="1026"/>
      <c r="D189" s="1026"/>
      <c r="E189" s="1026"/>
      <c r="F189" s="1059"/>
      <c r="G189" s="1059"/>
      <c r="H189" s="1269"/>
      <c r="I189" s="1056"/>
      <c r="J189" s="1111"/>
      <c r="K189" s="1025"/>
    </row>
    <row r="190" spans="1:11">
      <c r="A190" s="1037"/>
      <c r="B190" s="1038"/>
      <c r="C190" s="1026"/>
      <c r="D190" s="1026"/>
      <c r="E190" s="1026"/>
      <c r="F190" s="1059"/>
      <c r="G190" s="1059"/>
      <c r="H190" s="1269"/>
      <c r="I190" s="1056"/>
      <c r="J190" s="1111"/>
      <c r="K190" s="1025"/>
    </row>
    <row r="191" spans="1:11">
      <c r="A191" s="1037"/>
      <c r="B191" s="1038"/>
      <c r="C191" s="1026"/>
      <c r="D191" s="1026"/>
      <c r="E191" s="1026"/>
      <c r="F191" s="1059"/>
      <c r="G191" s="1054"/>
      <c r="H191" s="1269"/>
      <c r="I191" s="1056"/>
      <c r="J191" s="1111"/>
      <c r="K191" s="1025"/>
    </row>
    <row r="192" spans="1:11">
      <c r="A192" s="1037"/>
      <c r="B192" s="1038"/>
      <c r="C192" s="1026"/>
      <c r="D192" s="1026"/>
      <c r="E192" s="1026"/>
      <c r="F192" s="1059"/>
      <c r="G192" s="1054"/>
      <c r="H192" s="1269"/>
      <c r="I192" s="1056"/>
      <c r="J192" s="1111"/>
      <c r="K192" s="1025"/>
    </row>
    <row r="193" spans="1:11">
      <c r="A193" s="1037"/>
      <c r="B193" s="1038"/>
      <c r="C193" s="1026"/>
      <c r="D193" s="1026"/>
      <c r="E193" s="1026"/>
      <c r="F193" s="1059"/>
      <c r="G193" s="1054"/>
      <c r="H193" s="1269"/>
      <c r="I193" s="1056"/>
      <c r="J193" s="1111"/>
      <c r="K193" s="1025"/>
    </row>
    <row r="194" spans="1:11">
      <c r="A194" s="1037"/>
      <c r="B194" s="1038"/>
      <c r="C194" s="1026"/>
      <c r="D194" s="1026"/>
      <c r="E194" s="1026"/>
      <c r="F194" s="1059"/>
      <c r="G194" s="1054"/>
      <c r="H194" s="1269"/>
      <c r="I194" s="1056"/>
      <c r="J194" s="1111"/>
      <c r="K194" s="1025"/>
    </row>
    <row r="195" spans="1:11">
      <c r="A195" s="1037"/>
      <c r="B195" s="1038"/>
      <c r="C195" s="1026"/>
      <c r="D195" s="1026"/>
      <c r="E195" s="1026"/>
      <c r="F195" s="1059"/>
      <c r="G195" s="1054"/>
      <c r="H195" s="1269"/>
      <c r="I195" s="1056"/>
      <c r="J195" s="1111"/>
      <c r="K195" s="1025"/>
    </row>
    <row r="196" spans="1:11">
      <c r="A196" s="1037"/>
      <c r="B196" s="1038"/>
      <c r="C196" s="1026"/>
      <c r="D196" s="1026"/>
      <c r="E196" s="1026"/>
      <c r="F196" s="1059"/>
      <c r="G196" s="1054"/>
      <c r="H196" s="1269"/>
      <c r="I196" s="1056"/>
      <c r="J196" s="1111"/>
      <c r="K196" s="1025"/>
    </row>
    <row r="197" spans="1:11">
      <c r="A197" s="1037"/>
      <c r="B197" s="1038"/>
      <c r="C197" s="1026"/>
      <c r="D197" s="1026"/>
      <c r="E197" s="1026"/>
      <c r="F197" s="1059"/>
      <c r="G197" s="1054"/>
      <c r="H197" s="1269"/>
      <c r="I197" s="1056"/>
      <c r="J197" s="1111"/>
      <c r="K197" s="1025"/>
    </row>
    <row r="198" spans="1:11">
      <c r="A198" s="1037"/>
      <c r="B198" s="1038"/>
      <c r="C198" s="1026"/>
      <c r="D198" s="1026"/>
      <c r="E198" s="1026"/>
      <c r="F198" s="1059"/>
      <c r="G198" s="1059"/>
      <c r="H198" s="1269"/>
      <c r="I198" s="1056"/>
      <c r="J198" s="1111"/>
      <c r="K198" s="1025"/>
    </row>
    <row r="199" spans="1:11">
      <c r="A199" s="1037"/>
      <c r="B199" s="1038"/>
      <c r="C199" s="1026"/>
      <c r="D199" s="1026"/>
      <c r="E199" s="1026"/>
      <c r="F199" s="1059"/>
      <c r="G199" s="1059"/>
      <c r="H199" s="1269"/>
      <c r="I199" s="1056"/>
      <c r="J199" s="1111"/>
      <c r="K199" s="1025"/>
    </row>
    <row r="200" spans="1:11" ht="15.75">
      <c r="A200" s="1037"/>
      <c r="B200" s="1038"/>
      <c r="C200" s="1026"/>
      <c r="D200" s="1026"/>
      <c r="E200" s="1026"/>
      <c r="F200" s="1059"/>
      <c r="G200" s="1054"/>
      <c r="H200" s="1269"/>
      <c r="I200" s="1056"/>
      <c r="J200" s="1111"/>
      <c r="K200" s="1115"/>
    </row>
    <row r="201" spans="1:11">
      <c r="A201" s="1037"/>
      <c r="B201" s="1038"/>
      <c r="C201" s="1026"/>
      <c r="D201" s="1026"/>
      <c r="E201" s="1026"/>
      <c r="F201" s="1059"/>
      <c r="G201" s="1054"/>
      <c r="H201" s="1269"/>
      <c r="I201" s="1056"/>
      <c r="J201" s="1111"/>
      <c r="K201" s="1025"/>
    </row>
    <row r="202" spans="1:11">
      <c r="A202" s="1037"/>
      <c r="B202" s="1038"/>
      <c r="C202" s="1025"/>
      <c r="D202" s="1025"/>
      <c r="E202" s="1025"/>
      <c r="F202" s="1061"/>
      <c r="G202" s="1054"/>
      <c r="H202" s="1269"/>
      <c r="I202" s="1056"/>
      <c r="J202" s="1111"/>
      <c r="K202" s="1025"/>
    </row>
    <row r="203" spans="1:11">
      <c r="A203" s="1037"/>
      <c r="B203" s="1038"/>
      <c r="C203" s="1026"/>
      <c r="D203" s="1026"/>
      <c r="E203" s="1026"/>
      <c r="F203" s="1061"/>
      <c r="G203" s="1054"/>
      <c r="H203" s="1269"/>
      <c r="I203" s="1056"/>
      <c r="J203" s="1111"/>
      <c r="K203" s="1025"/>
    </row>
    <row r="204" spans="1:11" ht="15.75">
      <c r="A204" s="1037"/>
      <c r="B204" s="1038"/>
      <c r="C204" s="1026"/>
      <c r="D204" s="1026"/>
      <c r="E204" s="1026"/>
      <c r="F204" s="1059"/>
      <c r="G204" s="1059"/>
      <c r="H204" s="1269"/>
      <c r="I204" s="1056"/>
      <c r="J204" s="1111"/>
      <c r="K204" s="1115"/>
    </row>
    <row r="205" spans="1:11">
      <c r="A205" s="1037"/>
      <c r="B205" s="1038"/>
      <c r="C205" s="1026"/>
      <c r="D205" s="1026"/>
      <c r="E205" s="1026"/>
      <c r="F205" s="1059"/>
      <c r="G205" s="1059"/>
      <c r="H205" s="1269"/>
      <c r="I205" s="1056"/>
      <c r="J205" s="1111"/>
      <c r="K205" s="1025"/>
    </row>
    <row r="206" spans="1:11" ht="15.75">
      <c r="A206" s="1037"/>
      <c r="B206" s="1038"/>
      <c r="C206" s="1026"/>
      <c r="D206" s="1026"/>
      <c r="E206" s="1026"/>
      <c r="F206" s="1059"/>
      <c r="G206" s="1054"/>
      <c r="H206" s="1269"/>
      <c r="I206" s="1056"/>
      <c r="J206" s="1111"/>
      <c r="K206" s="1115"/>
    </row>
    <row r="207" spans="1:11" ht="15.75">
      <c r="A207" s="1037"/>
      <c r="B207" s="1038"/>
      <c r="C207" s="1026"/>
      <c r="D207" s="1026"/>
      <c r="E207" s="1026"/>
      <c r="F207" s="1059"/>
      <c r="G207" s="1054"/>
      <c r="H207" s="1269"/>
      <c r="I207" s="1056"/>
      <c r="J207" s="1111"/>
      <c r="K207" s="1115"/>
    </row>
    <row r="208" spans="1:11" ht="15.75">
      <c r="A208" s="1037"/>
      <c r="B208" s="1038"/>
      <c r="C208" s="1026"/>
      <c r="D208" s="1026"/>
      <c r="E208" s="1026"/>
      <c r="F208" s="1059"/>
      <c r="G208" s="1054"/>
      <c r="H208" s="1269"/>
      <c r="I208" s="1056"/>
      <c r="J208" s="1111"/>
      <c r="K208" s="1115"/>
    </row>
    <row r="209" spans="1:11" ht="15.75">
      <c r="A209" s="1037"/>
      <c r="B209" s="1038"/>
      <c r="C209" s="1026"/>
      <c r="D209" s="1026"/>
      <c r="E209" s="1026"/>
      <c r="F209" s="1059"/>
      <c r="G209" s="1054"/>
      <c r="H209" s="1269"/>
      <c r="I209" s="1056"/>
      <c r="J209" s="1111"/>
      <c r="K209" s="1115"/>
    </row>
    <row r="210" spans="1:11" ht="15.75">
      <c r="A210" s="1037"/>
      <c r="B210" s="1038"/>
      <c r="C210" s="1026"/>
      <c r="D210" s="1026"/>
      <c r="E210" s="1026"/>
      <c r="F210" s="1059"/>
      <c r="G210" s="1054"/>
      <c r="H210" s="1269"/>
      <c r="I210" s="1056"/>
      <c r="J210" s="1111"/>
      <c r="K210" s="1115"/>
    </row>
    <row r="211" spans="1:11" ht="15.75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115"/>
    </row>
    <row r="212" spans="1:11" ht="15.75">
      <c r="A212" s="1037"/>
      <c r="B212" s="1038"/>
      <c r="C212" s="1026"/>
      <c r="D212" s="1026"/>
      <c r="E212" s="1026"/>
      <c r="F212" s="1059"/>
      <c r="G212" s="1054"/>
      <c r="H212" s="1269"/>
      <c r="I212" s="1056"/>
      <c r="J212" s="1111"/>
      <c r="K212" s="1115"/>
    </row>
    <row r="213" spans="1:11" ht="15.75">
      <c r="A213" s="1037"/>
      <c r="B213" s="1038"/>
      <c r="C213" s="1026"/>
      <c r="D213" s="1026"/>
      <c r="E213" s="1026"/>
      <c r="F213" s="1059"/>
      <c r="G213" s="1054"/>
      <c r="H213" s="1269"/>
      <c r="I213" s="1056"/>
      <c r="J213" s="1111"/>
      <c r="K213" s="1115"/>
    </row>
    <row r="214" spans="1:11" ht="15.75">
      <c r="A214" s="1037"/>
      <c r="B214" s="1038"/>
      <c r="C214" s="1026"/>
      <c r="D214" s="1026"/>
      <c r="F214" s="1059"/>
      <c r="G214" s="1054"/>
      <c r="H214" s="1269"/>
      <c r="I214" s="1056"/>
      <c r="J214" s="1111"/>
      <c r="K214" s="1115"/>
    </row>
    <row r="215" spans="1:11" ht="15.75">
      <c r="A215" s="1037"/>
      <c r="B215" s="1038"/>
      <c r="C215" s="1026"/>
      <c r="D215" s="1026"/>
      <c r="E215" s="1026"/>
      <c r="F215" s="1059"/>
      <c r="G215" s="1054"/>
      <c r="H215" s="1269"/>
      <c r="I215" s="1056"/>
      <c r="J215" s="1111"/>
      <c r="K215" s="1115"/>
    </row>
    <row r="216" spans="1:11" ht="15.75">
      <c r="A216" s="1037"/>
      <c r="B216" s="1038"/>
      <c r="C216" s="1026"/>
      <c r="D216" s="1026"/>
      <c r="E216" s="1026"/>
      <c r="F216" s="1059"/>
      <c r="G216" s="1054"/>
      <c r="H216" s="1269"/>
      <c r="I216" s="1056"/>
      <c r="J216" s="1111"/>
      <c r="K216" s="1115"/>
    </row>
    <row r="217" spans="1:11" ht="15.75">
      <c r="A217" s="1037"/>
      <c r="B217" s="1038"/>
      <c r="C217" s="1026"/>
      <c r="D217" s="1026"/>
      <c r="E217" s="1026"/>
      <c r="F217" s="1059"/>
      <c r="G217" s="1054"/>
      <c r="H217" s="1269"/>
      <c r="I217" s="1056"/>
      <c r="J217" s="1111"/>
      <c r="K217" s="1115"/>
    </row>
    <row r="218" spans="1:11" ht="15.75">
      <c r="A218" s="1037"/>
      <c r="B218" s="1038"/>
      <c r="C218" s="1026"/>
      <c r="D218" s="1026"/>
      <c r="E218" s="1026"/>
      <c r="F218" s="1059"/>
      <c r="G218" s="1054"/>
      <c r="H218" s="1269"/>
      <c r="I218" s="1056"/>
      <c r="J218" s="1111"/>
      <c r="K218" s="1115"/>
    </row>
    <row r="219" spans="1:11">
      <c r="A219" s="1037"/>
      <c r="B219" s="1038"/>
      <c r="C219" s="1026"/>
      <c r="D219" s="1026"/>
      <c r="E219" s="1026"/>
      <c r="F219" s="1059"/>
      <c r="G219" s="1054"/>
      <c r="H219" s="1269"/>
      <c r="I219" s="1056"/>
      <c r="J219" s="1111"/>
      <c r="K219" s="1025"/>
    </row>
    <row r="220" spans="1:11">
      <c r="A220" s="1039"/>
      <c r="B220" s="1039"/>
      <c r="C220" s="1025"/>
      <c r="D220" s="1025"/>
      <c r="E220" s="1025"/>
      <c r="F220" s="1061"/>
      <c r="G220" s="1062"/>
      <c r="H220" s="1269"/>
      <c r="I220" s="1056"/>
      <c r="J220" s="1111"/>
      <c r="K220" s="1025"/>
    </row>
    <row r="221" spans="1:11">
      <c r="A221" s="1039"/>
      <c r="B221" s="1039"/>
      <c r="C221" s="1025"/>
      <c r="D221" s="1025"/>
      <c r="E221" s="1025"/>
      <c r="F221" s="1061"/>
      <c r="G221" s="1062"/>
      <c r="H221" s="1269"/>
      <c r="I221" s="1056"/>
      <c r="J221" s="1111"/>
      <c r="K221" s="1025"/>
    </row>
    <row r="222" spans="1:11">
      <c r="A222" s="1039"/>
      <c r="B222" s="1039"/>
      <c r="C222" s="1025"/>
      <c r="D222" s="1025"/>
      <c r="E222" s="1025"/>
      <c r="F222" s="1061"/>
      <c r="G222" s="1062"/>
      <c r="H222" s="1269"/>
      <c r="I222" s="1056"/>
      <c r="J222" s="1111"/>
      <c r="K222" s="1025"/>
    </row>
    <row r="223" spans="1:11">
      <c r="A223" s="1039"/>
      <c r="B223" s="1039"/>
      <c r="C223" s="1025"/>
      <c r="D223" s="1025"/>
      <c r="E223" s="1025"/>
      <c r="F223" s="1061"/>
      <c r="G223" s="1062"/>
      <c r="H223" s="1269"/>
      <c r="I223" s="1056"/>
      <c r="J223" s="1111"/>
      <c r="K223" s="1025"/>
    </row>
    <row r="224" spans="1:11">
      <c r="A224" s="1039"/>
      <c r="B224" s="1039"/>
      <c r="C224" s="1025"/>
      <c r="D224" s="1025"/>
      <c r="E224" s="1025"/>
      <c r="F224" s="1061"/>
      <c r="G224" s="1062"/>
      <c r="H224" s="1269"/>
      <c r="I224" s="1056"/>
      <c r="J224" s="1111"/>
      <c r="K224" s="1025"/>
    </row>
    <row r="225" spans="1:11">
      <c r="A225" s="1039"/>
      <c r="B225" s="1039"/>
      <c r="C225" s="1025"/>
      <c r="D225" s="1025"/>
      <c r="E225" s="1025"/>
      <c r="F225" s="1061"/>
      <c r="G225" s="1062"/>
      <c r="H225" s="1269"/>
      <c r="I225" s="1056"/>
      <c r="J225" s="1111"/>
      <c r="K225" s="1025"/>
    </row>
    <row r="226" spans="1:11">
      <c r="A226" s="1039"/>
      <c r="B226" s="1039"/>
      <c r="C226" s="1025"/>
      <c r="D226" s="1025"/>
      <c r="E226" s="1025"/>
      <c r="F226" s="1061"/>
      <c r="G226" s="1062"/>
      <c r="H226" s="1269"/>
      <c r="I226" s="1056"/>
      <c r="J226" s="1111"/>
      <c r="K226" s="1025"/>
    </row>
    <row r="227" spans="1:11">
      <c r="A227" s="1039"/>
      <c r="B227" s="1039"/>
      <c r="C227" s="1025"/>
      <c r="D227" s="1025"/>
      <c r="E227" s="1025"/>
      <c r="F227" s="1061"/>
      <c r="G227" s="1062"/>
      <c r="H227" s="1269"/>
      <c r="I227" s="1056"/>
      <c r="J227" s="1111"/>
      <c r="K227" s="1025"/>
    </row>
    <row r="228" spans="1:11">
      <c r="A228" s="1039"/>
      <c r="B228" s="1039"/>
      <c r="C228" s="1025"/>
      <c r="D228" s="1025"/>
      <c r="E228" s="1025"/>
      <c r="F228" s="1061"/>
      <c r="G228" s="1062"/>
      <c r="H228" s="1269"/>
      <c r="I228" s="1056"/>
      <c r="J228" s="1111"/>
      <c r="K228" s="1025"/>
    </row>
    <row r="229" spans="1:11">
      <c r="A229" s="1039"/>
      <c r="B229" s="1039"/>
      <c r="C229" s="1025"/>
      <c r="D229" s="1025"/>
      <c r="E229" s="1025"/>
      <c r="F229" s="1061"/>
      <c r="G229" s="1062"/>
      <c r="H229" s="1269"/>
      <c r="I229" s="1056"/>
      <c r="J229" s="1111"/>
      <c r="K229" s="1025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1025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1025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1025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1025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1025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1025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1025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1025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1025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1025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1025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1025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1025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1025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1025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1025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1025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1025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1025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1025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1025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1025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1025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1025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1025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1025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1025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1025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1025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1025"/>
    </row>
    <row r="260" spans="1:11">
      <c r="A260" s="1039"/>
      <c r="B260" s="1039"/>
      <c r="C260" s="1025"/>
      <c r="D260" s="1025"/>
      <c r="E260" s="1025"/>
      <c r="F260" s="1061"/>
      <c r="G260" s="1062"/>
      <c r="H260" s="1269"/>
      <c r="I260" s="1056"/>
      <c r="J260" s="1111"/>
      <c r="K260" s="1025"/>
    </row>
    <row r="261" spans="1:11">
      <c r="A261" s="1039"/>
      <c r="B261" s="1039"/>
      <c r="C261" s="1025"/>
      <c r="D261" s="1025"/>
      <c r="E261" s="1025"/>
      <c r="F261" s="1061"/>
      <c r="G261" s="1062"/>
      <c r="H261" s="1269"/>
      <c r="I261" s="1056"/>
      <c r="J261" s="1111"/>
      <c r="K261" s="1025"/>
    </row>
    <row r="262" spans="1:11">
      <c r="A262" s="1039"/>
      <c r="B262" s="1039"/>
      <c r="C262" s="1025"/>
      <c r="D262" s="1025"/>
      <c r="E262" s="1025"/>
      <c r="F262" s="1061"/>
      <c r="G262" s="1062"/>
      <c r="H262" s="1269"/>
      <c r="I262" s="1056"/>
      <c r="J262" s="1111"/>
      <c r="K262" s="1025"/>
    </row>
    <row r="263" spans="1:11">
      <c r="A263" s="1039"/>
      <c r="B263" s="1039"/>
      <c r="C263" s="1025"/>
      <c r="D263" s="1025"/>
      <c r="E263" s="1025"/>
      <c r="F263" s="1061"/>
      <c r="G263" s="1062"/>
      <c r="H263" s="1269"/>
      <c r="I263" s="1056"/>
      <c r="J263" s="1111"/>
      <c r="K263" s="1025"/>
    </row>
    <row r="264" spans="1:11">
      <c r="A264" s="1039"/>
      <c r="B264" s="1039"/>
      <c r="C264" s="1025"/>
      <c r="D264" s="1025"/>
      <c r="E264" s="1025"/>
      <c r="F264" s="1061"/>
      <c r="G264" s="1062"/>
      <c r="H264" s="1269"/>
      <c r="I264" s="1056"/>
      <c r="J264" s="1111"/>
      <c r="K264" s="1025"/>
    </row>
    <row r="265" spans="1:11">
      <c r="A265" s="1039"/>
      <c r="B265" s="1039"/>
      <c r="C265" s="1025"/>
      <c r="D265" s="1025"/>
      <c r="E265" s="1025"/>
      <c r="F265" s="1061"/>
      <c r="G265" s="1062"/>
      <c r="H265" s="1269"/>
      <c r="I265" s="1056"/>
      <c r="J265" s="1111"/>
      <c r="K265" s="1025"/>
    </row>
    <row r="266" spans="1:11">
      <c r="A266" s="1039"/>
      <c r="B266" s="1039"/>
      <c r="C266" s="1025"/>
      <c r="D266" s="1025"/>
      <c r="E266" s="1025"/>
      <c r="F266" s="1061"/>
      <c r="G266" s="1062"/>
      <c r="H266" s="1269"/>
      <c r="I266" s="1056"/>
      <c r="J266" s="1111"/>
      <c r="K266" s="1025"/>
    </row>
    <row r="267" spans="1:11">
      <c r="A267" s="1025"/>
      <c r="B267" s="1025"/>
      <c r="C267" s="1025"/>
      <c r="D267" s="1025"/>
      <c r="E267" s="1025"/>
      <c r="F267" s="1025"/>
      <c r="G267" s="1025"/>
      <c r="H267" s="1269"/>
      <c r="I267" s="1056"/>
      <c r="J267" s="1111"/>
      <c r="K267" s="1025"/>
    </row>
    <row r="268" spans="1:11">
      <c r="A268" s="1025"/>
      <c r="B268" s="1025"/>
      <c r="C268" s="1025"/>
      <c r="D268" s="1025"/>
      <c r="E268" s="1025"/>
      <c r="F268" s="1025"/>
      <c r="G268" s="1025"/>
      <c r="H268" s="1269"/>
      <c r="I268" s="1056"/>
      <c r="J268" s="1111"/>
      <c r="K268" s="1025"/>
    </row>
    <row r="269" spans="1:11">
      <c r="A269" s="1025"/>
      <c r="B269" s="1025"/>
      <c r="C269" s="1025"/>
      <c r="D269" s="1025"/>
      <c r="E269" s="1025"/>
      <c r="F269" s="1025"/>
      <c r="G269" s="1025"/>
      <c r="H269" s="1269"/>
      <c r="I269" s="1056"/>
      <c r="J269" s="1111"/>
      <c r="K269" s="1025"/>
    </row>
    <row r="270" spans="1:11">
      <c r="A270" s="1025"/>
      <c r="B270" s="1025"/>
      <c r="C270" s="1025"/>
      <c r="D270" s="1025"/>
      <c r="E270" s="1025"/>
      <c r="F270" s="1025"/>
      <c r="G270" s="1025"/>
      <c r="H270" s="1269"/>
      <c r="I270" s="1056"/>
      <c r="J270" s="1111"/>
      <c r="K270" s="1025"/>
    </row>
    <row r="271" spans="1:11">
      <c r="A271" s="1025"/>
      <c r="B271" s="1025"/>
      <c r="C271" s="1025"/>
      <c r="D271" s="1025"/>
      <c r="E271" s="1025"/>
      <c r="F271" s="1025"/>
      <c r="G271" s="1025"/>
      <c r="H271" s="1269"/>
      <c r="I271" s="1056"/>
      <c r="J271" s="1111"/>
      <c r="K271" s="1025"/>
    </row>
    <row r="272" spans="1:11">
      <c r="A272" s="1025"/>
      <c r="B272" s="1025"/>
      <c r="C272" s="1025"/>
      <c r="D272" s="1025"/>
      <c r="E272" s="1025"/>
      <c r="F272" s="1025"/>
      <c r="G272" s="1025"/>
      <c r="H272" s="1269"/>
      <c r="I272" s="1056"/>
      <c r="J272" s="1111"/>
      <c r="K272" s="1025"/>
    </row>
    <row r="273" spans="1:11">
      <c r="A273" s="1025"/>
      <c r="B273" s="1025"/>
      <c r="C273" s="1025"/>
      <c r="D273" s="1025"/>
      <c r="E273" s="1025"/>
      <c r="F273" s="1025"/>
      <c r="G273" s="1025"/>
      <c r="H273" s="1269"/>
      <c r="I273" s="1056"/>
      <c r="J273" s="1111"/>
      <c r="K273" s="1025"/>
    </row>
    <row r="274" spans="1:11">
      <c r="A274" s="1025"/>
      <c r="B274" s="1025"/>
      <c r="C274" s="1025"/>
      <c r="D274" s="1025"/>
      <c r="E274" s="1025"/>
      <c r="F274" s="1025"/>
      <c r="G274" s="1025"/>
      <c r="H274" s="1269"/>
      <c r="I274" s="1056"/>
      <c r="J274" s="1111"/>
      <c r="K274" s="1025"/>
    </row>
    <row r="275" spans="1:11">
      <c r="A275" s="1025"/>
      <c r="B275" s="1025"/>
      <c r="C275" s="1025"/>
      <c r="D275" s="1025"/>
      <c r="E275" s="1025"/>
      <c r="F275" s="1025"/>
      <c r="G275" s="1025"/>
      <c r="H275" s="1269"/>
      <c r="I275" s="1056"/>
      <c r="J275" s="1111"/>
      <c r="K275" s="1025"/>
    </row>
    <row r="276" spans="1:11">
      <c r="A276" s="1025"/>
      <c r="B276" s="1025"/>
      <c r="C276" s="1025"/>
      <c r="D276" s="1025"/>
      <c r="E276" s="1025"/>
      <c r="F276" s="1025"/>
      <c r="G276" s="1025"/>
      <c r="H276" s="1269"/>
      <c r="I276" s="1056"/>
      <c r="J276" s="1111"/>
      <c r="K276" s="1025"/>
    </row>
    <row r="277" spans="1:11">
      <c r="A277" s="1025"/>
      <c r="B277" s="1025"/>
      <c r="C277" s="1025"/>
      <c r="D277" s="1025"/>
      <c r="E277" s="1025"/>
      <c r="F277" s="1025"/>
      <c r="G277" s="1025"/>
      <c r="H277" s="1269"/>
      <c r="I277" s="1056"/>
      <c r="J277" s="1111"/>
      <c r="K277" s="1025"/>
    </row>
    <row r="278" spans="1:11">
      <c r="A278" s="1025"/>
      <c r="B278" s="1025"/>
      <c r="C278" s="1025"/>
      <c r="D278" s="1025"/>
      <c r="E278" s="1025"/>
      <c r="F278" s="1025"/>
      <c r="G278" s="1025"/>
      <c r="H278" s="1269"/>
      <c r="I278" s="1056"/>
      <c r="J278" s="1111"/>
      <c r="K278" s="1025"/>
    </row>
    <row r="279" spans="1:11">
      <c r="A279" s="1025"/>
      <c r="B279" s="1025"/>
      <c r="C279" s="1025"/>
      <c r="D279" s="1025"/>
      <c r="E279" s="1025"/>
      <c r="F279" s="1025"/>
      <c r="G279" s="1025"/>
      <c r="H279" s="1269"/>
      <c r="I279" s="1056"/>
      <c r="J279" s="1111"/>
      <c r="K279" s="1025"/>
    </row>
    <row r="280" spans="1:11">
      <c r="A280" s="1025"/>
      <c r="B280" s="1025"/>
      <c r="C280" s="1025"/>
      <c r="D280" s="1025"/>
      <c r="E280" s="1025"/>
      <c r="F280" s="1025"/>
      <c r="G280" s="1025"/>
      <c r="H280" s="1269"/>
      <c r="I280" s="1056"/>
      <c r="J280" s="1111"/>
      <c r="K280" s="1025"/>
    </row>
    <row r="281" spans="1:11" ht="15.75" thickBot="1">
      <c r="A281" s="1037"/>
      <c r="B281" s="1038"/>
      <c r="C281" s="1026"/>
      <c r="D281" s="1026"/>
      <c r="E281" s="1026"/>
      <c r="F281" s="1059"/>
      <c r="G281" s="1054"/>
      <c r="H281" s="1269"/>
      <c r="I281" s="1056"/>
      <c r="J281" s="1111"/>
      <c r="K281" s="1025"/>
    </row>
    <row r="282" spans="1:11" ht="20.25" thickBot="1">
      <c r="A282" s="1552"/>
      <c r="B282" s="1553"/>
      <c r="C282" s="1553"/>
      <c r="D282" s="1553"/>
      <c r="E282" s="1553"/>
      <c r="F282" s="1554">
        <f>SUM(F161:F169,F171:F281)</f>
        <v>0</v>
      </c>
      <c r="G282" s="1553"/>
      <c r="H282" s="1558">
        <f>SUM(H61:H281)</f>
        <v>11994.528310000002</v>
      </c>
      <c r="I282" s="1554">
        <f>SUM(I161:I281)</f>
        <v>0</v>
      </c>
      <c r="J282" s="1111"/>
      <c r="K282" s="1115"/>
    </row>
  </sheetData>
  <autoFilter ref="A1:K59" xr:uid="{2C801A9A-7A57-48CA-8FAF-6614D533B057}">
    <sortState xmlns:xlrd2="http://schemas.microsoft.com/office/spreadsheetml/2017/richdata2" ref="A2:K59">
      <sortCondition ref="B1:B59"/>
    </sortState>
  </autoFilter>
  <pageMargins left="0.511811024" right="0.511811024" top="0.78740157499999996" bottom="0.78740157499999996" header="0.31496062000000002" footer="0.3149606200000000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20C8E-F62A-4E96-B7B0-FFC15735850E}">
  <dimension ref="A1:N7"/>
  <sheetViews>
    <sheetView zoomScale="85" zoomScaleNormal="85" workbookViewId="0">
      <selection activeCell="G6" sqref="G6:M6"/>
    </sheetView>
  </sheetViews>
  <sheetFormatPr defaultRowHeight="15"/>
  <cols>
    <col min="1" max="1" width="11" bestFit="1" customWidth="1"/>
    <col min="2" max="2" width="14.7109375" customWidth="1"/>
    <col min="3" max="3" width="14.42578125" bestFit="1" customWidth="1"/>
    <col min="4" max="8" width="13.28515625" bestFit="1" customWidth="1"/>
    <col min="9" max="10" width="14.28515625" bestFit="1" customWidth="1"/>
    <col min="11" max="12" width="13.28515625" bestFit="1" customWidth="1"/>
    <col min="13" max="13" width="14.28515625" bestFit="1" customWidth="1"/>
    <col min="14" max="14" width="15.85546875" bestFit="1" customWidth="1"/>
  </cols>
  <sheetData>
    <row r="1" spans="1:14" s="1818" customFormat="1" ht="30" customHeight="1"/>
    <row r="2" spans="1:14" s="1818" customFormat="1" ht="30" customHeight="1">
      <c r="B2" s="1819" t="s">
        <v>3119</v>
      </c>
    </row>
    <row r="4" spans="1:14" s="1832" customFormat="1">
      <c r="A4" s="1821"/>
      <c r="B4" s="1831" t="s">
        <v>3121</v>
      </c>
      <c r="C4" s="1831" t="s">
        <v>3122</v>
      </c>
      <c r="D4" s="1831" t="s">
        <v>3123</v>
      </c>
      <c r="E4" s="1831" t="s">
        <v>3124</v>
      </c>
      <c r="F4" s="1831" t="s">
        <v>3125</v>
      </c>
      <c r="G4" s="1831" t="s">
        <v>3126</v>
      </c>
      <c r="H4" s="1831" t="s">
        <v>3127</v>
      </c>
      <c r="I4" s="1831" t="s">
        <v>3128</v>
      </c>
      <c r="J4" s="1831" t="s">
        <v>3129</v>
      </c>
      <c r="K4" s="1831" t="s">
        <v>3130</v>
      </c>
      <c r="L4" s="1831" t="s">
        <v>3131</v>
      </c>
      <c r="M4" s="1831" t="s">
        <v>3132</v>
      </c>
      <c r="N4" s="1821" t="s">
        <v>3135</v>
      </c>
    </row>
    <row r="5" spans="1:14">
      <c r="A5" s="134" t="s">
        <v>3133</v>
      </c>
      <c r="B5" s="449">
        <f>SUM('JANEIRO 2025'!F61)</f>
        <v>106512.81000000003</v>
      </c>
      <c r="C5" s="449">
        <f>SUM('FEVEREIRO 2025'!F60)</f>
        <v>121192.06000000004</v>
      </c>
      <c r="D5" s="449">
        <f>SUM('MARÇO 2025'!F60)</f>
        <v>85360.140000000014</v>
      </c>
      <c r="E5" s="449">
        <f>SUM('ABRIL 2025'!F60)</f>
        <v>57025.400000000009</v>
      </c>
      <c r="F5" s="449">
        <f>SUM('MAIO 2025'!F60)</f>
        <v>84000.12000000001</v>
      </c>
      <c r="G5" s="449">
        <f>SUM('JUNHO 2025'!F60)</f>
        <v>60191.4</v>
      </c>
      <c r="H5" s="449">
        <f>SUM('JULHO 2025'!F60)</f>
        <v>75715.48</v>
      </c>
      <c r="I5" s="449">
        <f>SUM('AGOSTO 2025'!F60)</f>
        <v>106773.23000000003</v>
      </c>
      <c r="J5" s="449">
        <f>SUM('SETEMBRO 2025'!F61)</f>
        <v>102364.21999999999</v>
      </c>
      <c r="K5" s="449">
        <f>SUM('OUTUBRO 2025'!F59)</f>
        <v>95709.999999999985</v>
      </c>
      <c r="L5" s="449">
        <f>SUM('NOVEMBRO 2025'!F61)</f>
        <v>78518.310000000027</v>
      </c>
      <c r="M5" s="449">
        <f>SUM('DEZEMBRO 2025'!F61)</f>
        <v>112532.18</v>
      </c>
      <c r="N5" s="1820">
        <f>SUM(B5:M5)</f>
        <v>1085895.3500000001</v>
      </c>
    </row>
    <row r="6" spans="1:14">
      <c r="A6" s="134" t="s">
        <v>3136</v>
      </c>
      <c r="B6" s="449">
        <f>SUM('JANEIRO 2025'!H61)</f>
        <v>11306.439999999999</v>
      </c>
      <c r="C6" s="449">
        <f>SUM('FEVEREIRO 2025'!H60)</f>
        <v>13415.7</v>
      </c>
      <c r="D6" s="449">
        <f>SUM('MARÇO 2025'!H60)</f>
        <v>9453.5400000000027</v>
      </c>
      <c r="E6" s="449">
        <f>SUM('ABRIL 2025'!H60)</f>
        <v>6741.6100000000006</v>
      </c>
      <c r="F6" s="449">
        <f>SUM('MAIO 2025'!H60)</f>
        <v>9470.3270000000011</v>
      </c>
      <c r="G6" s="449">
        <f>SUM('JUNHO 2025'!H60)</f>
        <v>7270.4999999999991</v>
      </c>
      <c r="H6" s="449">
        <f>SUM('JULHO 2025'!H60)</f>
        <v>8643.9499999999989</v>
      </c>
      <c r="I6" s="449">
        <f>SUM('AGOSTO 2025'!H60)</f>
        <v>12509.81</v>
      </c>
      <c r="J6" s="449">
        <f>SUM('SETEMBRO 2025'!H61)</f>
        <v>11667.82965</v>
      </c>
      <c r="K6" s="449">
        <f>SUM('OUTUBRO 2025'!H59)</f>
        <v>12025.250280000006</v>
      </c>
      <c r="L6" s="449">
        <f>SUM('NOVEMBRO 2025'!H61)</f>
        <v>8083.5693700000002</v>
      </c>
      <c r="M6" s="449">
        <f>SUM('DEZEMBRO 2025'!H61)</f>
        <v>11994.528310000002</v>
      </c>
      <c r="N6" s="1820">
        <f>SUM(B6:M6)</f>
        <v>122583.05460999999</v>
      </c>
    </row>
    <row r="7" spans="1:14">
      <c r="A7" s="134"/>
      <c r="B7" s="329"/>
      <c r="C7" s="329"/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</row>
  </sheetData>
  <phoneticPr fontId="82" type="noConversion"/>
  <hyperlinks>
    <hyperlink ref="B4" location="'JANEIRO 2025'!A1" display="JAN" xr:uid="{50F5C91E-63F6-44C8-A853-1FB5FA594B1C}"/>
    <hyperlink ref="C4" location="'FEVEREIRO 2025'!A1" display="FEV" xr:uid="{0883B6E7-5096-4080-9469-F978AF2918DE}"/>
    <hyperlink ref="D4" location="'MARÇO 2025'!A1" display="MAR" xr:uid="{21D926DC-26D1-42AE-8147-0C8FC346960C}"/>
    <hyperlink ref="E4" location="'ABRIL 2025'!A1" display="ABR" xr:uid="{3A672FF6-9E6D-4999-804B-277927E438CA}"/>
    <hyperlink ref="F4" location="'MAIO 2025'!A1" display="MAI" xr:uid="{384C5E8C-E9E4-4633-B4DE-8479BFB6465D}"/>
    <hyperlink ref="G4" location="'JUNHO 2025'!A1" display="JUN" xr:uid="{61C2E95D-7748-4E7A-9618-61AE9BCF585B}"/>
    <hyperlink ref="H4" location="'JULHO 2025'!A1" display="JUL" xr:uid="{A3DD5A2E-60AF-45DE-9CE1-2219D53255C1}"/>
    <hyperlink ref="I4" location="'AGOSTO 2025'!A1" display="AGO" xr:uid="{D20AFDC9-FD17-45C8-A01A-76F2526B081F}"/>
    <hyperlink ref="J4" location="'SETEMBRO 2025'!A1" display="SET" xr:uid="{BD2CD77F-56CE-431E-AF45-858A0230B843}"/>
    <hyperlink ref="K4" location="'OUTUBRO 2025'!A1" display="OUT" xr:uid="{1E0D1C11-A1FD-44D2-B15A-42558249BA88}"/>
    <hyperlink ref="L4" location="'NOVEMBRO 2025'!A1" display="NOV" xr:uid="{F6EE1008-813D-4984-908C-9AB001951377}"/>
    <hyperlink ref="M4" location="'DEZEMBRO 2025'!A1" display="DEZ" xr:uid="{10DCDECE-4AE0-4A58-B0FB-910DB489E040}"/>
  </hyperlinks>
  <pageMargins left="0.511811024" right="0.511811024" top="0.78740157499999996" bottom="0.78740157499999996" header="0.31496062000000002" footer="0.3149606200000000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4E778-D701-445C-A3C0-F938BFE8DAE1}">
  <dimension ref="A1:K282"/>
  <sheetViews>
    <sheetView zoomScale="85" zoomScaleNormal="85" workbookViewId="0">
      <pane ySplit="1" topLeftCell="A35" activePane="bottomLeft" state="frozen"/>
      <selection pane="bottomLeft" activeCell="I31" sqref="I31"/>
    </sheetView>
  </sheetViews>
  <sheetFormatPr defaultColWidth="9.140625" defaultRowHeight="15"/>
  <cols>
    <col min="1" max="1" width="15.140625" style="1613" bestFit="1" customWidth="1"/>
    <col min="2" max="2" width="11.5703125" style="1613" bestFit="1" customWidth="1"/>
    <col min="3" max="3" width="41.85546875" style="1613" customWidth="1"/>
    <col min="4" max="4" width="22.28515625" style="1613" bestFit="1" customWidth="1"/>
    <col min="5" max="5" width="14.140625" style="1613" bestFit="1" customWidth="1"/>
    <col min="6" max="6" width="22" style="1613" bestFit="1" customWidth="1"/>
    <col min="7" max="7" width="13.42578125" style="1613" bestFit="1" customWidth="1"/>
    <col min="8" max="8" width="24.85546875" style="1613" bestFit="1" customWidth="1"/>
    <col min="9" max="9" width="21" style="1613" bestFit="1" customWidth="1"/>
    <col min="10" max="10" width="13.140625" style="1613" customWidth="1"/>
    <col min="11" max="11" width="19" style="1613" bestFit="1" customWidth="1"/>
    <col min="12" max="16384" width="9.140625" style="1613"/>
  </cols>
  <sheetData>
    <row r="1" spans="1:11" ht="14.25" customHeight="1">
      <c r="A1" s="1786" t="s">
        <v>2519</v>
      </c>
      <c r="B1" s="1787" t="s">
        <v>2</v>
      </c>
      <c r="C1" s="1787" t="s">
        <v>3</v>
      </c>
      <c r="D1" s="1787" t="s">
        <v>4</v>
      </c>
      <c r="E1" s="1787" t="s">
        <v>5</v>
      </c>
      <c r="F1" s="1788" t="s">
        <v>644</v>
      </c>
      <c r="G1" s="1789" t="s">
        <v>555</v>
      </c>
      <c r="H1" s="1790" t="s">
        <v>7</v>
      </c>
      <c r="I1" s="1791" t="s">
        <v>307</v>
      </c>
      <c r="J1" s="1789" t="s">
        <v>370</v>
      </c>
      <c r="K1" s="1792" t="s">
        <v>3013</v>
      </c>
    </row>
    <row r="2" spans="1:11" ht="15.75">
      <c r="A2" s="1040">
        <v>46020</v>
      </c>
      <c r="B2" s="1042">
        <v>46389</v>
      </c>
      <c r="C2" s="1683" t="s">
        <v>1654</v>
      </c>
      <c r="D2" s="1030" t="s">
        <v>9</v>
      </c>
      <c r="E2" s="1030" t="s">
        <v>10</v>
      </c>
      <c r="F2" s="1072">
        <v>1707.1</v>
      </c>
      <c r="G2" s="1073">
        <v>0.2</v>
      </c>
      <c r="H2" s="1067">
        <f t="shared" ref="H2:H33" si="0">F2*G2*(1-10%)</f>
        <v>307.27800000000002</v>
      </c>
      <c r="I2" s="1068">
        <v>30.72</v>
      </c>
      <c r="J2" s="1112" t="s">
        <v>1470</v>
      </c>
      <c r="K2" s="1601" t="s">
        <v>2012</v>
      </c>
    </row>
    <row r="3" spans="1:11" s="1032" customFormat="1" ht="15.75">
      <c r="A3" s="1040">
        <v>46020</v>
      </c>
      <c r="B3" s="1042">
        <v>46390</v>
      </c>
      <c r="C3" s="1683" t="s">
        <v>3100</v>
      </c>
      <c r="D3" s="1030" t="s">
        <v>448</v>
      </c>
      <c r="E3" s="1030" t="s">
        <v>3101</v>
      </c>
      <c r="F3" s="1120">
        <v>2746.4</v>
      </c>
      <c r="G3" s="1073">
        <v>0.25</v>
      </c>
      <c r="H3" s="1067">
        <f t="shared" si="0"/>
        <v>617.94000000000005</v>
      </c>
      <c r="I3" s="1068">
        <v>61.79</v>
      </c>
      <c r="J3" s="1112" t="s">
        <v>1470</v>
      </c>
      <c r="K3" s="1601" t="s">
        <v>2015</v>
      </c>
    </row>
    <row r="4" spans="1:11" s="1032" customFormat="1" ht="15.75">
      <c r="A4" s="1618">
        <v>46020</v>
      </c>
      <c r="B4" s="1618">
        <v>46390</v>
      </c>
      <c r="C4" s="1900" t="s">
        <v>3143</v>
      </c>
      <c r="D4" s="1606" t="s">
        <v>9</v>
      </c>
      <c r="E4" s="1606" t="s">
        <v>10</v>
      </c>
      <c r="F4" s="1607">
        <v>1418.82</v>
      </c>
      <c r="G4" s="1608">
        <v>0.1</v>
      </c>
      <c r="H4" s="1609">
        <f t="shared" si="0"/>
        <v>127.69380000000001</v>
      </c>
      <c r="I4" s="1793"/>
      <c r="J4" s="1606"/>
      <c r="K4" s="1612" t="s">
        <v>2012</v>
      </c>
    </row>
    <row r="5" spans="1:11" s="1032" customFormat="1" ht="15.75">
      <c r="A5" s="1040">
        <v>46029</v>
      </c>
      <c r="B5" s="1042">
        <v>46392</v>
      </c>
      <c r="C5" s="1678" t="s">
        <v>3112</v>
      </c>
      <c r="D5" s="1030" t="s">
        <v>448</v>
      </c>
      <c r="E5" s="1030" t="s">
        <v>10</v>
      </c>
      <c r="F5" s="1072">
        <v>2644.79</v>
      </c>
      <c r="G5" s="1073">
        <v>0.15</v>
      </c>
      <c r="H5" s="1067">
        <f t="shared" si="0"/>
        <v>357.04665</v>
      </c>
      <c r="I5" s="1068">
        <v>35.700000000000003</v>
      </c>
      <c r="J5" s="1112" t="s">
        <v>1470</v>
      </c>
      <c r="K5" s="1117" t="s">
        <v>3077</v>
      </c>
    </row>
    <row r="6" spans="1:11" s="1025" customFormat="1" ht="15.75">
      <c r="A6" s="1877">
        <v>46027</v>
      </c>
      <c r="B6" s="1877">
        <v>46392</v>
      </c>
      <c r="C6" s="1901" t="s">
        <v>2381</v>
      </c>
      <c r="D6" s="1880" t="s">
        <v>9</v>
      </c>
      <c r="E6" s="1880" t="s">
        <v>22</v>
      </c>
      <c r="F6" s="1882">
        <v>2026.2</v>
      </c>
      <c r="G6" s="1885">
        <v>0.2</v>
      </c>
      <c r="H6" s="1857">
        <f t="shared" si="0"/>
        <v>364.71600000000001</v>
      </c>
      <c r="I6" s="1886">
        <f>364.72/2</f>
        <v>182.36</v>
      </c>
      <c r="J6" s="1880" t="s">
        <v>1219</v>
      </c>
      <c r="K6" s="1858" t="s">
        <v>2015</v>
      </c>
    </row>
    <row r="7" spans="1:11" s="1025" customFormat="1" ht="15.75">
      <c r="A7" s="1618">
        <v>46020</v>
      </c>
      <c r="B7" s="1618">
        <v>46392</v>
      </c>
      <c r="C7" s="1900" t="s">
        <v>3099</v>
      </c>
      <c r="D7" s="1606" t="s">
        <v>9</v>
      </c>
      <c r="E7" s="1606" t="s">
        <v>19</v>
      </c>
      <c r="F7" s="1607">
        <v>2000.32</v>
      </c>
      <c r="G7" s="1608">
        <v>0.1</v>
      </c>
      <c r="H7" s="1609">
        <f t="shared" si="0"/>
        <v>180.02880000000002</v>
      </c>
      <c r="I7" s="1793"/>
      <c r="J7" s="1606"/>
      <c r="K7" s="1612" t="s">
        <v>2015</v>
      </c>
    </row>
    <row r="8" spans="1:11" ht="15.75">
      <c r="A8" s="1878">
        <v>46021</v>
      </c>
      <c r="B8" s="1879">
        <v>46393</v>
      </c>
      <c r="C8" s="1902" t="s">
        <v>3102</v>
      </c>
      <c r="D8" s="1881" t="s">
        <v>21</v>
      </c>
      <c r="E8" s="1881" t="s">
        <v>22</v>
      </c>
      <c r="F8" s="1883">
        <v>2130.8200000000002</v>
      </c>
      <c r="G8" s="1797">
        <v>0.11</v>
      </c>
      <c r="H8" s="1609">
        <f t="shared" si="0"/>
        <v>210.95118000000002</v>
      </c>
      <c r="I8" s="1798"/>
      <c r="J8" s="1887"/>
      <c r="K8" s="1888" t="s">
        <v>2015</v>
      </c>
    </row>
    <row r="9" spans="1:11" ht="15.75">
      <c r="A9" s="1604">
        <v>46021</v>
      </c>
      <c r="B9" s="1605">
        <v>46394</v>
      </c>
      <c r="C9" s="1903" t="s">
        <v>3103</v>
      </c>
      <c r="D9" s="1614" t="s">
        <v>9</v>
      </c>
      <c r="E9" s="1614" t="s">
        <v>362</v>
      </c>
      <c r="F9" s="1615">
        <v>1616.93</v>
      </c>
      <c r="G9" s="1616">
        <v>0.11</v>
      </c>
      <c r="H9" s="1609">
        <f t="shared" si="0"/>
        <v>160.07607000000002</v>
      </c>
      <c r="I9" s="1610"/>
      <c r="J9" s="1611"/>
      <c r="K9" s="1612" t="s">
        <v>2015</v>
      </c>
    </row>
    <row r="10" spans="1:11" ht="15" customHeight="1">
      <c r="A10" s="1604">
        <v>46027</v>
      </c>
      <c r="B10" s="1605">
        <v>46394</v>
      </c>
      <c r="C10" s="1903" t="s">
        <v>3105</v>
      </c>
      <c r="D10" s="1614" t="s">
        <v>9</v>
      </c>
      <c r="E10" s="1614" t="s">
        <v>19</v>
      </c>
      <c r="F10" s="1615">
        <v>2385.96</v>
      </c>
      <c r="G10" s="1616">
        <v>0.1</v>
      </c>
      <c r="H10" s="1609">
        <f t="shared" si="0"/>
        <v>214.7364</v>
      </c>
      <c r="I10" s="1610"/>
      <c r="J10" s="1611"/>
      <c r="K10" s="1612" t="s">
        <v>2015</v>
      </c>
    </row>
    <row r="11" spans="1:11" ht="15.75">
      <c r="A11" s="1604">
        <v>46030</v>
      </c>
      <c r="B11" s="1605">
        <v>46394</v>
      </c>
      <c r="C11" s="1903" t="s">
        <v>3116</v>
      </c>
      <c r="D11" s="1614" t="s">
        <v>9</v>
      </c>
      <c r="E11" s="1614" t="s">
        <v>17</v>
      </c>
      <c r="F11" s="1615">
        <v>2648.84</v>
      </c>
      <c r="G11" s="1616">
        <v>0.1</v>
      </c>
      <c r="H11" s="1609">
        <f t="shared" si="0"/>
        <v>238.39560000000003</v>
      </c>
      <c r="I11" s="1610"/>
      <c r="J11" s="1611"/>
      <c r="K11" s="1612" t="s">
        <v>2015</v>
      </c>
    </row>
    <row r="12" spans="1:11">
      <c r="A12" s="1604">
        <v>46027</v>
      </c>
      <c r="B12" s="1605">
        <v>46395</v>
      </c>
      <c r="C12" s="1900" t="s">
        <v>3106</v>
      </c>
      <c r="D12" s="1606" t="s">
        <v>25</v>
      </c>
      <c r="E12" s="1606" t="s">
        <v>10</v>
      </c>
      <c r="F12" s="1607">
        <v>739.57</v>
      </c>
      <c r="G12" s="1608">
        <v>0.15</v>
      </c>
      <c r="H12" s="1609">
        <f t="shared" si="0"/>
        <v>99.841950000000011</v>
      </c>
      <c r="I12" s="1610"/>
      <c r="J12" s="1611"/>
      <c r="K12" s="1606" t="s">
        <v>2015</v>
      </c>
    </row>
    <row r="13" spans="1:11" ht="15.75">
      <c r="A13" s="1604">
        <v>46027</v>
      </c>
      <c r="B13" s="1605">
        <v>46395</v>
      </c>
      <c r="C13" s="1900" t="s">
        <v>3107</v>
      </c>
      <c r="D13" s="1606" t="s">
        <v>9</v>
      </c>
      <c r="E13" s="1606" t="s">
        <v>10</v>
      </c>
      <c r="F13" s="1607">
        <v>2487.3200000000002</v>
      </c>
      <c r="G13" s="1608">
        <v>0.2</v>
      </c>
      <c r="H13" s="1609">
        <f t="shared" si="0"/>
        <v>447.71760000000006</v>
      </c>
      <c r="I13" s="1610"/>
      <c r="J13" s="1611"/>
      <c r="K13" s="1612" t="s">
        <v>2015</v>
      </c>
    </row>
    <row r="14" spans="1:11" ht="15.75">
      <c r="A14" s="1604">
        <v>46028</v>
      </c>
      <c r="B14" s="1605">
        <v>46395</v>
      </c>
      <c r="C14" s="1903" t="s">
        <v>3110</v>
      </c>
      <c r="D14" s="1614" t="s">
        <v>9</v>
      </c>
      <c r="E14" s="1606" t="s">
        <v>1310</v>
      </c>
      <c r="F14" s="1607">
        <v>2090.61</v>
      </c>
      <c r="G14" s="1608">
        <v>0.1</v>
      </c>
      <c r="H14" s="1609">
        <f t="shared" si="0"/>
        <v>188.15490000000003</v>
      </c>
      <c r="I14" s="1610"/>
      <c r="J14" s="1611"/>
      <c r="K14" s="1612" t="s">
        <v>2015</v>
      </c>
    </row>
    <row r="15" spans="1:11" s="1032" customFormat="1" ht="15.75">
      <c r="A15" s="1604">
        <v>46029</v>
      </c>
      <c r="B15" s="1605">
        <v>46395</v>
      </c>
      <c r="C15" s="1900" t="s">
        <v>3115</v>
      </c>
      <c r="D15" s="1614" t="s">
        <v>9</v>
      </c>
      <c r="E15" s="1606" t="s">
        <v>22</v>
      </c>
      <c r="F15" s="1607">
        <v>1500.17</v>
      </c>
      <c r="G15" s="1608">
        <v>0.1</v>
      </c>
      <c r="H15" s="1609">
        <f t="shared" si="0"/>
        <v>135.01530000000002</v>
      </c>
      <c r="I15" s="1610"/>
      <c r="J15" s="1611"/>
      <c r="K15" s="1612" t="s">
        <v>2015</v>
      </c>
    </row>
    <row r="16" spans="1:11" s="1032" customFormat="1" ht="15.75">
      <c r="A16" s="1040">
        <v>46028</v>
      </c>
      <c r="B16" s="1042">
        <v>46396</v>
      </c>
      <c r="C16" s="1678" t="s">
        <v>3111</v>
      </c>
      <c r="D16" s="1030" t="s">
        <v>25</v>
      </c>
      <c r="E16" s="1027" t="s">
        <v>10</v>
      </c>
      <c r="F16" s="947">
        <v>2633.39</v>
      </c>
      <c r="G16" s="1066">
        <v>0.1</v>
      </c>
      <c r="H16" s="1067">
        <f t="shared" si="0"/>
        <v>237.0051</v>
      </c>
      <c r="I16" s="1068">
        <v>23.7</v>
      </c>
      <c r="J16" s="1112" t="s">
        <v>1470</v>
      </c>
      <c r="K16" s="1117" t="s">
        <v>2015</v>
      </c>
    </row>
    <row r="17" spans="1:11" s="1032" customFormat="1" ht="15.75">
      <c r="A17" s="1604">
        <v>46028</v>
      </c>
      <c r="B17" s="1605">
        <v>46396</v>
      </c>
      <c r="C17" s="1900" t="s">
        <v>3109</v>
      </c>
      <c r="D17" s="1614" t="s">
        <v>70</v>
      </c>
      <c r="E17" s="1606" t="s">
        <v>279</v>
      </c>
      <c r="F17" s="1607">
        <v>1626.99</v>
      </c>
      <c r="G17" s="1608">
        <v>0.1</v>
      </c>
      <c r="H17" s="1609">
        <f t="shared" si="0"/>
        <v>146.42910000000001</v>
      </c>
      <c r="I17" s="1610"/>
      <c r="J17" s="1611"/>
      <c r="K17" s="1612" t="s">
        <v>2015</v>
      </c>
    </row>
    <row r="18" spans="1:11">
      <c r="A18" s="1618">
        <v>46029</v>
      </c>
      <c r="B18" s="1618">
        <v>46396</v>
      </c>
      <c r="C18" s="1904" t="s">
        <v>3113</v>
      </c>
      <c r="D18" s="1618" t="s">
        <v>1862</v>
      </c>
      <c r="E18" s="1618" t="s">
        <v>1552</v>
      </c>
      <c r="F18" s="1849">
        <v>3461.68</v>
      </c>
      <c r="G18" s="1608">
        <v>0.11</v>
      </c>
      <c r="H18" s="1609">
        <f t="shared" si="0"/>
        <v>342.70631999999995</v>
      </c>
      <c r="I18" s="1799"/>
      <c r="J18" s="1800"/>
      <c r="K18" s="1618" t="s">
        <v>2015</v>
      </c>
    </row>
    <row r="19" spans="1:11" ht="15.75">
      <c r="A19" s="1618">
        <v>46031</v>
      </c>
      <c r="B19" s="1618">
        <v>46396</v>
      </c>
      <c r="C19" s="1900" t="s">
        <v>3134</v>
      </c>
      <c r="D19" s="1606" t="s">
        <v>448</v>
      </c>
      <c r="E19" s="1606" t="s">
        <v>19</v>
      </c>
      <c r="F19" s="1607">
        <v>2438.71</v>
      </c>
      <c r="G19" s="1608">
        <v>0.15</v>
      </c>
      <c r="H19" s="1609">
        <f t="shared" si="0"/>
        <v>329.22584999999998</v>
      </c>
      <c r="I19" s="1610"/>
      <c r="J19" s="1611"/>
      <c r="K19" s="1612" t="s">
        <v>2274</v>
      </c>
    </row>
    <row r="20" spans="1:11">
      <c r="A20" s="1604">
        <v>46028</v>
      </c>
      <c r="B20" s="1618">
        <v>46398</v>
      </c>
      <c r="C20" s="1900" t="s">
        <v>3108</v>
      </c>
      <c r="D20" s="1614" t="s">
        <v>9</v>
      </c>
      <c r="E20" s="1606" t="s">
        <v>10</v>
      </c>
      <c r="F20" s="1620">
        <v>1558.21</v>
      </c>
      <c r="G20" s="1608">
        <v>0.15</v>
      </c>
      <c r="H20" s="1609">
        <f t="shared" si="0"/>
        <v>210.35835</v>
      </c>
      <c r="I20" s="1610"/>
      <c r="J20" s="1611"/>
      <c r="K20" s="1606" t="s">
        <v>2015</v>
      </c>
    </row>
    <row r="21" spans="1:11" ht="15.75">
      <c r="A21" s="1604">
        <v>46031</v>
      </c>
      <c r="B21" s="1618">
        <v>46398</v>
      </c>
      <c r="C21" s="1900" t="s">
        <v>3118</v>
      </c>
      <c r="D21" s="1614" t="s">
        <v>1924</v>
      </c>
      <c r="E21" s="1606" t="s">
        <v>22</v>
      </c>
      <c r="F21" s="1607">
        <v>2669.66</v>
      </c>
      <c r="G21" s="1608">
        <v>0.1</v>
      </c>
      <c r="H21" s="1609">
        <f t="shared" si="0"/>
        <v>240.26940000000002</v>
      </c>
      <c r="I21" s="1610"/>
      <c r="J21" s="1611"/>
      <c r="K21" s="1612" t="s">
        <v>2015</v>
      </c>
    </row>
    <row r="22" spans="1:11" ht="15.75">
      <c r="A22" s="1604">
        <v>46034</v>
      </c>
      <c r="B22" s="1618">
        <v>46399</v>
      </c>
      <c r="C22" s="1900" t="s">
        <v>3140</v>
      </c>
      <c r="D22" s="1614" t="s">
        <v>533</v>
      </c>
      <c r="E22" s="1606" t="s">
        <v>3101</v>
      </c>
      <c r="F22" s="1795">
        <v>2838.58</v>
      </c>
      <c r="G22" s="1608">
        <v>0.1</v>
      </c>
      <c r="H22" s="1609">
        <f t="shared" si="0"/>
        <v>255.47220000000002</v>
      </c>
      <c r="I22" s="1610"/>
      <c r="J22" s="1611"/>
      <c r="K22" s="1612" t="s">
        <v>2274</v>
      </c>
    </row>
    <row r="23" spans="1:11" ht="15.75">
      <c r="A23" s="1618">
        <v>46034</v>
      </c>
      <c r="B23" s="1618">
        <v>46400</v>
      </c>
      <c r="C23" s="1900" t="s">
        <v>3139</v>
      </c>
      <c r="D23" s="1606" t="s">
        <v>448</v>
      </c>
      <c r="E23" s="1606" t="s">
        <v>19</v>
      </c>
      <c r="F23" s="1607">
        <v>1777.18</v>
      </c>
      <c r="G23" s="1608">
        <v>0.1</v>
      </c>
      <c r="H23" s="1609">
        <f t="shared" si="0"/>
        <v>159.94620000000003</v>
      </c>
      <c r="I23" s="1793"/>
      <c r="J23" s="1606"/>
      <c r="K23" s="1612" t="s">
        <v>2015</v>
      </c>
    </row>
    <row r="24" spans="1:11" ht="15.75">
      <c r="A24" s="1037">
        <v>46038</v>
      </c>
      <c r="B24" s="1039">
        <v>46402</v>
      </c>
      <c r="C24" s="1737" t="s">
        <v>3166</v>
      </c>
      <c r="D24" s="1026" t="s">
        <v>112</v>
      </c>
      <c r="E24" s="1026" t="s">
        <v>1310</v>
      </c>
      <c r="F24" s="1848">
        <v>3899.92</v>
      </c>
      <c r="G24" s="1062">
        <v>0.1</v>
      </c>
      <c r="H24" s="1055">
        <f t="shared" si="0"/>
        <v>350.99280000000005</v>
      </c>
      <c r="I24" s="1056">
        <f>350.99/2</f>
        <v>175.495</v>
      </c>
      <c r="J24" s="1111" t="s">
        <v>1577</v>
      </c>
      <c r="K24" s="1115" t="s">
        <v>2274</v>
      </c>
    </row>
    <row r="25" spans="1:11">
      <c r="A25" s="1604">
        <v>46031</v>
      </c>
      <c r="B25" s="1605">
        <v>46402</v>
      </c>
      <c r="C25" s="1900" t="s">
        <v>3120</v>
      </c>
      <c r="D25" s="1614" t="s">
        <v>21</v>
      </c>
      <c r="E25" s="1614" t="s">
        <v>10</v>
      </c>
      <c r="F25" s="1794">
        <v>2545.4</v>
      </c>
      <c r="G25" s="1616">
        <v>0.1</v>
      </c>
      <c r="H25" s="1609">
        <f t="shared" si="0"/>
        <v>229.08600000000001</v>
      </c>
      <c r="I25" s="1610"/>
      <c r="J25" s="1611"/>
      <c r="K25" s="1801" t="s">
        <v>2015</v>
      </c>
    </row>
    <row r="26" spans="1:11" ht="15.75">
      <c r="A26" s="1040">
        <v>46037</v>
      </c>
      <c r="B26" s="1042">
        <v>46405</v>
      </c>
      <c r="C26" s="1678" t="s">
        <v>2411</v>
      </c>
      <c r="D26" s="1030" t="s">
        <v>33</v>
      </c>
      <c r="E26" s="1030" t="s">
        <v>10</v>
      </c>
      <c r="F26" s="1072">
        <v>969.08</v>
      </c>
      <c r="G26" s="1073">
        <v>0.1</v>
      </c>
      <c r="H26" s="1067">
        <f t="shared" si="0"/>
        <v>87.21720000000002</v>
      </c>
      <c r="I26" s="1068">
        <v>8.7200000000000006</v>
      </c>
      <c r="J26" s="1112" t="s">
        <v>1470</v>
      </c>
      <c r="K26" s="1117" t="s">
        <v>2015</v>
      </c>
    </row>
    <row r="27" spans="1:11" ht="15.75">
      <c r="A27" s="1604">
        <v>46031</v>
      </c>
      <c r="B27" s="1605">
        <v>46405</v>
      </c>
      <c r="C27" s="1900" t="s">
        <v>3117</v>
      </c>
      <c r="D27" s="1614" t="s">
        <v>61</v>
      </c>
      <c r="E27" s="1614" t="s">
        <v>279</v>
      </c>
      <c r="F27" s="1615">
        <v>606.63</v>
      </c>
      <c r="G27" s="1616">
        <v>0.1</v>
      </c>
      <c r="H27" s="1609">
        <f t="shared" si="0"/>
        <v>54.596700000000006</v>
      </c>
      <c r="I27" s="1610"/>
      <c r="J27" s="1611"/>
      <c r="K27" s="1612" t="s">
        <v>2015</v>
      </c>
    </row>
    <row r="28" spans="1:11" ht="15.75">
      <c r="A28" s="1039">
        <v>46041</v>
      </c>
      <c r="B28" s="1039">
        <v>46406</v>
      </c>
      <c r="C28" s="1677" t="s">
        <v>3167</v>
      </c>
      <c r="D28" s="1025" t="s">
        <v>25</v>
      </c>
      <c r="E28" s="1025" t="s">
        <v>3080</v>
      </c>
      <c r="F28" s="1061">
        <v>2144.8000000000002</v>
      </c>
      <c r="G28" s="1062">
        <v>0.1</v>
      </c>
      <c r="H28" s="1055">
        <f t="shared" si="0"/>
        <v>193.03200000000001</v>
      </c>
      <c r="I28" s="1242">
        <f>193.03/2</f>
        <v>96.515000000000001</v>
      </c>
      <c r="J28" s="1025" t="s">
        <v>1577</v>
      </c>
      <c r="K28" s="1115" t="s">
        <v>2274</v>
      </c>
    </row>
    <row r="29" spans="1:11" ht="15.75">
      <c r="A29" s="1604">
        <v>46035</v>
      </c>
      <c r="B29" s="1605">
        <v>46406</v>
      </c>
      <c r="C29" s="1900" t="s">
        <v>1672</v>
      </c>
      <c r="D29" s="1614" t="s">
        <v>1508</v>
      </c>
      <c r="E29" s="1614" t="s">
        <v>279</v>
      </c>
      <c r="F29" s="1794">
        <v>885.38</v>
      </c>
      <c r="G29" s="1616">
        <v>0.1</v>
      </c>
      <c r="H29" s="1609">
        <f t="shared" si="0"/>
        <v>79.684200000000018</v>
      </c>
      <c r="I29" s="1610"/>
      <c r="J29" s="1611"/>
      <c r="K29" s="1612" t="s">
        <v>2015</v>
      </c>
    </row>
    <row r="30" spans="1:11" ht="15.75">
      <c r="A30" s="1040">
        <v>46036</v>
      </c>
      <c r="B30" s="1042">
        <v>46407</v>
      </c>
      <c r="C30" s="1683" t="s">
        <v>2407</v>
      </c>
      <c r="D30" s="1030" t="s">
        <v>9</v>
      </c>
      <c r="E30" s="1030" t="s">
        <v>22</v>
      </c>
      <c r="F30" s="1072">
        <v>1186.19</v>
      </c>
      <c r="G30" s="1073">
        <v>0.15</v>
      </c>
      <c r="H30" s="1067">
        <f t="shared" si="0"/>
        <v>160.13565000000003</v>
      </c>
      <c r="I30" s="1068">
        <v>16.010000000000002</v>
      </c>
      <c r="J30" s="1112" t="s">
        <v>1470</v>
      </c>
      <c r="K30" s="1117" t="s">
        <v>2015</v>
      </c>
    </row>
    <row r="31" spans="1:11" ht="15.75">
      <c r="A31" s="1037">
        <v>46042</v>
      </c>
      <c r="B31" s="1038">
        <v>46407</v>
      </c>
      <c r="C31" s="1682" t="s">
        <v>3146</v>
      </c>
      <c r="D31" s="1026" t="s">
        <v>448</v>
      </c>
      <c r="E31" s="1026" t="s">
        <v>2354</v>
      </c>
      <c r="F31" s="1053">
        <v>2123.0700000000002</v>
      </c>
      <c r="G31" s="1054">
        <v>0.2</v>
      </c>
      <c r="H31" s="1055">
        <f t="shared" si="0"/>
        <v>382.15260000000006</v>
      </c>
      <c r="I31" s="1056">
        <f>382.15/2</f>
        <v>191.07499999999999</v>
      </c>
      <c r="J31" s="1111" t="s">
        <v>1577</v>
      </c>
      <c r="K31" s="1115" t="s">
        <v>2015</v>
      </c>
    </row>
    <row r="32" spans="1:11" ht="15.75">
      <c r="A32" s="1604">
        <v>46041</v>
      </c>
      <c r="B32" s="1605">
        <v>46407</v>
      </c>
      <c r="C32" s="1900" t="s">
        <v>2430</v>
      </c>
      <c r="D32" s="1614" t="s">
        <v>9</v>
      </c>
      <c r="E32" s="1614" t="s">
        <v>10</v>
      </c>
      <c r="F32" s="1794">
        <v>2048.64</v>
      </c>
      <c r="G32" s="1616">
        <v>0.1</v>
      </c>
      <c r="H32" s="1609">
        <f t="shared" si="0"/>
        <v>184.3776</v>
      </c>
      <c r="I32" s="1610"/>
      <c r="J32" s="1611"/>
      <c r="K32" s="1612" t="s">
        <v>2015</v>
      </c>
    </row>
    <row r="33" spans="1:11" ht="15.75">
      <c r="A33" s="1037">
        <v>46043</v>
      </c>
      <c r="B33" s="1038">
        <v>46409</v>
      </c>
      <c r="C33" s="1682" t="s">
        <v>3148</v>
      </c>
      <c r="D33" s="1026" t="s">
        <v>448</v>
      </c>
      <c r="E33" s="1025" t="s">
        <v>29</v>
      </c>
      <c r="F33" s="1061">
        <v>6493.46</v>
      </c>
      <c r="G33" s="1062">
        <v>0.15</v>
      </c>
      <c r="H33" s="1055">
        <f t="shared" si="0"/>
        <v>876.61710000000005</v>
      </c>
      <c r="I33" s="1056">
        <f>876.62/2</f>
        <v>438.31</v>
      </c>
      <c r="J33" s="1111" t="s">
        <v>1577</v>
      </c>
      <c r="K33" s="1115" t="s">
        <v>2015</v>
      </c>
    </row>
    <row r="34" spans="1:11" ht="15.75">
      <c r="A34" s="1604">
        <v>46042</v>
      </c>
      <c r="B34" s="1605">
        <v>46409</v>
      </c>
      <c r="C34" s="1903" t="s">
        <v>3145</v>
      </c>
      <c r="D34" s="1614" t="s">
        <v>1924</v>
      </c>
      <c r="E34" s="1614" t="s">
        <v>22</v>
      </c>
      <c r="F34" s="1615">
        <v>1349.87</v>
      </c>
      <c r="G34" s="1616">
        <v>0.1</v>
      </c>
      <c r="H34" s="1609">
        <f t="shared" ref="H34:H50" si="1">F34*G34*(1-10%)</f>
        <v>121.4883</v>
      </c>
      <c r="I34" s="1610"/>
      <c r="J34" s="1611"/>
      <c r="K34" s="1612" t="s">
        <v>2015</v>
      </c>
    </row>
    <row r="35" spans="1:11" ht="15.75">
      <c r="A35" s="1604">
        <v>46038</v>
      </c>
      <c r="B35" s="1618">
        <v>46411</v>
      </c>
      <c r="C35" s="1900" t="s">
        <v>3144</v>
      </c>
      <c r="D35" s="1614" t="s">
        <v>448</v>
      </c>
      <c r="E35" s="1606" t="s">
        <v>10</v>
      </c>
      <c r="F35" s="1607">
        <v>1623.65</v>
      </c>
      <c r="G35" s="1608">
        <v>0.1</v>
      </c>
      <c r="H35" s="1609">
        <f t="shared" si="1"/>
        <v>146.1285</v>
      </c>
      <c r="I35" s="1610"/>
      <c r="J35" s="1611"/>
      <c r="K35" s="1612" t="s">
        <v>2015</v>
      </c>
    </row>
    <row r="36" spans="1:11" ht="15.75">
      <c r="A36" s="1604">
        <v>46043</v>
      </c>
      <c r="B36" s="1605">
        <v>46411</v>
      </c>
      <c r="C36" s="1903" t="s">
        <v>1669</v>
      </c>
      <c r="D36" s="1614" t="s">
        <v>9</v>
      </c>
      <c r="E36" s="1614" t="s">
        <v>22</v>
      </c>
      <c r="F36" s="1884">
        <v>1301.2</v>
      </c>
      <c r="G36" s="1616">
        <v>0.1</v>
      </c>
      <c r="H36" s="1609">
        <f t="shared" si="1"/>
        <v>117.108</v>
      </c>
      <c r="I36" s="1610"/>
      <c r="J36" s="1611"/>
      <c r="K36" s="1612" t="s">
        <v>2015</v>
      </c>
    </row>
    <row r="37" spans="1:11" ht="15.75">
      <c r="A37" s="1037">
        <v>46038</v>
      </c>
      <c r="B37" s="1038">
        <v>46412</v>
      </c>
      <c r="C37" s="1682" t="s">
        <v>2410</v>
      </c>
      <c r="D37" s="1026" t="s">
        <v>70</v>
      </c>
      <c r="E37" s="1025" t="s">
        <v>279</v>
      </c>
      <c r="F37" s="1061">
        <v>2304.5500000000002</v>
      </c>
      <c r="G37" s="1062">
        <v>0.1</v>
      </c>
      <c r="H37" s="1055">
        <f t="shared" si="1"/>
        <v>207.40950000000004</v>
      </c>
      <c r="I37" s="1056">
        <f>207.41/2</f>
        <v>103.705</v>
      </c>
      <c r="J37" s="1111" t="s">
        <v>1759</v>
      </c>
      <c r="K37" s="1115" t="s">
        <v>2015</v>
      </c>
    </row>
    <row r="38" spans="1:11" ht="15.75">
      <c r="A38" s="1604">
        <v>46045</v>
      </c>
      <c r="B38" s="1605">
        <v>46412</v>
      </c>
      <c r="C38" s="1903" t="s">
        <v>2433</v>
      </c>
      <c r="D38" s="1614" t="s">
        <v>70</v>
      </c>
      <c r="E38" s="1614" t="s">
        <v>279</v>
      </c>
      <c r="F38" s="1615">
        <v>2547.8000000000002</v>
      </c>
      <c r="G38" s="1616">
        <v>0.13</v>
      </c>
      <c r="H38" s="1609">
        <f t="shared" si="1"/>
        <v>298.09260000000006</v>
      </c>
      <c r="I38" s="1610"/>
      <c r="J38" s="1611"/>
      <c r="K38" s="1612" t="s">
        <v>2015</v>
      </c>
    </row>
    <row r="39" spans="1:11" ht="15.75">
      <c r="A39" s="1604">
        <v>46048</v>
      </c>
      <c r="B39" s="1605">
        <v>46412</v>
      </c>
      <c r="C39" s="1903" t="s">
        <v>3153</v>
      </c>
      <c r="D39" s="1614" t="s">
        <v>9</v>
      </c>
      <c r="E39" s="1614" t="s">
        <v>2998</v>
      </c>
      <c r="F39" s="1615">
        <v>3010.31</v>
      </c>
      <c r="G39" s="1616">
        <v>0.25</v>
      </c>
      <c r="H39" s="1609">
        <f t="shared" si="1"/>
        <v>677.31975</v>
      </c>
      <c r="I39" s="1610"/>
      <c r="J39" s="1611"/>
      <c r="K39" s="1612" t="s">
        <v>2015</v>
      </c>
    </row>
    <row r="40" spans="1:11" ht="15.75">
      <c r="A40" s="1604">
        <v>46042</v>
      </c>
      <c r="B40" s="1605">
        <v>46413</v>
      </c>
      <c r="C40" s="1900" t="s">
        <v>2438</v>
      </c>
      <c r="D40" s="1614" t="s">
        <v>448</v>
      </c>
      <c r="E40" s="1614" t="s">
        <v>19</v>
      </c>
      <c r="F40" s="1615">
        <v>1832.74</v>
      </c>
      <c r="G40" s="1616">
        <v>0.2</v>
      </c>
      <c r="H40" s="1609">
        <f t="shared" si="1"/>
        <v>329.89320000000004</v>
      </c>
      <c r="I40" s="1610"/>
      <c r="J40" s="1611"/>
      <c r="K40" s="1612" t="s">
        <v>2015</v>
      </c>
    </row>
    <row r="41" spans="1:11" ht="15.75">
      <c r="A41" s="1604">
        <v>46043</v>
      </c>
      <c r="B41" s="1605">
        <v>46413</v>
      </c>
      <c r="C41" s="1900" t="s">
        <v>3147</v>
      </c>
      <c r="D41" s="1614" t="s">
        <v>9</v>
      </c>
      <c r="E41" s="1614" t="s">
        <v>1310</v>
      </c>
      <c r="F41" s="1615">
        <v>4427.37</v>
      </c>
      <c r="G41" s="1616">
        <v>0.1</v>
      </c>
      <c r="H41" s="1609">
        <f t="shared" si="1"/>
        <v>398.4633</v>
      </c>
      <c r="I41" s="1610"/>
      <c r="J41" s="1611"/>
      <c r="K41" s="1612" t="s">
        <v>2015</v>
      </c>
    </row>
    <row r="42" spans="1:11" ht="15.75">
      <c r="A42" s="1037">
        <v>46050</v>
      </c>
      <c r="B42" s="1038">
        <v>46415</v>
      </c>
      <c r="C42" s="1682" t="s">
        <v>3156</v>
      </c>
      <c r="D42" s="1026" t="s">
        <v>448</v>
      </c>
      <c r="E42" s="1026" t="s">
        <v>19</v>
      </c>
      <c r="F42" s="1059">
        <v>3080.4</v>
      </c>
      <c r="G42" s="1054">
        <v>0.1</v>
      </c>
      <c r="H42" s="1055">
        <f t="shared" si="1"/>
        <v>277.23600000000005</v>
      </c>
      <c r="I42" s="1056">
        <f>277.24/2</f>
        <v>138.62</v>
      </c>
      <c r="J42" s="1111" t="s">
        <v>1577</v>
      </c>
      <c r="K42" s="1115" t="s">
        <v>2010</v>
      </c>
    </row>
    <row r="43" spans="1:11" ht="15.75">
      <c r="A43" s="1604">
        <v>46049</v>
      </c>
      <c r="B43" s="1605">
        <v>46415</v>
      </c>
      <c r="C43" s="1903" t="s">
        <v>3154</v>
      </c>
      <c r="D43" s="1614" t="s">
        <v>21</v>
      </c>
      <c r="E43" s="1614" t="s">
        <v>22</v>
      </c>
      <c r="F43" s="1615">
        <v>1816.44</v>
      </c>
      <c r="G43" s="1616">
        <v>0.17</v>
      </c>
      <c r="H43" s="1609">
        <f t="shared" si="1"/>
        <v>277.91532000000001</v>
      </c>
      <c r="I43" s="1610"/>
      <c r="J43" s="1611"/>
      <c r="K43" s="1612" t="s">
        <v>2015</v>
      </c>
    </row>
    <row r="44" spans="1:11" ht="15.75">
      <c r="A44" s="1040">
        <v>46051</v>
      </c>
      <c r="B44" s="1042">
        <v>46416</v>
      </c>
      <c r="C44" s="1683" t="s">
        <v>3157</v>
      </c>
      <c r="D44" s="1030" t="s">
        <v>2472</v>
      </c>
      <c r="E44" s="1030" t="s">
        <v>19</v>
      </c>
      <c r="F44" s="1072">
        <v>2645.2</v>
      </c>
      <c r="G44" s="1073">
        <v>0.15</v>
      </c>
      <c r="H44" s="1067">
        <f t="shared" si="1"/>
        <v>357.10199999999998</v>
      </c>
      <c r="I44" s="1068">
        <v>35.71</v>
      </c>
      <c r="J44" s="1112" t="s">
        <v>1470</v>
      </c>
      <c r="K44" s="1117" t="s">
        <v>2015</v>
      </c>
    </row>
    <row r="45" spans="1:11" ht="15.75">
      <c r="A45" s="1604">
        <v>46052</v>
      </c>
      <c r="B45" s="1605">
        <v>46417</v>
      </c>
      <c r="C45" s="1903" t="s">
        <v>3160</v>
      </c>
      <c r="D45" s="1614" t="s">
        <v>14</v>
      </c>
      <c r="E45" s="1614" t="s">
        <v>1310</v>
      </c>
      <c r="F45" s="1615">
        <v>1935.29</v>
      </c>
      <c r="G45" s="1616">
        <v>0.1</v>
      </c>
      <c r="H45" s="1609">
        <f t="shared" si="1"/>
        <v>174.17609999999999</v>
      </c>
      <c r="I45" s="1610"/>
      <c r="J45" s="1611"/>
      <c r="K45" s="1612" t="s">
        <v>2015</v>
      </c>
    </row>
    <row r="46" spans="1:11" ht="15.75">
      <c r="A46" s="1604">
        <v>46052</v>
      </c>
      <c r="B46" s="1605">
        <v>46417</v>
      </c>
      <c r="C46" s="1903" t="s">
        <v>3175</v>
      </c>
      <c r="D46" s="1614" t="s">
        <v>61</v>
      </c>
      <c r="E46" s="1614" t="s">
        <v>1310</v>
      </c>
      <c r="F46" s="1615">
        <v>2343.11</v>
      </c>
      <c r="G46" s="1616">
        <v>0.1</v>
      </c>
      <c r="H46" s="1609">
        <f t="shared" si="1"/>
        <v>210.87990000000005</v>
      </c>
      <c r="I46" s="1610"/>
      <c r="J46" s="1611"/>
      <c r="K46" s="1612" t="s">
        <v>2015</v>
      </c>
    </row>
    <row r="47" spans="1:11" ht="15.75">
      <c r="A47" s="1604">
        <v>46052</v>
      </c>
      <c r="B47" s="1605">
        <v>46417</v>
      </c>
      <c r="C47" s="1903" t="s">
        <v>3163</v>
      </c>
      <c r="D47" s="1614" t="s">
        <v>25</v>
      </c>
      <c r="E47" s="1614" t="s">
        <v>22</v>
      </c>
      <c r="F47" s="1615">
        <v>1329.89</v>
      </c>
      <c r="G47" s="1616">
        <v>0.1</v>
      </c>
      <c r="H47" s="1609">
        <f t="shared" si="1"/>
        <v>119.6901</v>
      </c>
      <c r="I47" s="1610"/>
      <c r="J47" s="1611"/>
      <c r="K47" s="1612" t="s">
        <v>2274</v>
      </c>
    </row>
    <row r="48" spans="1:11" ht="15.75">
      <c r="A48" s="1604">
        <v>46052</v>
      </c>
      <c r="B48" s="1605">
        <v>46417</v>
      </c>
      <c r="C48" s="1903" t="s">
        <v>3164</v>
      </c>
      <c r="D48" s="1614" t="s">
        <v>14</v>
      </c>
      <c r="E48" s="1614" t="s">
        <v>19</v>
      </c>
      <c r="F48" s="1615">
        <v>1640.46</v>
      </c>
      <c r="G48" s="1616">
        <v>0.15</v>
      </c>
      <c r="H48" s="1609">
        <f t="shared" si="1"/>
        <v>221.46209999999999</v>
      </c>
      <c r="I48" s="1610"/>
      <c r="J48" s="1611"/>
      <c r="K48" s="1612" t="s">
        <v>2274</v>
      </c>
    </row>
    <row r="49" spans="1:11" ht="15.75">
      <c r="A49" s="1604">
        <v>46045</v>
      </c>
      <c r="B49" s="1605">
        <v>46418</v>
      </c>
      <c r="C49" s="1903" t="s">
        <v>3152</v>
      </c>
      <c r="D49" s="1614" t="s">
        <v>70</v>
      </c>
      <c r="E49" s="1614" t="s">
        <v>279</v>
      </c>
      <c r="F49" s="1615">
        <v>962.94</v>
      </c>
      <c r="G49" s="1616">
        <v>0.1</v>
      </c>
      <c r="H49" s="1609">
        <f t="shared" si="1"/>
        <v>86.664600000000007</v>
      </c>
      <c r="I49" s="1610"/>
      <c r="J49" s="1611"/>
      <c r="K49" s="1612" t="s">
        <v>2015</v>
      </c>
    </row>
    <row r="50" spans="1:11" ht="15.75">
      <c r="A50" s="1604">
        <v>46052</v>
      </c>
      <c r="B50" s="1605">
        <v>46418</v>
      </c>
      <c r="C50" s="1903" t="s">
        <v>3159</v>
      </c>
      <c r="D50" s="1614" t="s">
        <v>981</v>
      </c>
      <c r="E50" s="1614" t="s">
        <v>1552</v>
      </c>
      <c r="F50" s="1802">
        <v>2220.4499999999998</v>
      </c>
      <c r="G50" s="1616">
        <v>0.25</v>
      </c>
      <c r="H50" s="1609">
        <f t="shared" si="1"/>
        <v>499.60124999999999</v>
      </c>
      <c r="I50" s="1610"/>
      <c r="J50" s="1611"/>
      <c r="K50" s="1612" t="s">
        <v>2015</v>
      </c>
    </row>
    <row r="51" spans="1:11" ht="15.75">
      <c r="A51" s="1037">
        <v>46044</v>
      </c>
      <c r="B51" s="1038" t="s">
        <v>3151</v>
      </c>
      <c r="C51" s="1682" t="s">
        <v>3149</v>
      </c>
      <c r="D51" s="1026" t="s">
        <v>25</v>
      </c>
      <c r="E51" s="1026" t="s">
        <v>10</v>
      </c>
      <c r="F51" s="1059"/>
      <c r="G51" s="1054"/>
      <c r="H51" s="1055">
        <v>-1420</v>
      </c>
      <c r="I51" s="1089"/>
      <c r="J51" s="1111"/>
      <c r="K51" s="1115" t="s">
        <v>3168</v>
      </c>
    </row>
    <row r="52" spans="1:11" ht="15.75">
      <c r="A52" s="1037">
        <v>46044</v>
      </c>
      <c r="B52" s="1038" t="s">
        <v>3151</v>
      </c>
      <c r="C52" s="1682" t="s">
        <v>3150</v>
      </c>
      <c r="D52" s="1026" t="s">
        <v>25</v>
      </c>
      <c r="E52" s="1026" t="s">
        <v>10</v>
      </c>
      <c r="F52" s="1059"/>
      <c r="G52" s="1054"/>
      <c r="H52" s="1055">
        <v>-198.7</v>
      </c>
      <c r="I52" s="1056"/>
      <c r="J52" s="1111"/>
      <c r="K52" s="1115" t="s">
        <v>3168</v>
      </c>
    </row>
    <row r="53" spans="1:11" ht="15.75">
      <c r="A53" s="1604">
        <v>46029</v>
      </c>
      <c r="B53" s="1605" t="s">
        <v>1805</v>
      </c>
      <c r="C53" s="1903" t="s">
        <v>3114</v>
      </c>
      <c r="D53" s="1614" t="s">
        <v>25</v>
      </c>
      <c r="E53" s="1614" t="s">
        <v>10</v>
      </c>
      <c r="F53" s="1615">
        <v>216.58</v>
      </c>
      <c r="G53" s="1616">
        <v>0.15</v>
      </c>
      <c r="H53" s="1609">
        <f t="shared" ref="H53:H59" si="2">F53*G53*(1-10%)</f>
        <v>29.238300000000002</v>
      </c>
      <c r="I53" s="1610"/>
      <c r="J53" s="1611"/>
      <c r="K53" s="1612" t="s">
        <v>1805</v>
      </c>
    </row>
    <row r="54" spans="1:11" ht="15.75">
      <c r="A54" s="1604">
        <v>46042</v>
      </c>
      <c r="B54" s="1605" t="s">
        <v>1805</v>
      </c>
      <c r="C54" s="1903" t="s">
        <v>1287</v>
      </c>
      <c r="D54" s="1614" t="s">
        <v>25</v>
      </c>
      <c r="E54" s="1614" t="s">
        <v>10</v>
      </c>
      <c r="F54" s="1615">
        <v>46.58</v>
      </c>
      <c r="G54" s="1616">
        <v>0.15</v>
      </c>
      <c r="H54" s="1609">
        <f t="shared" si="2"/>
        <v>6.2882999999999996</v>
      </c>
      <c r="I54" s="1610"/>
      <c r="J54" s="1611"/>
      <c r="K54" s="1612" t="s">
        <v>1805</v>
      </c>
    </row>
    <row r="55" spans="1:11" ht="15.75">
      <c r="A55" s="1604">
        <v>46052</v>
      </c>
      <c r="B55" s="1605" t="s">
        <v>1805</v>
      </c>
      <c r="C55" s="1903" t="s">
        <v>3162</v>
      </c>
      <c r="D55" s="1614" t="s">
        <v>25</v>
      </c>
      <c r="E55" s="1614" t="s">
        <v>19</v>
      </c>
      <c r="F55" s="1615">
        <v>359.88</v>
      </c>
      <c r="G55" s="1616">
        <v>0.15</v>
      </c>
      <c r="H55" s="1609">
        <f t="shared" si="2"/>
        <v>48.583800000000004</v>
      </c>
      <c r="I55" s="1610"/>
      <c r="J55" s="1611"/>
      <c r="K55" s="1612" t="s">
        <v>1805</v>
      </c>
    </row>
    <row r="56" spans="1:11" ht="15.75">
      <c r="A56" s="1604"/>
      <c r="B56" s="1605"/>
      <c r="C56" s="1614"/>
      <c r="D56" s="1614"/>
      <c r="E56" s="1614"/>
      <c r="F56" s="1615"/>
      <c r="G56" s="1616"/>
      <c r="H56" s="1609">
        <f t="shared" si="2"/>
        <v>0</v>
      </c>
      <c r="I56" s="1610"/>
      <c r="J56" s="1611"/>
      <c r="K56" s="1612"/>
    </row>
    <row r="57" spans="1:11" ht="15.75">
      <c r="A57" s="1604"/>
      <c r="B57" s="1605"/>
      <c r="C57" s="1614"/>
      <c r="D57" s="1614"/>
      <c r="E57" s="1614"/>
      <c r="F57" s="1615"/>
      <c r="G57" s="1616"/>
      <c r="H57" s="1609">
        <f t="shared" si="2"/>
        <v>0</v>
      </c>
      <c r="I57" s="1610"/>
      <c r="J57" s="1611"/>
      <c r="K57" s="1612"/>
    </row>
    <row r="58" spans="1:11" ht="15.75">
      <c r="A58" s="1604"/>
      <c r="B58" s="1605"/>
      <c r="C58" s="1614"/>
      <c r="D58" s="1614"/>
      <c r="E58" s="1614"/>
      <c r="F58" s="1615"/>
      <c r="G58" s="1616"/>
      <c r="H58" s="1609">
        <f t="shared" si="2"/>
        <v>0</v>
      </c>
      <c r="I58" s="1610"/>
      <c r="J58" s="1611"/>
      <c r="K58" s="1612"/>
    </row>
    <row r="59" spans="1:11" ht="15.75">
      <c r="A59" s="1604"/>
      <c r="B59" s="1605"/>
      <c r="C59" s="1614"/>
      <c r="D59" s="1614"/>
      <c r="E59" s="1614"/>
      <c r="F59" s="1615"/>
      <c r="G59" s="1616"/>
      <c r="H59" s="1803">
        <f t="shared" si="2"/>
        <v>0</v>
      </c>
      <c r="I59" s="1610"/>
      <c r="J59" s="1611"/>
      <c r="K59" s="1612"/>
    </row>
    <row r="60" spans="1:11" ht="16.5" thickBot="1">
      <c r="A60" s="1618"/>
      <c r="B60" s="1618"/>
      <c r="C60" s="1606"/>
      <c r="D60" s="1606"/>
      <c r="E60" s="1606"/>
      <c r="F60" s="1615"/>
      <c r="G60" s="1616"/>
      <c r="H60" s="1803"/>
      <c r="I60" s="1804"/>
      <c r="J60" s="1611"/>
      <c r="K60" s="1612"/>
    </row>
    <row r="61" spans="1:11" ht="15.75" customHeight="1" thickBot="1">
      <c r="A61" s="1805"/>
      <c r="B61" s="1806"/>
      <c r="C61" s="1806"/>
      <c r="D61" s="1806"/>
      <c r="E61" s="1807"/>
      <c r="F61" s="1808">
        <f>SUM(F3:F6,F7:F60)</f>
        <v>105338.43</v>
      </c>
      <c r="G61" s="1809"/>
      <c r="H61" s="1810">
        <f>SUM(H3:H60)</f>
        <v>10847.659540000004</v>
      </c>
      <c r="I61" s="1811">
        <f>SUM(I3:I60)</f>
        <v>1507.71</v>
      </c>
      <c r="J61" s="1812"/>
      <c r="K61" s="1612"/>
    </row>
    <row r="62" spans="1:11" ht="15.75" customHeight="1">
      <c r="A62" s="1604"/>
      <c r="B62" s="1604"/>
      <c r="C62" s="1614"/>
      <c r="D62" s="1614"/>
      <c r="E62" s="1614"/>
      <c r="F62" s="1796"/>
      <c r="G62" s="1797"/>
      <c r="H62" s="1813"/>
      <c r="I62" s="1798"/>
      <c r="J62" s="1611"/>
      <c r="K62" s="1612"/>
    </row>
    <row r="63" spans="1:11" ht="15.75" customHeight="1">
      <c r="A63" s="1604"/>
      <c r="B63" s="1605"/>
      <c r="C63" s="1614"/>
      <c r="D63" s="1614"/>
      <c r="E63" s="1614"/>
      <c r="F63" s="1615"/>
      <c r="G63" s="1616"/>
      <c r="H63" s="1803"/>
      <c r="I63" s="1610"/>
      <c r="J63" s="1611"/>
      <c r="K63" s="1612"/>
    </row>
    <row r="64" spans="1:11" ht="15.75" customHeight="1">
      <c r="A64" s="1604"/>
      <c r="B64" s="1605"/>
      <c r="C64" s="1614"/>
      <c r="D64" s="1614"/>
      <c r="E64" s="1614"/>
      <c r="F64" s="1615"/>
      <c r="G64" s="1616"/>
      <c r="H64" s="1803"/>
      <c r="I64" s="1610"/>
      <c r="J64" s="1611"/>
      <c r="K64" s="1612"/>
    </row>
    <row r="65" spans="1:11" ht="15.75" customHeight="1">
      <c r="A65" s="1604"/>
      <c r="B65" s="1605"/>
      <c r="C65" s="1614"/>
      <c r="D65" s="1614"/>
      <c r="E65" s="1614"/>
      <c r="F65" s="1615"/>
      <c r="G65" s="1616"/>
      <c r="H65" s="1803"/>
      <c r="I65" s="1610"/>
      <c r="J65" s="1611"/>
      <c r="K65" s="1612"/>
    </row>
    <row r="66" spans="1:11" ht="15.75" customHeight="1">
      <c r="A66" s="1604"/>
      <c r="B66" s="1605"/>
      <c r="C66" s="1614"/>
      <c r="D66" s="1614"/>
      <c r="E66" s="1614"/>
      <c r="F66" s="1615"/>
      <c r="G66" s="1616"/>
      <c r="H66" s="1803"/>
      <c r="I66" s="1610"/>
      <c r="J66" s="1611"/>
      <c r="K66" s="1612"/>
    </row>
    <row r="67" spans="1:11" ht="15.75" customHeight="1">
      <c r="A67" s="1604"/>
      <c r="B67" s="1605"/>
      <c r="C67" s="1614"/>
      <c r="D67" s="1614"/>
      <c r="E67" s="1614"/>
      <c r="F67" s="1615"/>
      <c r="G67" s="1616"/>
      <c r="H67" s="1803"/>
      <c r="I67" s="1610"/>
      <c r="J67" s="1611"/>
      <c r="K67" s="1612"/>
    </row>
    <row r="68" spans="1:11" ht="15.75" customHeight="1">
      <c r="A68" s="1604"/>
      <c r="B68" s="1605"/>
      <c r="C68" s="1614"/>
      <c r="D68" s="1614"/>
      <c r="E68" s="1614"/>
      <c r="F68" s="1615"/>
      <c r="G68" s="1616"/>
      <c r="H68" s="1803"/>
      <c r="I68" s="1610"/>
      <c r="J68" s="1611"/>
      <c r="K68" s="1612"/>
    </row>
    <row r="69" spans="1:11" ht="15.75" customHeight="1">
      <c r="A69" s="1604"/>
      <c r="B69" s="1605"/>
      <c r="C69" s="1614"/>
      <c r="D69" s="1614"/>
      <c r="E69" s="1614"/>
      <c r="F69" s="1615"/>
      <c r="G69" s="1616"/>
      <c r="H69" s="1803"/>
      <c r="I69" s="1610"/>
      <c r="J69" s="1611"/>
      <c r="K69" s="1612"/>
    </row>
    <row r="70" spans="1:11" ht="15.75" customHeight="1">
      <c r="A70" s="1604"/>
      <c r="B70" s="1605"/>
      <c r="C70" s="1614"/>
      <c r="D70" s="1614"/>
      <c r="E70" s="1614"/>
      <c r="F70" s="1615"/>
      <c r="G70" s="1616"/>
      <c r="H70" s="1803"/>
      <c r="I70" s="1610"/>
      <c r="J70" s="1611"/>
      <c r="K70" s="1606"/>
    </row>
    <row r="71" spans="1:11" ht="15.75" customHeight="1">
      <c r="A71" s="1604"/>
      <c r="B71" s="1605"/>
      <c r="C71" s="1614"/>
      <c r="D71" s="1614"/>
      <c r="E71" s="1614"/>
      <c r="F71" s="1615"/>
      <c r="G71" s="1616"/>
      <c r="H71" s="1803"/>
      <c r="I71" s="1610"/>
      <c r="J71" s="1611"/>
      <c r="K71" s="1612"/>
    </row>
    <row r="72" spans="1:11" ht="15.75" customHeight="1">
      <c r="A72" s="1604"/>
      <c r="B72" s="1605"/>
      <c r="C72" s="1614"/>
      <c r="D72" s="1614"/>
      <c r="E72" s="1614"/>
      <c r="F72" s="1615"/>
      <c r="G72" s="1615"/>
      <c r="H72" s="1803"/>
      <c r="I72" s="1610"/>
      <c r="J72" s="1611"/>
      <c r="K72" s="1612"/>
    </row>
    <row r="73" spans="1:11" ht="15.75" customHeight="1">
      <c r="A73" s="1604"/>
      <c r="B73" s="1605"/>
      <c r="C73" s="1614"/>
      <c r="D73" s="1614"/>
      <c r="E73" s="1614"/>
      <c r="F73" s="1615"/>
      <c r="G73" s="1615"/>
      <c r="H73" s="1803"/>
      <c r="I73" s="1610"/>
      <c r="J73" s="1611"/>
      <c r="K73" s="1606"/>
    </row>
    <row r="74" spans="1:11" ht="15.75" customHeight="1">
      <c r="A74" s="1604"/>
      <c r="B74" s="1605"/>
      <c r="C74" s="1614"/>
      <c r="D74" s="1614"/>
      <c r="E74" s="1614"/>
      <c r="F74" s="1615"/>
      <c r="G74" s="1615"/>
      <c r="H74" s="1803"/>
      <c r="I74" s="1610"/>
      <c r="J74" s="1611"/>
      <c r="K74" s="1606"/>
    </row>
    <row r="75" spans="1:11" ht="15.75" customHeight="1">
      <c r="A75" s="1604"/>
      <c r="B75" s="1605"/>
      <c r="C75" s="1614"/>
      <c r="D75" s="1614"/>
      <c r="E75" s="1614"/>
      <c r="F75" s="1615"/>
      <c r="G75" s="1616"/>
      <c r="H75" s="1803"/>
      <c r="I75" s="1610"/>
      <c r="J75" s="1611"/>
      <c r="K75" s="1612"/>
    </row>
    <row r="76" spans="1:11" ht="15.75" customHeight="1">
      <c r="A76" s="1604"/>
      <c r="B76" s="1605"/>
      <c r="C76" s="1614"/>
      <c r="D76" s="1614"/>
      <c r="E76" s="1614"/>
      <c r="F76" s="1615"/>
      <c r="G76" s="1616"/>
      <c r="H76" s="1803"/>
      <c r="I76" s="1610"/>
      <c r="J76" s="1611"/>
      <c r="K76" s="1612"/>
    </row>
    <row r="77" spans="1:11" ht="15.75" customHeight="1">
      <c r="A77" s="1604"/>
      <c r="B77" s="1605"/>
      <c r="C77" s="1614"/>
      <c r="D77" s="1614"/>
      <c r="E77" s="1614"/>
      <c r="F77" s="1615"/>
      <c r="G77" s="1616"/>
      <c r="H77" s="1803"/>
      <c r="I77" s="1610"/>
      <c r="J77" s="1611"/>
      <c r="K77" s="1612"/>
    </row>
    <row r="78" spans="1:11" ht="15.75">
      <c r="A78" s="1604"/>
      <c r="B78" s="1605"/>
      <c r="C78" s="1614"/>
      <c r="D78" s="1614"/>
      <c r="E78" s="1614"/>
      <c r="F78" s="1615"/>
      <c r="G78" s="1616"/>
      <c r="H78" s="1803"/>
      <c r="I78" s="1610"/>
      <c r="J78" s="1611"/>
      <c r="K78" s="1612"/>
    </row>
    <row r="79" spans="1:11" ht="15.75">
      <c r="A79" s="1604"/>
      <c r="B79" s="1605"/>
      <c r="C79" s="1614"/>
      <c r="D79" s="1614"/>
      <c r="E79" s="1614"/>
      <c r="F79" s="1615"/>
      <c r="G79" s="1616"/>
      <c r="H79" s="1803"/>
      <c r="I79" s="1610"/>
      <c r="J79" s="1611"/>
      <c r="K79" s="1612"/>
    </row>
    <row r="80" spans="1:11" ht="15.75">
      <c r="A80" s="1604"/>
      <c r="B80" s="1605"/>
      <c r="C80" s="1606"/>
      <c r="D80" s="1606"/>
      <c r="E80" s="1606"/>
      <c r="F80" s="1615"/>
      <c r="G80" s="1608"/>
      <c r="H80" s="1609"/>
      <c r="I80" s="1610"/>
      <c r="J80" s="1611"/>
      <c r="K80" s="1612"/>
    </row>
    <row r="81" spans="1:11" ht="15.75">
      <c r="A81" s="1604"/>
      <c r="B81" s="1618"/>
      <c r="C81" s="1606"/>
      <c r="D81" s="1606"/>
      <c r="E81" s="1606"/>
      <c r="F81" s="1615"/>
      <c r="G81" s="1616"/>
      <c r="H81" s="1803"/>
      <c r="I81" s="1610"/>
      <c r="J81" s="1611"/>
      <c r="K81" s="1612"/>
    </row>
    <row r="82" spans="1:11" ht="15.75">
      <c r="A82" s="1604"/>
      <c r="B82" s="1605"/>
      <c r="C82" s="1614"/>
      <c r="D82" s="1614"/>
      <c r="E82" s="1614"/>
      <c r="F82" s="1615"/>
      <c r="G82" s="1616"/>
      <c r="H82" s="1803"/>
      <c r="I82" s="1610"/>
      <c r="J82" s="1611"/>
      <c r="K82" s="1612"/>
    </row>
    <row r="83" spans="1:11" ht="15.75">
      <c r="A83" s="1604"/>
      <c r="B83" s="1605"/>
      <c r="C83" s="1614"/>
      <c r="D83" s="1614"/>
      <c r="E83" s="1614"/>
      <c r="F83" s="1615"/>
      <c r="G83" s="1616"/>
      <c r="H83" s="1803"/>
      <c r="I83" s="1610"/>
      <c r="J83" s="1611"/>
      <c r="K83" s="1612"/>
    </row>
    <row r="84" spans="1:11" ht="15.75">
      <c r="A84" s="1604"/>
      <c r="B84" s="1605"/>
      <c r="C84" s="1614"/>
      <c r="D84" s="1614"/>
      <c r="E84" s="1614"/>
      <c r="F84" s="1615"/>
      <c r="G84" s="1616"/>
      <c r="H84" s="1803"/>
      <c r="I84" s="1610"/>
      <c r="J84" s="1611"/>
      <c r="K84" s="1612"/>
    </row>
    <row r="85" spans="1:11" ht="15.75">
      <c r="A85" s="1604"/>
      <c r="B85" s="1605"/>
      <c r="C85" s="1614"/>
      <c r="D85" s="1614"/>
      <c r="E85" s="1614"/>
      <c r="F85" s="1615"/>
      <c r="G85" s="1616"/>
      <c r="H85" s="1803"/>
      <c r="I85" s="1610"/>
      <c r="J85" s="1611"/>
      <c r="K85" s="1612"/>
    </row>
    <row r="86" spans="1:11" ht="15.75">
      <c r="A86" s="1604"/>
      <c r="B86" s="1605"/>
      <c r="C86" s="1614"/>
      <c r="D86" s="1614"/>
      <c r="E86" s="1614"/>
      <c r="F86" s="1615"/>
      <c r="G86" s="1616"/>
      <c r="H86" s="1803"/>
      <c r="I86" s="1610"/>
      <c r="J86" s="1611"/>
      <c r="K86" s="1612"/>
    </row>
    <row r="87" spans="1:11" ht="15.75">
      <c r="A87" s="1604"/>
      <c r="B87" s="1605"/>
      <c r="C87" s="1614"/>
      <c r="D87" s="1614"/>
      <c r="E87" s="1614"/>
      <c r="F87" s="1615"/>
      <c r="G87" s="1616"/>
      <c r="H87" s="1803"/>
      <c r="I87" s="1610"/>
      <c r="J87" s="1611"/>
      <c r="K87" s="1612"/>
    </row>
    <row r="88" spans="1:11" ht="15.75">
      <c r="A88" s="1604"/>
      <c r="B88" s="1605"/>
      <c r="C88" s="1614"/>
      <c r="D88" s="1614"/>
      <c r="E88" s="1614"/>
      <c r="F88" s="1615"/>
      <c r="G88" s="1616"/>
      <c r="H88" s="1803"/>
      <c r="I88" s="1610"/>
      <c r="J88" s="1611"/>
      <c r="K88" s="1612"/>
    </row>
    <row r="89" spans="1:11" ht="15.75">
      <c r="A89" s="1604"/>
      <c r="B89" s="1605"/>
      <c r="C89" s="1614"/>
      <c r="D89" s="1614"/>
      <c r="E89" s="1614"/>
      <c r="F89" s="1615"/>
      <c r="G89" s="1616"/>
      <c r="H89" s="1803"/>
      <c r="I89" s="1610"/>
      <c r="J89" s="1611"/>
      <c r="K89" s="1612"/>
    </row>
    <row r="90" spans="1:11" ht="15.75">
      <c r="A90" s="1604"/>
      <c r="B90" s="1605"/>
      <c r="C90" s="1614"/>
      <c r="D90" s="1614"/>
      <c r="E90" s="1614"/>
      <c r="F90" s="1615"/>
      <c r="G90" s="1616"/>
      <c r="H90" s="1803"/>
      <c r="I90" s="1610"/>
      <c r="J90" s="1611"/>
      <c r="K90" s="1612"/>
    </row>
    <row r="91" spans="1:11" ht="15.75">
      <c r="A91" s="1604"/>
      <c r="B91" s="1605"/>
      <c r="C91" s="1614"/>
      <c r="D91" s="1614"/>
      <c r="E91" s="1614"/>
      <c r="F91" s="1615"/>
      <c r="G91" s="1616"/>
      <c r="H91" s="1803"/>
      <c r="I91" s="1610"/>
      <c r="J91" s="1611"/>
      <c r="K91" s="1612"/>
    </row>
    <row r="92" spans="1:11" ht="15.75">
      <c r="A92" s="1604"/>
      <c r="B92" s="1605"/>
      <c r="C92" s="1614"/>
      <c r="D92" s="1614"/>
      <c r="E92" s="1614"/>
      <c r="F92" s="1615"/>
      <c r="G92" s="1616"/>
      <c r="H92" s="1803"/>
      <c r="I92" s="1610"/>
      <c r="J92" s="1611"/>
      <c r="K92" s="1612"/>
    </row>
    <row r="93" spans="1:11" ht="15.75">
      <c r="A93" s="1604"/>
      <c r="B93" s="1605"/>
      <c r="C93" s="1614"/>
      <c r="D93" s="1614"/>
      <c r="E93" s="1614"/>
      <c r="F93" s="1615"/>
      <c r="G93" s="1616"/>
      <c r="H93" s="1803"/>
      <c r="I93" s="1610"/>
      <c r="J93" s="1611"/>
      <c r="K93" s="1612"/>
    </row>
    <row r="94" spans="1:11" ht="15.75">
      <c r="A94" s="1604"/>
      <c r="B94" s="1605"/>
      <c r="C94" s="1614"/>
      <c r="D94" s="1614"/>
      <c r="E94" s="1614"/>
      <c r="F94" s="1615"/>
      <c r="G94" s="1616"/>
      <c r="H94" s="1803"/>
      <c r="I94" s="1610"/>
      <c r="J94" s="1611"/>
      <c r="K94" s="1612"/>
    </row>
    <row r="95" spans="1:11">
      <c r="A95" s="1604"/>
      <c r="B95" s="1605"/>
      <c r="C95" s="1614"/>
      <c r="D95" s="1614"/>
      <c r="E95" s="1614"/>
      <c r="F95" s="1615"/>
      <c r="G95" s="1615"/>
      <c r="H95" s="1803"/>
      <c r="I95" s="1610"/>
      <c r="J95" s="1611"/>
      <c r="K95" s="1606"/>
    </row>
    <row r="96" spans="1:11">
      <c r="A96" s="1604"/>
      <c r="B96" s="1605"/>
      <c r="C96" s="1614"/>
      <c r="D96" s="1614"/>
      <c r="E96" s="1614"/>
      <c r="F96" s="1615"/>
      <c r="G96" s="1615"/>
      <c r="H96" s="1803"/>
      <c r="I96" s="1610"/>
      <c r="J96" s="1611"/>
      <c r="K96" s="1606"/>
    </row>
    <row r="97" spans="1:11">
      <c r="A97" s="1604"/>
      <c r="B97" s="1605"/>
      <c r="C97" s="1614"/>
      <c r="D97" s="1614"/>
      <c r="E97" s="1614"/>
      <c r="F97" s="1615"/>
      <c r="G97" s="1615"/>
      <c r="H97" s="1803"/>
      <c r="I97" s="1610"/>
      <c r="J97" s="1611"/>
      <c r="K97" s="1606"/>
    </row>
    <row r="98" spans="1:11" ht="15.75">
      <c r="A98" s="1604"/>
      <c r="B98" s="1605"/>
      <c r="C98" s="1614"/>
      <c r="D98" s="1614"/>
      <c r="E98" s="1614"/>
      <c r="F98" s="1615"/>
      <c r="G98" s="1616"/>
      <c r="H98" s="1803"/>
      <c r="I98" s="1610"/>
      <c r="J98" s="1611"/>
      <c r="K98" s="1612"/>
    </row>
    <row r="99" spans="1:11">
      <c r="A99" s="1604"/>
      <c r="B99" s="1605"/>
      <c r="C99" s="1614"/>
      <c r="D99" s="1614"/>
      <c r="E99" s="1614"/>
      <c r="F99" s="1615"/>
      <c r="G99" s="1615"/>
      <c r="H99" s="1803"/>
      <c r="I99" s="1610"/>
      <c r="J99" s="1611"/>
      <c r="K99" s="1606"/>
    </row>
    <row r="100" spans="1:11">
      <c r="A100" s="1604"/>
      <c r="B100" s="1605"/>
      <c r="C100" s="1614"/>
      <c r="D100" s="1614"/>
      <c r="E100" s="1614"/>
      <c r="F100" s="1615"/>
      <c r="G100" s="1615"/>
      <c r="H100" s="1803"/>
      <c r="I100" s="1610"/>
      <c r="J100" s="1611"/>
      <c r="K100" s="1606"/>
    </row>
    <row r="101" spans="1:11">
      <c r="A101" s="1604"/>
      <c r="B101" s="1605"/>
      <c r="C101" s="1614"/>
      <c r="D101" s="1614"/>
      <c r="E101" s="1614"/>
      <c r="F101" s="1615"/>
      <c r="G101" s="1615"/>
      <c r="H101" s="1803"/>
      <c r="I101" s="1610"/>
      <c r="J101" s="1611"/>
      <c r="K101" s="1606"/>
    </row>
    <row r="102" spans="1:11" ht="15.75">
      <c r="A102" s="1604"/>
      <c r="B102" s="1605"/>
      <c r="C102" s="1614"/>
      <c r="D102" s="1614"/>
      <c r="E102" s="1614"/>
      <c r="F102" s="1615"/>
      <c r="G102" s="1616"/>
      <c r="H102" s="1803"/>
      <c r="I102" s="1610"/>
      <c r="J102" s="1611"/>
      <c r="K102" s="1612"/>
    </row>
    <row r="103" spans="1:11" ht="15.75">
      <c r="A103" s="1604"/>
      <c r="B103" s="1605"/>
      <c r="C103" s="1614"/>
      <c r="D103" s="1614"/>
      <c r="E103" s="1614"/>
      <c r="F103" s="1615"/>
      <c r="G103" s="1616"/>
      <c r="H103" s="1803"/>
      <c r="I103" s="1610"/>
      <c r="J103" s="1611"/>
      <c r="K103" s="1612"/>
    </row>
    <row r="104" spans="1:11">
      <c r="A104" s="1604"/>
      <c r="B104" s="1605"/>
      <c r="C104" s="1614"/>
      <c r="D104" s="1614"/>
      <c r="E104" s="1614"/>
      <c r="F104" s="1615"/>
      <c r="G104" s="1615"/>
      <c r="H104" s="1803"/>
      <c r="I104" s="1610"/>
      <c r="J104" s="1611"/>
      <c r="K104" s="1606"/>
    </row>
    <row r="105" spans="1:11">
      <c r="A105" s="1604"/>
      <c r="B105" s="1605"/>
      <c r="C105" s="1614"/>
      <c r="D105" s="1614"/>
      <c r="E105" s="1614"/>
      <c r="F105" s="1615"/>
      <c r="G105" s="1615"/>
      <c r="H105" s="1803"/>
      <c r="I105" s="1610"/>
      <c r="J105" s="1611"/>
      <c r="K105" s="1606"/>
    </row>
    <row r="106" spans="1:11">
      <c r="A106" s="1604"/>
      <c r="B106" s="1605"/>
      <c r="C106" s="1614"/>
      <c r="D106" s="1614"/>
      <c r="E106" s="1614"/>
      <c r="F106" s="1615"/>
      <c r="G106" s="1615"/>
      <c r="H106" s="1803"/>
      <c r="I106" s="1610"/>
      <c r="J106" s="1611"/>
      <c r="K106" s="1606"/>
    </row>
    <row r="107" spans="1:11">
      <c r="A107" s="1604"/>
      <c r="B107" s="1605"/>
      <c r="C107" s="1614"/>
      <c r="D107" s="1614"/>
      <c r="E107" s="1614"/>
      <c r="F107" s="1615"/>
      <c r="G107" s="1615"/>
      <c r="H107" s="1803"/>
      <c r="I107" s="1610"/>
      <c r="J107" s="1611"/>
      <c r="K107" s="1606"/>
    </row>
    <row r="108" spans="1:11">
      <c r="A108" s="1604"/>
      <c r="B108" s="1605"/>
      <c r="C108" s="1614"/>
      <c r="D108" s="1614"/>
      <c r="E108" s="1614"/>
      <c r="F108" s="1615"/>
      <c r="G108" s="1615"/>
      <c r="H108" s="1803"/>
      <c r="I108" s="1610"/>
      <c r="J108" s="1611"/>
      <c r="K108" s="1606"/>
    </row>
    <row r="109" spans="1:11">
      <c r="A109" s="1604"/>
      <c r="B109" s="1605"/>
      <c r="C109" s="1614"/>
      <c r="D109" s="1614"/>
      <c r="E109" s="1614"/>
      <c r="F109" s="1615"/>
      <c r="G109" s="1615"/>
      <c r="H109" s="1803"/>
      <c r="I109" s="1610"/>
      <c r="J109" s="1611"/>
      <c r="K109" s="1606"/>
    </row>
    <row r="110" spans="1:11" ht="15.75">
      <c r="A110" s="1604"/>
      <c r="B110" s="1605"/>
      <c r="C110" s="1614"/>
      <c r="D110" s="1614"/>
      <c r="E110" s="1614"/>
      <c r="F110" s="1615"/>
      <c r="G110" s="1616"/>
      <c r="H110" s="1803"/>
      <c r="I110" s="1610"/>
      <c r="J110" s="1611"/>
      <c r="K110" s="1612"/>
    </row>
    <row r="111" spans="1:11">
      <c r="A111" s="1604"/>
      <c r="B111" s="1605"/>
      <c r="C111" s="1614"/>
      <c r="D111" s="1614"/>
      <c r="E111" s="1614"/>
      <c r="F111" s="1615"/>
      <c r="G111" s="1615"/>
      <c r="H111" s="1803"/>
      <c r="I111" s="1610"/>
      <c r="J111" s="1611"/>
      <c r="K111" s="1606"/>
    </row>
    <row r="112" spans="1:11">
      <c r="A112" s="1604"/>
      <c r="B112" s="1605"/>
      <c r="C112" s="1614"/>
      <c r="D112" s="1614"/>
      <c r="E112" s="1614"/>
      <c r="F112" s="1615"/>
      <c r="G112" s="1615"/>
      <c r="H112" s="1803"/>
      <c r="I112" s="1610"/>
      <c r="J112" s="1611"/>
      <c r="K112" s="1606"/>
    </row>
    <row r="113" spans="1:11">
      <c r="A113" s="1604"/>
      <c r="B113" s="1605"/>
      <c r="C113" s="1614"/>
      <c r="D113" s="1614"/>
      <c r="E113" s="1614"/>
      <c r="F113" s="1615"/>
      <c r="G113" s="1615"/>
      <c r="H113" s="1803"/>
      <c r="I113" s="1610"/>
      <c r="J113" s="1611"/>
      <c r="K113" s="1606"/>
    </row>
    <row r="114" spans="1:11" ht="15.75">
      <c r="A114" s="1604"/>
      <c r="B114" s="1605"/>
      <c r="C114" s="1614"/>
      <c r="D114" s="1614"/>
      <c r="E114" s="1614"/>
      <c r="F114" s="1615"/>
      <c r="G114" s="1615"/>
      <c r="H114" s="1803"/>
      <c r="I114" s="1610"/>
      <c r="J114" s="1611"/>
      <c r="K114" s="1612"/>
    </row>
    <row r="115" spans="1:11">
      <c r="A115" s="1604"/>
      <c r="B115" s="1605"/>
      <c r="C115" s="1614"/>
      <c r="D115" s="1614"/>
      <c r="E115" s="1614"/>
      <c r="F115" s="1615"/>
      <c r="G115" s="1615"/>
      <c r="H115" s="1803"/>
      <c r="I115" s="1610"/>
      <c r="J115" s="1611"/>
      <c r="K115" s="1606"/>
    </row>
    <row r="116" spans="1:11">
      <c r="A116" s="1604"/>
      <c r="B116" s="1605"/>
      <c r="C116" s="1614"/>
      <c r="D116" s="1614"/>
      <c r="E116" s="1614"/>
      <c r="F116" s="1615"/>
      <c r="G116" s="1615"/>
      <c r="H116" s="1803"/>
      <c r="I116" s="1610"/>
      <c r="J116" s="1611"/>
      <c r="K116" s="1606"/>
    </row>
    <row r="117" spans="1:11">
      <c r="A117" s="1604"/>
      <c r="B117" s="1605"/>
      <c r="C117" s="1614"/>
      <c r="D117" s="1614"/>
      <c r="E117" s="1614"/>
      <c r="F117" s="1615"/>
      <c r="G117" s="1615"/>
      <c r="H117" s="1803"/>
      <c r="I117" s="1610"/>
      <c r="J117" s="1611"/>
      <c r="K117" s="1606"/>
    </row>
    <row r="118" spans="1:11">
      <c r="A118" s="1604"/>
      <c r="B118" s="1605"/>
      <c r="C118" s="1614"/>
      <c r="D118" s="1614"/>
      <c r="E118" s="1614"/>
      <c r="F118" s="1615"/>
      <c r="G118" s="1615"/>
      <c r="H118" s="1803"/>
      <c r="I118" s="1610"/>
      <c r="J118" s="1611"/>
      <c r="K118" s="1606"/>
    </row>
    <row r="119" spans="1:11">
      <c r="A119" s="1604"/>
      <c r="B119" s="1605"/>
      <c r="C119" s="1614"/>
      <c r="D119" s="1614"/>
      <c r="E119" s="1614"/>
      <c r="F119" s="1615"/>
      <c r="G119" s="1616"/>
      <c r="H119" s="1803"/>
      <c r="I119" s="1610"/>
      <c r="J119" s="1611"/>
      <c r="K119" s="1606"/>
    </row>
    <row r="120" spans="1:11" ht="15.75">
      <c r="A120" s="1604"/>
      <c r="B120" s="1605"/>
      <c r="C120" s="1606"/>
      <c r="D120" s="1614"/>
      <c r="E120" s="1614"/>
      <c r="F120" s="1615"/>
      <c r="G120" s="1616"/>
      <c r="H120" s="1803"/>
      <c r="I120" s="1610"/>
      <c r="J120" s="1611"/>
      <c r="K120" s="1612"/>
    </row>
    <row r="121" spans="1:11" ht="15.75">
      <c r="A121" s="1604"/>
      <c r="B121" s="1605"/>
      <c r="C121" s="1614"/>
      <c r="D121" s="1614"/>
      <c r="E121" s="1614"/>
      <c r="F121" s="1615"/>
      <c r="G121" s="1616"/>
      <c r="H121" s="1803"/>
      <c r="I121" s="1610"/>
      <c r="J121" s="1611"/>
      <c r="K121" s="1612"/>
    </row>
    <row r="122" spans="1:11" ht="15.75">
      <c r="A122" s="1604"/>
      <c r="B122" s="1605"/>
      <c r="C122" s="1614"/>
      <c r="D122" s="1614"/>
      <c r="E122" s="1614"/>
      <c r="F122" s="1615"/>
      <c r="G122" s="1616"/>
      <c r="H122" s="1803"/>
      <c r="I122" s="1610"/>
      <c r="J122" s="1611"/>
      <c r="K122" s="1612"/>
    </row>
    <row r="123" spans="1:11" ht="15.75">
      <c r="A123" s="1604"/>
      <c r="B123" s="1605"/>
      <c r="C123" s="1614"/>
      <c r="D123" s="1614"/>
      <c r="E123" s="1614"/>
      <c r="F123" s="1615"/>
      <c r="G123" s="1616"/>
      <c r="H123" s="1803"/>
      <c r="I123" s="1610"/>
      <c r="J123" s="1611"/>
      <c r="K123" s="1612"/>
    </row>
    <row r="124" spans="1:11" ht="15.75">
      <c r="A124" s="1604"/>
      <c r="B124" s="1605"/>
      <c r="C124" s="1614"/>
      <c r="D124" s="1614"/>
      <c r="E124" s="1614"/>
      <c r="F124" s="1615"/>
      <c r="G124" s="1616"/>
      <c r="H124" s="1803"/>
      <c r="I124" s="1610"/>
      <c r="J124" s="1611"/>
      <c r="K124" s="1612"/>
    </row>
    <row r="125" spans="1:11">
      <c r="A125" s="1604"/>
      <c r="B125" s="1605"/>
      <c r="C125" s="1614"/>
      <c r="D125" s="1614"/>
      <c r="E125" s="1614"/>
      <c r="F125" s="1615"/>
      <c r="G125" s="1615"/>
      <c r="H125" s="1803"/>
      <c r="I125" s="1610"/>
      <c r="J125" s="1611"/>
      <c r="K125" s="1606"/>
    </row>
    <row r="126" spans="1:11">
      <c r="A126" s="1604"/>
      <c r="B126" s="1605"/>
      <c r="C126" s="1614"/>
      <c r="D126" s="1614"/>
      <c r="E126" s="1614"/>
      <c r="F126" s="1615"/>
      <c r="G126" s="1615"/>
      <c r="H126" s="1803"/>
      <c r="I126" s="1610"/>
      <c r="J126" s="1611"/>
      <c r="K126" s="1606"/>
    </row>
    <row r="127" spans="1:11" ht="15.75">
      <c r="A127" s="1604"/>
      <c r="B127" s="1605"/>
      <c r="C127" s="1614"/>
      <c r="D127" s="1614"/>
      <c r="E127" s="1614"/>
      <c r="F127" s="1615"/>
      <c r="G127" s="1616"/>
      <c r="H127" s="1803"/>
      <c r="I127" s="1610"/>
      <c r="J127" s="1611"/>
      <c r="K127" s="1612"/>
    </row>
    <row r="128" spans="1:11" ht="15.75">
      <c r="A128" s="1604"/>
      <c r="B128" s="1605"/>
      <c r="C128" s="1614"/>
      <c r="D128" s="1614"/>
      <c r="E128" s="1614"/>
      <c r="F128" s="1615"/>
      <c r="G128" s="1616"/>
      <c r="H128" s="1803"/>
      <c r="I128" s="1610"/>
      <c r="J128" s="1611"/>
      <c r="K128" s="1612"/>
    </row>
    <row r="129" spans="1:11" ht="15.75">
      <c r="A129" s="1604"/>
      <c r="B129" s="1605"/>
      <c r="C129" s="1614"/>
      <c r="D129" s="1614"/>
      <c r="E129" s="1614"/>
      <c r="F129" s="1615"/>
      <c r="G129" s="1616"/>
      <c r="H129" s="1803"/>
      <c r="I129" s="1610"/>
      <c r="J129" s="1611"/>
      <c r="K129" s="1612"/>
    </row>
    <row r="130" spans="1:11">
      <c r="A130" s="1604"/>
      <c r="B130" s="1605"/>
      <c r="C130" s="1614"/>
      <c r="D130" s="1614"/>
      <c r="E130" s="1614"/>
      <c r="F130" s="1615"/>
      <c r="G130" s="1616"/>
      <c r="H130" s="1803"/>
      <c r="I130" s="1610"/>
      <c r="J130" s="1611"/>
      <c r="K130" s="1606"/>
    </row>
    <row r="131" spans="1:11">
      <c r="A131" s="1604"/>
      <c r="B131" s="1605"/>
      <c r="C131" s="1614"/>
      <c r="D131" s="1614"/>
      <c r="E131" s="1614"/>
      <c r="F131" s="1615"/>
      <c r="G131" s="1616"/>
      <c r="H131" s="1803"/>
      <c r="I131" s="1610"/>
      <c r="J131" s="1611"/>
      <c r="K131" s="1606"/>
    </row>
    <row r="132" spans="1:11">
      <c r="A132" s="1604"/>
      <c r="B132" s="1605"/>
      <c r="C132" s="1614"/>
      <c r="D132" s="1614"/>
      <c r="E132" s="1614"/>
      <c r="F132" s="1615"/>
      <c r="G132" s="1615"/>
      <c r="H132" s="1803"/>
      <c r="I132" s="1610"/>
      <c r="J132" s="1611"/>
      <c r="K132" s="1606"/>
    </row>
    <row r="133" spans="1:11">
      <c r="A133" s="1604"/>
      <c r="B133" s="1605"/>
      <c r="C133" s="1614"/>
      <c r="D133" s="1614"/>
      <c r="E133" s="1614"/>
      <c r="F133" s="1615"/>
      <c r="G133" s="1615"/>
      <c r="H133" s="1803"/>
      <c r="I133" s="1610"/>
      <c r="J133" s="1611"/>
      <c r="K133" s="1606"/>
    </row>
    <row r="134" spans="1:11">
      <c r="A134" s="1604"/>
      <c r="B134" s="1605"/>
      <c r="C134" s="1614"/>
      <c r="D134" s="1614"/>
      <c r="E134" s="1614"/>
      <c r="F134" s="1615"/>
      <c r="G134" s="1615"/>
      <c r="H134" s="1803"/>
      <c r="I134" s="1610"/>
      <c r="J134" s="1611"/>
      <c r="K134" s="1606"/>
    </row>
    <row r="135" spans="1:11">
      <c r="A135" s="1604"/>
      <c r="B135" s="1605"/>
      <c r="C135" s="1614"/>
      <c r="D135" s="1614"/>
      <c r="E135" s="1614"/>
      <c r="F135" s="1615"/>
      <c r="G135" s="1615"/>
      <c r="H135" s="1803"/>
      <c r="I135" s="1610"/>
      <c r="J135" s="1611"/>
      <c r="K135" s="1606"/>
    </row>
    <row r="136" spans="1:11" ht="15.75">
      <c r="A136" s="1604"/>
      <c r="B136" s="1605"/>
      <c r="C136" s="1614"/>
      <c r="D136" s="1614"/>
      <c r="E136" s="1614"/>
      <c r="F136" s="1615"/>
      <c r="G136" s="1616"/>
      <c r="H136" s="1803"/>
      <c r="I136" s="1610"/>
      <c r="J136" s="1611"/>
      <c r="K136" s="1612"/>
    </row>
    <row r="137" spans="1:11" ht="15.75">
      <c r="A137" s="1604"/>
      <c r="B137" s="1605"/>
      <c r="C137" s="1614"/>
      <c r="D137" s="1614"/>
      <c r="E137" s="1614"/>
      <c r="F137" s="1615"/>
      <c r="G137" s="1615"/>
      <c r="H137" s="1803"/>
      <c r="I137" s="1610"/>
      <c r="J137" s="1611"/>
      <c r="K137" s="1612"/>
    </row>
    <row r="138" spans="1:11">
      <c r="A138" s="1604"/>
      <c r="B138" s="1605"/>
      <c r="C138" s="1614"/>
      <c r="D138" s="1614"/>
      <c r="E138" s="1614"/>
      <c r="F138" s="1615"/>
      <c r="G138" s="1615"/>
      <c r="H138" s="1803"/>
      <c r="I138" s="1610"/>
      <c r="J138" s="1611"/>
      <c r="K138" s="1606"/>
    </row>
    <row r="139" spans="1:11">
      <c r="A139" s="1604"/>
      <c r="B139" s="1605"/>
      <c r="C139" s="1614"/>
      <c r="D139" s="1614"/>
      <c r="E139" s="1614"/>
      <c r="F139" s="1615"/>
      <c r="G139" s="1616"/>
      <c r="H139" s="1803"/>
      <c r="I139" s="1610"/>
      <c r="J139" s="1611"/>
      <c r="K139" s="1606"/>
    </row>
    <row r="140" spans="1:11" ht="15.75">
      <c r="A140" s="1604"/>
      <c r="B140" s="1605"/>
      <c r="C140" s="1614"/>
      <c r="D140" s="1614"/>
      <c r="E140" s="1614"/>
      <c r="F140" s="1615"/>
      <c r="G140" s="1616"/>
      <c r="H140" s="1803"/>
      <c r="I140" s="1610"/>
      <c r="J140" s="1611"/>
      <c r="K140" s="1612"/>
    </row>
    <row r="141" spans="1:11">
      <c r="A141" s="1604"/>
      <c r="B141" s="1605"/>
      <c r="C141" s="1614"/>
      <c r="D141" s="1614"/>
      <c r="E141" s="1614"/>
      <c r="F141" s="1615"/>
      <c r="G141" s="1616"/>
      <c r="H141" s="1803"/>
      <c r="I141" s="1610"/>
      <c r="J141" s="1611"/>
      <c r="K141" s="1606"/>
    </row>
    <row r="142" spans="1:11">
      <c r="A142" s="1604"/>
      <c r="B142" s="1605"/>
      <c r="C142" s="1614"/>
      <c r="D142" s="1614"/>
      <c r="E142" s="1614"/>
      <c r="F142" s="1615"/>
      <c r="G142" s="1615"/>
      <c r="H142" s="1803"/>
      <c r="I142" s="1610"/>
      <c r="J142" s="1611"/>
      <c r="K142" s="1606"/>
    </row>
    <row r="143" spans="1:11">
      <c r="A143" s="1604"/>
      <c r="B143" s="1605"/>
      <c r="C143" s="1614"/>
      <c r="D143" s="1614"/>
      <c r="E143" s="1614"/>
      <c r="F143" s="1615"/>
      <c r="G143" s="1615"/>
      <c r="H143" s="1803"/>
      <c r="I143" s="1610"/>
      <c r="J143" s="1611"/>
      <c r="K143" s="1606"/>
    </row>
    <row r="144" spans="1:11" ht="15.75">
      <c r="A144" s="1604"/>
      <c r="B144" s="1605"/>
      <c r="C144" s="1614"/>
      <c r="D144" s="1614"/>
      <c r="E144" s="1614"/>
      <c r="F144" s="1615"/>
      <c r="G144" s="1616"/>
      <c r="H144" s="1803"/>
      <c r="I144" s="1610"/>
      <c r="J144" s="1611"/>
      <c r="K144" s="1612"/>
    </row>
    <row r="145" spans="1:11" ht="15.75">
      <c r="A145" s="1604"/>
      <c r="B145" s="1605"/>
      <c r="C145" s="1614"/>
      <c r="D145" s="1614"/>
      <c r="E145" s="1614"/>
      <c r="F145" s="1615"/>
      <c r="G145" s="1616"/>
      <c r="H145" s="1803"/>
      <c r="I145" s="1610"/>
      <c r="J145" s="1611"/>
      <c r="K145" s="1612"/>
    </row>
    <row r="146" spans="1:11" ht="15.75">
      <c r="A146" s="1604"/>
      <c r="B146" s="1605"/>
      <c r="C146" s="1614"/>
      <c r="D146" s="1614"/>
      <c r="E146" s="1614"/>
      <c r="F146" s="1615"/>
      <c r="G146" s="1616"/>
      <c r="H146" s="1803"/>
      <c r="I146" s="1610"/>
      <c r="J146" s="1611"/>
      <c r="K146" s="1612"/>
    </row>
    <row r="147" spans="1:11" ht="15.75">
      <c r="A147" s="1604"/>
      <c r="B147" s="1605"/>
      <c r="C147" s="1614"/>
      <c r="D147" s="1614"/>
      <c r="E147" s="1614"/>
      <c r="F147" s="1615"/>
      <c r="G147" s="1616"/>
      <c r="H147" s="1803"/>
      <c r="I147" s="1610"/>
      <c r="J147" s="1611"/>
      <c r="K147" s="1612"/>
    </row>
    <row r="148" spans="1:11" ht="15.75">
      <c r="A148" s="1604"/>
      <c r="B148" s="1605"/>
      <c r="C148" s="1614"/>
      <c r="D148" s="1614"/>
      <c r="E148" s="1614"/>
      <c r="F148" s="1615"/>
      <c r="G148" s="1616"/>
      <c r="H148" s="1803"/>
      <c r="I148" s="1610"/>
      <c r="J148" s="1611"/>
      <c r="K148" s="1612"/>
    </row>
    <row r="149" spans="1:11">
      <c r="A149" s="1604"/>
      <c r="B149" s="1605"/>
      <c r="C149" s="1614"/>
      <c r="D149" s="1614"/>
      <c r="E149" s="1614"/>
      <c r="F149" s="1615"/>
      <c r="G149" s="1616"/>
      <c r="H149" s="1803"/>
      <c r="I149" s="1610"/>
      <c r="J149" s="1611"/>
      <c r="K149" s="1606"/>
    </row>
    <row r="150" spans="1:11">
      <c r="A150" s="1604"/>
      <c r="B150" s="1605"/>
      <c r="C150" s="1606"/>
      <c r="D150" s="1614"/>
      <c r="E150" s="1614"/>
      <c r="F150" s="1607"/>
      <c r="G150" s="1616"/>
      <c r="H150" s="1609"/>
      <c r="I150" s="1610"/>
      <c r="J150" s="1611"/>
      <c r="K150" s="1606"/>
    </row>
    <row r="151" spans="1:11">
      <c r="A151" s="1604"/>
      <c r="B151" s="1605"/>
      <c r="C151" s="1614"/>
      <c r="D151" s="1614"/>
      <c r="E151" s="1614"/>
      <c r="F151" s="1615"/>
      <c r="G151" s="1616"/>
      <c r="H151" s="1803"/>
      <c r="I151" s="1610"/>
      <c r="J151" s="1611"/>
      <c r="K151" s="1606"/>
    </row>
    <row r="152" spans="1:11">
      <c r="A152" s="1604"/>
      <c r="B152" s="1605"/>
      <c r="C152" s="1614"/>
      <c r="D152" s="1614"/>
      <c r="E152" s="1614"/>
      <c r="F152" s="1615"/>
      <c r="G152" s="1616"/>
      <c r="H152" s="1803"/>
      <c r="I152" s="1610"/>
      <c r="J152" s="1611"/>
      <c r="K152" s="1606"/>
    </row>
    <row r="153" spans="1:11">
      <c r="A153" s="1604"/>
      <c r="B153" s="1605"/>
      <c r="C153" s="1614"/>
      <c r="D153" s="1614"/>
      <c r="E153" s="1614"/>
      <c r="F153" s="1615"/>
      <c r="G153" s="1615"/>
      <c r="H153" s="1803"/>
      <c r="I153" s="1610"/>
      <c r="J153" s="1611"/>
      <c r="K153" s="1606"/>
    </row>
    <row r="154" spans="1:11">
      <c r="A154" s="1604"/>
      <c r="B154" s="1605"/>
      <c r="C154" s="1614"/>
      <c r="D154" s="1614"/>
      <c r="E154" s="1614"/>
      <c r="F154" s="1615"/>
      <c r="G154" s="1615"/>
      <c r="H154" s="1803"/>
      <c r="I154" s="1610"/>
      <c r="J154" s="1611"/>
      <c r="K154" s="1606"/>
    </row>
    <row r="155" spans="1:11" ht="15.75">
      <c r="A155" s="1604"/>
      <c r="B155" s="1605"/>
      <c r="C155" s="1614"/>
      <c r="D155" s="1614"/>
      <c r="E155" s="1614"/>
      <c r="F155" s="1615"/>
      <c r="G155" s="1616"/>
      <c r="H155" s="1803"/>
      <c r="I155" s="1610"/>
      <c r="J155" s="1611"/>
      <c r="K155" s="1612"/>
    </row>
    <row r="156" spans="1:11">
      <c r="A156" s="1604"/>
      <c r="B156" s="1605"/>
      <c r="C156" s="1614"/>
      <c r="D156" s="1614"/>
      <c r="E156" s="1614"/>
      <c r="F156" s="1615"/>
      <c r="G156" s="1616"/>
      <c r="H156" s="1803"/>
      <c r="I156" s="1610"/>
      <c r="J156" s="1611"/>
      <c r="K156" s="1606"/>
    </row>
    <row r="157" spans="1:11">
      <c r="A157" s="1604"/>
      <c r="B157" s="1605"/>
      <c r="C157" s="1614"/>
      <c r="D157" s="1614"/>
      <c r="E157" s="1614"/>
      <c r="F157" s="1615"/>
      <c r="G157" s="1615"/>
      <c r="H157" s="1803"/>
      <c r="I157" s="1610"/>
      <c r="J157" s="1611"/>
      <c r="K157" s="1606"/>
    </row>
    <row r="158" spans="1:11">
      <c r="A158" s="1604"/>
      <c r="B158" s="1605"/>
      <c r="C158" s="1614"/>
      <c r="D158" s="1614"/>
      <c r="E158" s="1614"/>
      <c r="F158" s="1615"/>
      <c r="G158" s="1615"/>
      <c r="H158" s="1803"/>
      <c r="I158" s="1610"/>
      <c r="J158" s="1611"/>
      <c r="K158" s="1606"/>
    </row>
    <row r="159" spans="1:11">
      <c r="A159" s="1604"/>
      <c r="B159" s="1605"/>
      <c r="C159" s="1614"/>
      <c r="D159" s="1614"/>
      <c r="E159" s="1614"/>
      <c r="F159" s="1615"/>
      <c r="G159" s="1616"/>
      <c r="H159" s="1803"/>
      <c r="I159" s="1610"/>
      <c r="J159" s="1611"/>
      <c r="K159" s="1606"/>
    </row>
    <row r="160" spans="1:11">
      <c r="A160" s="1604"/>
      <c r="B160" s="1605"/>
      <c r="C160" s="1614"/>
      <c r="D160" s="1614"/>
      <c r="E160" s="1614"/>
      <c r="F160" s="1615"/>
      <c r="G160" s="1616"/>
      <c r="H160" s="1803"/>
      <c r="I160" s="1610"/>
      <c r="J160" s="1611"/>
      <c r="K160" s="1606"/>
    </row>
    <row r="161" spans="1:11">
      <c r="A161" s="1604"/>
      <c r="B161" s="1605"/>
      <c r="C161" s="1614"/>
      <c r="D161" s="1614"/>
      <c r="E161" s="1614"/>
      <c r="F161" s="1615"/>
      <c r="G161" s="1616"/>
      <c r="H161" s="1803"/>
      <c r="I161" s="1610"/>
      <c r="J161" s="1611"/>
      <c r="K161" s="1606"/>
    </row>
    <row r="162" spans="1:11" ht="15.75">
      <c r="A162" s="1604"/>
      <c r="B162" s="1605"/>
      <c r="C162" s="1614"/>
      <c r="D162" s="1614"/>
      <c r="E162" s="1614"/>
      <c r="F162" s="1615"/>
      <c r="G162" s="1616"/>
      <c r="H162" s="1803"/>
      <c r="I162" s="1610"/>
      <c r="J162" s="1611"/>
      <c r="K162" s="1612"/>
    </row>
    <row r="163" spans="1:11">
      <c r="A163" s="1604"/>
      <c r="B163" s="1605"/>
      <c r="C163" s="1614"/>
      <c r="D163" s="1614"/>
      <c r="E163" s="1614"/>
      <c r="F163" s="1615"/>
      <c r="G163" s="1616"/>
      <c r="H163" s="1803"/>
      <c r="I163" s="1610"/>
      <c r="J163" s="1611"/>
      <c r="K163" s="1606"/>
    </row>
    <row r="164" spans="1:11">
      <c r="A164" s="1604"/>
      <c r="B164" s="1605"/>
      <c r="C164" s="169"/>
      <c r="D164" s="1614"/>
      <c r="E164" s="1614"/>
      <c r="F164" s="1615"/>
      <c r="G164" s="1616"/>
      <c r="H164" s="1803"/>
      <c r="I164" s="1610"/>
      <c r="J164" s="1611"/>
      <c r="K164" s="1606"/>
    </row>
    <row r="165" spans="1:11">
      <c r="A165" s="1604"/>
      <c r="B165" s="1605"/>
      <c r="C165" s="1614"/>
      <c r="D165" s="1614"/>
      <c r="E165" s="1614"/>
      <c r="F165" s="1615"/>
      <c r="G165" s="1616"/>
      <c r="H165" s="1803"/>
      <c r="I165" s="1610"/>
      <c r="J165" s="1611"/>
      <c r="K165" s="1606"/>
    </row>
    <row r="166" spans="1:11">
      <c r="A166" s="1604"/>
      <c r="B166" s="1605"/>
      <c r="C166" s="1614"/>
      <c r="D166" s="1614"/>
      <c r="E166" s="1614"/>
      <c r="F166" s="1615"/>
      <c r="G166" s="1616"/>
      <c r="H166" s="1803"/>
      <c r="I166" s="1610"/>
      <c r="J166" s="1611"/>
      <c r="K166" s="1606"/>
    </row>
    <row r="167" spans="1:11">
      <c r="A167" s="1604"/>
      <c r="B167" s="1605"/>
      <c r="C167" s="1614"/>
      <c r="D167" s="1614"/>
      <c r="E167" s="1614"/>
      <c r="F167" s="1615"/>
      <c r="G167" s="1616"/>
      <c r="H167" s="1803"/>
      <c r="I167" s="1610"/>
      <c r="J167" s="1611"/>
      <c r="K167" s="1606"/>
    </row>
    <row r="168" spans="1:11">
      <c r="A168" s="1604"/>
      <c r="B168" s="1605"/>
      <c r="C168" s="1614"/>
      <c r="D168" s="1614"/>
      <c r="E168" s="1614"/>
      <c r="F168" s="1615"/>
      <c r="G168" s="1616"/>
      <c r="H168" s="1803"/>
      <c r="I168" s="1610"/>
      <c r="J168" s="1611"/>
      <c r="K168" s="1606"/>
    </row>
    <row r="169" spans="1:11">
      <c r="A169" s="1604"/>
      <c r="B169" s="1605"/>
      <c r="C169" s="1614"/>
      <c r="D169" s="1614"/>
      <c r="E169" s="1614"/>
      <c r="F169" s="1615"/>
      <c r="G169" s="1616"/>
      <c r="H169" s="1803"/>
      <c r="I169" s="1610"/>
      <c r="J169" s="1611"/>
      <c r="K169" s="1606"/>
    </row>
    <row r="170" spans="1:11">
      <c r="A170" s="1604"/>
      <c r="B170" s="1605"/>
      <c r="C170" s="1614"/>
      <c r="D170" s="1614"/>
      <c r="E170" s="1614"/>
      <c r="F170" s="1615"/>
      <c r="G170" s="1616"/>
      <c r="H170" s="1803"/>
      <c r="I170" s="1610"/>
      <c r="J170" s="1611"/>
      <c r="K170" s="1606"/>
    </row>
    <row r="171" spans="1:11">
      <c r="A171" s="1604"/>
      <c r="B171" s="1605"/>
      <c r="C171" s="1614"/>
      <c r="D171" s="1614"/>
      <c r="E171" s="1614"/>
      <c r="F171" s="1615"/>
      <c r="G171" s="1616"/>
      <c r="H171" s="1803"/>
      <c r="I171" s="1610"/>
      <c r="J171" s="1611"/>
      <c r="K171" s="1606"/>
    </row>
    <row r="172" spans="1:11">
      <c r="A172" s="1604"/>
      <c r="B172" s="1605"/>
      <c r="C172" s="1614"/>
      <c r="D172" s="1614"/>
      <c r="E172" s="1614"/>
      <c r="F172" s="1615"/>
      <c r="G172" s="1616"/>
      <c r="H172" s="1803"/>
      <c r="I172" s="1610"/>
      <c r="J172" s="1611"/>
      <c r="K172" s="1606"/>
    </row>
    <row r="173" spans="1:11">
      <c r="A173" s="1604"/>
      <c r="B173" s="1605"/>
      <c r="C173" s="1614"/>
      <c r="D173" s="1614"/>
      <c r="E173" s="1614"/>
      <c r="F173" s="1615"/>
      <c r="G173" s="1615"/>
      <c r="H173" s="1803"/>
      <c r="I173" s="1610"/>
      <c r="J173" s="1611"/>
      <c r="K173" s="1606"/>
    </row>
    <row r="174" spans="1:11">
      <c r="A174" s="1604"/>
      <c r="B174" s="1605"/>
      <c r="C174" s="1614"/>
      <c r="D174" s="1614"/>
      <c r="E174" s="1614"/>
      <c r="F174" s="1615"/>
      <c r="G174" s="1615"/>
      <c r="H174" s="1803"/>
      <c r="I174" s="1610"/>
      <c r="J174" s="1611"/>
      <c r="K174" s="1606"/>
    </row>
    <row r="175" spans="1:11">
      <c r="A175" s="1604"/>
      <c r="B175" s="1605"/>
      <c r="C175" s="1614"/>
      <c r="D175" s="1614"/>
      <c r="E175" s="1614"/>
      <c r="F175" s="1615"/>
      <c r="G175" s="1616"/>
      <c r="H175" s="1803"/>
      <c r="I175" s="1610"/>
      <c r="J175" s="1611"/>
      <c r="K175" s="1606"/>
    </row>
    <row r="176" spans="1:11">
      <c r="A176" s="1604"/>
      <c r="B176" s="1605"/>
      <c r="C176" s="1614"/>
      <c r="D176" s="1614"/>
      <c r="E176" s="1614"/>
      <c r="F176" s="1615"/>
      <c r="G176" s="1616"/>
      <c r="H176" s="1803"/>
      <c r="I176" s="1610"/>
      <c r="J176" s="1611"/>
      <c r="K176" s="1606"/>
    </row>
    <row r="177" spans="1:11">
      <c r="A177" s="1604"/>
      <c r="B177" s="1605"/>
      <c r="C177" s="1614"/>
      <c r="D177" s="1614"/>
      <c r="E177" s="1614"/>
      <c r="F177" s="1615"/>
      <c r="G177" s="1616"/>
      <c r="H177" s="1803"/>
      <c r="I177" s="1610"/>
      <c r="J177" s="1611"/>
      <c r="K177" s="1606"/>
    </row>
    <row r="178" spans="1:11" ht="15.75">
      <c r="A178" s="1604"/>
      <c r="B178" s="1605"/>
      <c r="C178" s="1614"/>
      <c r="D178" s="1614"/>
      <c r="E178" s="1614"/>
      <c r="F178" s="1615"/>
      <c r="G178" s="1615"/>
      <c r="H178" s="1803"/>
      <c r="I178" s="1610"/>
      <c r="J178" s="1611"/>
      <c r="K178" s="1612"/>
    </row>
    <row r="179" spans="1:11">
      <c r="A179" s="1604"/>
      <c r="B179" s="1605"/>
      <c r="C179" s="1614"/>
      <c r="D179" s="1614"/>
      <c r="E179" s="1614"/>
      <c r="F179" s="1615"/>
      <c r="G179" s="1615"/>
      <c r="H179" s="1803"/>
      <c r="I179" s="1610"/>
      <c r="J179" s="1611"/>
      <c r="K179" s="1606"/>
    </row>
    <row r="180" spans="1:11" ht="15.75">
      <c r="A180" s="1604"/>
      <c r="B180" s="1605"/>
      <c r="C180" s="1614"/>
      <c r="D180" s="1614"/>
      <c r="E180" s="1614"/>
      <c r="F180" s="1615"/>
      <c r="G180" s="1616"/>
      <c r="H180" s="1803"/>
      <c r="I180" s="1610"/>
      <c r="J180" s="1611"/>
      <c r="K180" s="1612"/>
    </row>
    <row r="181" spans="1:11" ht="15.75">
      <c r="A181" s="1604"/>
      <c r="B181" s="1605"/>
      <c r="C181" s="1614"/>
      <c r="D181" s="1614"/>
      <c r="E181" s="1614"/>
      <c r="F181" s="1615"/>
      <c r="G181" s="1616"/>
      <c r="H181" s="1803"/>
      <c r="I181" s="1610"/>
      <c r="J181" s="1611"/>
      <c r="K181" s="1612"/>
    </row>
    <row r="182" spans="1:11" ht="15.75">
      <c r="A182" s="1604"/>
      <c r="B182" s="1605"/>
      <c r="C182" s="1614"/>
      <c r="D182" s="1614"/>
      <c r="E182" s="1614"/>
      <c r="F182" s="1615"/>
      <c r="G182" s="1616"/>
      <c r="H182" s="1803"/>
      <c r="I182" s="1610"/>
      <c r="J182" s="1611"/>
      <c r="K182" s="1612"/>
    </row>
    <row r="183" spans="1:11" ht="15.75">
      <c r="A183" s="1604"/>
      <c r="B183" s="1605"/>
      <c r="C183" s="1614"/>
      <c r="D183" s="1614"/>
      <c r="E183" s="1614"/>
      <c r="F183" s="1615"/>
      <c r="G183" s="1616"/>
      <c r="H183" s="1803"/>
      <c r="I183" s="1610"/>
      <c r="J183" s="1611"/>
      <c r="K183" s="1612"/>
    </row>
    <row r="184" spans="1:11" ht="15.75">
      <c r="A184" s="1604"/>
      <c r="B184" s="1605"/>
      <c r="C184" s="1614"/>
      <c r="D184" s="1614"/>
      <c r="E184" s="1614"/>
      <c r="F184" s="1615"/>
      <c r="G184" s="1615"/>
      <c r="H184" s="1803"/>
      <c r="I184" s="1610"/>
      <c r="J184" s="1611"/>
      <c r="K184" s="1612"/>
    </row>
    <row r="185" spans="1:11">
      <c r="A185" s="1604"/>
      <c r="B185" s="1605"/>
      <c r="C185" s="1614"/>
      <c r="D185" s="1614"/>
      <c r="E185" s="1614"/>
      <c r="F185" s="1615"/>
      <c r="G185" s="1615"/>
      <c r="H185" s="1803"/>
      <c r="I185" s="1610"/>
      <c r="J185" s="1611"/>
      <c r="K185" s="1606"/>
    </row>
    <row r="186" spans="1:11" ht="15.75">
      <c r="A186" s="1604"/>
      <c r="B186" s="1605"/>
      <c r="C186" s="1614"/>
      <c r="D186" s="1614"/>
      <c r="E186" s="1614"/>
      <c r="F186" s="1615"/>
      <c r="G186" s="1616"/>
      <c r="H186" s="1803"/>
      <c r="I186" s="1610"/>
      <c r="J186" s="1611"/>
      <c r="K186" s="1612"/>
    </row>
    <row r="187" spans="1:11">
      <c r="A187" s="1604"/>
      <c r="B187" s="1605"/>
      <c r="C187" s="1614"/>
      <c r="D187" s="1614"/>
      <c r="E187" s="1614"/>
      <c r="F187" s="1615"/>
      <c r="G187" s="1615"/>
      <c r="H187" s="1803"/>
      <c r="I187" s="1610"/>
      <c r="J187" s="1611"/>
      <c r="K187" s="1606"/>
    </row>
    <row r="188" spans="1:11">
      <c r="A188" s="1604"/>
      <c r="B188" s="1605"/>
      <c r="C188" s="1614"/>
      <c r="D188" s="1614"/>
      <c r="E188" s="1614"/>
      <c r="F188" s="1615"/>
      <c r="G188" s="1615"/>
      <c r="H188" s="1803"/>
      <c r="I188" s="1610"/>
      <c r="J188" s="1611"/>
      <c r="K188" s="1606"/>
    </row>
    <row r="189" spans="1:11">
      <c r="A189" s="1604"/>
      <c r="B189" s="1605"/>
      <c r="C189" s="1614"/>
      <c r="D189" s="1614"/>
      <c r="E189" s="1614"/>
      <c r="F189" s="1615"/>
      <c r="G189" s="1615"/>
      <c r="H189" s="1803"/>
      <c r="I189" s="1610"/>
      <c r="J189" s="1611"/>
      <c r="K189" s="1606"/>
    </row>
    <row r="190" spans="1:11">
      <c r="A190" s="1604"/>
      <c r="B190" s="1605"/>
      <c r="C190" s="1614"/>
      <c r="D190" s="1614"/>
      <c r="E190" s="1614"/>
      <c r="F190" s="1615"/>
      <c r="G190" s="1615"/>
      <c r="H190" s="1803"/>
      <c r="I190" s="1610"/>
      <c r="J190" s="1611"/>
      <c r="K190" s="1606"/>
    </row>
    <row r="191" spans="1:11">
      <c r="A191" s="1604"/>
      <c r="B191" s="1605"/>
      <c r="C191" s="1614"/>
      <c r="D191" s="1614"/>
      <c r="E191" s="1614"/>
      <c r="F191" s="1615"/>
      <c r="G191" s="1616"/>
      <c r="H191" s="1803"/>
      <c r="I191" s="1610"/>
      <c r="J191" s="1611"/>
      <c r="K191" s="1606"/>
    </row>
    <row r="192" spans="1:11">
      <c r="A192" s="1604"/>
      <c r="B192" s="1605"/>
      <c r="C192" s="1614"/>
      <c r="D192" s="1614"/>
      <c r="E192" s="1614"/>
      <c r="F192" s="1615"/>
      <c r="G192" s="1616"/>
      <c r="H192" s="1803"/>
      <c r="I192" s="1610"/>
      <c r="J192" s="1611"/>
      <c r="K192" s="1606"/>
    </row>
    <row r="193" spans="1:11">
      <c r="A193" s="1604"/>
      <c r="B193" s="1605"/>
      <c r="C193" s="1614"/>
      <c r="D193" s="1614"/>
      <c r="E193" s="1614"/>
      <c r="F193" s="1615"/>
      <c r="G193" s="1616"/>
      <c r="H193" s="1803"/>
      <c r="I193" s="1610"/>
      <c r="J193" s="1611"/>
      <c r="K193" s="1606"/>
    </row>
    <row r="194" spans="1:11">
      <c r="A194" s="1604"/>
      <c r="B194" s="1605"/>
      <c r="C194" s="1614"/>
      <c r="D194" s="1614"/>
      <c r="E194" s="1614"/>
      <c r="F194" s="1615"/>
      <c r="G194" s="1616"/>
      <c r="H194" s="1803"/>
      <c r="I194" s="1610"/>
      <c r="J194" s="1611"/>
      <c r="K194" s="1606"/>
    </row>
    <row r="195" spans="1:11">
      <c r="A195" s="1604"/>
      <c r="B195" s="1605"/>
      <c r="C195" s="1614"/>
      <c r="D195" s="1614"/>
      <c r="E195" s="1614"/>
      <c r="F195" s="1615"/>
      <c r="G195" s="1616"/>
      <c r="H195" s="1803"/>
      <c r="I195" s="1610"/>
      <c r="J195" s="1611"/>
      <c r="K195" s="1606"/>
    </row>
    <row r="196" spans="1:11">
      <c r="A196" s="1604"/>
      <c r="B196" s="1605"/>
      <c r="C196" s="1614"/>
      <c r="D196" s="1614"/>
      <c r="E196" s="1614"/>
      <c r="F196" s="1615"/>
      <c r="G196" s="1616"/>
      <c r="H196" s="1803"/>
      <c r="I196" s="1610"/>
      <c r="J196" s="1611"/>
      <c r="K196" s="1606"/>
    </row>
    <row r="197" spans="1:11">
      <c r="A197" s="1604"/>
      <c r="B197" s="1605"/>
      <c r="C197" s="1614"/>
      <c r="D197" s="1614"/>
      <c r="E197" s="1614"/>
      <c r="F197" s="1615"/>
      <c r="G197" s="1616"/>
      <c r="H197" s="1803"/>
      <c r="I197" s="1610"/>
      <c r="J197" s="1611"/>
      <c r="K197" s="1606"/>
    </row>
    <row r="198" spans="1:11">
      <c r="A198" s="1604"/>
      <c r="B198" s="1605"/>
      <c r="C198" s="1614"/>
      <c r="D198" s="1614"/>
      <c r="E198" s="1614"/>
      <c r="F198" s="1615"/>
      <c r="G198" s="1615"/>
      <c r="H198" s="1803"/>
      <c r="I198" s="1610"/>
      <c r="J198" s="1611"/>
      <c r="K198" s="1606"/>
    </row>
    <row r="199" spans="1:11">
      <c r="A199" s="1604"/>
      <c r="B199" s="1605"/>
      <c r="C199" s="1614"/>
      <c r="D199" s="1614"/>
      <c r="E199" s="1614"/>
      <c r="F199" s="1615"/>
      <c r="G199" s="1615"/>
      <c r="H199" s="1803"/>
      <c r="I199" s="1610"/>
      <c r="J199" s="1611"/>
      <c r="K199" s="1606"/>
    </row>
    <row r="200" spans="1:11" ht="15.75">
      <c r="A200" s="1604"/>
      <c r="B200" s="1605"/>
      <c r="C200" s="1614"/>
      <c r="D200" s="1614"/>
      <c r="E200" s="1614"/>
      <c r="F200" s="1615"/>
      <c r="G200" s="1616"/>
      <c r="H200" s="1803"/>
      <c r="I200" s="1610"/>
      <c r="J200" s="1611"/>
      <c r="K200" s="1612"/>
    </row>
    <row r="201" spans="1:11">
      <c r="A201" s="1604"/>
      <c r="B201" s="1605"/>
      <c r="C201" s="1614"/>
      <c r="D201" s="1614"/>
      <c r="E201" s="1614"/>
      <c r="F201" s="1615"/>
      <c r="G201" s="1616"/>
      <c r="H201" s="1803"/>
      <c r="I201" s="1610"/>
      <c r="J201" s="1611"/>
      <c r="K201" s="1606"/>
    </row>
    <row r="202" spans="1:11">
      <c r="A202" s="1604"/>
      <c r="B202" s="1605"/>
      <c r="C202" s="1606"/>
      <c r="D202" s="1606"/>
      <c r="E202" s="1606"/>
      <c r="F202" s="1607"/>
      <c r="G202" s="1616"/>
      <c r="H202" s="1803"/>
      <c r="I202" s="1610"/>
      <c r="J202" s="1611"/>
      <c r="K202" s="1606"/>
    </row>
    <row r="203" spans="1:11">
      <c r="A203" s="1604"/>
      <c r="B203" s="1605"/>
      <c r="C203" s="1614"/>
      <c r="D203" s="1614"/>
      <c r="E203" s="1614"/>
      <c r="F203" s="1607"/>
      <c r="G203" s="1616"/>
      <c r="H203" s="1803"/>
      <c r="I203" s="1610"/>
      <c r="J203" s="1611"/>
      <c r="K203" s="1606"/>
    </row>
    <row r="204" spans="1:11" ht="15.75">
      <c r="A204" s="1604"/>
      <c r="B204" s="1605"/>
      <c r="C204" s="1614"/>
      <c r="D204" s="1614"/>
      <c r="E204" s="1614"/>
      <c r="F204" s="1615"/>
      <c r="G204" s="1615"/>
      <c r="H204" s="1803"/>
      <c r="I204" s="1610"/>
      <c r="J204" s="1611"/>
      <c r="K204" s="1612"/>
    </row>
    <row r="205" spans="1:11">
      <c r="A205" s="1604"/>
      <c r="B205" s="1605"/>
      <c r="C205" s="1614"/>
      <c r="D205" s="1614"/>
      <c r="E205" s="1614"/>
      <c r="F205" s="1615"/>
      <c r="G205" s="1615"/>
      <c r="H205" s="1803"/>
      <c r="I205" s="1610"/>
      <c r="J205" s="1611"/>
      <c r="K205" s="1606"/>
    </row>
    <row r="206" spans="1:11" ht="15.75">
      <c r="A206" s="1604"/>
      <c r="B206" s="1605"/>
      <c r="C206" s="1614"/>
      <c r="D206" s="1614"/>
      <c r="E206" s="1614"/>
      <c r="F206" s="1615"/>
      <c r="G206" s="1616"/>
      <c r="H206" s="1803"/>
      <c r="I206" s="1610"/>
      <c r="J206" s="1611"/>
      <c r="K206" s="1612"/>
    </row>
    <row r="207" spans="1:11" ht="15.75">
      <c r="A207" s="1604"/>
      <c r="B207" s="1605"/>
      <c r="C207" s="1614"/>
      <c r="D207" s="1614"/>
      <c r="E207" s="1614"/>
      <c r="F207" s="1615"/>
      <c r="G207" s="1616"/>
      <c r="H207" s="1803"/>
      <c r="I207" s="1610"/>
      <c r="J207" s="1611"/>
      <c r="K207" s="1612"/>
    </row>
    <row r="208" spans="1:11" ht="15.75">
      <c r="A208" s="1604"/>
      <c r="B208" s="1605"/>
      <c r="C208" s="1614"/>
      <c r="D208" s="1614"/>
      <c r="E208" s="1614"/>
      <c r="F208" s="1615"/>
      <c r="G208" s="1616"/>
      <c r="H208" s="1803"/>
      <c r="I208" s="1610"/>
      <c r="J208" s="1611"/>
      <c r="K208" s="1612"/>
    </row>
    <row r="209" spans="1:11" ht="15.75">
      <c r="A209" s="1604"/>
      <c r="B209" s="1605"/>
      <c r="C209" s="1614"/>
      <c r="D209" s="1614"/>
      <c r="E209" s="1614"/>
      <c r="F209" s="1615"/>
      <c r="G209" s="1616"/>
      <c r="H209" s="1803"/>
      <c r="I209" s="1610"/>
      <c r="J209" s="1611"/>
      <c r="K209" s="1612"/>
    </row>
    <row r="210" spans="1:11" ht="15.75">
      <c r="A210" s="1604"/>
      <c r="B210" s="1605"/>
      <c r="C210" s="1614"/>
      <c r="D210" s="1614"/>
      <c r="E210" s="1614"/>
      <c r="F210" s="1615"/>
      <c r="G210" s="1616"/>
      <c r="H210" s="1803"/>
      <c r="I210" s="1610"/>
      <c r="J210" s="1611"/>
      <c r="K210" s="1612"/>
    </row>
    <row r="211" spans="1:11" ht="15.75">
      <c r="A211" s="1604"/>
      <c r="B211" s="1605"/>
      <c r="C211" s="1614"/>
      <c r="D211" s="1614"/>
      <c r="E211" s="1614"/>
      <c r="F211" s="1615"/>
      <c r="G211" s="1616"/>
      <c r="H211" s="1803"/>
      <c r="I211" s="1610"/>
      <c r="J211" s="1611"/>
      <c r="K211" s="1612"/>
    </row>
    <row r="212" spans="1:11" ht="15.75">
      <c r="A212" s="1604"/>
      <c r="B212" s="1605"/>
      <c r="C212" s="1614"/>
      <c r="D212" s="1614"/>
      <c r="E212" s="1614"/>
      <c r="F212" s="1615"/>
      <c r="G212" s="1616"/>
      <c r="H212" s="1803"/>
      <c r="I212" s="1610"/>
      <c r="J212" s="1611"/>
      <c r="K212" s="1612"/>
    </row>
    <row r="213" spans="1:11" ht="15.75">
      <c r="A213" s="1604"/>
      <c r="B213" s="1605"/>
      <c r="C213" s="1614"/>
      <c r="D213" s="1614"/>
      <c r="E213" s="1614"/>
      <c r="F213" s="1615"/>
      <c r="G213" s="1616"/>
      <c r="H213" s="1803"/>
      <c r="I213" s="1610"/>
      <c r="J213" s="1611"/>
      <c r="K213" s="1612"/>
    </row>
    <row r="214" spans="1:11" ht="15.75">
      <c r="A214" s="1604"/>
      <c r="B214" s="1605"/>
      <c r="C214" s="1614"/>
      <c r="D214" s="1614"/>
      <c r="F214" s="1615"/>
      <c r="G214" s="1616"/>
      <c r="H214" s="1803"/>
      <c r="I214" s="1610"/>
      <c r="J214" s="1611"/>
      <c r="K214" s="1612"/>
    </row>
    <row r="215" spans="1:11" ht="15.75">
      <c r="A215" s="1604"/>
      <c r="B215" s="1605"/>
      <c r="C215" s="1614"/>
      <c r="D215" s="1614"/>
      <c r="E215" s="1614"/>
      <c r="F215" s="1615"/>
      <c r="G215" s="1616"/>
      <c r="H215" s="1803"/>
      <c r="I215" s="1610"/>
      <c r="J215" s="1611"/>
      <c r="K215" s="1612"/>
    </row>
    <row r="216" spans="1:11" ht="15.75">
      <c r="A216" s="1604"/>
      <c r="B216" s="1605"/>
      <c r="C216" s="1614"/>
      <c r="D216" s="1614"/>
      <c r="E216" s="1614"/>
      <c r="F216" s="1615"/>
      <c r="G216" s="1616"/>
      <c r="H216" s="1803"/>
      <c r="I216" s="1610"/>
      <c r="J216" s="1611"/>
      <c r="K216" s="1612"/>
    </row>
    <row r="217" spans="1:11" ht="15.75">
      <c r="A217" s="1604"/>
      <c r="B217" s="1605"/>
      <c r="C217" s="1614"/>
      <c r="D217" s="1614"/>
      <c r="E217" s="1614"/>
      <c r="F217" s="1615"/>
      <c r="G217" s="1616"/>
      <c r="H217" s="1803"/>
      <c r="I217" s="1610"/>
      <c r="J217" s="1611"/>
      <c r="K217" s="1612"/>
    </row>
    <row r="218" spans="1:11" ht="15.75">
      <c r="A218" s="1604"/>
      <c r="B218" s="1605"/>
      <c r="C218" s="1614"/>
      <c r="D218" s="1614"/>
      <c r="E218" s="1614"/>
      <c r="F218" s="1615"/>
      <c r="G218" s="1616"/>
      <c r="H218" s="1803"/>
      <c r="I218" s="1610"/>
      <c r="J218" s="1611"/>
      <c r="K218" s="1612"/>
    </row>
    <row r="219" spans="1:11">
      <c r="A219" s="1604"/>
      <c r="B219" s="1605"/>
      <c r="C219" s="1614"/>
      <c r="D219" s="1614"/>
      <c r="E219" s="1614"/>
      <c r="F219" s="1615"/>
      <c r="G219" s="1616"/>
      <c r="H219" s="1803"/>
      <c r="I219" s="1610"/>
      <c r="J219" s="1611"/>
      <c r="K219" s="1606"/>
    </row>
    <row r="220" spans="1:11">
      <c r="A220" s="1618"/>
      <c r="B220" s="1618"/>
      <c r="C220" s="1606"/>
      <c r="D220" s="1606"/>
      <c r="E220" s="1606"/>
      <c r="F220" s="1607"/>
      <c r="G220" s="1608"/>
      <c r="H220" s="1803"/>
      <c r="I220" s="1610"/>
      <c r="J220" s="1611"/>
      <c r="K220" s="1606"/>
    </row>
    <row r="221" spans="1:11">
      <c r="A221" s="1618"/>
      <c r="B221" s="1618"/>
      <c r="C221" s="1606"/>
      <c r="D221" s="1606"/>
      <c r="E221" s="1606"/>
      <c r="F221" s="1607"/>
      <c r="G221" s="1608"/>
      <c r="H221" s="1803"/>
      <c r="I221" s="1610"/>
      <c r="J221" s="1611"/>
      <c r="K221" s="1606"/>
    </row>
    <row r="222" spans="1:11">
      <c r="A222" s="1618"/>
      <c r="B222" s="1618"/>
      <c r="C222" s="1606"/>
      <c r="D222" s="1606"/>
      <c r="E222" s="1606"/>
      <c r="F222" s="1607"/>
      <c r="G222" s="1608"/>
      <c r="H222" s="1803"/>
      <c r="I222" s="1610"/>
      <c r="J222" s="1611"/>
      <c r="K222" s="1606"/>
    </row>
    <row r="223" spans="1:11">
      <c r="A223" s="1618"/>
      <c r="B223" s="1618"/>
      <c r="C223" s="1606"/>
      <c r="D223" s="1606"/>
      <c r="E223" s="1606"/>
      <c r="F223" s="1607"/>
      <c r="G223" s="1608"/>
      <c r="H223" s="1803"/>
      <c r="I223" s="1610"/>
      <c r="J223" s="1611"/>
      <c r="K223" s="1606"/>
    </row>
    <row r="224" spans="1:11">
      <c r="A224" s="1618"/>
      <c r="B224" s="1618"/>
      <c r="C224" s="1606"/>
      <c r="D224" s="1606"/>
      <c r="E224" s="1606"/>
      <c r="F224" s="1607"/>
      <c r="G224" s="1608"/>
      <c r="H224" s="1803"/>
      <c r="I224" s="1610"/>
      <c r="J224" s="1611"/>
      <c r="K224" s="1606"/>
    </row>
    <row r="225" spans="1:11">
      <c r="A225" s="1618"/>
      <c r="B225" s="1618"/>
      <c r="C225" s="1606"/>
      <c r="D225" s="1606"/>
      <c r="E225" s="1606"/>
      <c r="F225" s="1607"/>
      <c r="G225" s="1608"/>
      <c r="H225" s="1803"/>
      <c r="I225" s="1610"/>
      <c r="J225" s="1611"/>
      <c r="K225" s="1606"/>
    </row>
    <row r="226" spans="1:11">
      <c r="A226" s="1618"/>
      <c r="B226" s="1618"/>
      <c r="C226" s="1606"/>
      <c r="D226" s="1606"/>
      <c r="E226" s="1606"/>
      <c r="F226" s="1607"/>
      <c r="G226" s="1608"/>
      <c r="H226" s="1803"/>
      <c r="I226" s="1610"/>
      <c r="J226" s="1611"/>
      <c r="K226" s="1606"/>
    </row>
    <row r="227" spans="1:11">
      <c r="A227" s="1618"/>
      <c r="B227" s="1618"/>
      <c r="C227" s="1606"/>
      <c r="D227" s="1606"/>
      <c r="E227" s="1606"/>
      <c r="F227" s="1607"/>
      <c r="G227" s="1608"/>
      <c r="H227" s="1803"/>
      <c r="I227" s="1610"/>
      <c r="J227" s="1611"/>
      <c r="K227" s="1606"/>
    </row>
    <row r="228" spans="1:11">
      <c r="A228" s="1618"/>
      <c r="B228" s="1618"/>
      <c r="C228" s="1606"/>
      <c r="D228" s="1606"/>
      <c r="E228" s="1606"/>
      <c r="F228" s="1607"/>
      <c r="G228" s="1608"/>
      <c r="H228" s="1803"/>
      <c r="I228" s="1610"/>
      <c r="J228" s="1611"/>
      <c r="K228" s="1606"/>
    </row>
    <row r="229" spans="1:11">
      <c r="A229" s="1618"/>
      <c r="B229" s="1618"/>
      <c r="C229" s="1606"/>
      <c r="D229" s="1606"/>
      <c r="E229" s="1606"/>
      <c r="F229" s="1607"/>
      <c r="G229" s="1608"/>
      <c r="H229" s="1803"/>
      <c r="I229" s="1610"/>
      <c r="J229" s="1611"/>
      <c r="K229" s="1606"/>
    </row>
    <row r="230" spans="1:11">
      <c r="A230" s="1618"/>
      <c r="B230" s="1618"/>
      <c r="C230" s="1606"/>
      <c r="D230" s="1606"/>
      <c r="E230" s="1606"/>
      <c r="F230" s="1607"/>
      <c r="G230" s="1608"/>
      <c r="H230" s="1803"/>
      <c r="I230" s="1610"/>
      <c r="J230" s="1611"/>
      <c r="K230" s="1606"/>
    </row>
    <row r="231" spans="1:11">
      <c r="A231" s="1618"/>
      <c r="B231" s="1618"/>
      <c r="C231" s="1606"/>
      <c r="D231" s="1606"/>
      <c r="E231" s="1606"/>
      <c r="F231" s="1607"/>
      <c r="G231" s="1608"/>
      <c r="H231" s="1803"/>
      <c r="I231" s="1610"/>
      <c r="J231" s="1611"/>
      <c r="K231" s="1606"/>
    </row>
    <row r="232" spans="1:11">
      <c r="A232" s="1618"/>
      <c r="B232" s="1618"/>
      <c r="C232" s="1606"/>
      <c r="D232" s="1606"/>
      <c r="E232" s="1606"/>
      <c r="F232" s="1607"/>
      <c r="G232" s="1608"/>
      <c r="H232" s="1803"/>
      <c r="I232" s="1610"/>
      <c r="J232" s="1611"/>
      <c r="K232" s="1606"/>
    </row>
    <row r="233" spans="1:11">
      <c r="A233" s="1618"/>
      <c r="B233" s="1618"/>
      <c r="C233" s="1606"/>
      <c r="D233" s="1606"/>
      <c r="E233" s="1606"/>
      <c r="F233" s="1607"/>
      <c r="G233" s="1608"/>
      <c r="H233" s="1803"/>
      <c r="I233" s="1610"/>
      <c r="J233" s="1611"/>
      <c r="K233" s="1606"/>
    </row>
    <row r="234" spans="1:11">
      <c r="A234" s="1618"/>
      <c r="B234" s="1618"/>
      <c r="C234" s="1606"/>
      <c r="D234" s="1606"/>
      <c r="E234" s="1606"/>
      <c r="F234" s="1607"/>
      <c r="G234" s="1608"/>
      <c r="H234" s="1803"/>
      <c r="I234" s="1610"/>
      <c r="J234" s="1611"/>
      <c r="K234" s="1606"/>
    </row>
    <row r="235" spans="1:11">
      <c r="A235" s="1618"/>
      <c r="B235" s="1618"/>
      <c r="C235" s="1606"/>
      <c r="D235" s="1606"/>
      <c r="E235" s="1606"/>
      <c r="F235" s="1607"/>
      <c r="G235" s="1608"/>
      <c r="H235" s="1803"/>
      <c r="I235" s="1610"/>
      <c r="J235" s="1611"/>
      <c r="K235" s="1606"/>
    </row>
    <row r="236" spans="1:11">
      <c r="A236" s="1618"/>
      <c r="B236" s="1618"/>
      <c r="C236" s="1606"/>
      <c r="D236" s="1606"/>
      <c r="E236" s="1606"/>
      <c r="F236" s="1607"/>
      <c r="G236" s="1608"/>
      <c r="H236" s="1803"/>
      <c r="I236" s="1610"/>
      <c r="J236" s="1611"/>
      <c r="K236" s="1606"/>
    </row>
    <row r="237" spans="1:11">
      <c r="A237" s="1618"/>
      <c r="B237" s="1618"/>
      <c r="C237" s="1606"/>
      <c r="D237" s="1606"/>
      <c r="E237" s="1606"/>
      <c r="F237" s="1607"/>
      <c r="G237" s="1608"/>
      <c r="H237" s="1803"/>
      <c r="I237" s="1610"/>
      <c r="J237" s="1611"/>
      <c r="K237" s="1606"/>
    </row>
    <row r="238" spans="1:11">
      <c r="A238" s="1618"/>
      <c r="B238" s="1618"/>
      <c r="C238" s="1606"/>
      <c r="D238" s="1606"/>
      <c r="E238" s="1606"/>
      <c r="F238" s="1607"/>
      <c r="G238" s="1608"/>
      <c r="H238" s="1803"/>
      <c r="I238" s="1610"/>
      <c r="J238" s="1611"/>
      <c r="K238" s="1606"/>
    </row>
    <row r="239" spans="1:11">
      <c r="A239" s="1618"/>
      <c r="B239" s="1618"/>
      <c r="C239" s="1606"/>
      <c r="D239" s="1606"/>
      <c r="E239" s="1606"/>
      <c r="F239" s="1607"/>
      <c r="G239" s="1608"/>
      <c r="H239" s="1803"/>
      <c r="I239" s="1610"/>
      <c r="J239" s="1611"/>
      <c r="K239" s="1606"/>
    </row>
    <row r="240" spans="1:11">
      <c r="A240" s="1618"/>
      <c r="B240" s="1618"/>
      <c r="C240" s="1606"/>
      <c r="D240" s="1606"/>
      <c r="E240" s="1606"/>
      <c r="F240" s="1607"/>
      <c r="G240" s="1608"/>
      <c r="H240" s="1803"/>
      <c r="I240" s="1610"/>
      <c r="J240" s="1611"/>
      <c r="K240" s="1606"/>
    </row>
    <row r="241" spans="1:11">
      <c r="A241" s="1618"/>
      <c r="B241" s="1618"/>
      <c r="C241" s="1606"/>
      <c r="D241" s="1606"/>
      <c r="E241" s="1606"/>
      <c r="F241" s="1607"/>
      <c r="G241" s="1608"/>
      <c r="H241" s="1803"/>
      <c r="I241" s="1610"/>
      <c r="J241" s="1611"/>
      <c r="K241" s="1606"/>
    </row>
    <row r="242" spans="1:11">
      <c r="A242" s="1618"/>
      <c r="B242" s="1618"/>
      <c r="C242" s="1606"/>
      <c r="D242" s="1606"/>
      <c r="E242" s="1606"/>
      <c r="F242" s="1607"/>
      <c r="G242" s="1608"/>
      <c r="H242" s="1803"/>
      <c r="I242" s="1610"/>
      <c r="J242" s="1611"/>
      <c r="K242" s="1606"/>
    </row>
    <row r="243" spans="1:11">
      <c r="A243" s="1618"/>
      <c r="B243" s="1618"/>
      <c r="C243" s="1606"/>
      <c r="D243" s="1606"/>
      <c r="E243" s="1606"/>
      <c r="F243" s="1607"/>
      <c r="G243" s="1608"/>
      <c r="H243" s="1803"/>
      <c r="I243" s="1610"/>
      <c r="J243" s="1611"/>
      <c r="K243" s="1606"/>
    </row>
    <row r="244" spans="1:11">
      <c r="A244" s="1618"/>
      <c r="B244" s="1618"/>
      <c r="C244" s="1606"/>
      <c r="D244" s="1606"/>
      <c r="E244" s="1606"/>
      <c r="F244" s="1607"/>
      <c r="G244" s="1608"/>
      <c r="H244" s="1803"/>
      <c r="I244" s="1610"/>
      <c r="J244" s="1611"/>
      <c r="K244" s="1606"/>
    </row>
    <row r="245" spans="1:11">
      <c r="A245" s="1618"/>
      <c r="B245" s="1618"/>
      <c r="C245" s="1606"/>
      <c r="D245" s="1606"/>
      <c r="E245" s="1606"/>
      <c r="F245" s="1607"/>
      <c r="G245" s="1608"/>
      <c r="H245" s="1803"/>
      <c r="I245" s="1610"/>
      <c r="J245" s="1611"/>
      <c r="K245" s="1606"/>
    </row>
    <row r="246" spans="1:11">
      <c r="A246" s="1618"/>
      <c r="B246" s="1618"/>
      <c r="C246" s="1606"/>
      <c r="D246" s="1606"/>
      <c r="E246" s="1606"/>
      <c r="F246" s="1607"/>
      <c r="G246" s="1608"/>
      <c r="H246" s="1803"/>
      <c r="I246" s="1610"/>
      <c r="J246" s="1611"/>
      <c r="K246" s="1606"/>
    </row>
    <row r="247" spans="1:11">
      <c r="A247" s="1618"/>
      <c r="B247" s="1618"/>
      <c r="C247" s="1606"/>
      <c r="D247" s="1606"/>
      <c r="E247" s="1606"/>
      <c r="F247" s="1607"/>
      <c r="G247" s="1608"/>
      <c r="H247" s="1803"/>
      <c r="I247" s="1610"/>
      <c r="J247" s="1611"/>
      <c r="K247" s="1606"/>
    </row>
    <row r="248" spans="1:11">
      <c r="A248" s="1618"/>
      <c r="B248" s="1618"/>
      <c r="C248" s="1606"/>
      <c r="D248" s="1606"/>
      <c r="E248" s="1606"/>
      <c r="F248" s="1607"/>
      <c r="G248" s="1608"/>
      <c r="H248" s="1803"/>
      <c r="I248" s="1610"/>
      <c r="J248" s="1611"/>
      <c r="K248" s="1606"/>
    </row>
    <row r="249" spans="1:11">
      <c r="A249" s="1618"/>
      <c r="B249" s="1618"/>
      <c r="C249" s="1606"/>
      <c r="D249" s="1606"/>
      <c r="E249" s="1606"/>
      <c r="F249" s="1607"/>
      <c r="G249" s="1608"/>
      <c r="H249" s="1803"/>
      <c r="I249" s="1610"/>
      <c r="J249" s="1611"/>
      <c r="K249" s="1606"/>
    </row>
    <row r="250" spans="1:11">
      <c r="A250" s="1618"/>
      <c r="B250" s="1618"/>
      <c r="C250" s="1606"/>
      <c r="D250" s="1606"/>
      <c r="E250" s="1606"/>
      <c r="F250" s="1607"/>
      <c r="G250" s="1608"/>
      <c r="H250" s="1803"/>
      <c r="I250" s="1610"/>
      <c r="J250" s="1611"/>
      <c r="K250" s="1606"/>
    </row>
    <row r="251" spans="1:11">
      <c r="A251" s="1618"/>
      <c r="B251" s="1618"/>
      <c r="C251" s="1606"/>
      <c r="D251" s="1606"/>
      <c r="E251" s="1606"/>
      <c r="F251" s="1607"/>
      <c r="G251" s="1608"/>
      <c r="H251" s="1803"/>
      <c r="I251" s="1610"/>
      <c r="J251" s="1611"/>
      <c r="K251" s="1606"/>
    </row>
    <row r="252" spans="1:11">
      <c r="A252" s="1618"/>
      <c r="B252" s="1618"/>
      <c r="C252" s="1606"/>
      <c r="D252" s="1606"/>
      <c r="E252" s="1606"/>
      <c r="F252" s="1607"/>
      <c r="G252" s="1608"/>
      <c r="H252" s="1803"/>
      <c r="I252" s="1610"/>
      <c r="J252" s="1611"/>
      <c r="K252" s="1606"/>
    </row>
    <row r="253" spans="1:11">
      <c r="A253" s="1618"/>
      <c r="B253" s="1618"/>
      <c r="C253" s="1606"/>
      <c r="D253" s="1606"/>
      <c r="E253" s="1606"/>
      <c r="F253" s="1607"/>
      <c r="G253" s="1608"/>
      <c r="H253" s="1803"/>
      <c r="I253" s="1610"/>
      <c r="J253" s="1611"/>
      <c r="K253" s="1606"/>
    </row>
    <row r="254" spans="1:11">
      <c r="A254" s="1618"/>
      <c r="B254" s="1618"/>
      <c r="C254" s="1606"/>
      <c r="D254" s="1606"/>
      <c r="E254" s="1606"/>
      <c r="F254" s="1607"/>
      <c r="G254" s="1608"/>
      <c r="H254" s="1803"/>
      <c r="I254" s="1610"/>
      <c r="J254" s="1611"/>
      <c r="K254" s="1606"/>
    </row>
    <row r="255" spans="1:11">
      <c r="A255" s="1618"/>
      <c r="B255" s="1618"/>
      <c r="C255" s="1606"/>
      <c r="D255" s="1606"/>
      <c r="E255" s="1606"/>
      <c r="F255" s="1607"/>
      <c r="G255" s="1608"/>
      <c r="H255" s="1803"/>
      <c r="I255" s="1610"/>
      <c r="J255" s="1611"/>
      <c r="K255" s="1606"/>
    </row>
    <row r="256" spans="1:11">
      <c r="A256" s="1618"/>
      <c r="B256" s="1618"/>
      <c r="C256" s="1606"/>
      <c r="D256" s="1606"/>
      <c r="E256" s="1606"/>
      <c r="F256" s="1607"/>
      <c r="G256" s="1608"/>
      <c r="H256" s="1803"/>
      <c r="I256" s="1610"/>
      <c r="J256" s="1611"/>
      <c r="K256" s="1606"/>
    </row>
    <row r="257" spans="1:11">
      <c r="A257" s="1618"/>
      <c r="B257" s="1618"/>
      <c r="C257" s="1606"/>
      <c r="D257" s="1606"/>
      <c r="E257" s="1606"/>
      <c r="F257" s="1607"/>
      <c r="G257" s="1608"/>
      <c r="H257" s="1803"/>
      <c r="I257" s="1610"/>
      <c r="J257" s="1611"/>
      <c r="K257" s="1606"/>
    </row>
    <row r="258" spans="1:11">
      <c r="A258" s="1618"/>
      <c r="B258" s="1618"/>
      <c r="C258" s="1606"/>
      <c r="D258" s="1606"/>
      <c r="E258" s="1606"/>
      <c r="F258" s="1607"/>
      <c r="G258" s="1608"/>
      <c r="H258" s="1803"/>
      <c r="I258" s="1610"/>
      <c r="J258" s="1611"/>
      <c r="K258" s="1606"/>
    </row>
    <row r="259" spans="1:11">
      <c r="A259" s="1618"/>
      <c r="B259" s="1618"/>
      <c r="C259" s="1606"/>
      <c r="D259" s="1606"/>
      <c r="E259" s="1606"/>
      <c r="F259" s="1607"/>
      <c r="G259" s="1608"/>
      <c r="H259" s="1803"/>
      <c r="I259" s="1610"/>
      <c r="J259" s="1611"/>
      <c r="K259" s="1606"/>
    </row>
    <row r="260" spans="1:11">
      <c r="A260" s="1618"/>
      <c r="B260" s="1618"/>
      <c r="C260" s="1606"/>
      <c r="D260" s="1606"/>
      <c r="E260" s="1606"/>
      <c r="F260" s="1607"/>
      <c r="G260" s="1608"/>
      <c r="H260" s="1803"/>
      <c r="I260" s="1610"/>
      <c r="J260" s="1611"/>
      <c r="K260" s="1606"/>
    </row>
    <row r="261" spans="1:11">
      <c r="A261" s="1618"/>
      <c r="B261" s="1618"/>
      <c r="C261" s="1606"/>
      <c r="D261" s="1606"/>
      <c r="E261" s="1606"/>
      <c r="F261" s="1607"/>
      <c r="G261" s="1608"/>
      <c r="H261" s="1803"/>
      <c r="I261" s="1610"/>
      <c r="J261" s="1611"/>
      <c r="K261" s="1606"/>
    </row>
    <row r="262" spans="1:11">
      <c r="A262" s="1618"/>
      <c r="B262" s="1618"/>
      <c r="C262" s="1606"/>
      <c r="D262" s="1606"/>
      <c r="E262" s="1606"/>
      <c r="F262" s="1607"/>
      <c r="G262" s="1608"/>
      <c r="H262" s="1803"/>
      <c r="I262" s="1610"/>
      <c r="J262" s="1611"/>
      <c r="K262" s="1606"/>
    </row>
    <row r="263" spans="1:11">
      <c r="A263" s="1618"/>
      <c r="B263" s="1618"/>
      <c r="C263" s="1606"/>
      <c r="D263" s="1606"/>
      <c r="E263" s="1606"/>
      <c r="F263" s="1607"/>
      <c r="G263" s="1608"/>
      <c r="H263" s="1803"/>
      <c r="I263" s="1610"/>
      <c r="J263" s="1611"/>
      <c r="K263" s="1606"/>
    </row>
    <row r="264" spans="1:11">
      <c r="A264" s="1618"/>
      <c r="B264" s="1618"/>
      <c r="C264" s="1606"/>
      <c r="D264" s="1606"/>
      <c r="E264" s="1606"/>
      <c r="F264" s="1607"/>
      <c r="G264" s="1608"/>
      <c r="H264" s="1803"/>
      <c r="I264" s="1610"/>
      <c r="J264" s="1611"/>
      <c r="K264" s="1606"/>
    </row>
    <row r="265" spans="1:11">
      <c r="A265" s="1618"/>
      <c r="B265" s="1618"/>
      <c r="C265" s="1606"/>
      <c r="D265" s="1606"/>
      <c r="E265" s="1606"/>
      <c r="F265" s="1607"/>
      <c r="G265" s="1608"/>
      <c r="H265" s="1803"/>
      <c r="I265" s="1610"/>
      <c r="J265" s="1611"/>
      <c r="K265" s="1606"/>
    </row>
    <row r="266" spans="1:11">
      <c r="A266" s="1618"/>
      <c r="B266" s="1618"/>
      <c r="C266" s="1606"/>
      <c r="D266" s="1606"/>
      <c r="E266" s="1606"/>
      <c r="F266" s="1607"/>
      <c r="G266" s="1608"/>
      <c r="H266" s="1803"/>
      <c r="I266" s="1610"/>
      <c r="J266" s="1611"/>
      <c r="K266" s="1606"/>
    </row>
    <row r="267" spans="1:11">
      <c r="A267" s="1606"/>
      <c r="B267" s="1606"/>
      <c r="C267" s="1606"/>
      <c r="D267" s="1606"/>
      <c r="E267" s="1606"/>
      <c r="F267" s="1606"/>
      <c r="G267" s="1606"/>
      <c r="H267" s="1803"/>
      <c r="I267" s="1610"/>
      <c r="J267" s="1611"/>
      <c r="K267" s="1606"/>
    </row>
    <row r="268" spans="1:11">
      <c r="A268" s="1606"/>
      <c r="B268" s="1606"/>
      <c r="C268" s="1606"/>
      <c r="D268" s="1606"/>
      <c r="E268" s="1606"/>
      <c r="F268" s="1606"/>
      <c r="G268" s="1606"/>
      <c r="H268" s="1803"/>
      <c r="I268" s="1610"/>
      <c r="J268" s="1611"/>
      <c r="K268" s="1606"/>
    </row>
    <row r="269" spans="1:11">
      <c r="A269" s="1606"/>
      <c r="B269" s="1606"/>
      <c r="C269" s="1606"/>
      <c r="D269" s="1606"/>
      <c r="E269" s="1606"/>
      <c r="F269" s="1606"/>
      <c r="G269" s="1606"/>
      <c r="H269" s="1803"/>
      <c r="I269" s="1610"/>
      <c r="J269" s="1611"/>
      <c r="K269" s="1606"/>
    </row>
    <row r="270" spans="1:11">
      <c r="A270" s="1606"/>
      <c r="B270" s="1606"/>
      <c r="C270" s="1606"/>
      <c r="D270" s="1606"/>
      <c r="E270" s="1606"/>
      <c r="F270" s="1606"/>
      <c r="G270" s="1606"/>
      <c r="H270" s="1803"/>
      <c r="I270" s="1610"/>
      <c r="J270" s="1611"/>
      <c r="K270" s="1606"/>
    </row>
    <row r="271" spans="1:11">
      <c r="A271" s="1606"/>
      <c r="B271" s="1606"/>
      <c r="C271" s="1606"/>
      <c r="D271" s="1606"/>
      <c r="E271" s="1606"/>
      <c r="F271" s="1606"/>
      <c r="G271" s="1606"/>
      <c r="H271" s="1803"/>
      <c r="I271" s="1610"/>
      <c r="J271" s="1611"/>
      <c r="K271" s="1606"/>
    </row>
    <row r="272" spans="1:11">
      <c r="A272" s="1606"/>
      <c r="B272" s="1606"/>
      <c r="C272" s="1606"/>
      <c r="D272" s="1606"/>
      <c r="E272" s="1606"/>
      <c r="F272" s="1606"/>
      <c r="G272" s="1606"/>
      <c r="H272" s="1803"/>
      <c r="I272" s="1610"/>
      <c r="J272" s="1611"/>
      <c r="K272" s="1606"/>
    </row>
    <row r="273" spans="1:11">
      <c r="A273" s="1606"/>
      <c r="B273" s="1606"/>
      <c r="C273" s="1606"/>
      <c r="D273" s="1606"/>
      <c r="E273" s="1606"/>
      <c r="F273" s="1606"/>
      <c r="G273" s="1606"/>
      <c r="H273" s="1803"/>
      <c r="I273" s="1610"/>
      <c r="J273" s="1611"/>
      <c r="K273" s="1606"/>
    </row>
    <row r="274" spans="1:11">
      <c r="A274" s="1606"/>
      <c r="B274" s="1606"/>
      <c r="C274" s="1606"/>
      <c r="D274" s="1606"/>
      <c r="E274" s="1606"/>
      <c r="F274" s="1606"/>
      <c r="G274" s="1606"/>
      <c r="H274" s="1803"/>
      <c r="I274" s="1610"/>
      <c r="J274" s="1611"/>
      <c r="K274" s="1606"/>
    </row>
    <row r="275" spans="1:11">
      <c r="A275" s="1606"/>
      <c r="B275" s="1606"/>
      <c r="C275" s="1606"/>
      <c r="D275" s="1606"/>
      <c r="E275" s="1606"/>
      <c r="F275" s="1606"/>
      <c r="G275" s="1606"/>
      <c r="H275" s="1803"/>
      <c r="I275" s="1610"/>
      <c r="J275" s="1611"/>
      <c r="K275" s="1606"/>
    </row>
    <row r="276" spans="1:11">
      <c r="A276" s="1606"/>
      <c r="B276" s="1606"/>
      <c r="C276" s="1606"/>
      <c r="D276" s="1606"/>
      <c r="E276" s="1606"/>
      <c r="F276" s="1606"/>
      <c r="G276" s="1606"/>
      <c r="H276" s="1803"/>
      <c r="I276" s="1610"/>
      <c r="J276" s="1611"/>
      <c r="K276" s="1606"/>
    </row>
    <row r="277" spans="1:11">
      <c r="A277" s="1606"/>
      <c r="B277" s="1606"/>
      <c r="C277" s="1606"/>
      <c r="D277" s="1606"/>
      <c r="E277" s="1606"/>
      <c r="F277" s="1606"/>
      <c r="G277" s="1606"/>
      <c r="H277" s="1803"/>
      <c r="I277" s="1610"/>
      <c r="J277" s="1611"/>
      <c r="K277" s="1606"/>
    </row>
    <row r="278" spans="1:11">
      <c r="A278" s="1606"/>
      <c r="B278" s="1606"/>
      <c r="C278" s="1606"/>
      <c r="D278" s="1606"/>
      <c r="E278" s="1606"/>
      <c r="F278" s="1606"/>
      <c r="G278" s="1606"/>
      <c r="H278" s="1803"/>
      <c r="I278" s="1610"/>
      <c r="J278" s="1611"/>
      <c r="K278" s="1606"/>
    </row>
    <row r="279" spans="1:11">
      <c r="A279" s="1606"/>
      <c r="B279" s="1606"/>
      <c r="C279" s="1606"/>
      <c r="D279" s="1606"/>
      <c r="E279" s="1606"/>
      <c r="F279" s="1606"/>
      <c r="G279" s="1606"/>
      <c r="H279" s="1803"/>
      <c r="I279" s="1610"/>
      <c r="J279" s="1611"/>
      <c r="K279" s="1606"/>
    </row>
    <row r="280" spans="1:11">
      <c r="A280" s="1606"/>
      <c r="B280" s="1606"/>
      <c r="C280" s="1606"/>
      <c r="D280" s="1606"/>
      <c r="E280" s="1606"/>
      <c r="F280" s="1606"/>
      <c r="G280" s="1606"/>
      <c r="H280" s="1803"/>
      <c r="I280" s="1610"/>
      <c r="J280" s="1611"/>
      <c r="K280" s="1606"/>
    </row>
    <row r="281" spans="1:11" ht="15.75" thickBot="1">
      <c r="A281" s="1604"/>
      <c r="B281" s="1605"/>
      <c r="C281" s="1614"/>
      <c r="D281" s="1614"/>
      <c r="E281" s="1614"/>
      <c r="F281" s="1615"/>
      <c r="G281" s="1616"/>
      <c r="H281" s="1803"/>
      <c r="I281" s="1610"/>
      <c r="J281" s="1611"/>
      <c r="K281" s="1606"/>
    </row>
    <row r="282" spans="1:11" ht="20.25" thickBot="1">
      <c r="A282" s="1814"/>
      <c r="B282" s="1815"/>
      <c r="C282" s="1815"/>
      <c r="D282" s="1815"/>
      <c r="E282" s="1815"/>
      <c r="F282" s="1816">
        <f>SUM(F161:F169,F171:F281)</f>
        <v>0</v>
      </c>
      <c r="G282" s="1815"/>
      <c r="H282" s="1817">
        <f>SUM(H61:H281)</f>
        <v>10847.659540000004</v>
      </c>
      <c r="I282" s="1816">
        <f>SUM(I161:I281)</f>
        <v>0</v>
      </c>
      <c r="J282" s="1611"/>
      <c r="K282" s="1612"/>
    </row>
  </sheetData>
  <autoFilter ref="A1:K59" xr:uid="{2C801A9A-7A57-48CA-8FAF-6614D533B057}">
    <sortState xmlns:xlrd2="http://schemas.microsoft.com/office/spreadsheetml/2017/richdata2" ref="A2:K59">
      <sortCondition ref="B1:B59"/>
    </sortState>
  </autoFilter>
  <pageMargins left="0.511811024" right="0.511811024" top="0.78740157499999996" bottom="0.78740157499999996" header="0.31496062000000002" footer="0.3149606200000000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568A9-166D-422B-9147-AE016F6ACD73}">
  <dimension ref="A1:K282"/>
  <sheetViews>
    <sheetView zoomScale="85" zoomScaleNormal="85" workbookViewId="0">
      <pane ySplit="1" topLeftCell="A40" activePane="bottomLeft" state="frozen"/>
      <selection pane="bottomLeft" activeCell="I45" sqref="I45"/>
    </sheetView>
  </sheetViews>
  <sheetFormatPr defaultColWidth="9.140625" defaultRowHeight="15"/>
  <cols>
    <col min="1" max="1" width="15.140625" style="1613" bestFit="1" customWidth="1"/>
    <col min="2" max="2" width="11.5703125" style="1613" bestFit="1" customWidth="1"/>
    <col min="3" max="3" width="44" style="1613" bestFit="1" customWidth="1"/>
    <col min="4" max="4" width="22.28515625" style="1613" bestFit="1" customWidth="1"/>
    <col min="5" max="5" width="14.140625" style="1613" bestFit="1" customWidth="1"/>
    <col min="6" max="6" width="22" style="1613" bestFit="1" customWidth="1"/>
    <col min="7" max="7" width="13.42578125" style="1613" bestFit="1" customWidth="1"/>
    <col min="8" max="8" width="24.85546875" style="1613" bestFit="1" customWidth="1"/>
    <col min="9" max="9" width="21" style="1613" bestFit="1" customWidth="1"/>
    <col min="10" max="10" width="13.140625" style="1613" customWidth="1"/>
    <col min="11" max="11" width="15" style="1613" bestFit="1" customWidth="1"/>
    <col min="12" max="16384" width="9.140625" style="1613"/>
  </cols>
  <sheetData>
    <row r="1" spans="1:11" ht="14.25" customHeight="1">
      <c r="A1" s="1850" t="s">
        <v>2519</v>
      </c>
      <c r="B1" s="1851" t="s">
        <v>2</v>
      </c>
      <c r="C1" s="1851" t="s">
        <v>3</v>
      </c>
      <c r="D1" s="1851" t="s">
        <v>4</v>
      </c>
      <c r="E1" s="1851" t="s">
        <v>5</v>
      </c>
      <c r="F1" s="1852" t="s">
        <v>644</v>
      </c>
      <c r="G1" s="1853" t="s">
        <v>555</v>
      </c>
      <c r="H1" s="1854" t="s">
        <v>7</v>
      </c>
      <c r="I1" s="1855" t="s">
        <v>307</v>
      </c>
      <c r="J1" s="1853" t="s">
        <v>370</v>
      </c>
      <c r="K1" s="1856" t="s">
        <v>3013</v>
      </c>
    </row>
    <row r="2" spans="1:11" s="1860" customFormat="1" ht="15.75">
      <c r="A2" s="1040">
        <v>46049</v>
      </c>
      <c r="B2" s="1042">
        <v>46419</v>
      </c>
      <c r="C2" s="1683" t="s">
        <v>3155</v>
      </c>
      <c r="D2" s="1030" t="s">
        <v>448</v>
      </c>
      <c r="E2" s="1030" t="s">
        <v>19</v>
      </c>
      <c r="F2" s="1072">
        <v>2133.96</v>
      </c>
      <c r="G2" s="1073">
        <v>0.1</v>
      </c>
      <c r="H2" s="1067">
        <f t="shared" ref="H2:H33" si="0">F2*G2*(1-10%)</f>
        <v>192.05640000000002</v>
      </c>
      <c r="I2" s="1068">
        <v>19.2</v>
      </c>
      <c r="J2" s="1112" t="s">
        <v>1470</v>
      </c>
      <c r="K2" s="1601" t="s">
        <v>2015</v>
      </c>
    </row>
    <row r="3" spans="1:11" s="1031" customFormat="1" ht="15.75">
      <c r="A3" s="1040">
        <v>46052</v>
      </c>
      <c r="B3" s="1042">
        <v>46419</v>
      </c>
      <c r="C3" s="1683" t="s">
        <v>3158</v>
      </c>
      <c r="D3" s="1030" t="s">
        <v>448</v>
      </c>
      <c r="E3" s="1030" t="s">
        <v>723</v>
      </c>
      <c r="F3" s="1072">
        <v>2552.91</v>
      </c>
      <c r="G3" s="1073">
        <v>0.1</v>
      </c>
      <c r="H3" s="1067">
        <f t="shared" si="0"/>
        <v>229.7619</v>
      </c>
      <c r="I3" s="1068">
        <v>22.97</v>
      </c>
      <c r="J3" s="1112" t="s">
        <v>1470</v>
      </c>
      <c r="K3" s="1601" t="s">
        <v>2015</v>
      </c>
    </row>
    <row r="4" spans="1:11" s="1031" customFormat="1" ht="15.75">
      <c r="A4" s="1618">
        <v>46052</v>
      </c>
      <c r="B4" s="1618">
        <v>46419</v>
      </c>
      <c r="C4" s="1900" t="s">
        <v>3161</v>
      </c>
      <c r="D4" s="1606" t="s">
        <v>25</v>
      </c>
      <c r="E4" s="1606" t="s">
        <v>10</v>
      </c>
      <c r="F4" s="1795">
        <v>735.89</v>
      </c>
      <c r="G4" s="1608">
        <v>0.15</v>
      </c>
      <c r="H4" s="1609">
        <f t="shared" si="0"/>
        <v>99.345150000000004</v>
      </c>
      <c r="I4" s="1793"/>
      <c r="J4" s="1606"/>
      <c r="K4" s="1612" t="s">
        <v>2015</v>
      </c>
    </row>
    <row r="5" spans="1:11" s="1031" customFormat="1" ht="15.75">
      <c r="A5" s="1604">
        <v>46052</v>
      </c>
      <c r="B5" s="1605">
        <v>46419</v>
      </c>
      <c r="C5" s="1900" t="s">
        <v>3165</v>
      </c>
      <c r="D5" s="1614" t="s">
        <v>448</v>
      </c>
      <c r="E5" s="1614" t="s">
        <v>22</v>
      </c>
      <c r="F5" s="1615">
        <v>4879.62</v>
      </c>
      <c r="G5" s="1616">
        <v>0.1</v>
      </c>
      <c r="H5" s="1609">
        <f t="shared" si="0"/>
        <v>439.16579999999999</v>
      </c>
      <c r="I5" s="1610"/>
      <c r="J5" s="1611"/>
      <c r="K5" s="1612" t="s">
        <v>2015</v>
      </c>
    </row>
    <row r="6" spans="1:11" s="1224" customFormat="1" ht="15.75">
      <c r="A6" s="1618">
        <v>46055</v>
      </c>
      <c r="B6" s="1618">
        <v>46420</v>
      </c>
      <c r="C6" s="1900" t="s">
        <v>3169</v>
      </c>
      <c r="D6" s="1606" t="s">
        <v>448</v>
      </c>
      <c r="E6" s="1606" t="s">
        <v>10</v>
      </c>
      <c r="F6" s="1607">
        <v>1070.69</v>
      </c>
      <c r="G6" s="1608">
        <v>0.1</v>
      </c>
      <c r="H6" s="1609">
        <f t="shared" si="0"/>
        <v>96.362100000000012</v>
      </c>
      <c r="I6" s="1793"/>
      <c r="J6" s="1606"/>
      <c r="K6" s="1612" t="s">
        <v>2015</v>
      </c>
    </row>
    <row r="7" spans="1:11" s="1224" customFormat="1" ht="15.75">
      <c r="A7" s="1618">
        <v>46055</v>
      </c>
      <c r="B7" s="1618">
        <v>46420</v>
      </c>
      <c r="C7" s="1900" t="s">
        <v>3171</v>
      </c>
      <c r="D7" s="1606" t="s">
        <v>448</v>
      </c>
      <c r="E7" s="1606" t="s">
        <v>19</v>
      </c>
      <c r="F7" s="1795">
        <v>2265.81</v>
      </c>
      <c r="G7" s="1608">
        <v>0.1</v>
      </c>
      <c r="H7" s="1609">
        <f t="shared" si="0"/>
        <v>203.92290000000003</v>
      </c>
      <c r="I7" s="1793"/>
      <c r="J7" s="1606"/>
      <c r="K7" s="1612" t="s">
        <v>2015</v>
      </c>
    </row>
    <row r="8" spans="1:11" s="1031" customFormat="1" ht="15.75">
      <c r="A8" s="1878">
        <v>46057</v>
      </c>
      <c r="B8" s="1879">
        <v>46422</v>
      </c>
      <c r="C8" s="1902" t="s">
        <v>3172</v>
      </c>
      <c r="D8" s="1881" t="s">
        <v>70</v>
      </c>
      <c r="E8" s="1881" t="s">
        <v>279</v>
      </c>
      <c r="F8" s="1796">
        <v>1482.37</v>
      </c>
      <c r="G8" s="1797">
        <v>0.1</v>
      </c>
      <c r="H8" s="1609">
        <f t="shared" si="0"/>
        <v>133.41329999999999</v>
      </c>
      <c r="I8" s="1798"/>
      <c r="J8" s="1887"/>
      <c r="K8" s="1888" t="s">
        <v>2015</v>
      </c>
    </row>
    <row r="9" spans="1:11" s="1031" customFormat="1">
      <c r="A9" s="1604">
        <v>46058</v>
      </c>
      <c r="B9" s="1605">
        <v>46422</v>
      </c>
      <c r="C9" s="1903" t="s">
        <v>3176</v>
      </c>
      <c r="D9" s="1614" t="s">
        <v>9</v>
      </c>
      <c r="E9" s="1614" t="s">
        <v>279</v>
      </c>
      <c r="F9" s="1615">
        <v>1814.34</v>
      </c>
      <c r="G9" s="1616">
        <v>0.11</v>
      </c>
      <c r="H9" s="1609">
        <f t="shared" si="0"/>
        <v>179.61965999999998</v>
      </c>
      <c r="I9" s="1610"/>
      <c r="J9" s="1611"/>
      <c r="K9" s="1606" t="s">
        <v>2015</v>
      </c>
    </row>
    <row r="10" spans="1:11" s="1031" customFormat="1" ht="15" customHeight="1">
      <c r="A10" s="1604">
        <v>46057</v>
      </c>
      <c r="B10" s="1605">
        <v>46422</v>
      </c>
      <c r="C10" s="1903" t="s">
        <v>3189</v>
      </c>
      <c r="D10" s="1614" t="s">
        <v>448</v>
      </c>
      <c r="E10" s="1614" t="s">
        <v>279</v>
      </c>
      <c r="F10" s="1615">
        <v>543.66999999999996</v>
      </c>
      <c r="G10" s="1616">
        <v>0.1</v>
      </c>
      <c r="H10" s="1609">
        <f t="shared" si="0"/>
        <v>48.930299999999995</v>
      </c>
      <c r="I10" s="1610"/>
      <c r="J10" s="1611"/>
      <c r="K10" s="1612" t="s">
        <v>2015</v>
      </c>
    </row>
    <row r="11" spans="1:11" ht="15.75">
      <c r="A11" s="1604">
        <v>46058</v>
      </c>
      <c r="B11" s="1605">
        <v>46423</v>
      </c>
      <c r="C11" s="1903" t="s">
        <v>3178</v>
      </c>
      <c r="D11" s="1614" t="s">
        <v>2372</v>
      </c>
      <c r="E11" s="1614" t="s">
        <v>279</v>
      </c>
      <c r="F11" s="1615">
        <v>3847.57</v>
      </c>
      <c r="G11" s="1616">
        <v>0.1</v>
      </c>
      <c r="H11" s="1609">
        <f t="shared" si="0"/>
        <v>346.28130000000004</v>
      </c>
      <c r="I11" s="1610"/>
      <c r="J11" s="1611"/>
      <c r="K11" s="1612" t="s">
        <v>2015</v>
      </c>
    </row>
    <row r="12" spans="1:11" ht="15.75">
      <c r="A12" s="1604">
        <v>46058</v>
      </c>
      <c r="B12" s="1605">
        <v>46423</v>
      </c>
      <c r="C12" s="1900" t="s">
        <v>3179</v>
      </c>
      <c r="D12" s="1606" t="s">
        <v>198</v>
      </c>
      <c r="E12" s="1606" t="s">
        <v>19</v>
      </c>
      <c r="F12" s="1607">
        <v>870.85</v>
      </c>
      <c r="G12" s="1608">
        <v>0.25</v>
      </c>
      <c r="H12" s="1609">
        <f t="shared" si="0"/>
        <v>195.94125</v>
      </c>
      <c r="I12" s="1610"/>
      <c r="J12" s="1611"/>
      <c r="K12" s="1612" t="s">
        <v>2015</v>
      </c>
    </row>
    <row r="13" spans="1:11" ht="15.75">
      <c r="A13" s="1040">
        <v>46059</v>
      </c>
      <c r="B13" s="1042">
        <v>46424</v>
      </c>
      <c r="C13" s="1678" t="s">
        <v>3184</v>
      </c>
      <c r="D13" s="1027" t="s">
        <v>25</v>
      </c>
      <c r="E13" s="1027" t="s">
        <v>22</v>
      </c>
      <c r="F13" s="1090">
        <v>997.64</v>
      </c>
      <c r="G13" s="1066">
        <v>0.1</v>
      </c>
      <c r="H13" s="1635">
        <f t="shared" si="0"/>
        <v>89.787600000000012</v>
      </c>
      <c r="I13" s="1068">
        <v>8.9700000000000006</v>
      </c>
      <c r="J13" s="1112" t="s">
        <v>1470</v>
      </c>
      <c r="K13" s="1117" t="s">
        <v>2015</v>
      </c>
    </row>
    <row r="14" spans="1:11" s="1600" customFormat="1" ht="15.75">
      <c r="A14" s="1604">
        <v>46057</v>
      </c>
      <c r="B14" s="1605">
        <v>46424</v>
      </c>
      <c r="C14" s="1903" t="s">
        <v>3173</v>
      </c>
      <c r="D14" s="1614" t="s">
        <v>448</v>
      </c>
      <c r="E14" s="1606" t="s">
        <v>22</v>
      </c>
      <c r="F14" s="1607">
        <v>893.19</v>
      </c>
      <c r="G14" s="1608">
        <v>0.1</v>
      </c>
      <c r="H14" s="1803">
        <f t="shared" si="0"/>
        <v>80.387100000000018</v>
      </c>
      <c r="I14" s="1610"/>
      <c r="J14" s="1611"/>
      <c r="K14" s="1612" t="s">
        <v>2015</v>
      </c>
    </row>
    <row r="15" spans="1:11" ht="15.75">
      <c r="A15" s="1040">
        <v>46059</v>
      </c>
      <c r="B15" s="1042">
        <v>46425</v>
      </c>
      <c r="C15" s="1678" t="s">
        <v>2785</v>
      </c>
      <c r="D15" s="1030" t="s">
        <v>9</v>
      </c>
      <c r="E15" s="1027" t="s">
        <v>29</v>
      </c>
      <c r="F15" s="947">
        <v>2640.76</v>
      </c>
      <c r="G15" s="1066">
        <v>0.1</v>
      </c>
      <c r="H15" s="1635">
        <f t="shared" si="0"/>
        <v>237.66840000000002</v>
      </c>
      <c r="I15" s="1068">
        <v>23.76</v>
      </c>
      <c r="J15" s="1112" t="s">
        <v>1470</v>
      </c>
      <c r="K15" s="1117" t="s">
        <v>2015</v>
      </c>
    </row>
    <row r="16" spans="1:11" ht="15.75">
      <c r="A16" s="1604">
        <v>46058</v>
      </c>
      <c r="B16" s="1605">
        <v>46425</v>
      </c>
      <c r="C16" s="1900" t="s">
        <v>3177</v>
      </c>
      <c r="D16" s="1614" t="s">
        <v>9</v>
      </c>
      <c r="E16" s="1606" t="s">
        <v>19</v>
      </c>
      <c r="F16" s="1607">
        <v>1651.64</v>
      </c>
      <c r="G16" s="1608">
        <v>0.1</v>
      </c>
      <c r="H16" s="1803">
        <f t="shared" si="0"/>
        <v>148.64760000000001</v>
      </c>
      <c r="I16" s="1610"/>
      <c r="J16" s="1611"/>
      <c r="K16" s="1612" t="s">
        <v>2015</v>
      </c>
    </row>
    <row r="17" spans="1:11" s="1031" customFormat="1">
      <c r="A17" s="1040">
        <v>46062</v>
      </c>
      <c r="B17" s="1042">
        <v>46427</v>
      </c>
      <c r="C17" s="1041" t="s">
        <v>3180</v>
      </c>
      <c r="D17" s="1042"/>
      <c r="E17" s="1041" t="s">
        <v>3101</v>
      </c>
      <c r="F17" s="1090">
        <v>2369.1999999999998</v>
      </c>
      <c r="G17" s="1066">
        <v>0.1</v>
      </c>
      <c r="H17" s="1635">
        <f t="shared" si="0"/>
        <v>213.22799999999998</v>
      </c>
      <c r="I17" s="1234">
        <v>21.32</v>
      </c>
      <c r="J17" s="1513" t="s">
        <v>1470</v>
      </c>
      <c r="K17" s="1041" t="s">
        <v>2274</v>
      </c>
    </row>
    <row r="18" spans="1:11" ht="15.75">
      <c r="A18" s="1618">
        <v>46058</v>
      </c>
      <c r="B18" s="1618">
        <v>46427</v>
      </c>
      <c r="C18" s="1606" t="s">
        <v>2786</v>
      </c>
      <c r="D18" s="1606" t="s">
        <v>376</v>
      </c>
      <c r="E18" s="1606" t="s">
        <v>90</v>
      </c>
      <c r="F18" s="1620">
        <v>2458.5700000000002</v>
      </c>
      <c r="G18" s="1608">
        <v>0.1</v>
      </c>
      <c r="H18" s="1803">
        <f t="shared" si="0"/>
        <v>221.27130000000002</v>
      </c>
      <c r="I18" s="1610"/>
      <c r="J18" s="1611"/>
      <c r="K18" s="1612" t="s">
        <v>2015</v>
      </c>
    </row>
    <row r="19" spans="1:11">
      <c r="A19" s="1618">
        <v>46064</v>
      </c>
      <c r="B19" s="1618">
        <v>46429</v>
      </c>
      <c r="C19" s="1606" t="s">
        <v>3182</v>
      </c>
      <c r="D19" s="1606" t="s">
        <v>9</v>
      </c>
      <c r="E19" s="1606" t="s">
        <v>1310</v>
      </c>
      <c r="F19" s="1607">
        <v>3846.82</v>
      </c>
      <c r="G19" s="1608">
        <v>0.1</v>
      </c>
      <c r="H19" s="1803">
        <f t="shared" si="0"/>
        <v>346.21380000000005</v>
      </c>
      <c r="I19" s="1610"/>
      <c r="J19" s="1611"/>
      <c r="K19" s="1606" t="s">
        <v>2015</v>
      </c>
    </row>
    <row r="20" spans="1:11">
      <c r="A20" s="1040">
        <v>46066</v>
      </c>
      <c r="B20" s="1041">
        <v>46431</v>
      </c>
      <c r="C20" s="1027" t="s">
        <v>3186</v>
      </c>
      <c r="D20" s="1030" t="s">
        <v>448</v>
      </c>
      <c r="E20" s="1027" t="s">
        <v>143</v>
      </c>
      <c r="F20" s="1634">
        <v>2337.02</v>
      </c>
      <c r="G20" s="1066">
        <v>0.1</v>
      </c>
      <c r="H20" s="1635">
        <f t="shared" si="0"/>
        <v>210.33180000000002</v>
      </c>
      <c r="I20" s="1068">
        <v>21.03</v>
      </c>
      <c r="J20" s="1112" t="s">
        <v>1470</v>
      </c>
      <c r="K20" s="1785" t="s">
        <v>2274</v>
      </c>
    </row>
    <row r="21" spans="1:11" ht="15.75">
      <c r="A21" s="1604">
        <v>46064</v>
      </c>
      <c r="B21" s="1618">
        <v>46431</v>
      </c>
      <c r="C21" s="1606" t="s">
        <v>3183</v>
      </c>
      <c r="D21" s="1614" t="s">
        <v>25</v>
      </c>
      <c r="E21" s="1606" t="s">
        <v>10</v>
      </c>
      <c r="F21" s="1607">
        <v>1549.49</v>
      </c>
      <c r="G21" s="1608">
        <v>0.1</v>
      </c>
      <c r="H21" s="1803">
        <f t="shared" si="0"/>
        <v>139.45410000000001</v>
      </c>
      <c r="I21" s="1610"/>
      <c r="J21" s="1611"/>
      <c r="K21" s="1612" t="s">
        <v>2015</v>
      </c>
    </row>
    <row r="22" spans="1:11" s="1031" customFormat="1" ht="15.75">
      <c r="A22" s="1604">
        <v>46066</v>
      </c>
      <c r="B22" s="1618">
        <v>46431</v>
      </c>
      <c r="C22" s="1606" t="s">
        <v>3188</v>
      </c>
      <c r="D22" s="1614" t="s">
        <v>70</v>
      </c>
      <c r="E22" s="1606" t="s">
        <v>22</v>
      </c>
      <c r="F22" s="1607">
        <v>983.17</v>
      </c>
      <c r="G22" s="1608">
        <v>0.1</v>
      </c>
      <c r="H22" s="1803">
        <f t="shared" si="0"/>
        <v>88.485300000000009</v>
      </c>
      <c r="I22" s="1610"/>
      <c r="J22" s="1611"/>
      <c r="K22" s="1612" t="s">
        <v>2015</v>
      </c>
    </row>
    <row r="23" spans="1:11" ht="15.75">
      <c r="A23" s="1948">
        <v>46066</v>
      </c>
      <c r="B23" s="1948">
        <v>46432</v>
      </c>
      <c r="C23" s="1283" t="s">
        <v>3187</v>
      </c>
      <c r="D23" s="1283" t="s">
        <v>25</v>
      </c>
      <c r="E23" s="1283" t="s">
        <v>10</v>
      </c>
      <c r="F23" s="1958">
        <v>1126.02</v>
      </c>
      <c r="G23" s="1950">
        <v>0.1</v>
      </c>
      <c r="H23" s="1951">
        <f t="shared" si="0"/>
        <v>101.34180000000001</v>
      </c>
      <c r="I23" s="1956">
        <v>116.3</v>
      </c>
      <c r="J23" s="1283" t="s">
        <v>1470</v>
      </c>
      <c r="K23" s="1957" t="s">
        <v>2015</v>
      </c>
    </row>
    <row r="24" spans="1:11" ht="15.75">
      <c r="A24" s="1604">
        <v>46073</v>
      </c>
      <c r="B24" s="1618">
        <v>46433</v>
      </c>
      <c r="C24" s="1613" t="s">
        <v>3195</v>
      </c>
      <c r="D24" s="1614" t="s">
        <v>448</v>
      </c>
      <c r="E24" s="1614" t="s">
        <v>10</v>
      </c>
      <c r="F24" s="1620">
        <v>2118.75</v>
      </c>
      <c r="G24" s="1608">
        <v>0.1</v>
      </c>
      <c r="H24" s="1803">
        <f t="shared" si="0"/>
        <v>190.6875</v>
      </c>
      <c r="I24" s="1610"/>
      <c r="J24" s="1611"/>
      <c r="K24" s="1612" t="s">
        <v>2015</v>
      </c>
    </row>
    <row r="25" spans="1:11" ht="15.75">
      <c r="A25" s="1223">
        <v>46072</v>
      </c>
      <c r="B25" s="1472">
        <v>46434</v>
      </c>
      <c r="C25" s="1224" t="s">
        <v>3148</v>
      </c>
      <c r="D25" s="1225" t="s">
        <v>448</v>
      </c>
      <c r="E25" s="1225" t="s">
        <v>19</v>
      </c>
      <c r="F25" s="1477">
        <v>6816.45</v>
      </c>
      <c r="G25" s="1480">
        <v>0.1</v>
      </c>
      <c r="H25" s="1859">
        <f t="shared" si="0"/>
        <v>613.48050000000001</v>
      </c>
      <c r="I25" s="1227">
        <f>613.48/2</f>
        <v>306.74</v>
      </c>
      <c r="J25" s="1228" t="s">
        <v>1577</v>
      </c>
      <c r="K25" s="1231" t="s">
        <v>2015</v>
      </c>
    </row>
    <row r="26" spans="1:11" ht="15.75">
      <c r="A26" s="1604">
        <v>46066</v>
      </c>
      <c r="B26" s="1605">
        <v>46434</v>
      </c>
      <c r="C26" s="1606" t="s">
        <v>3185</v>
      </c>
      <c r="D26" s="1614" t="s">
        <v>25</v>
      </c>
      <c r="E26" s="1614" t="s">
        <v>279</v>
      </c>
      <c r="F26" s="1615">
        <v>436.7</v>
      </c>
      <c r="G26" s="1616">
        <v>0.1</v>
      </c>
      <c r="H26" s="1803">
        <f t="shared" si="0"/>
        <v>39.303000000000004</v>
      </c>
      <c r="I26" s="1610"/>
      <c r="J26" s="1611"/>
      <c r="K26" s="1612" t="s">
        <v>2015</v>
      </c>
    </row>
    <row r="27" spans="1:11" ht="15.75">
      <c r="A27" s="1604">
        <v>46064</v>
      </c>
      <c r="B27" s="1605">
        <v>46436</v>
      </c>
      <c r="C27" s="1606" t="s">
        <v>3181</v>
      </c>
      <c r="D27" s="1614" t="s">
        <v>848</v>
      </c>
      <c r="E27" s="1614" t="s">
        <v>143</v>
      </c>
      <c r="F27" s="1615">
        <v>1782.25</v>
      </c>
      <c r="G27" s="1616">
        <v>0.2</v>
      </c>
      <c r="H27" s="1803">
        <f t="shared" si="0"/>
        <v>320.80500000000006</v>
      </c>
      <c r="I27" s="1610"/>
      <c r="J27" s="1611"/>
      <c r="K27" s="1612" t="s">
        <v>2015</v>
      </c>
    </row>
    <row r="28" spans="1:11" ht="15.75">
      <c r="A28" s="1618">
        <v>46072</v>
      </c>
      <c r="B28" s="1618">
        <v>46437</v>
      </c>
      <c r="C28" s="1606" t="s">
        <v>2468</v>
      </c>
      <c r="D28" s="1606" t="s">
        <v>448</v>
      </c>
      <c r="E28" s="1606" t="s">
        <v>723</v>
      </c>
      <c r="F28" s="1607">
        <v>1357.57</v>
      </c>
      <c r="G28" s="1608">
        <v>0.15</v>
      </c>
      <c r="H28" s="1803">
        <f t="shared" si="0"/>
        <v>183.27194999999998</v>
      </c>
      <c r="I28" s="1793"/>
      <c r="J28" s="1606"/>
      <c r="K28" s="1612" t="s">
        <v>2015</v>
      </c>
    </row>
    <row r="29" spans="1:11" ht="15.75">
      <c r="A29" s="1040">
        <v>46072</v>
      </c>
      <c r="B29" s="1042">
        <v>46438</v>
      </c>
      <c r="C29" s="1027" t="s">
        <v>3191</v>
      </c>
      <c r="D29" s="1030" t="s">
        <v>448</v>
      </c>
      <c r="E29" s="1030" t="s">
        <v>19</v>
      </c>
      <c r="F29" s="1120">
        <v>1519.85</v>
      </c>
      <c r="G29" s="1073">
        <v>0.1</v>
      </c>
      <c r="H29" s="1635">
        <f t="shared" si="0"/>
        <v>136.78649999999999</v>
      </c>
      <c r="I29" s="1068">
        <v>13.67</v>
      </c>
      <c r="J29" s="1112" t="s">
        <v>1470</v>
      </c>
      <c r="K29" s="1117" t="s">
        <v>2015</v>
      </c>
    </row>
    <row r="30" spans="1:11" ht="15.75">
      <c r="A30" s="1604">
        <v>46072</v>
      </c>
      <c r="B30" s="1605">
        <v>46438</v>
      </c>
      <c r="C30" s="1614" t="s">
        <v>2470</v>
      </c>
      <c r="D30" s="1614" t="s">
        <v>9</v>
      </c>
      <c r="E30" s="1614" t="s">
        <v>19</v>
      </c>
      <c r="F30" s="1615">
        <v>1511.55</v>
      </c>
      <c r="G30" s="1616">
        <v>0.2</v>
      </c>
      <c r="H30" s="1803">
        <f t="shared" si="0"/>
        <v>272.07900000000001</v>
      </c>
      <c r="I30" s="1610"/>
      <c r="J30" s="1611"/>
      <c r="K30" s="1612" t="s">
        <v>2015</v>
      </c>
    </row>
    <row r="31" spans="1:11" ht="15.75">
      <c r="A31" s="1604">
        <v>46073</v>
      </c>
      <c r="B31" s="1605">
        <v>46439</v>
      </c>
      <c r="C31" s="1614" t="s">
        <v>3194</v>
      </c>
      <c r="D31" s="1614" t="s">
        <v>21</v>
      </c>
      <c r="E31" s="1614" t="s">
        <v>19</v>
      </c>
      <c r="F31" s="1615">
        <v>2869.92</v>
      </c>
      <c r="G31" s="1616">
        <v>0.15</v>
      </c>
      <c r="H31" s="1803">
        <f t="shared" si="0"/>
        <v>387.43920000000003</v>
      </c>
      <c r="I31" s="1610"/>
      <c r="J31" s="1611"/>
      <c r="K31" s="1612" t="s">
        <v>2015</v>
      </c>
    </row>
    <row r="32" spans="1:11" ht="15.75">
      <c r="A32" s="1604">
        <v>46073</v>
      </c>
      <c r="B32" s="1605">
        <v>46440</v>
      </c>
      <c r="C32" s="1606" t="s">
        <v>2473</v>
      </c>
      <c r="D32" s="1614" t="s">
        <v>448</v>
      </c>
      <c r="E32" s="1614" t="s">
        <v>29</v>
      </c>
      <c r="F32" s="1615">
        <v>1488.69</v>
      </c>
      <c r="G32" s="1616">
        <v>0.1</v>
      </c>
      <c r="H32" s="1803">
        <f t="shared" si="0"/>
        <v>133.9821</v>
      </c>
      <c r="I32" s="1610"/>
      <c r="J32" s="1611"/>
      <c r="K32" s="1612" t="s">
        <v>2015</v>
      </c>
    </row>
    <row r="33" spans="1:11" ht="15.75">
      <c r="A33" s="1604">
        <v>46073</v>
      </c>
      <c r="B33" s="1605">
        <v>46440</v>
      </c>
      <c r="C33" s="1614" t="s">
        <v>3192</v>
      </c>
      <c r="D33" s="1614" t="s">
        <v>9</v>
      </c>
      <c r="E33" s="1606" t="s">
        <v>948</v>
      </c>
      <c r="F33" s="1607">
        <v>1315.44</v>
      </c>
      <c r="G33" s="1608">
        <v>0.1</v>
      </c>
      <c r="H33" s="1803">
        <f t="shared" si="0"/>
        <v>118.38960000000002</v>
      </c>
      <c r="I33" s="1610"/>
      <c r="J33" s="1611"/>
      <c r="K33" s="1612" t="s">
        <v>2015</v>
      </c>
    </row>
    <row r="34" spans="1:11" ht="15.75">
      <c r="A34" s="1474">
        <v>46076</v>
      </c>
      <c r="B34" s="1475">
        <v>46441</v>
      </c>
      <c r="C34" s="1476" t="s">
        <v>3196</v>
      </c>
      <c r="D34" s="1476" t="s">
        <v>448</v>
      </c>
      <c r="E34" s="1476" t="s">
        <v>279</v>
      </c>
      <c r="F34" s="1479">
        <v>1598.61</v>
      </c>
      <c r="G34" s="1481">
        <v>0.1</v>
      </c>
      <c r="H34" s="1889">
        <f t="shared" ref="H34:H60" si="1">F34*G34*(1-10%)</f>
        <v>143.8749</v>
      </c>
      <c r="I34" s="1482">
        <f>143.87/2</f>
        <v>71.935000000000002</v>
      </c>
      <c r="J34" s="1483" t="s">
        <v>2870</v>
      </c>
      <c r="K34" s="1470" t="s">
        <v>2274</v>
      </c>
    </row>
    <row r="35" spans="1:11" ht="15.75">
      <c r="A35" s="1040">
        <v>46073</v>
      </c>
      <c r="B35" s="1041">
        <v>46441</v>
      </c>
      <c r="C35" s="1027" t="s">
        <v>3193</v>
      </c>
      <c r="D35" s="1030" t="s">
        <v>448</v>
      </c>
      <c r="E35" s="1027" t="s">
        <v>1593</v>
      </c>
      <c r="F35" s="947">
        <v>1709.54</v>
      </c>
      <c r="G35" s="1066">
        <v>0.1</v>
      </c>
      <c r="H35" s="1635">
        <f t="shared" si="1"/>
        <v>153.85860000000002</v>
      </c>
      <c r="I35" s="1068">
        <v>15.38</v>
      </c>
      <c r="J35" s="1112" t="s">
        <v>1470</v>
      </c>
      <c r="K35" s="1117" t="s">
        <v>2015</v>
      </c>
    </row>
    <row r="36" spans="1:11" s="1031" customFormat="1" ht="15.75">
      <c r="A36" s="1040">
        <v>46077</v>
      </c>
      <c r="B36" s="1042">
        <v>46442</v>
      </c>
      <c r="C36" s="1030" t="s">
        <v>3197</v>
      </c>
      <c r="D36" s="1030" t="s">
        <v>448</v>
      </c>
      <c r="E36" s="1030" t="s">
        <v>279</v>
      </c>
      <c r="F36" s="1508">
        <v>2012.84</v>
      </c>
      <c r="G36" s="1073">
        <v>0.1</v>
      </c>
      <c r="H36" s="1635">
        <f t="shared" si="1"/>
        <v>181.15559999999999</v>
      </c>
      <c r="I36" s="1068">
        <v>18.11</v>
      </c>
      <c r="J36" s="1112" t="s">
        <v>1470</v>
      </c>
      <c r="K36" s="1117" t="s">
        <v>2274</v>
      </c>
    </row>
    <row r="37" spans="1:11" ht="15.75">
      <c r="A37" s="1223">
        <v>46077</v>
      </c>
      <c r="B37" s="1472">
        <v>46442</v>
      </c>
      <c r="C37" s="1225" t="s">
        <v>3198</v>
      </c>
      <c r="D37" s="1225" t="s">
        <v>448</v>
      </c>
      <c r="E37" s="1224" t="s">
        <v>19</v>
      </c>
      <c r="F37" s="1407">
        <v>2517.56</v>
      </c>
      <c r="G37" s="1409">
        <v>0.1</v>
      </c>
      <c r="H37" s="1859">
        <f t="shared" si="1"/>
        <v>226.5804</v>
      </c>
      <c r="I37" s="1227">
        <f>226.58/2</f>
        <v>113.29</v>
      </c>
      <c r="J37" s="1228" t="s">
        <v>1577</v>
      </c>
      <c r="K37" s="1231" t="s">
        <v>2274</v>
      </c>
    </row>
    <row r="38" spans="1:11" ht="15.75">
      <c r="A38" s="1040">
        <v>46078</v>
      </c>
      <c r="B38" s="1042">
        <v>46443</v>
      </c>
      <c r="C38" s="1030" t="s">
        <v>3200</v>
      </c>
      <c r="D38" s="1030" t="s">
        <v>1924</v>
      </c>
      <c r="E38" s="1030" t="s">
        <v>458</v>
      </c>
      <c r="F38" s="1072">
        <v>2643.89</v>
      </c>
      <c r="G38" s="1073">
        <v>0.1</v>
      </c>
      <c r="H38" s="1635">
        <f t="shared" si="1"/>
        <v>237.95010000000002</v>
      </c>
      <c r="I38" s="1068">
        <v>23.79</v>
      </c>
      <c r="J38" s="1112" t="s">
        <v>1470</v>
      </c>
      <c r="K38" s="1117" t="s">
        <v>2274</v>
      </c>
    </row>
    <row r="39" spans="1:11" ht="15.75">
      <c r="A39" s="1604">
        <v>46078</v>
      </c>
      <c r="B39" s="1605">
        <v>46443</v>
      </c>
      <c r="C39" s="1614" t="s">
        <v>3199</v>
      </c>
      <c r="D39" s="1614" t="s">
        <v>448</v>
      </c>
      <c r="E39" s="1614" t="s">
        <v>29</v>
      </c>
      <c r="F39" s="1615">
        <v>5022.75</v>
      </c>
      <c r="G39" s="1616">
        <v>0.1</v>
      </c>
      <c r="H39" s="1803">
        <f t="shared" si="1"/>
        <v>452.04750000000001</v>
      </c>
      <c r="I39" s="1610"/>
      <c r="J39" s="1611"/>
      <c r="K39" s="1612" t="s">
        <v>2015</v>
      </c>
    </row>
    <row r="40" spans="1:11" ht="15.75">
      <c r="A40" s="1040">
        <v>46079</v>
      </c>
      <c r="B40" s="1042">
        <v>46444</v>
      </c>
      <c r="C40" s="1027" t="s">
        <v>3201</v>
      </c>
      <c r="D40" s="1030"/>
      <c r="E40" s="1030" t="s">
        <v>3080</v>
      </c>
      <c r="F40" s="1072">
        <v>2899.62</v>
      </c>
      <c r="G40" s="1073">
        <v>0.1</v>
      </c>
      <c r="H40" s="1635">
        <f t="shared" si="1"/>
        <v>260.9658</v>
      </c>
      <c r="I40" s="1068">
        <v>26.09</v>
      </c>
      <c r="J40" s="1112" t="s">
        <v>1470</v>
      </c>
      <c r="K40" s="1117" t="s">
        <v>2274</v>
      </c>
    </row>
    <row r="41" spans="1:11" ht="15.75">
      <c r="A41" s="1604">
        <v>46071</v>
      </c>
      <c r="B41" s="1605">
        <v>46444</v>
      </c>
      <c r="C41" s="1606" t="s">
        <v>2795</v>
      </c>
      <c r="D41" s="1614" t="s">
        <v>448</v>
      </c>
      <c r="E41" s="1614" t="s">
        <v>10</v>
      </c>
      <c r="F41" s="1794">
        <v>1860.11</v>
      </c>
      <c r="G41" s="1616">
        <v>0.1</v>
      </c>
      <c r="H41" s="1803">
        <f t="shared" si="1"/>
        <v>167.40989999999999</v>
      </c>
      <c r="I41" s="1610"/>
      <c r="J41" s="1611"/>
      <c r="K41" s="1612" t="s">
        <v>2015</v>
      </c>
    </row>
    <row r="42" spans="1:11" ht="15.75">
      <c r="A42" s="1223">
        <v>46072</v>
      </c>
      <c r="B42" s="1472">
        <v>46445</v>
      </c>
      <c r="C42" s="1225" t="s">
        <v>3190</v>
      </c>
      <c r="D42" s="1225" t="s">
        <v>25</v>
      </c>
      <c r="E42" s="1225" t="s">
        <v>10</v>
      </c>
      <c r="F42" s="1516">
        <v>2238.38</v>
      </c>
      <c r="G42" s="1480">
        <v>0.1</v>
      </c>
      <c r="H42" s="1859">
        <f t="shared" si="1"/>
        <v>201.45420000000001</v>
      </c>
      <c r="I42" s="1227">
        <f>201.45/2</f>
        <v>100.72499999999999</v>
      </c>
      <c r="J42" s="1228" t="s">
        <v>1577</v>
      </c>
      <c r="K42" s="1231" t="s">
        <v>2274</v>
      </c>
    </row>
    <row r="43" spans="1:11" ht="15.75">
      <c r="A43" s="1223">
        <v>46077</v>
      </c>
      <c r="B43" s="1472">
        <v>46445</v>
      </c>
      <c r="C43" s="1225" t="s">
        <v>2548</v>
      </c>
      <c r="D43" s="1225" t="s">
        <v>1862</v>
      </c>
      <c r="E43" s="1225" t="s">
        <v>1552</v>
      </c>
      <c r="F43" s="1477">
        <v>2109.9499999999998</v>
      </c>
      <c r="G43" s="1480">
        <v>0.2</v>
      </c>
      <c r="H43" s="1859">
        <f t="shared" si="1"/>
        <v>379.791</v>
      </c>
      <c r="I43" s="1227">
        <f>379.79/2</f>
        <v>189.89500000000001</v>
      </c>
      <c r="J43" s="1228" t="s">
        <v>1577</v>
      </c>
      <c r="K43" s="1231" t="s">
        <v>2015</v>
      </c>
    </row>
    <row r="44" spans="1:11" ht="15.75">
      <c r="A44" s="1604">
        <v>46077</v>
      </c>
      <c r="B44" s="1605">
        <v>46446</v>
      </c>
      <c r="C44" s="1614" t="s">
        <v>3062</v>
      </c>
      <c r="D44" s="1614" t="s">
        <v>448</v>
      </c>
      <c r="E44" s="1614" t="s">
        <v>948</v>
      </c>
      <c r="F44" s="1615">
        <v>1033.72</v>
      </c>
      <c r="G44" s="1616">
        <v>0.1</v>
      </c>
      <c r="H44" s="1803">
        <f t="shared" si="1"/>
        <v>93.034800000000018</v>
      </c>
      <c r="I44" s="1799"/>
      <c r="J44" s="1611"/>
      <c r="K44" s="1612" t="s">
        <v>2015</v>
      </c>
    </row>
    <row r="45" spans="1:11" ht="15.75">
      <c r="A45" s="1367">
        <v>46085</v>
      </c>
      <c r="B45" s="1390">
        <v>46474</v>
      </c>
      <c r="C45" s="1368" t="s">
        <v>3203</v>
      </c>
      <c r="D45" s="1368" t="s">
        <v>448</v>
      </c>
      <c r="E45" s="1368" t="s">
        <v>19</v>
      </c>
      <c r="F45" s="1478">
        <v>1928.3</v>
      </c>
      <c r="G45" s="1430">
        <v>0.15</v>
      </c>
      <c r="H45" s="1861">
        <f t="shared" si="1"/>
        <v>260.32050000000004</v>
      </c>
      <c r="I45" s="1959"/>
      <c r="J45" s="1370" t="s">
        <v>1759</v>
      </c>
      <c r="K45" s="1341" t="s">
        <v>2015</v>
      </c>
    </row>
    <row r="46" spans="1:11" ht="15.75">
      <c r="A46" s="1604">
        <v>46055</v>
      </c>
      <c r="B46" s="1605" t="s">
        <v>1805</v>
      </c>
      <c r="C46" s="1614" t="s">
        <v>3170</v>
      </c>
      <c r="D46" s="1614" t="s">
        <v>14</v>
      </c>
      <c r="E46" s="1614" t="s">
        <v>29</v>
      </c>
      <c r="F46" s="1615">
        <v>508.59</v>
      </c>
      <c r="G46" s="1616">
        <v>0.1</v>
      </c>
      <c r="H46" s="1803">
        <f t="shared" si="1"/>
        <v>45.773099999999999</v>
      </c>
      <c r="I46" s="1610"/>
      <c r="J46" s="1611"/>
      <c r="K46" s="1612" t="s">
        <v>1805</v>
      </c>
    </row>
    <row r="47" spans="1:11" ht="15.75">
      <c r="A47" s="1604">
        <v>46057</v>
      </c>
      <c r="B47" s="1605" t="s">
        <v>1805</v>
      </c>
      <c r="C47" s="1614" t="s">
        <v>3174</v>
      </c>
      <c r="D47" s="1614" t="s">
        <v>25</v>
      </c>
      <c r="E47" s="1614" t="s">
        <v>29</v>
      </c>
      <c r="F47" s="1615">
        <v>246.43</v>
      </c>
      <c r="G47" s="1616">
        <v>0.1</v>
      </c>
      <c r="H47" s="1803">
        <f t="shared" si="1"/>
        <v>22.178700000000003</v>
      </c>
      <c r="I47" s="1610"/>
      <c r="J47" s="1611"/>
      <c r="K47" s="1612" t="s">
        <v>1805</v>
      </c>
    </row>
    <row r="48" spans="1:11" ht="15.75">
      <c r="A48" s="1604"/>
      <c r="B48" s="1605"/>
      <c r="C48" s="1614"/>
      <c r="D48" s="1614"/>
      <c r="E48" s="1614"/>
      <c r="F48" s="1615"/>
      <c r="G48" s="1616"/>
      <c r="H48" s="1803">
        <f t="shared" si="1"/>
        <v>0</v>
      </c>
      <c r="I48" s="1610"/>
      <c r="J48" s="1611"/>
      <c r="K48" s="1612"/>
    </row>
    <row r="49" spans="1:11" ht="15.75">
      <c r="A49" s="1604"/>
      <c r="B49" s="1605"/>
      <c r="C49" s="1614"/>
      <c r="D49" s="1614"/>
      <c r="E49" s="1614"/>
      <c r="F49" s="1615"/>
      <c r="G49" s="1616"/>
      <c r="H49" s="1803">
        <f t="shared" si="1"/>
        <v>0</v>
      </c>
      <c r="I49" s="1610"/>
      <c r="J49" s="1611"/>
      <c r="K49" s="1612"/>
    </row>
    <row r="50" spans="1:11" ht="15.75">
      <c r="A50" s="1604"/>
      <c r="B50" s="1605"/>
      <c r="C50" s="1614"/>
      <c r="D50" s="1614"/>
      <c r="E50" s="1614"/>
      <c r="F50" s="1802"/>
      <c r="G50" s="1616"/>
      <c r="H50" s="1803">
        <f t="shared" si="1"/>
        <v>0</v>
      </c>
      <c r="I50" s="1610"/>
      <c r="J50" s="1611"/>
      <c r="K50" s="1612"/>
    </row>
    <row r="51" spans="1:11" ht="15.75">
      <c r="A51" s="1604"/>
      <c r="B51" s="1605"/>
      <c r="C51" s="1614"/>
      <c r="D51" s="1614"/>
      <c r="E51" s="1614"/>
      <c r="F51" s="1615"/>
      <c r="G51" s="1616"/>
      <c r="H51" s="1803">
        <f t="shared" si="1"/>
        <v>0</v>
      </c>
      <c r="I51" s="1610"/>
      <c r="J51" s="1611"/>
      <c r="K51" s="1612"/>
    </row>
    <row r="52" spans="1:11" ht="15.75">
      <c r="A52" s="1604"/>
      <c r="B52" s="1605"/>
      <c r="C52" s="1614"/>
      <c r="D52" s="1614"/>
      <c r="E52" s="1614"/>
      <c r="F52" s="1615"/>
      <c r="G52" s="1616"/>
      <c r="H52" s="1803">
        <f t="shared" si="1"/>
        <v>0</v>
      </c>
      <c r="I52" s="1610"/>
      <c r="J52" s="1611"/>
      <c r="K52" s="1612"/>
    </row>
    <row r="53" spans="1:11" ht="15.75">
      <c r="A53" s="1604"/>
      <c r="B53" s="1605"/>
      <c r="C53" s="1614"/>
      <c r="D53" s="1614"/>
      <c r="E53" s="1614"/>
      <c r="F53" s="1615"/>
      <c r="G53" s="1616"/>
      <c r="H53" s="1803">
        <f t="shared" si="1"/>
        <v>0</v>
      </c>
      <c r="I53" s="1610"/>
      <c r="J53" s="1611"/>
      <c r="K53" s="1612"/>
    </row>
    <row r="54" spans="1:11" ht="15.75">
      <c r="A54" s="1604"/>
      <c r="B54" s="1605"/>
      <c r="C54" s="1614"/>
      <c r="D54" s="1614"/>
      <c r="E54" s="1614"/>
      <c r="F54" s="1615"/>
      <c r="G54" s="1616"/>
      <c r="H54" s="1803">
        <f t="shared" si="1"/>
        <v>0</v>
      </c>
      <c r="I54" s="1610"/>
      <c r="J54" s="1611"/>
      <c r="K54" s="1612"/>
    </row>
    <row r="55" spans="1:11" ht="15.75">
      <c r="A55" s="1604"/>
      <c r="B55" s="1605"/>
      <c r="C55" s="1614"/>
      <c r="D55" s="1614"/>
      <c r="E55" s="1614"/>
      <c r="F55" s="1615"/>
      <c r="G55" s="1616"/>
      <c r="H55" s="1803">
        <f t="shared" si="1"/>
        <v>0</v>
      </c>
      <c r="I55" s="1610"/>
      <c r="J55" s="1611"/>
      <c r="K55" s="1612"/>
    </row>
    <row r="56" spans="1:11" ht="15.75">
      <c r="A56" s="1604"/>
      <c r="B56" s="1605"/>
      <c r="C56" s="1614"/>
      <c r="D56" s="1614"/>
      <c r="E56" s="1614"/>
      <c r="F56" s="1615"/>
      <c r="G56" s="1616"/>
      <c r="H56" s="1803">
        <f t="shared" si="1"/>
        <v>0</v>
      </c>
      <c r="I56" s="1610"/>
      <c r="J56" s="1611"/>
      <c r="K56" s="1612"/>
    </row>
    <row r="57" spans="1:11" ht="15.75">
      <c r="A57" s="1604"/>
      <c r="B57" s="1605"/>
      <c r="C57" s="1614"/>
      <c r="D57" s="1614"/>
      <c r="E57" s="1614"/>
      <c r="F57" s="1615"/>
      <c r="G57" s="1616"/>
      <c r="H57" s="1803">
        <f t="shared" si="1"/>
        <v>0</v>
      </c>
      <c r="I57" s="1610"/>
      <c r="J57" s="1611"/>
      <c r="K57" s="1612"/>
    </row>
    <row r="58" spans="1:11" ht="15.75">
      <c r="A58" s="1604"/>
      <c r="B58" s="1605"/>
      <c r="C58" s="1614"/>
      <c r="D58" s="1614"/>
      <c r="E58" s="1614"/>
      <c r="F58" s="1615"/>
      <c r="G58" s="1616"/>
      <c r="H58" s="1803">
        <f t="shared" si="1"/>
        <v>0</v>
      </c>
      <c r="I58" s="1610"/>
      <c r="J58" s="1611"/>
      <c r="K58" s="1612"/>
    </row>
    <row r="59" spans="1:11" ht="15.75">
      <c r="A59" s="1604"/>
      <c r="B59" s="1605"/>
      <c r="C59" s="1614"/>
      <c r="D59" s="1614"/>
      <c r="E59" s="1614"/>
      <c r="F59" s="1615"/>
      <c r="G59" s="1616"/>
      <c r="H59" s="1803">
        <f t="shared" si="1"/>
        <v>0</v>
      </c>
      <c r="I59" s="1610"/>
      <c r="J59" s="1611"/>
      <c r="K59" s="1612"/>
    </row>
    <row r="60" spans="1:11" ht="16.5" thickBot="1">
      <c r="A60" s="1618"/>
      <c r="B60" s="1618"/>
      <c r="C60" s="1606"/>
      <c r="D60" s="1606"/>
      <c r="E60" s="1606"/>
      <c r="F60" s="1615"/>
      <c r="G60" s="1616"/>
      <c r="H60" s="1803">
        <f t="shared" si="1"/>
        <v>0</v>
      </c>
      <c r="I60" s="1804"/>
      <c r="J60" s="1611"/>
      <c r="K60" s="1612"/>
    </row>
    <row r="61" spans="1:11" ht="15.75" customHeight="1" thickBot="1">
      <c r="A61" s="1805"/>
      <c r="B61" s="1806"/>
      <c r="C61" s="1806"/>
      <c r="D61" s="1806"/>
      <c r="E61" s="1807"/>
      <c r="F61" s="1808">
        <f>SUM(F3:F6,F7:F60)</f>
        <v>90464.699999999983</v>
      </c>
      <c r="G61" s="1809"/>
      <c r="H61" s="1810">
        <f>SUM(H3:H60)</f>
        <v>9072.1799099999989</v>
      </c>
      <c r="I61" s="1811">
        <f>SUM(I3:I60)</f>
        <v>1093.9749999999999</v>
      </c>
      <c r="J61" s="1812"/>
      <c r="K61" s="1612"/>
    </row>
    <row r="62" spans="1:11" ht="15.75" customHeight="1">
      <c r="A62" s="1604"/>
      <c r="B62" s="1604"/>
      <c r="C62" s="1614"/>
      <c r="D62" s="1614"/>
      <c r="E62" s="1614"/>
      <c r="F62" s="1796"/>
      <c r="G62" s="1797"/>
      <c r="H62" s="1813"/>
      <c r="I62" s="1798"/>
      <c r="J62" s="1611"/>
      <c r="K62" s="1612"/>
    </row>
    <row r="63" spans="1:11" ht="15.75" customHeight="1">
      <c r="A63" s="1604"/>
      <c r="B63" s="1605"/>
      <c r="C63" s="1614"/>
      <c r="D63" s="1614"/>
      <c r="E63" s="1614"/>
      <c r="F63" s="1615"/>
      <c r="G63" s="1616"/>
      <c r="H63" s="1803"/>
      <c r="I63" s="1610"/>
      <c r="J63" s="1611"/>
      <c r="K63" s="1612"/>
    </row>
    <row r="64" spans="1:11" ht="15.75" customHeight="1">
      <c r="A64" s="1604"/>
      <c r="B64" s="1605"/>
      <c r="C64" s="1614"/>
      <c r="D64" s="1614"/>
      <c r="E64" s="1614"/>
      <c r="F64" s="1615"/>
      <c r="G64" s="1616"/>
      <c r="H64" s="1803"/>
      <c r="I64" s="1610"/>
      <c r="J64" s="1611"/>
      <c r="K64" s="1612"/>
    </row>
    <row r="65" spans="1:11" ht="15.75" customHeight="1">
      <c r="A65" s="1604"/>
      <c r="B65" s="1605"/>
      <c r="C65" s="1614"/>
      <c r="D65" s="1614"/>
      <c r="E65" s="1614"/>
      <c r="F65" s="1615"/>
      <c r="G65" s="1616"/>
      <c r="H65" s="1803"/>
      <c r="I65" s="1610"/>
      <c r="J65" s="1611"/>
      <c r="K65" s="1612"/>
    </row>
    <row r="66" spans="1:11" ht="15.75" customHeight="1">
      <c r="A66" s="1604"/>
      <c r="B66" s="1605"/>
      <c r="C66" s="1614"/>
      <c r="D66" s="1614"/>
      <c r="E66" s="1614"/>
      <c r="F66" s="1615"/>
      <c r="G66" s="1616"/>
      <c r="H66" s="1803"/>
      <c r="I66" s="1610"/>
      <c r="J66" s="1611"/>
      <c r="K66" s="1612"/>
    </row>
    <row r="67" spans="1:11" ht="15.75" customHeight="1">
      <c r="A67" s="1604"/>
      <c r="B67" s="1605"/>
      <c r="C67" s="1614"/>
      <c r="D67" s="1614"/>
      <c r="E67" s="1614"/>
      <c r="F67" s="1615"/>
      <c r="G67" s="1616"/>
      <c r="H67" s="1803"/>
      <c r="I67" s="1610"/>
      <c r="J67" s="1611"/>
      <c r="K67" s="1612"/>
    </row>
    <row r="68" spans="1:11" ht="15.75" customHeight="1">
      <c r="A68" s="1604"/>
      <c r="B68" s="1605"/>
      <c r="C68" s="1614"/>
      <c r="D68" s="1614"/>
      <c r="E68" s="1614"/>
      <c r="F68" s="1615"/>
      <c r="G68" s="1616"/>
      <c r="H68" s="1803"/>
      <c r="I68" s="1610"/>
      <c r="J68" s="1611"/>
      <c r="K68" s="1612"/>
    </row>
    <row r="69" spans="1:11" ht="15.75" customHeight="1">
      <c r="A69" s="1604"/>
      <c r="B69" s="1605"/>
      <c r="C69" s="1614"/>
      <c r="D69" s="1614"/>
      <c r="E69" s="1614"/>
      <c r="F69" s="1615"/>
      <c r="G69" s="1616"/>
      <c r="H69" s="1803"/>
      <c r="I69" s="1610"/>
      <c r="J69" s="1611"/>
      <c r="K69" s="1612"/>
    </row>
    <row r="70" spans="1:11" ht="15.75" customHeight="1">
      <c r="A70" s="1604"/>
      <c r="B70" s="1605"/>
      <c r="C70" s="1614"/>
      <c r="D70" s="1614"/>
      <c r="E70" s="1614"/>
      <c r="F70" s="1615"/>
      <c r="G70" s="1616"/>
      <c r="H70" s="1803"/>
      <c r="I70" s="1610"/>
      <c r="J70" s="1611"/>
      <c r="K70" s="1606"/>
    </row>
    <row r="71" spans="1:11" ht="15.75" customHeight="1">
      <c r="A71" s="1604"/>
      <c r="B71" s="1605"/>
      <c r="C71" s="1614"/>
      <c r="D71" s="1614"/>
      <c r="E71" s="1614"/>
      <c r="F71" s="1615"/>
      <c r="G71" s="1616"/>
      <c r="H71" s="1803"/>
      <c r="I71" s="1610"/>
      <c r="J71" s="1611"/>
      <c r="K71" s="1612"/>
    </row>
    <row r="72" spans="1:11" ht="15.75" customHeight="1">
      <c r="A72" s="1604"/>
      <c r="B72" s="1605"/>
      <c r="C72" s="1614"/>
      <c r="D72" s="1614"/>
      <c r="E72" s="1614"/>
      <c r="F72" s="1615"/>
      <c r="G72" s="1615"/>
      <c r="H72" s="1803"/>
      <c r="I72" s="1610"/>
      <c r="J72" s="1611"/>
      <c r="K72" s="1612"/>
    </row>
    <row r="73" spans="1:11" ht="15.75" customHeight="1">
      <c r="A73" s="1604"/>
      <c r="B73" s="1605"/>
      <c r="C73" s="1614"/>
      <c r="D73" s="1614"/>
      <c r="E73" s="1614"/>
      <c r="F73" s="1615"/>
      <c r="G73" s="1615"/>
      <c r="H73" s="1803"/>
      <c r="I73" s="1610"/>
      <c r="J73" s="1611"/>
      <c r="K73" s="1606"/>
    </row>
    <row r="74" spans="1:11" ht="15.75" customHeight="1">
      <c r="A74" s="1604"/>
      <c r="B74" s="1605"/>
      <c r="C74" s="1614"/>
      <c r="D74" s="1614"/>
      <c r="E74" s="1614"/>
      <c r="F74" s="1615"/>
      <c r="G74" s="1615"/>
      <c r="H74" s="1803"/>
      <c r="I74" s="1610"/>
      <c r="J74" s="1611"/>
      <c r="K74" s="1606"/>
    </row>
    <row r="75" spans="1:11" ht="15.75" customHeight="1">
      <c r="A75" s="1604"/>
      <c r="B75" s="1605"/>
      <c r="C75" s="1614"/>
      <c r="D75" s="1614"/>
      <c r="E75" s="1614"/>
      <c r="F75" s="1615"/>
      <c r="G75" s="1616"/>
      <c r="H75" s="1803"/>
      <c r="I75" s="1610"/>
      <c r="J75" s="1611"/>
      <c r="K75" s="1612"/>
    </row>
    <row r="76" spans="1:11" ht="15.75" customHeight="1">
      <c r="A76" s="1604"/>
      <c r="B76" s="1605"/>
      <c r="C76" s="1614"/>
      <c r="D76" s="1614"/>
      <c r="E76" s="1614"/>
      <c r="F76" s="1615"/>
      <c r="G76" s="1616"/>
      <c r="H76" s="1803"/>
      <c r="I76" s="1610"/>
      <c r="J76" s="1611"/>
      <c r="K76" s="1612"/>
    </row>
    <row r="77" spans="1:11" ht="15.75" customHeight="1">
      <c r="A77" s="1604"/>
      <c r="B77" s="1605"/>
      <c r="C77" s="1614"/>
      <c r="D77" s="1614"/>
      <c r="E77" s="1614"/>
      <c r="F77" s="1615"/>
      <c r="G77" s="1616"/>
      <c r="H77" s="1803"/>
      <c r="I77" s="1610"/>
      <c r="J77" s="1611"/>
      <c r="K77" s="1612"/>
    </row>
    <row r="78" spans="1:11" ht="15.75">
      <c r="A78" s="1604"/>
      <c r="B78" s="1605"/>
      <c r="C78" s="1614"/>
      <c r="D78" s="1614"/>
      <c r="E78" s="1614"/>
      <c r="F78" s="1615"/>
      <c r="G78" s="1616"/>
      <c r="H78" s="1803"/>
      <c r="I78" s="1610"/>
      <c r="J78" s="1611"/>
      <c r="K78" s="1612"/>
    </row>
    <row r="79" spans="1:11" ht="15.75">
      <c r="A79" s="1604"/>
      <c r="B79" s="1605"/>
      <c r="C79" s="1614"/>
      <c r="D79" s="1614"/>
      <c r="E79" s="1614"/>
      <c r="F79" s="1615"/>
      <c r="G79" s="1616"/>
      <c r="H79" s="1803"/>
      <c r="I79" s="1610"/>
      <c r="J79" s="1611"/>
      <c r="K79" s="1612"/>
    </row>
    <row r="80" spans="1:11" ht="15.75">
      <c r="A80" s="1604"/>
      <c r="B80" s="1605"/>
      <c r="C80" s="1606"/>
      <c r="D80" s="1606"/>
      <c r="E80" s="1606"/>
      <c r="F80" s="1615"/>
      <c r="G80" s="1608"/>
      <c r="H80" s="1609"/>
      <c r="I80" s="1610"/>
      <c r="J80" s="1611"/>
      <c r="K80" s="1612"/>
    </row>
    <row r="81" spans="1:11" ht="15.75">
      <c r="A81" s="1604"/>
      <c r="B81" s="1618"/>
      <c r="C81" s="1606"/>
      <c r="D81" s="1606"/>
      <c r="E81" s="1606"/>
      <c r="F81" s="1615"/>
      <c r="G81" s="1616"/>
      <c r="H81" s="1803"/>
      <c r="I81" s="1610"/>
      <c r="J81" s="1611"/>
      <c r="K81" s="1612"/>
    </row>
    <row r="82" spans="1:11" ht="15.75">
      <c r="A82" s="1604"/>
      <c r="B82" s="1605"/>
      <c r="C82" s="1614"/>
      <c r="D82" s="1614"/>
      <c r="E82" s="1614"/>
      <c r="F82" s="1615"/>
      <c r="G82" s="1616"/>
      <c r="H82" s="1803"/>
      <c r="I82" s="1610"/>
      <c r="J82" s="1611"/>
      <c r="K82" s="1612"/>
    </row>
    <row r="83" spans="1:11" ht="15.75">
      <c r="A83" s="1604"/>
      <c r="B83" s="1605"/>
      <c r="C83" s="1614"/>
      <c r="D83" s="1614"/>
      <c r="E83" s="1614"/>
      <c r="F83" s="1615"/>
      <c r="G83" s="1616"/>
      <c r="H83" s="1803"/>
      <c r="I83" s="1610"/>
      <c r="J83" s="1611"/>
      <c r="K83" s="1612"/>
    </row>
    <row r="84" spans="1:11" ht="15.75">
      <c r="A84" s="1604"/>
      <c r="B84" s="1605"/>
      <c r="C84" s="1614"/>
      <c r="D84" s="1614"/>
      <c r="E84" s="1614"/>
      <c r="F84" s="1615"/>
      <c r="G84" s="1616"/>
      <c r="H84" s="1803"/>
      <c r="I84" s="1610"/>
      <c r="J84" s="1611"/>
      <c r="K84" s="1612"/>
    </row>
    <row r="85" spans="1:11" ht="15.75">
      <c r="A85" s="1604"/>
      <c r="B85" s="1605"/>
      <c r="C85" s="1614"/>
      <c r="D85" s="1614"/>
      <c r="E85" s="1614"/>
      <c r="F85" s="1615"/>
      <c r="G85" s="1616"/>
      <c r="H85" s="1803"/>
      <c r="I85" s="1610"/>
      <c r="J85" s="1611"/>
      <c r="K85" s="1612"/>
    </row>
    <row r="86" spans="1:11" ht="15.75">
      <c r="A86" s="1604"/>
      <c r="B86" s="1605"/>
      <c r="C86" s="1614"/>
      <c r="D86" s="1614"/>
      <c r="E86" s="1614"/>
      <c r="F86" s="1615"/>
      <c r="G86" s="1616"/>
      <c r="H86" s="1803"/>
      <c r="I86" s="1610"/>
      <c r="J86" s="1611"/>
      <c r="K86" s="1612"/>
    </row>
    <row r="87" spans="1:11" ht="15.75">
      <c r="A87" s="1604"/>
      <c r="B87" s="1605"/>
      <c r="C87" s="1614"/>
      <c r="D87" s="1614"/>
      <c r="E87" s="1614"/>
      <c r="F87" s="1615"/>
      <c r="G87" s="1616"/>
      <c r="H87" s="1803"/>
      <c r="I87" s="1610"/>
      <c r="J87" s="1611"/>
      <c r="K87" s="1612"/>
    </row>
    <row r="88" spans="1:11" ht="15.75">
      <c r="A88" s="1604"/>
      <c r="B88" s="1605"/>
      <c r="C88" s="1614"/>
      <c r="D88" s="1614"/>
      <c r="E88" s="1614"/>
      <c r="F88" s="1615"/>
      <c r="G88" s="1616"/>
      <c r="H88" s="1803"/>
      <c r="I88" s="1610"/>
      <c r="J88" s="1611"/>
      <c r="K88" s="1612"/>
    </row>
    <row r="89" spans="1:11" ht="15.75">
      <c r="A89" s="1604"/>
      <c r="B89" s="1605"/>
      <c r="C89" s="1614"/>
      <c r="D89" s="1614"/>
      <c r="E89" s="1614"/>
      <c r="F89" s="1615"/>
      <c r="G89" s="1616"/>
      <c r="H89" s="1803"/>
      <c r="I89" s="1610"/>
      <c r="J89" s="1611"/>
      <c r="K89" s="1612"/>
    </row>
    <row r="90" spans="1:11" ht="15.75">
      <c r="A90" s="1604"/>
      <c r="B90" s="1605"/>
      <c r="C90" s="1614"/>
      <c r="D90" s="1614"/>
      <c r="E90" s="1614"/>
      <c r="F90" s="1615"/>
      <c r="G90" s="1616"/>
      <c r="H90" s="1803"/>
      <c r="I90" s="1610"/>
      <c r="J90" s="1611"/>
      <c r="K90" s="1612"/>
    </row>
    <row r="91" spans="1:11" ht="15.75">
      <c r="A91" s="1604"/>
      <c r="B91" s="1605"/>
      <c r="C91" s="1614"/>
      <c r="D91" s="1614"/>
      <c r="E91" s="1614"/>
      <c r="F91" s="1615"/>
      <c r="G91" s="1616"/>
      <c r="H91" s="1803"/>
      <c r="I91" s="1610"/>
      <c r="J91" s="1611"/>
      <c r="K91" s="1612"/>
    </row>
    <row r="92" spans="1:11" ht="15.75">
      <c r="A92" s="1604"/>
      <c r="B92" s="1605"/>
      <c r="C92" s="1614"/>
      <c r="D92" s="1614"/>
      <c r="E92" s="1614"/>
      <c r="F92" s="1615"/>
      <c r="G92" s="1616"/>
      <c r="H92" s="1803"/>
      <c r="I92" s="1610"/>
      <c r="J92" s="1611"/>
      <c r="K92" s="1612"/>
    </row>
    <row r="93" spans="1:11" ht="15.75">
      <c r="A93" s="1604"/>
      <c r="B93" s="1605"/>
      <c r="C93" s="1614"/>
      <c r="D93" s="1614"/>
      <c r="E93" s="1614"/>
      <c r="F93" s="1615"/>
      <c r="G93" s="1616"/>
      <c r="H93" s="1803"/>
      <c r="I93" s="1610"/>
      <c r="J93" s="1611"/>
      <c r="K93" s="1612"/>
    </row>
    <row r="94" spans="1:11" ht="15.75">
      <c r="A94" s="1604"/>
      <c r="B94" s="1605"/>
      <c r="C94" s="1614"/>
      <c r="D94" s="1614"/>
      <c r="E94" s="1614"/>
      <c r="F94" s="1615"/>
      <c r="G94" s="1616"/>
      <c r="H94" s="1803"/>
      <c r="I94" s="1610"/>
      <c r="J94" s="1611"/>
      <c r="K94" s="1612"/>
    </row>
    <row r="95" spans="1:11">
      <c r="A95" s="1604"/>
      <c r="B95" s="1605"/>
      <c r="C95" s="1614"/>
      <c r="D95" s="1614"/>
      <c r="E95" s="1614"/>
      <c r="F95" s="1615"/>
      <c r="G95" s="1615"/>
      <c r="H95" s="1803"/>
      <c r="I95" s="1610"/>
      <c r="J95" s="1611"/>
      <c r="K95" s="1606"/>
    </row>
    <row r="96" spans="1:11">
      <c r="A96" s="1604"/>
      <c r="B96" s="1605"/>
      <c r="C96" s="1614"/>
      <c r="D96" s="1614"/>
      <c r="E96" s="1614"/>
      <c r="F96" s="1615"/>
      <c r="G96" s="1615"/>
      <c r="H96" s="1803"/>
      <c r="I96" s="1610"/>
      <c r="J96" s="1611"/>
      <c r="K96" s="1606"/>
    </row>
    <row r="97" spans="1:11">
      <c r="A97" s="1604"/>
      <c r="B97" s="1605"/>
      <c r="C97" s="1614"/>
      <c r="D97" s="1614"/>
      <c r="E97" s="1614"/>
      <c r="F97" s="1615"/>
      <c r="G97" s="1615"/>
      <c r="H97" s="1803"/>
      <c r="I97" s="1610"/>
      <c r="J97" s="1611"/>
      <c r="K97" s="1606"/>
    </row>
    <row r="98" spans="1:11" ht="15.75">
      <c r="A98" s="1604"/>
      <c r="B98" s="1605"/>
      <c r="C98" s="1614"/>
      <c r="D98" s="1614"/>
      <c r="E98" s="1614"/>
      <c r="F98" s="1615"/>
      <c r="G98" s="1616"/>
      <c r="H98" s="1803"/>
      <c r="I98" s="1610"/>
      <c r="J98" s="1611"/>
      <c r="K98" s="1612"/>
    </row>
    <row r="99" spans="1:11">
      <c r="A99" s="1604"/>
      <c r="B99" s="1605"/>
      <c r="C99" s="1614"/>
      <c r="D99" s="1614"/>
      <c r="E99" s="1614"/>
      <c r="F99" s="1615"/>
      <c r="G99" s="1615"/>
      <c r="H99" s="1803"/>
      <c r="I99" s="1610"/>
      <c r="J99" s="1611"/>
      <c r="K99" s="1606"/>
    </row>
    <row r="100" spans="1:11">
      <c r="A100" s="1604"/>
      <c r="B100" s="1605"/>
      <c r="C100" s="1614"/>
      <c r="D100" s="1614"/>
      <c r="E100" s="1614"/>
      <c r="F100" s="1615"/>
      <c r="G100" s="1615"/>
      <c r="H100" s="1803"/>
      <c r="I100" s="1610"/>
      <c r="J100" s="1611"/>
      <c r="K100" s="1606"/>
    </row>
    <row r="101" spans="1:11">
      <c r="A101" s="1604"/>
      <c r="B101" s="1605"/>
      <c r="C101" s="1614"/>
      <c r="D101" s="1614"/>
      <c r="E101" s="1614"/>
      <c r="F101" s="1615"/>
      <c r="G101" s="1615"/>
      <c r="H101" s="1803"/>
      <c r="I101" s="1610"/>
      <c r="J101" s="1611"/>
      <c r="K101" s="1606"/>
    </row>
    <row r="102" spans="1:11" ht="15.75">
      <c r="A102" s="1604"/>
      <c r="B102" s="1605"/>
      <c r="C102" s="1614"/>
      <c r="D102" s="1614"/>
      <c r="E102" s="1614"/>
      <c r="F102" s="1615"/>
      <c r="G102" s="1616"/>
      <c r="H102" s="1803"/>
      <c r="I102" s="1610"/>
      <c r="J102" s="1611"/>
      <c r="K102" s="1612"/>
    </row>
    <row r="103" spans="1:11" ht="15.75">
      <c r="A103" s="1604"/>
      <c r="B103" s="1605"/>
      <c r="C103" s="1614"/>
      <c r="D103" s="1614"/>
      <c r="E103" s="1614"/>
      <c r="F103" s="1615"/>
      <c r="G103" s="1616"/>
      <c r="H103" s="1803"/>
      <c r="I103" s="1610"/>
      <c r="J103" s="1611"/>
      <c r="K103" s="1612"/>
    </row>
    <row r="104" spans="1:11">
      <c r="A104" s="1604"/>
      <c r="B104" s="1605"/>
      <c r="C104" s="1614"/>
      <c r="D104" s="1614"/>
      <c r="E104" s="1614"/>
      <c r="F104" s="1615"/>
      <c r="G104" s="1615"/>
      <c r="H104" s="1803"/>
      <c r="I104" s="1610"/>
      <c r="J104" s="1611"/>
      <c r="K104" s="1606"/>
    </row>
    <row r="105" spans="1:11">
      <c r="A105" s="1604"/>
      <c r="B105" s="1605"/>
      <c r="C105" s="1614"/>
      <c r="D105" s="1614"/>
      <c r="E105" s="1614"/>
      <c r="F105" s="1615"/>
      <c r="G105" s="1615"/>
      <c r="H105" s="1803"/>
      <c r="I105" s="1610"/>
      <c r="J105" s="1611"/>
      <c r="K105" s="1606"/>
    </row>
    <row r="106" spans="1:11">
      <c r="A106" s="1604"/>
      <c r="B106" s="1605"/>
      <c r="C106" s="1614"/>
      <c r="D106" s="1614"/>
      <c r="E106" s="1614"/>
      <c r="F106" s="1615"/>
      <c r="G106" s="1615"/>
      <c r="H106" s="1803"/>
      <c r="I106" s="1610"/>
      <c r="J106" s="1611"/>
      <c r="K106" s="1606"/>
    </row>
    <row r="107" spans="1:11">
      <c r="A107" s="1604"/>
      <c r="B107" s="1605"/>
      <c r="C107" s="1614"/>
      <c r="D107" s="1614"/>
      <c r="E107" s="1614"/>
      <c r="F107" s="1615"/>
      <c r="G107" s="1615"/>
      <c r="H107" s="1803"/>
      <c r="I107" s="1610"/>
      <c r="J107" s="1611"/>
      <c r="K107" s="1606"/>
    </row>
    <row r="108" spans="1:11">
      <c r="A108" s="1604"/>
      <c r="B108" s="1605"/>
      <c r="C108" s="1614"/>
      <c r="D108" s="1614"/>
      <c r="E108" s="1614"/>
      <c r="F108" s="1615"/>
      <c r="G108" s="1615"/>
      <c r="H108" s="1803"/>
      <c r="I108" s="1610"/>
      <c r="J108" s="1611"/>
      <c r="K108" s="1606"/>
    </row>
    <row r="109" spans="1:11">
      <c r="A109" s="1604"/>
      <c r="B109" s="1605"/>
      <c r="C109" s="1614"/>
      <c r="D109" s="1614"/>
      <c r="E109" s="1614"/>
      <c r="F109" s="1615"/>
      <c r="G109" s="1615"/>
      <c r="H109" s="1803"/>
      <c r="I109" s="1610"/>
      <c r="J109" s="1611"/>
      <c r="K109" s="1606"/>
    </row>
    <row r="110" spans="1:11" ht="15.75">
      <c r="A110" s="1604"/>
      <c r="B110" s="1605"/>
      <c r="C110" s="1614"/>
      <c r="D110" s="1614"/>
      <c r="E110" s="1614"/>
      <c r="F110" s="1615"/>
      <c r="G110" s="1616"/>
      <c r="H110" s="1803"/>
      <c r="I110" s="1610"/>
      <c r="J110" s="1611"/>
      <c r="K110" s="1612"/>
    </row>
    <row r="111" spans="1:11">
      <c r="A111" s="1604"/>
      <c r="B111" s="1605"/>
      <c r="C111" s="1614"/>
      <c r="D111" s="1614"/>
      <c r="E111" s="1614"/>
      <c r="F111" s="1615"/>
      <c r="G111" s="1615"/>
      <c r="H111" s="1803"/>
      <c r="I111" s="1610"/>
      <c r="J111" s="1611"/>
      <c r="K111" s="1606"/>
    </row>
    <row r="112" spans="1:11">
      <c r="A112" s="1604"/>
      <c r="B112" s="1605"/>
      <c r="C112" s="1614"/>
      <c r="D112" s="1614"/>
      <c r="E112" s="1614"/>
      <c r="F112" s="1615"/>
      <c r="G112" s="1615"/>
      <c r="H112" s="1803"/>
      <c r="I112" s="1610"/>
      <c r="J112" s="1611"/>
      <c r="K112" s="1606"/>
    </row>
    <row r="113" spans="1:11">
      <c r="A113" s="1604"/>
      <c r="B113" s="1605"/>
      <c r="C113" s="1614"/>
      <c r="D113" s="1614"/>
      <c r="E113" s="1614"/>
      <c r="F113" s="1615"/>
      <c r="G113" s="1615"/>
      <c r="H113" s="1803"/>
      <c r="I113" s="1610"/>
      <c r="J113" s="1611"/>
      <c r="K113" s="1606"/>
    </row>
    <row r="114" spans="1:11" ht="15.75">
      <c r="A114" s="1604"/>
      <c r="B114" s="1605"/>
      <c r="C114" s="1614"/>
      <c r="D114" s="1614"/>
      <c r="E114" s="1614"/>
      <c r="F114" s="1615"/>
      <c r="G114" s="1615"/>
      <c r="H114" s="1803"/>
      <c r="I114" s="1610"/>
      <c r="J114" s="1611"/>
      <c r="K114" s="1612"/>
    </row>
    <row r="115" spans="1:11">
      <c r="A115" s="1604"/>
      <c r="B115" s="1605"/>
      <c r="C115" s="1614"/>
      <c r="D115" s="1614"/>
      <c r="E115" s="1614"/>
      <c r="F115" s="1615"/>
      <c r="G115" s="1615"/>
      <c r="H115" s="1803"/>
      <c r="I115" s="1610"/>
      <c r="J115" s="1611"/>
      <c r="K115" s="1606"/>
    </row>
    <row r="116" spans="1:11">
      <c r="A116" s="1604"/>
      <c r="B116" s="1605"/>
      <c r="C116" s="1614"/>
      <c r="D116" s="1614"/>
      <c r="E116" s="1614"/>
      <c r="F116" s="1615"/>
      <c r="G116" s="1615"/>
      <c r="H116" s="1803"/>
      <c r="I116" s="1610"/>
      <c r="J116" s="1611"/>
      <c r="K116" s="1606"/>
    </row>
    <row r="117" spans="1:11">
      <c r="A117" s="1604"/>
      <c r="B117" s="1605"/>
      <c r="C117" s="1614"/>
      <c r="D117" s="1614"/>
      <c r="E117" s="1614"/>
      <c r="F117" s="1615"/>
      <c r="G117" s="1615"/>
      <c r="H117" s="1803"/>
      <c r="I117" s="1610"/>
      <c r="J117" s="1611"/>
      <c r="K117" s="1606"/>
    </row>
    <row r="118" spans="1:11">
      <c r="A118" s="1604"/>
      <c r="B118" s="1605"/>
      <c r="C118" s="1614"/>
      <c r="D118" s="1614"/>
      <c r="E118" s="1614"/>
      <c r="F118" s="1615"/>
      <c r="G118" s="1615"/>
      <c r="H118" s="1803"/>
      <c r="I118" s="1610"/>
      <c r="J118" s="1611"/>
      <c r="K118" s="1606"/>
    </row>
    <row r="119" spans="1:11">
      <c r="A119" s="1604"/>
      <c r="B119" s="1605"/>
      <c r="C119" s="1614"/>
      <c r="D119" s="1614"/>
      <c r="E119" s="1614"/>
      <c r="F119" s="1615"/>
      <c r="G119" s="1616"/>
      <c r="H119" s="1803"/>
      <c r="I119" s="1610"/>
      <c r="J119" s="1611"/>
      <c r="K119" s="1606"/>
    </row>
    <row r="120" spans="1:11" ht="15.75">
      <c r="A120" s="1604"/>
      <c r="B120" s="1605"/>
      <c r="C120" s="1606"/>
      <c r="D120" s="1614"/>
      <c r="E120" s="1614"/>
      <c r="F120" s="1615"/>
      <c r="G120" s="1616"/>
      <c r="H120" s="1803"/>
      <c r="I120" s="1610"/>
      <c r="J120" s="1611"/>
      <c r="K120" s="1612"/>
    </row>
    <row r="121" spans="1:11" ht="15.75">
      <c r="A121" s="1604"/>
      <c r="B121" s="1605"/>
      <c r="C121" s="1614"/>
      <c r="D121" s="1614"/>
      <c r="E121" s="1614"/>
      <c r="F121" s="1615"/>
      <c r="G121" s="1616"/>
      <c r="H121" s="1803"/>
      <c r="I121" s="1610"/>
      <c r="J121" s="1611"/>
      <c r="K121" s="1612"/>
    </row>
    <row r="122" spans="1:11" ht="15.75">
      <c r="A122" s="1604"/>
      <c r="B122" s="1605"/>
      <c r="C122" s="1614"/>
      <c r="D122" s="1614"/>
      <c r="E122" s="1614"/>
      <c r="F122" s="1615"/>
      <c r="G122" s="1616"/>
      <c r="H122" s="1803"/>
      <c r="I122" s="1610"/>
      <c r="J122" s="1611"/>
      <c r="K122" s="1612"/>
    </row>
    <row r="123" spans="1:11" ht="15.75">
      <c r="A123" s="1604"/>
      <c r="B123" s="1605"/>
      <c r="C123" s="1614"/>
      <c r="D123" s="1614"/>
      <c r="E123" s="1614"/>
      <c r="F123" s="1615"/>
      <c r="G123" s="1616"/>
      <c r="H123" s="1803"/>
      <c r="I123" s="1610"/>
      <c r="J123" s="1611"/>
      <c r="K123" s="1612"/>
    </row>
    <row r="124" spans="1:11" ht="15.75">
      <c r="A124" s="1604"/>
      <c r="B124" s="1605"/>
      <c r="C124" s="1614"/>
      <c r="D124" s="1614"/>
      <c r="E124" s="1614"/>
      <c r="F124" s="1615"/>
      <c r="G124" s="1616"/>
      <c r="H124" s="1803"/>
      <c r="I124" s="1610"/>
      <c r="J124" s="1611"/>
      <c r="K124" s="1612"/>
    </row>
    <row r="125" spans="1:11">
      <c r="A125" s="1604"/>
      <c r="B125" s="1605"/>
      <c r="C125" s="1614"/>
      <c r="D125" s="1614"/>
      <c r="E125" s="1614"/>
      <c r="F125" s="1615"/>
      <c r="G125" s="1615"/>
      <c r="H125" s="1803"/>
      <c r="I125" s="1610"/>
      <c r="J125" s="1611"/>
      <c r="K125" s="1606"/>
    </row>
    <row r="126" spans="1:11">
      <c r="A126" s="1604"/>
      <c r="B126" s="1605"/>
      <c r="C126" s="1614"/>
      <c r="D126" s="1614"/>
      <c r="E126" s="1614"/>
      <c r="F126" s="1615"/>
      <c r="G126" s="1615"/>
      <c r="H126" s="1803"/>
      <c r="I126" s="1610"/>
      <c r="J126" s="1611"/>
      <c r="K126" s="1606"/>
    </row>
    <row r="127" spans="1:11" ht="15.75">
      <c r="A127" s="1604"/>
      <c r="B127" s="1605"/>
      <c r="C127" s="1614"/>
      <c r="D127" s="1614"/>
      <c r="E127" s="1614"/>
      <c r="F127" s="1615"/>
      <c r="G127" s="1616"/>
      <c r="H127" s="1803"/>
      <c r="I127" s="1610"/>
      <c r="J127" s="1611"/>
      <c r="K127" s="1612"/>
    </row>
    <row r="128" spans="1:11" ht="15.75">
      <c r="A128" s="1604"/>
      <c r="B128" s="1605"/>
      <c r="C128" s="1614"/>
      <c r="D128" s="1614"/>
      <c r="E128" s="1614"/>
      <c r="F128" s="1615"/>
      <c r="G128" s="1616"/>
      <c r="H128" s="1803"/>
      <c r="I128" s="1610"/>
      <c r="J128" s="1611"/>
      <c r="K128" s="1612"/>
    </row>
    <row r="129" spans="1:11" ht="15.75">
      <c r="A129" s="1604"/>
      <c r="B129" s="1605"/>
      <c r="C129" s="1614"/>
      <c r="D129" s="1614"/>
      <c r="E129" s="1614"/>
      <c r="F129" s="1615"/>
      <c r="G129" s="1616"/>
      <c r="H129" s="1803"/>
      <c r="I129" s="1610"/>
      <c r="J129" s="1611"/>
      <c r="K129" s="1612"/>
    </row>
    <row r="130" spans="1:11">
      <c r="A130" s="1604"/>
      <c r="B130" s="1605"/>
      <c r="C130" s="1614"/>
      <c r="D130" s="1614"/>
      <c r="E130" s="1614"/>
      <c r="F130" s="1615"/>
      <c r="G130" s="1616"/>
      <c r="H130" s="1803"/>
      <c r="I130" s="1610"/>
      <c r="J130" s="1611"/>
      <c r="K130" s="1606"/>
    </row>
    <row r="131" spans="1:11">
      <c r="A131" s="1604"/>
      <c r="B131" s="1605"/>
      <c r="C131" s="1614"/>
      <c r="D131" s="1614"/>
      <c r="E131" s="1614"/>
      <c r="F131" s="1615"/>
      <c r="G131" s="1616"/>
      <c r="H131" s="1803"/>
      <c r="I131" s="1610"/>
      <c r="J131" s="1611"/>
      <c r="K131" s="1606"/>
    </row>
    <row r="132" spans="1:11">
      <c r="A132" s="1604"/>
      <c r="B132" s="1605"/>
      <c r="C132" s="1614"/>
      <c r="D132" s="1614"/>
      <c r="E132" s="1614"/>
      <c r="F132" s="1615"/>
      <c r="G132" s="1615"/>
      <c r="H132" s="1803"/>
      <c r="I132" s="1610"/>
      <c r="J132" s="1611"/>
      <c r="K132" s="1606"/>
    </row>
    <row r="133" spans="1:11">
      <c r="A133" s="1604"/>
      <c r="B133" s="1605"/>
      <c r="C133" s="1614"/>
      <c r="D133" s="1614"/>
      <c r="E133" s="1614"/>
      <c r="F133" s="1615"/>
      <c r="G133" s="1615"/>
      <c r="H133" s="1803"/>
      <c r="I133" s="1610"/>
      <c r="J133" s="1611"/>
      <c r="K133" s="1606"/>
    </row>
    <row r="134" spans="1:11">
      <c r="A134" s="1604"/>
      <c r="B134" s="1605"/>
      <c r="C134" s="1614"/>
      <c r="D134" s="1614"/>
      <c r="E134" s="1614"/>
      <c r="F134" s="1615"/>
      <c r="G134" s="1615"/>
      <c r="H134" s="1803"/>
      <c r="I134" s="1610"/>
      <c r="J134" s="1611"/>
      <c r="K134" s="1606"/>
    </row>
    <row r="135" spans="1:11">
      <c r="A135" s="1604"/>
      <c r="B135" s="1605"/>
      <c r="C135" s="1614"/>
      <c r="D135" s="1614"/>
      <c r="E135" s="1614"/>
      <c r="F135" s="1615"/>
      <c r="G135" s="1615"/>
      <c r="H135" s="1803"/>
      <c r="I135" s="1610"/>
      <c r="J135" s="1611"/>
      <c r="K135" s="1606"/>
    </row>
    <row r="136" spans="1:11" ht="15.75">
      <c r="A136" s="1604"/>
      <c r="B136" s="1605"/>
      <c r="C136" s="1614"/>
      <c r="D136" s="1614"/>
      <c r="E136" s="1614"/>
      <c r="F136" s="1615"/>
      <c r="G136" s="1616"/>
      <c r="H136" s="1803"/>
      <c r="I136" s="1610"/>
      <c r="J136" s="1611"/>
      <c r="K136" s="1612"/>
    </row>
    <row r="137" spans="1:11" ht="15.75">
      <c r="A137" s="1604"/>
      <c r="B137" s="1605"/>
      <c r="C137" s="1614"/>
      <c r="D137" s="1614"/>
      <c r="E137" s="1614"/>
      <c r="F137" s="1615"/>
      <c r="G137" s="1615"/>
      <c r="H137" s="1803"/>
      <c r="I137" s="1610"/>
      <c r="J137" s="1611"/>
      <c r="K137" s="1612"/>
    </row>
    <row r="138" spans="1:11">
      <c r="A138" s="1604"/>
      <c r="B138" s="1605"/>
      <c r="C138" s="1614"/>
      <c r="D138" s="1614"/>
      <c r="E138" s="1614"/>
      <c r="F138" s="1615"/>
      <c r="G138" s="1615"/>
      <c r="H138" s="1803"/>
      <c r="I138" s="1610"/>
      <c r="J138" s="1611"/>
      <c r="K138" s="1606"/>
    </row>
    <row r="139" spans="1:11">
      <c r="A139" s="1604"/>
      <c r="B139" s="1605"/>
      <c r="C139" s="1614"/>
      <c r="D139" s="1614"/>
      <c r="E139" s="1614"/>
      <c r="F139" s="1615"/>
      <c r="G139" s="1616"/>
      <c r="H139" s="1803"/>
      <c r="I139" s="1610"/>
      <c r="J139" s="1611"/>
      <c r="K139" s="1606"/>
    </row>
    <row r="140" spans="1:11" ht="15.75">
      <c r="A140" s="1604"/>
      <c r="B140" s="1605"/>
      <c r="C140" s="1614"/>
      <c r="D140" s="1614"/>
      <c r="E140" s="1614"/>
      <c r="F140" s="1615"/>
      <c r="G140" s="1616"/>
      <c r="H140" s="1803"/>
      <c r="I140" s="1610"/>
      <c r="J140" s="1611"/>
      <c r="K140" s="1612"/>
    </row>
    <row r="141" spans="1:11">
      <c r="A141" s="1604"/>
      <c r="B141" s="1605"/>
      <c r="C141" s="1614"/>
      <c r="D141" s="1614"/>
      <c r="E141" s="1614"/>
      <c r="F141" s="1615"/>
      <c r="G141" s="1616"/>
      <c r="H141" s="1803"/>
      <c r="I141" s="1610"/>
      <c r="J141" s="1611"/>
      <c r="K141" s="1606"/>
    </row>
    <row r="142" spans="1:11">
      <c r="A142" s="1604"/>
      <c r="B142" s="1605"/>
      <c r="C142" s="1614"/>
      <c r="D142" s="1614"/>
      <c r="E142" s="1614"/>
      <c r="F142" s="1615"/>
      <c r="G142" s="1615"/>
      <c r="H142" s="1803"/>
      <c r="I142" s="1610"/>
      <c r="J142" s="1611"/>
      <c r="K142" s="1606"/>
    </row>
    <row r="143" spans="1:11">
      <c r="A143" s="1604"/>
      <c r="B143" s="1605"/>
      <c r="C143" s="1614"/>
      <c r="D143" s="1614"/>
      <c r="E143" s="1614"/>
      <c r="F143" s="1615"/>
      <c r="G143" s="1615"/>
      <c r="H143" s="1803"/>
      <c r="I143" s="1610"/>
      <c r="J143" s="1611"/>
      <c r="K143" s="1606"/>
    </row>
    <row r="144" spans="1:11" ht="15.75">
      <c r="A144" s="1604"/>
      <c r="B144" s="1605"/>
      <c r="C144" s="1614"/>
      <c r="D144" s="1614"/>
      <c r="E144" s="1614"/>
      <c r="F144" s="1615"/>
      <c r="G144" s="1616"/>
      <c r="H144" s="1803"/>
      <c r="I144" s="1610"/>
      <c r="J144" s="1611"/>
      <c r="K144" s="1612"/>
    </row>
    <row r="145" spans="1:11" ht="15.75">
      <c r="A145" s="1604"/>
      <c r="B145" s="1605"/>
      <c r="C145" s="1614"/>
      <c r="D145" s="1614"/>
      <c r="E145" s="1614"/>
      <c r="F145" s="1615"/>
      <c r="G145" s="1616"/>
      <c r="H145" s="1803"/>
      <c r="I145" s="1610"/>
      <c r="J145" s="1611"/>
      <c r="K145" s="1612"/>
    </row>
    <row r="146" spans="1:11" ht="15.75">
      <c r="A146" s="1604"/>
      <c r="B146" s="1605"/>
      <c r="C146" s="1614"/>
      <c r="D146" s="1614"/>
      <c r="E146" s="1614"/>
      <c r="F146" s="1615"/>
      <c r="G146" s="1616"/>
      <c r="H146" s="1803"/>
      <c r="I146" s="1610"/>
      <c r="J146" s="1611"/>
      <c r="K146" s="1612"/>
    </row>
    <row r="147" spans="1:11" ht="15.75">
      <c r="A147" s="1604"/>
      <c r="B147" s="1605"/>
      <c r="C147" s="1614"/>
      <c r="D147" s="1614"/>
      <c r="E147" s="1614"/>
      <c r="F147" s="1615"/>
      <c r="G147" s="1616"/>
      <c r="H147" s="1803"/>
      <c r="I147" s="1610"/>
      <c r="J147" s="1611"/>
      <c r="K147" s="1612"/>
    </row>
    <row r="148" spans="1:11" ht="15.75">
      <c r="A148" s="1604"/>
      <c r="B148" s="1605"/>
      <c r="C148" s="1614"/>
      <c r="D148" s="1614"/>
      <c r="E148" s="1614"/>
      <c r="F148" s="1615"/>
      <c r="G148" s="1616"/>
      <c r="H148" s="1803"/>
      <c r="I148" s="1610"/>
      <c r="J148" s="1611"/>
      <c r="K148" s="1612"/>
    </row>
    <row r="149" spans="1:11">
      <c r="A149" s="1604"/>
      <c r="B149" s="1605"/>
      <c r="C149" s="1614"/>
      <c r="D149" s="1614"/>
      <c r="E149" s="1614"/>
      <c r="F149" s="1615"/>
      <c r="G149" s="1616"/>
      <c r="H149" s="1803"/>
      <c r="I149" s="1610"/>
      <c r="J149" s="1611"/>
      <c r="K149" s="1606"/>
    </row>
    <row r="150" spans="1:11">
      <c r="A150" s="1604"/>
      <c r="B150" s="1605"/>
      <c r="C150" s="1606"/>
      <c r="D150" s="1614"/>
      <c r="E150" s="1614"/>
      <c r="F150" s="1607"/>
      <c r="G150" s="1616"/>
      <c r="H150" s="1609"/>
      <c r="I150" s="1610"/>
      <c r="J150" s="1611"/>
      <c r="K150" s="1606"/>
    </row>
    <row r="151" spans="1:11">
      <c r="A151" s="1604"/>
      <c r="B151" s="1605"/>
      <c r="C151" s="1614"/>
      <c r="D151" s="1614"/>
      <c r="E151" s="1614"/>
      <c r="F151" s="1615"/>
      <c r="G151" s="1616"/>
      <c r="H151" s="1803"/>
      <c r="I151" s="1610"/>
      <c r="J151" s="1611"/>
      <c r="K151" s="1606"/>
    </row>
    <row r="152" spans="1:11">
      <c r="A152" s="1604"/>
      <c r="B152" s="1605"/>
      <c r="C152" s="1614"/>
      <c r="D152" s="1614"/>
      <c r="E152" s="1614"/>
      <c r="F152" s="1615"/>
      <c r="G152" s="1616"/>
      <c r="H152" s="1803"/>
      <c r="I152" s="1610"/>
      <c r="J152" s="1611"/>
      <c r="K152" s="1606"/>
    </row>
    <row r="153" spans="1:11">
      <c r="A153" s="1604"/>
      <c r="B153" s="1605"/>
      <c r="C153" s="1614"/>
      <c r="D153" s="1614"/>
      <c r="E153" s="1614"/>
      <c r="F153" s="1615"/>
      <c r="G153" s="1615"/>
      <c r="H153" s="1803"/>
      <c r="I153" s="1610"/>
      <c r="J153" s="1611"/>
      <c r="K153" s="1606"/>
    </row>
    <row r="154" spans="1:11">
      <c r="A154" s="1604"/>
      <c r="B154" s="1605"/>
      <c r="C154" s="1614"/>
      <c r="D154" s="1614"/>
      <c r="E154" s="1614"/>
      <c r="F154" s="1615"/>
      <c r="G154" s="1615"/>
      <c r="H154" s="1803"/>
      <c r="I154" s="1610"/>
      <c r="J154" s="1611"/>
      <c r="K154" s="1606"/>
    </row>
    <row r="155" spans="1:11" ht="15.75">
      <c r="A155" s="1604"/>
      <c r="B155" s="1605"/>
      <c r="C155" s="1614"/>
      <c r="D155" s="1614"/>
      <c r="E155" s="1614"/>
      <c r="F155" s="1615"/>
      <c r="G155" s="1616"/>
      <c r="H155" s="1803"/>
      <c r="I155" s="1610"/>
      <c r="J155" s="1611"/>
      <c r="K155" s="1612"/>
    </row>
    <row r="156" spans="1:11">
      <c r="A156" s="1604"/>
      <c r="B156" s="1605"/>
      <c r="C156" s="1614"/>
      <c r="D156" s="1614"/>
      <c r="E156" s="1614"/>
      <c r="F156" s="1615"/>
      <c r="G156" s="1616"/>
      <c r="H156" s="1803"/>
      <c r="I156" s="1610"/>
      <c r="J156" s="1611"/>
      <c r="K156" s="1606"/>
    </row>
    <row r="157" spans="1:11">
      <c r="A157" s="1604"/>
      <c r="B157" s="1605"/>
      <c r="C157" s="1614"/>
      <c r="D157" s="1614"/>
      <c r="E157" s="1614"/>
      <c r="F157" s="1615"/>
      <c r="G157" s="1615"/>
      <c r="H157" s="1803"/>
      <c r="I157" s="1610"/>
      <c r="J157" s="1611"/>
      <c r="K157" s="1606"/>
    </row>
    <row r="158" spans="1:11">
      <c r="A158" s="1604"/>
      <c r="B158" s="1605"/>
      <c r="C158" s="1614"/>
      <c r="D158" s="1614"/>
      <c r="E158" s="1614"/>
      <c r="F158" s="1615"/>
      <c r="G158" s="1615"/>
      <c r="H158" s="1803"/>
      <c r="I158" s="1610"/>
      <c r="J158" s="1611"/>
      <c r="K158" s="1606"/>
    </row>
    <row r="159" spans="1:11">
      <c r="A159" s="1604"/>
      <c r="B159" s="1605"/>
      <c r="C159" s="1614"/>
      <c r="D159" s="1614"/>
      <c r="E159" s="1614"/>
      <c r="F159" s="1615"/>
      <c r="G159" s="1616"/>
      <c r="H159" s="1803"/>
      <c r="I159" s="1610"/>
      <c r="J159" s="1611"/>
      <c r="K159" s="1606"/>
    </row>
    <row r="160" spans="1:11">
      <c r="A160" s="1604"/>
      <c r="B160" s="1605"/>
      <c r="C160" s="1614"/>
      <c r="D160" s="1614"/>
      <c r="E160" s="1614"/>
      <c r="F160" s="1615"/>
      <c r="G160" s="1616"/>
      <c r="H160" s="1803"/>
      <c r="I160" s="1610"/>
      <c r="J160" s="1611"/>
      <c r="K160" s="1606"/>
    </row>
    <row r="161" spans="1:11">
      <c r="A161" s="1604"/>
      <c r="B161" s="1605"/>
      <c r="C161" s="1614"/>
      <c r="D161" s="1614"/>
      <c r="E161" s="1614"/>
      <c r="F161" s="1615"/>
      <c r="G161" s="1616"/>
      <c r="H161" s="1803"/>
      <c r="I161" s="1610"/>
      <c r="J161" s="1611"/>
      <c r="K161" s="1606"/>
    </row>
    <row r="162" spans="1:11" ht="15.75">
      <c r="A162" s="1604"/>
      <c r="B162" s="1605"/>
      <c r="C162" s="1614"/>
      <c r="D162" s="1614"/>
      <c r="E162" s="1614"/>
      <c r="F162" s="1615"/>
      <c r="G162" s="1616"/>
      <c r="H162" s="1803"/>
      <c r="I162" s="1610"/>
      <c r="J162" s="1611"/>
      <c r="K162" s="1612"/>
    </row>
    <row r="163" spans="1:11">
      <c r="A163" s="1604"/>
      <c r="B163" s="1605"/>
      <c r="C163" s="1614"/>
      <c r="D163" s="1614"/>
      <c r="E163" s="1614"/>
      <c r="F163" s="1615"/>
      <c r="G163" s="1616"/>
      <c r="H163" s="1803"/>
      <c r="I163" s="1610"/>
      <c r="J163" s="1611"/>
      <c r="K163" s="1606"/>
    </row>
    <row r="164" spans="1:11">
      <c r="A164" s="1604"/>
      <c r="B164" s="1605"/>
      <c r="C164" s="169"/>
      <c r="D164" s="1614"/>
      <c r="E164" s="1614"/>
      <c r="F164" s="1615"/>
      <c r="G164" s="1616"/>
      <c r="H164" s="1803"/>
      <c r="I164" s="1610"/>
      <c r="J164" s="1611"/>
      <c r="K164" s="1606"/>
    </row>
    <row r="165" spans="1:11">
      <c r="A165" s="1604"/>
      <c r="B165" s="1605"/>
      <c r="C165" s="1614"/>
      <c r="D165" s="1614"/>
      <c r="E165" s="1614"/>
      <c r="F165" s="1615"/>
      <c r="G165" s="1616"/>
      <c r="H165" s="1803"/>
      <c r="I165" s="1610"/>
      <c r="J165" s="1611"/>
      <c r="K165" s="1606"/>
    </row>
    <row r="166" spans="1:11">
      <c r="A166" s="1604"/>
      <c r="B166" s="1605"/>
      <c r="C166" s="1614"/>
      <c r="D166" s="1614"/>
      <c r="E166" s="1614"/>
      <c r="F166" s="1615"/>
      <c r="G166" s="1616"/>
      <c r="H166" s="1803"/>
      <c r="I166" s="1610"/>
      <c r="J166" s="1611"/>
      <c r="K166" s="1606"/>
    </row>
    <row r="167" spans="1:11">
      <c r="A167" s="1604"/>
      <c r="B167" s="1605"/>
      <c r="C167" s="1614"/>
      <c r="D167" s="1614"/>
      <c r="E167" s="1614"/>
      <c r="F167" s="1615"/>
      <c r="G167" s="1616"/>
      <c r="H167" s="1803"/>
      <c r="I167" s="1610"/>
      <c r="J167" s="1611"/>
      <c r="K167" s="1606"/>
    </row>
    <row r="168" spans="1:11">
      <c r="A168" s="1604"/>
      <c r="B168" s="1605"/>
      <c r="C168" s="1614"/>
      <c r="D168" s="1614"/>
      <c r="E168" s="1614"/>
      <c r="F168" s="1615"/>
      <c r="G168" s="1616"/>
      <c r="H168" s="1803"/>
      <c r="I168" s="1610"/>
      <c r="J168" s="1611"/>
      <c r="K168" s="1606"/>
    </row>
    <row r="169" spans="1:11">
      <c r="A169" s="1604"/>
      <c r="B169" s="1605"/>
      <c r="C169" s="1614"/>
      <c r="D169" s="1614"/>
      <c r="E169" s="1614"/>
      <c r="F169" s="1615"/>
      <c r="G169" s="1616"/>
      <c r="H169" s="1803"/>
      <c r="I169" s="1610"/>
      <c r="J169" s="1611"/>
      <c r="K169" s="1606"/>
    </row>
    <row r="170" spans="1:11">
      <c r="A170" s="1604"/>
      <c r="B170" s="1605"/>
      <c r="C170" s="1614"/>
      <c r="D170" s="1614"/>
      <c r="E170" s="1614"/>
      <c r="F170" s="1615"/>
      <c r="G170" s="1616"/>
      <c r="H170" s="1803"/>
      <c r="I170" s="1610"/>
      <c r="J170" s="1611"/>
      <c r="K170" s="1606"/>
    </row>
    <row r="171" spans="1:11">
      <c r="A171" s="1604"/>
      <c r="B171" s="1605"/>
      <c r="C171" s="1614"/>
      <c r="D171" s="1614"/>
      <c r="E171" s="1614"/>
      <c r="F171" s="1615"/>
      <c r="G171" s="1616"/>
      <c r="H171" s="1803"/>
      <c r="I171" s="1610"/>
      <c r="J171" s="1611"/>
      <c r="K171" s="1606"/>
    </row>
    <row r="172" spans="1:11">
      <c r="A172" s="1604"/>
      <c r="B172" s="1605"/>
      <c r="C172" s="1614"/>
      <c r="D172" s="1614"/>
      <c r="E172" s="1614"/>
      <c r="F172" s="1615"/>
      <c r="G172" s="1616"/>
      <c r="H172" s="1803"/>
      <c r="I172" s="1610"/>
      <c r="J172" s="1611"/>
      <c r="K172" s="1606"/>
    </row>
    <row r="173" spans="1:11">
      <c r="A173" s="1604"/>
      <c r="B173" s="1605"/>
      <c r="C173" s="1614"/>
      <c r="D173" s="1614"/>
      <c r="E173" s="1614"/>
      <c r="F173" s="1615"/>
      <c r="G173" s="1615"/>
      <c r="H173" s="1803"/>
      <c r="I173" s="1610"/>
      <c r="J173" s="1611"/>
      <c r="K173" s="1606"/>
    </row>
    <row r="174" spans="1:11">
      <c r="A174" s="1604"/>
      <c r="B174" s="1605"/>
      <c r="C174" s="1614"/>
      <c r="D174" s="1614"/>
      <c r="E174" s="1614"/>
      <c r="F174" s="1615"/>
      <c r="G174" s="1615"/>
      <c r="H174" s="1803"/>
      <c r="I174" s="1610"/>
      <c r="J174" s="1611"/>
      <c r="K174" s="1606"/>
    </row>
    <row r="175" spans="1:11">
      <c r="A175" s="1604"/>
      <c r="B175" s="1605"/>
      <c r="C175" s="1614"/>
      <c r="D175" s="1614"/>
      <c r="E175" s="1614"/>
      <c r="F175" s="1615"/>
      <c r="G175" s="1616"/>
      <c r="H175" s="1803"/>
      <c r="I175" s="1610"/>
      <c r="J175" s="1611"/>
      <c r="K175" s="1606"/>
    </row>
    <row r="176" spans="1:11">
      <c r="A176" s="1604"/>
      <c r="B176" s="1605"/>
      <c r="C176" s="1614"/>
      <c r="D176" s="1614"/>
      <c r="E176" s="1614"/>
      <c r="F176" s="1615"/>
      <c r="G176" s="1616"/>
      <c r="H176" s="1803"/>
      <c r="I176" s="1610"/>
      <c r="J176" s="1611"/>
      <c r="K176" s="1606"/>
    </row>
    <row r="177" spans="1:11">
      <c r="A177" s="1604"/>
      <c r="B177" s="1605"/>
      <c r="C177" s="1614"/>
      <c r="D177" s="1614"/>
      <c r="E177" s="1614"/>
      <c r="F177" s="1615"/>
      <c r="G177" s="1616"/>
      <c r="H177" s="1803"/>
      <c r="I177" s="1610"/>
      <c r="J177" s="1611"/>
      <c r="K177" s="1606"/>
    </row>
    <row r="178" spans="1:11" ht="15.75">
      <c r="A178" s="1604"/>
      <c r="B178" s="1605"/>
      <c r="C178" s="1614"/>
      <c r="D178" s="1614"/>
      <c r="E178" s="1614"/>
      <c r="F178" s="1615"/>
      <c r="G178" s="1615"/>
      <c r="H178" s="1803"/>
      <c r="I178" s="1610"/>
      <c r="J178" s="1611"/>
      <c r="K178" s="1612"/>
    </row>
    <row r="179" spans="1:11">
      <c r="A179" s="1604"/>
      <c r="B179" s="1605"/>
      <c r="C179" s="1614"/>
      <c r="D179" s="1614"/>
      <c r="E179" s="1614"/>
      <c r="F179" s="1615"/>
      <c r="G179" s="1615"/>
      <c r="H179" s="1803"/>
      <c r="I179" s="1610"/>
      <c r="J179" s="1611"/>
      <c r="K179" s="1606"/>
    </row>
    <row r="180" spans="1:11" ht="15.75">
      <c r="A180" s="1604"/>
      <c r="B180" s="1605"/>
      <c r="C180" s="1614"/>
      <c r="D180" s="1614"/>
      <c r="E180" s="1614"/>
      <c r="F180" s="1615"/>
      <c r="G180" s="1616"/>
      <c r="H180" s="1803"/>
      <c r="I180" s="1610"/>
      <c r="J180" s="1611"/>
      <c r="K180" s="1612"/>
    </row>
    <row r="181" spans="1:11" ht="15.75">
      <c r="A181" s="1604"/>
      <c r="B181" s="1605"/>
      <c r="C181" s="1614"/>
      <c r="D181" s="1614"/>
      <c r="E181" s="1614"/>
      <c r="F181" s="1615"/>
      <c r="G181" s="1616"/>
      <c r="H181" s="1803"/>
      <c r="I181" s="1610"/>
      <c r="J181" s="1611"/>
      <c r="K181" s="1612"/>
    </row>
    <row r="182" spans="1:11" ht="15.75">
      <c r="A182" s="1604"/>
      <c r="B182" s="1605"/>
      <c r="C182" s="1614"/>
      <c r="D182" s="1614"/>
      <c r="E182" s="1614"/>
      <c r="F182" s="1615"/>
      <c r="G182" s="1616"/>
      <c r="H182" s="1803"/>
      <c r="I182" s="1610"/>
      <c r="J182" s="1611"/>
      <c r="K182" s="1612"/>
    </row>
    <row r="183" spans="1:11" ht="15.75">
      <c r="A183" s="1604"/>
      <c r="B183" s="1605"/>
      <c r="C183" s="1614"/>
      <c r="D183" s="1614"/>
      <c r="E183" s="1614"/>
      <c r="F183" s="1615"/>
      <c r="G183" s="1616"/>
      <c r="H183" s="1803"/>
      <c r="I183" s="1610"/>
      <c r="J183" s="1611"/>
      <c r="K183" s="1612"/>
    </row>
    <row r="184" spans="1:11" ht="15.75">
      <c r="A184" s="1604"/>
      <c r="B184" s="1605"/>
      <c r="C184" s="1614"/>
      <c r="D184" s="1614"/>
      <c r="E184" s="1614"/>
      <c r="F184" s="1615"/>
      <c r="G184" s="1615"/>
      <c r="H184" s="1803"/>
      <c r="I184" s="1610"/>
      <c r="J184" s="1611"/>
      <c r="K184" s="1612"/>
    </row>
    <row r="185" spans="1:11">
      <c r="A185" s="1604"/>
      <c r="B185" s="1605"/>
      <c r="C185" s="1614"/>
      <c r="D185" s="1614"/>
      <c r="E185" s="1614"/>
      <c r="F185" s="1615"/>
      <c r="G185" s="1615"/>
      <c r="H185" s="1803"/>
      <c r="I185" s="1610"/>
      <c r="J185" s="1611"/>
      <c r="K185" s="1606"/>
    </row>
    <row r="186" spans="1:11" ht="15.75">
      <c r="A186" s="1604"/>
      <c r="B186" s="1605"/>
      <c r="C186" s="1614"/>
      <c r="D186" s="1614"/>
      <c r="E186" s="1614"/>
      <c r="F186" s="1615"/>
      <c r="G186" s="1616"/>
      <c r="H186" s="1803"/>
      <c r="I186" s="1610"/>
      <c r="J186" s="1611"/>
      <c r="K186" s="1612"/>
    </row>
    <row r="187" spans="1:11">
      <c r="A187" s="1604"/>
      <c r="B187" s="1605"/>
      <c r="C187" s="1614"/>
      <c r="D187" s="1614"/>
      <c r="E187" s="1614"/>
      <c r="F187" s="1615"/>
      <c r="G187" s="1615"/>
      <c r="H187" s="1803"/>
      <c r="I187" s="1610"/>
      <c r="J187" s="1611"/>
      <c r="K187" s="1606"/>
    </row>
    <row r="188" spans="1:11">
      <c r="A188" s="1604"/>
      <c r="B188" s="1605"/>
      <c r="C188" s="1614"/>
      <c r="D188" s="1614"/>
      <c r="E188" s="1614"/>
      <c r="F188" s="1615"/>
      <c r="G188" s="1615"/>
      <c r="H188" s="1803"/>
      <c r="I188" s="1610"/>
      <c r="J188" s="1611"/>
      <c r="K188" s="1606"/>
    </row>
    <row r="189" spans="1:11">
      <c r="A189" s="1604"/>
      <c r="B189" s="1605"/>
      <c r="C189" s="1614"/>
      <c r="D189" s="1614"/>
      <c r="E189" s="1614"/>
      <c r="F189" s="1615"/>
      <c r="G189" s="1615"/>
      <c r="H189" s="1803"/>
      <c r="I189" s="1610"/>
      <c r="J189" s="1611"/>
      <c r="K189" s="1606"/>
    </row>
    <row r="190" spans="1:11">
      <c r="A190" s="1604"/>
      <c r="B190" s="1605"/>
      <c r="C190" s="1614"/>
      <c r="D190" s="1614"/>
      <c r="E190" s="1614"/>
      <c r="F190" s="1615"/>
      <c r="G190" s="1615"/>
      <c r="H190" s="1803"/>
      <c r="I190" s="1610"/>
      <c r="J190" s="1611"/>
      <c r="K190" s="1606"/>
    </row>
    <row r="191" spans="1:11">
      <c r="A191" s="1604"/>
      <c r="B191" s="1605"/>
      <c r="C191" s="1614"/>
      <c r="D191" s="1614"/>
      <c r="E191" s="1614"/>
      <c r="F191" s="1615"/>
      <c r="G191" s="1616"/>
      <c r="H191" s="1803"/>
      <c r="I191" s="1610"/>
      <c r="J191" s="1611"/>
      <c r="K191" s="1606"/>
    </row>
    <row r="192" spans="1:11">
      <c r="A192" s="1604"/>
      <c r="B192" s="1605"/>
      <c r="C192" s="1614"/>
      <c r="D192" s="1614"/>
      <c r="E192" s="1614"/>
      <c r="F192" s="1615"/>
      <c r="G192" s="1616"/>
      <c r="H192" s="1803"/>
      <c r="I192" s="1610"/>
      <c r="J192" s="1611"/>
      <c r="K192" s="1606"/>
    </row>
    <row r="193" spans="1:11">
      <c r="A193" s="1604"/>
      <c r="B193" s="1605"/>
      <c r="C193" s="1614"/>
      <c r="D193" s="1614"/>
      <c r="E193" s="1614"/>
      <c r="F193" s="1615"/>
      <c r="G193" s="1616"/>
      <c r="H193" s="1803"/>
      <c r="I193" s="1610"/>
      <c r="J193" s="1611"/>
      <c r="K193" s="1606"/>
    </row>
    <row r="194" spans="1:11">
      <c r="A194" s="1604"/>
      <c r="B194" s="1605"/>
      <c r="C194" s="1614"/>
      <c r="D194" s="1614"/>
      <c r="E194" s="1614"/>
      <c r="F194" s="1615"/>
      <c r="G194" s="1616"/>
      <c r="H194" s="1803"/>
      <c r="I194" s="1610"/>
      <c r="J194" s="1611"/>
      <c r="K194" s="1606"/>
    </row>
    <row r="195" spans="1:11">
      <c r="A195" s="1604"/>
      <c r="B195" s="1605"/>
      <c r="C195" s="1614"/>
      <c r="D195" s="1614"/>
      <c r="E195" s="1614"/>
      <c r="F195" s="1615"/>
      <c r="G195" s="1616"/>
      <c r="H195" s="1803"/>
      <c r="I195" s="1610"/>
      <c r="J195" s="1611"/>
      <c r="K195" s="1606"/>
    </row>
    <row r="196" spans="1:11">
      <c r="A196" s="1604"/>
      <c r="B196" s="1605"/>
      <c r="C196" s="1614"/>
      <c r="D196" s="1614"/>
      <c r="E196" s="1614"/>
      <c r="F196" s="1615"/>
      <c r="G196" s="1616"/>
      <c r="H196" s="1803"/>
      <c r="I196" s="1610"/>
      <c r="J196" s="1611"/>
      <c r="K196" s="1606"/>
    </row>
    <row r="197" spans="1:11">
      <c r="A197" s="1604"/>
      <c r="B197" s="1605"/>
      <c r="C197" s="1614"/>
      <c r="D197" s="1614"/>
      <c r="E197" s="1614"/>
      <c r="F197" s="1615"/>
      <c r="G197" s="1616"/>
      <c r="H197" s="1803"/>
      <c r="I197" s="1610"/>
      <c r="J197" s="1611"/>
      <c r="K197" s="1606"/>
    </row>
    <row r="198" spans="1:11">
      <c r="A198" s="1604"/>
      <c r="B198" s="1605"/>
      <c r="C198" s="1614"/>
      <c r="D198" s="1614"/>
      <c r="E198" s="1614"/>
      <c r="F198" s="1615"/>
      <c r="G198" s="1615"/>
      <c r="H198" s="1803"/>
      <c r="I198" s="1610"/>
      <c r="J198" s="1611"/>
      <c r="K198" s="1606"/>
    </row>
    <row r="199" spans="1:11">
      <c r="A199" s="1604"/>
      <c r="B199" s="1605"/>
      <c r="C199" s="1614"/>
      <c r="D199" s="1614"/>
      <c r="E199" s="1614"/>
      <c r="F199" s="1615"/>
      <c r="G199" s="1615"/>
      <c r="H199" s="1803"/>
      <c r="I199" s="1610"/>
      <c r="J199" s="1611"/>
      <c r="K199" s="1606"/>
    </row>
    <row r="200" spans="1:11" ht="15.75">
      <c r="A200" s="1604"/>
      <c r="B200" s="1605"/>
      <c r="C200" s="1614"/>
      <c r="D200" s="1614"/>
      <c r="E200" s="1614"/>
      <c r="F200" s="1615"/>
      <c r="G200" s="1616"/>
      <c r="H200" s="1803"/>
      <c r="I200" s="1610"/>
      <c r="J200" s="1611"/>
      <c r="K200" s="1612"/>
    </row>
    <row r="201" spans="1:11">
      <c r="A201" s="1604"/>
      <c r="B201" s="1605"/>
      <c r="C201" s="1614"/>
      <c r="D201" s="1614"/>
      <c r="E201" s="1614"/>
      <c r="F201" s="1615"/>
      <c r="G201" s="1616"/>
      <c r="H201" s="1803"/>
      <c r="I201" s="1610"/>
      <c r="J201" s="1611"/>
      <c r="K201" s="1606"/>
    </row>
    <row r="202" spans="1:11">
      <c r="A202" s="1604"/>
      <c r="B202" s="1605"/>
      <c r="C202" s="1606"/>
      <c r="D202" s="1606"/>
      <c r="E202" s="1606"/>
      <c r="F202" s="1607"/>
      <c r="G202" s="1616"/>
      <c r="H202" s="1803"/>
      <c r="I202" s="1610"/>
      <c r="J202" s="1611"/>
      <c r="K202" s="1606"/>
    </row>
    <row r="203" spans="1:11">
      <c r="A203" s="1604"/>
      <c r="B203" s="1605"/>
      <c r="C203" s="1614"/>
      <c r="D203" s="1614"/>
      <c r="E203" s="1614"/>
      <c r="F203" s="1607"/>
      <c r="G203" s="1616"/>
      <c r="H203" s="1803"/>
      <c r="I203" s="1610"/>
      <c r="J203" s="1611"/>
      <c r="K203" s="1606"/>
    </row>
    <row r="204" spans="1:11" ht="15.75">
      <c r="A204" s="1604"/>
      <c r="B204" s="1605"/>
      <c r="C204" s="1614"/>
      <c r="D204" s="1614"/>
      <c r="E204" s="1614"/>
      <c r="F204" s="1615"/>
      <c r="G204" s="1615"/>
      <c r="H204" s="1803"/>
      <c r="I204" s="1610"/>
      <c r="J204" s="1611"/>
      <c r="K204" s="1612"/>
    </row>
    <row r="205" spans="1:11">
      <c r="A205" s="1604"/>
      <c r="B205" s="1605"/>
      <c r="C205" s="1614"/>
      <c r="D205" s="1614"/>
      <c r="E205" s="1614"/>
      <c r="F205" s="1615"/>
      <c r="G205" s="1615"/>
      <c r="H205" s="1803"/>
      <c r="I205" s="1610"/>
      <c r="J205" s="1611"/>
      <c r="K205" s="1606"/>
    </row>
    <row r="206" spans="1:11" ht="15.75">
      <c r="A206" s="1604"/>
      <c r="B206" s="1605"/>
      <c r="C206" s="1614"/>
      <c r="D206" s="1614"/>
      <c r="E206" s="1614"/>
      <c r="F206" s="1615"/>
      <c r="G206" s="1616"/>
      <c r="H206" s="1803"/>
      <c r="I206" s="1610"/>
      <c r="J206" s="1611"/>
      <c r="K206" s="1612"/>
    </row>
    <row r="207" spans="1:11" ht="15.75">
      <c r="A207" s="1604"/>
      <c r="B207" s="1605"/>
      <c r="C207" s="1614"/>
      <c r="D207" s="1614"/>
      <c r="E207" s="1614"/>
      <c r="F207" s="1615"/>
      <c r="G207" s="1616"/>
      <c r="H207" s="1803"/>
      <c r="I207" s="1610"/>
      <c r="J207" s="1611"/>
      <c r="K207" s="1612"/>
    </row>
    <row r="208" spans="1:11" ht="15.75">
      <c r="A208" s="1604"/>
      <c r="B208" s="1605"/>
      <c r="C208" s="1614"/>
      <c r="D208" s="1614"/>
      <c r="E208" s="1614"/>
      <c r="F208" s="1615"/>
      <c r="G208" s="1616"/>
      <c r="H208" s="1803"/>
      <c r="I208" s="1610"/>
      <c r="J208" s="1611"/>
      <c r="K208" s="1612"/>
    </row>
    <row r="209" spans="1:11" ht="15.75">
      <c r="A209" s="1604"/>
      <c r="B209" s="1605"/>
      <c r="C209" s="1614"/>
      <c r="D209" s="1614"/>
      <c r="E209" s="1614"/>
      <c r="F209" s="1615"/>
      <c r="G209" s="1616"/>
      <c r="H209" s="1803"/>
      <c r="I209" s="1610"/>
      <c r="J209" s="1611"/>
      <c r="K209" s="1612"/>
    </row>
    <row r="210" spans="1:11" ht="15.75">
      <c r="A210" s="1604"/>
      <c r="B210" s="1605"/>
      <c r="C210" s="1614"/>
      <c r="D210" s="1614"/>
      <c r="E210" s="1614"/>
      <c r="F210" s="1615"/>
      <c r="G210" s="1616"/>
      <c r="H210" s="1803"/>
      <c r="I210" s="1610"/>
      <c r="J210" s="1611"/>
      <c r="K210" s="1612"/>
    </row>
    <row r="211" spans="1:11" ht="15.75">
      <c r="A211" s="1604"/>
      <c r="B211" s="1605"/>
      <c r="C211" s="1614"/>
      <c r="D211" s="1614"/>
      <c r="E211" s="1614"/>
      <c r="F211" s="1615"/>
      <c r="G211" s="1616"/>
      <c r="H211" s="1803"/>
      <c r="I211" s="1610"/>
      <c r="J211" s="1611"/>
      <c r="K211" s="1612"/>
    </row>
    <row r="212" spans="1:11" ht="15.75">
      <c r="A212" s="1604"/>
      <c r="B212" s="1605"/>
      <c r="C212" s="1614"/>
      <c r="D212" s="1614"/>
      <c r="E212" s="1614"/>
      <c r="F212" s="1615"/>
      <c r="G212" s="1616"/>
      <c r="H212" s="1803"/>
      <c r="I212" s="1610"/>
      <c r="J212" s="1611"/>
      <c r="K212" s="1612"/>
    </row>
    <row r="213" spans="1:11" ht="15.75">
      <c r="A213" s="1604"/>
      <c r="B213" s="1605"/>
      <c r="C213" s="1614"/>
      <c r="D213" s="1614"/>
      <c r="E213" s="1614"/>
      <c r="F213" s="1615"/>
      <c r="G213" s="1616"/>
      <c r="H213" s="1803"/>
      <c r="I213" s="1610"/>
      <c r="J213" s="1611"/>
      <c r="K213" s="1612"/>
    </row>
    <row r="214" spans="1:11" ht="15.75">
      <c r="A214" s="1604"/>
      <c r="B214" s="1605"/>
      <c r="C214" s="1614"/>
      <c r="D214" s="1614"/>
      <c r="F214" s="1615"/>
      <c r="G214" s="1616"/>
      <c r="H214" s="1803"/>
      <c r="I214" s="1610"/>
      <c r="J214" s="1611"/>
      <c r="K214" s="1612"/>
    </row>
    <row r="215" spans="1:11" ht="15.75">
      <c r="A215" s="1604"/>
      <c r="B215" s="1605"/>
      <c r="C215" s="1614"/>
      <c r="D215" s="1614"/>
      <c r="E215" s="1614"/>
      <c r="F215" s="1615"/>
      <c r="G215" s="1616"/>
      <c r="H215" s="1803"/>
      <c r="I215" s="1610"/>
      <c r="J215" s="1611"/>
      <c r="K215" s="1612"/>
    </row>
    <row r="216" spans="1:11" ht="15.75">
      <c r="A216" s="1604"/>
      <c r="B216" s="1605"/>
      <c r="C216" s="1614"/>
      <c r="D216" s="1614"/>
      <c r="E216" s="1614"/>
      <c r="F216" s="1615"/>
      <c r="G216" s="1616"/>
      <c r="H216" s="1803"/>
      <c r="I216" s="1610"/>
      <c r="J216" s="1611"/>
      <c r="K216" s="1612"/>
    </row>
    <row r="217" spans="1:11" ht="15.75">
      <c r="A217" s="1604"/>
      <c r="B217" s="1605"/>
      <c r="C217" s="1614"/>
      <c r="D217" s="1614"/>
      <c r="E217" s="1614"/>
      <c r="F217" s="1615"/>
      <c r="G217" s="1616"/>
      <c r="H217" s="1803"/>
      <c r="I217" s="1610"/>
      <c r="J217" s="1611"/>
      <c r="K217" s="1612"/>
    </row>
    <row r="218" spans="1:11" ht="15.75">
      <c r="A218" s="1604"/>
      <c r="B218" s="1605"/>
      <c r="C218" s="1614"/>
      <c r="D218" s="1614"/>
      <c r="E218" s="1614"/>
      <c r="F218" s="1615"/>
      <c r="G218" s="1616"/>
      <c r="H218" s="1803"/>
      <c r="I218" s="1610"/>
      <c r="J218" s="1611"/>
      <c r="K218" s="1612"/>
    </row>
    <row r="219" spans="1:11">
      <c r="A219" s="1604"/>
      <c r="B219" s="1605"/>
      <c r="C219" s="1614"/>
      <c r="D219" s="1614"/>
      <c r="E219" s="1614"/>
      <c r="F219" s="1615"/>
      <c r="G219" s="1616"/>
      <c r="H219" s="1803"/>
      <c r="I219" s="1610"/>
      <c r="J219" s="1611"/>
      <c r="K219" s="1606"/>
    </row>
    <row r="220" spans="1:11">
      <c r="A220" s="1618"/>
      <c r="B220" s="1618"/>
      <c r="C220" s="1606"/>
      <c r="D220" s="1606"/>
      <c r="E220" s="1606"/>
      <c r="F220" s="1607"/>
      <c r="G220" s="1608"/>
      <c r="H220" s="1803"/>
      <c r="I220" s="1610"/>
      <c r="J220" s="1611"/>
      <c r="K220" s="1606"/>
    </row>
    <row r="221" spans="1:11">
      <c r="A221" s="1618"/>
      <c r="B221" s="1618"/>
      <c r="C221" s="1606"/>
      <c r="D221" s="1606"/>
      <c r="E221" s="1606"/>
      <c r="F221" s="1607"/>
      <c r="G221" s="1608"/>
      <c r="H221" s="1803"/>
      <c r="I221" s="1610"/>
      <c r="J221" s="1611"/>
      <c r="K221" s="1606"/>
    </row>
    <row r="222" spans="1:11">
      <c r="A222" s="1618"/>
      <c r="B222" s="1618"/>
      <c r="C222" s="1606"/>
      <c r="D222" s="1606"/>
      <c r="E222" s="1606"/>
      <c r="F222" s="1607"/>
      <c r="G222" s="1608"/>
      <c r="H222" s="1803"/>
      <c r="I222" s="1610"/>
      <c r="J222" s="1611"/>
      <c r="K222" s="1606"/>
    </row>
    <row r="223" spans="1:11">
      <c r="A223" s="1618"/>
      <c r="B223" s="1618"/>
      <c r="C223" s="1606"/>
      <c r="D223" s="1606"/>
      <c r="E223" s="1606"/>
      <c r="F223" s="1607"/>
      <c r="G223" s="1608"/>
      <c r="H223" s="1803"/>
      <c r="I223" s="1610"/>
      <c r="J223" s="1611"/>
      <c r="K223" s="1606"/>
    </row>
    <row r="224" spans="1:11">
      <c r="A224" s="1618"/>
      <c r="B224" s="1618"/>
      <c r="C224" s="1606"/>
      <c r="D224" s="1606"/>
      <c r="E224" s="1606"/>
      <c r="F224" s="1607"/>
      <c r="G224" s="1608"/>
      <c r="H224" s="1803"/>
      <c r="I224" s="1610"/>
      <c r="J224" s="1611"/>
      <c r="K224" s="1606"/>
    </row>
    <row r="225" spans="1:11">
      <c r="A225" s="1618"/>
      <c r="B225" s="1618"/>
      <c r="C225" s="1606"/>
      <c r="D225" s="1606"/>
      <c r="E225" s="1606"/>
      <c r="F225" s="1607"/>
      <c r="G225" s="1608"/>
      <c r="H225" s="1803"/>
      <c r="I225" s="1610"/>
      <c r="J225" s="1611"/>
      <c r="K225" s="1606"/>
    </row>
    <row r="226" spans="1:11">
      <c r="A226" s="1618"/>
      <c r="B226" s="1618"/>
      <c r="C226" s="1606"/>
      <c r="D226" s="1606"/>
      <c r="E226" s="1606"/>
      <c r="F226" s="1607"/>
      <c r="G226" s="1608"/>
      <c r="H226" s="1803"/>
      <c r="I226" s="1610"/>
      <c r="J226" s="1611"/>
      <c r="K226" s="1606"/>
    </row>
    <row r="227" spans="1:11">
      <c r="A227" s="1618"/>
      <c r="B227" s="1618"/>
      <c r="C227" s="1606"/>
      <c r="D227" s="1606"/>
      <c r="E227" s="1606"/>
      <c r="F227" s="1607"/>
      <c r="G227" s="1608"/>
      <c r="H227" s="1803"/>
      <c r="I227" s="1610"/>
      <c r="J227" s="1611"/>
      <c r="K227" s="1606"/>
    </row>
    <row r="228" spans="1:11">
      <c r="A228" s="1618"/>
      <c r="B228" s="1618"/>
      <c r="C228" s="1606"/>
      <c r="D228" s="1606"/>
      <c r="E228" s="1606"/>
      <c r="F228" s="1607"/>
      <c r="G228" s="1608"/>
      <c r="H228" s="1803"/>
      <c r="I228" s="1610"/>
      <c r="J228" s="1611"/>
      <c r="K228" s="1606"/>
    </row>
    <row r="229" spans="1:11">
      <c r="A229" s="1618"/>
      <c r="B229" s="1618"/>
      <c r="C229" s="1606"/>
      <c r="D229" s="1606"/>
      <c r="E229" s="1606"/>
      <c r="F229" s="1607"/>
      <c r="G229" s="1608"/>
      <c r="H229" s="1803"/>
      <c r="I229" s="1610"/>
      <c r="J229" s="1611"/>
      <c r="K229" s="1606"/>
    </row>
    <row r="230" spans="1:11">
      <c r="A230" s="1618"/>
      <c r="B230" s="1618"/>
      <c r="C230" s="1606"/>
      <c r="D230" s="1606"/>
      <c r="E230" s="1606"/>
      <c r="F230" s="1607"/>
      <c r="G230" s="1608"/>
      <c r="H230" s="1803"/>
      <c r="I230" s="1610"/>
      <c r="J230" s="1611"/>
      <c r="K230" s="1606"/>
    </row>
    <row r="231" spans="1:11">
      <c r="A231" s="1618"/>
      <c r="B231" s="1618"/>
      <c r="C231" s="1606"/>
      <c r="D231" s="1606"/>
      <c r="E231" s="1606"/>
      <c r="F231" s="1607"/>
      <c r="G231" s="1608"/>
      <c r="H231" s="1803"/>
      <c r="I231" s="1610"/>
      <c r="J231" s="1611"/>
      <c r="K231" s="1606"/>
    </row>
    <row r="232" spans="1:11">
      <c r="A232" s="1618"/>
      <c r="B232" s="1618"/>
      <c r="C232" s="1606"/>
      <c r="D232" s="1606"/>
      <c r="E232" s="1606"/>
      <c r="F232" s="1607"/>
      <c r="G232" s="1608"/>
      <c r="H232" s="1803"/>
      <c r="I232" s="1610"/>
      <c r="J232" s="1611"/>
      <c r="K232" s="1606"/>
    </row>
    <row r="233" spans="1:11">
      <c r="A233" s="1618"/>
      <c r="B233" s="1618"/>
      <c r="C233" s="1606"/>
      <c r="D233" s="1606"/>
      <c r="E233" s="1606"/>
      <c r="F233" s="1607"/>
      <c r="G233" s="1608"/>
      <c r="H233" s="1803"/>
      <c r="I233" s="1610"/>
      <c r="J233" s="1611"/>
      <c r="K233" s="1606"/>
    </row>
    <row r="234" spans="1:11">
      <c r="A234" s="1618"/>
      <c r="B234" s="1618"/>
      <c r="C234" s="1606"/>
      <c r="D234" s="1606"/>
      <c r="E234" s="1606"/>
      <c r="F234" s="1607"/>
      <c r="G234" s="1608"/>
      <c r="H234" s="1803"/>
      <c r="I234" s="1610"/>
      <c r="J234" s="1611"/>
      <c r="K234" s="1606"/>
    </row>
    <row r="235" spans="1:11">
      <c r="A235" s="1618"/>
      <c r="B235" s="1618"/>
      <c r="C235" s="1606"/>
      <c r="D235" s="1606"/>
      <c r="E235" s="1606"/>
      <c r="F235" s="1607"/>
      <c r="G235" s="1608"/>
      <c r="H235" s="1803"/>
      <c r="I235" s="1610"/>
      <c r="J235" s="1611"/>
      <c r="K235" s="1606"/>
    </row>
    <row r="236" spans="1:11">
      <c r="A236" s="1618"/>
      <c r="B236" s="1618"/>
      <c r="C236" s="1606"/>
      <c r="D236" s="1606"/>
      <c r="E236" s="1606"/>
      <c r="F236" s="1607"/>
      <c r="G236" s="1608"/>
      <c r="H236" s="1803"/>
      <c r="I236" s="1610"/>
      <c r="J236" s="1611"/>
      <c r="K236" s="1606"/>
    </row>
    <row r="237" spans="1:11">
      <c r="A237" s="1618"/>
      <c r="B237" s="1618"/>
      <c r="C237" s="1606"/>
      <c r="D237" s="1606"/>
      <c r="E237" s="1606"/>
      <c r="F237" s="1607"/>
      <c r="G237" s="1608"/>
      <c r="H237" s="1803"/>
      <c r="I237" s="1610"/>
      <c r="J237" s="1611"/>
      <c r="K237" s="1606"/>
    </row>
    <row r="238" spans="1:11">
      <c r="A238" s="1618"/>
      <c r="B238" s="1618"/>
      <c r="C238" s="1606"/>
      <c r="D238" s="1606"/>
      <c r="E238" s="1606"/>
      <c r="F238" s="1607"/>
      <c r="G238" s="1608"/>
      <c r="H238" s="1803"/>
      <c r="I238" s="1610"/>
      <c r="J238" s="1611"/>
      <c r="K238" s="1606"/>
    </row>
    <row r="239" spans="1:11">
      <c r="A239" s="1618"/>
      <c r="B239" s="1618"/>
      <c r="C239" s="1606"/>
      <c r="D239" s="1606"/>
      <c r="E239" s="1606"/>
      <c r="F239" s="1607"/>
      <c r="G239" s="1608"/>
      <c r="H239" s="1803"/>
      <c r="I239" s="1610"/>
      <c r="J239" s="1611"/>
      <c r="K239" s="1606"/>
    </row>
    <row r="240" spans="1:11">
      <c r="A240" s="1618"/>
      <c r="B240" s="1618"/>
      <c r="C240" s="1606"/>
      <c r="D240" s="1606"/>
      <c r="E240" s="1606"/>
      <c r="F240" s="1607"/>
      <c r="G240" s="1608"/>
      <c r="H240" s="1803"/>
      <c r="I240" s="1610"/>
      <c r="J240" s="1611"/>
      <c r="K240" s="1606"/>
    </row>
    <row r="241" spans="1:11">
      <c r="A241" s="1618"/>
      <c r="B241" s="1618"/>
      <c r="C241" s="1606"/>
      <c r="D241" s="1606"/>
      <c r="E241" s="1606"/>
      <c r="F241" s="1607"/>
      <c r="G241" s="1608"/>
      <c r="H241" s="1803"/>
      <c r="I241" s="1610"/>
      <c r="J241" s="1611"/>
      <c r="K241" s="1606"/>
    </row>
    <row r="242" spans="1:11">
      <c r="A242" s="1618"/>
      <c r="B242" s="1618"/>
      <c r="C242" s="1606"/>
      <c r="D242" s="1606"/>
      <c r="E242" s="1606"/>
      <c r="F242" s="1607"/>
      <c r="G242" s="1608"/>
      <c r="H242" s="1803"/>
      <c r="I242" s="1610"/>
      <c r="J242" s="1611"/>
      <c r="K242" s="1606"/>
    </row>
    <row r="243" spans="1:11">
      <c r="A243" s="1618"/>
      <c r="B243" s="1618"/>
      <c r="C243" s="1606"/>
      <c r="D243" s="1606"/>
      <c r="E243" s="1606"/>
      <c r="F243" s="1607"/>
      <c r="G243" s="1608"/>
      <c r="H243" s="1803"/>
      <c r="I243" s="1610"/>
      <c r="J243" s="1611"/>
      <c r="K243" s="1606"/>
    </row>
    <row r="244" spans="1:11">
      <c r="A244" s="1618"/>
      <c r="B244" s="1618"/>
      <c r="C244" s="1606"/>
      <c r="D244" s="1606"/>
      <c r="E244" s="1606"/>
      <c r="F244" s="1607"/>
      <c r="G244" s="1608"/>
      <c r="H244" s="1803"/>
      <c r="I244" s="1610"/>
      <c r="J244" s="1611"/>
      <c r="K244" s="1606"/>
    </row>
    <row r="245" spans="1:11">
      <c r="A245" s="1618"/>
      <c r="B245" s="1618"/>
      <c r="C245" s="1606"/>
      <c r="D245" s="1606"/>
      <c r="E245" s="1606"/>
      <c r="F245" s="1607"/>
      <c r="G245" s="1608"/>
      <c r="H245" s="1803"/>
      <c r="I245" s="1610"/>
      <c r="J245" s="1611"/>
      <c r="K245" s="1606"/>
    </row>
    <row r="246" spans="1:11">
      <c r="A246" s="1618"/>
      <c r="B246" s="1618"/>
      <c r="C246" s="1606"/>
      <c r="D246" s="1606"/>
      <c r="E246" s="1606"/>
      <c r="F246" s="1607"/>
      <c r="G246" s="1608"/>
      <c r="H246" s="1803"/>
      <c r="I246" s="1610"/>
      <c r="J246" s="1611"/>
      <c r="K246" s="1606"/>
    </row>
    <row r="247" spans="1:11">
      <c r="A247" s="1618"/>
      <c r="B247" s="1618"/>
      <c r="C247" s="1606"/>
      <c r="D247" s="1606"/>
      <c r="E247" s="1606"/>
      <c r="F247" s="1607"/>
      <c r="G247" s="1608"/>
      <c r="H247" s="1803"/>
      <c r="I247" s="1610"/>
      <c r="J247" s="1611"/>
      <c r="K247" s="1606"/>
    </row>
    <row r="248" spans="1:11">
      <c r="A248" s="1618"/>
      <c r="B248" s="1618"/>
      <c r="C248" s="1606"/>
      <c r="D248" s="1606"/>
      <c r="E248" s="1606"/>
      <c r="F248" s="1607"/>
      <c r="G248" s="1608"/>
      <c r="H248" s="1803"/>
      <c r="I248" s="1610"/>
      <c r="J248" s="1611"/>
      <c r="K248" s="1606"/>
    </row>
    <row r="249" spans="1:11">
      <c r="A249" s="1618"/>
      <c r="B249" s="1618"/>
      <c r="C249" s="1606"/>
      <c r="D249" s="1606"/>
      <c r="E249" s="1606"/>
      <c r="F249" s="1607"/>
      <c r="G249" s="1608"/>
      <c r="H249" s="1803"/>
      <c r="I249" s="1610"/>
      <c r="J249" s="1611"/>
      <c r="K249" s="1606"/>
    </row>
    <row r="250" spans="1:11">
      <c r="A250" s="1618"/>
      <c r="B250" s="1618"/>
      <c r="C250" s="1606"/>
      <c r="D250" s="1606"/>
      <c r="E250" s="1606"/>
      <c r="F250" s="1607"/>
      <c r="G250" s="1608"/>
      <c r="H250" s="1803"/>
      <c r="I250" s="1610"/>
      <c r="J250" s="1611"/>
      <c r="K250" s="1606"/>
    </row>
    <row r="251" spans="1:11">
      <c r="A251" s="1618"/>
      <c r="B251" s="1618"/>
      <c r="C251" s="1606"/>
      <c r="D251" s="1606"/>
      <c r="E251" s="1606"/>
      <c r="F251" s="1607"/>
      <c r="G251" s="1608"/>
      <c r="H251" s="1803"/>
      <c r="I251" s="1610"/>
      <c r="J251" s="1611"/>
      <c r="K251" s="1606"/>
    </row>
    <row r="252" spans="1:11">
      <c r="A252" s="1618"/>
      <c r="B252" s="1618"/>
      <c r="C252" s="1606"/>
      <c r="D252" s="1606"/>
      <c r="E252" s="1606"/>
      <c r="F252" s="1607"/>
      <c r="G252" s="1608"/>
      <c r="H252" s="1803"/>
      <c r="I252" s="1610"/>
      <c r="J252" s="1611"/>
      <c r="K252" s="1606"/>
    </row>
    <row r="253" spans="1:11">
      <c r="A253" s="1618"/>
      <c r="B253" s="1618"/>
      <c r="C253" s="1606"/>
      <c r="D253" s="1606"/>
      <c r="E253" s="1606"/>
      <c r="F253" s="1607"/>
      <c r="G253" s="1608"/>
      <c r="H253" s="1803"/>
      <c r="I253" s="1610"/>
      <c r="J253" s="1611"/>
      <c r="K253" s="1606"/>
    </row>
    <row r="254" spans="1:11">
      <c r="A254" s="1618"/>
      <c r="B254" s="1618"/>
      <c r="C254" s="1606"/>
      <c r="D254" s="1606"/>
      <c r="E254" s="1606"/>
      <c r="F254" s="1607"/>
      <c r="G254" s="1608"/>
      <c r="H254" s="1803"/>
      <c r="I254" s="1610"/>
      <c r="J254" s="1611"/>
      <c r="K254" s="1606"/>
    </row>
    <row r="255" spans="1:11">
      <c r="A255" s="1618"/>
      <c r="B255" s="1618"/>
      <c r="C255" s="1606"/>
      <c r="D255" s="1606"/>
      <c r="E255" s="1606"/>
      <c r="F255" s="1607"/>
      <c r="G255" s="1608"/>
      <c r="H255" s="1803"/>
      <c r="I255" s="1610"/>
      <c r="J255" s="1611"/>
      <c r="K255" s="1606"/>
    </row>
    <row r="256" spans="1:11">
      <c r="A256" s="1618"/>
      <c r="B256" s="1618"/>
      <c r="C256" s="1606"/>
      <c r="D256" s="1606"/>
      <c r="E256" s="1606"/>
      <c r="F256" s="1607"/>
      <c r="G256" s="1608"/>
      <c r="H256" s="1803"/>
      <c r="I256" s="1610"/>
      <c r="J256" s="1611"/>
      <c r="K256" s="1606"/>
    </row>
    <row r="257" spans="1:11">
      <c r="A257" s="1618"/>
      <c r="B257" s="1618"/>
      <c r="C257" s="1606"/>
      <c r="D257" s="1606"/>
      <c r="E257" s="1606"/>
      <c r="F257" s="1607"/>
      <c r="G257" s="1608"/>
      <c r="H257" s="1803"/>
      <c r="I257" s="1610"/>
      <c r="J257" s="1611"/>
      <c r="K257" s="1606"/>
    </row>
    <row r="258" spans="1:11">
      <c r="A258" s="1618"/>
      <c r="B258" s="1618"/>
      <c r="C258" s="1606"/>
      <c r="D258" s="1606"/>
      <c r="E258" s="1606"/>
      <c r="F258" s="1607"/>
      <c r="G258" s="1608"/>
      <c r="H258" s="1803"/>
      <c r="I258" s="1610"/>
      <c r="J258" s="1611"/>
      <c r="K258" s="1606"/>
    </row>
    <row r="259" spans="1:11">
      <c r="A259" s="1618"/>
      <c r="B259" s="1618"/>
      <c r="C259" s="1606"/>
      <c r="D259" s="1606"/>
      <c r="E259" s="1606"/>
      <c r="F259" s="1607"/>
      <c r="G259" s="1608"/>
      <c r="H259" s="1803"/>
      <c r="I259" s="1610"/>
      <c r="J259" s="1611"/>
      <c r="K259" s="1606"/>
    </row>
    <row r="260" spans="1:11">
      <c r="A260" s="1618"/>
      <c r="B260" s="1618"/>
      <c r="C260" s="1606"/>
      <c r="D260" s="1606"/>
      <c r="E260" s="1606"/>
      <c r="F260" s="1607"/>
      <c r="G260" s="1608"/>
      <c r="H260" s="1803"/>
      <c r="I260" s="1610"/>
      <c r="J260" s="1611"/>
      <c r="K260" s="1606"/>
    </row>
    <row r="261" spans="1:11">
      <c r="A261" s="1618"/>
      <c r="B261" s="1618"/>
      <c r="C261" s="1606"/>
      <c r="D261" s="1606"/>
      <c r="E261" s="1606"/>
      <c r="F261" s="1607"/>
      <c r="G261" s="1608"/>
      <c r="H261" s="1803"/>
      <c r="I261" s="1610"/>
      <c r="J261" s="1611"/>
      <c r="K261" s="1606"/>
    </row>
    <row r="262" spans="1:11">
      <c r="A262" s="1618"/>
      <c r="B262" s="1618"/>
      <c r="C262" s="1606"/>
      <c r="D262" s="1606"/>
      <c r="E262" s="1606"/>
      <c r="F262" s="1607"/>
      <c r="G262" s="1608"/>
      <c r="H262" s="1803"/>
      <c r="I262" s="1610"/>
      <c r="J262" s="1611"/>
      <c r="K262" s="1606"/>
    </row>
    <row r="263" spans="1:11">
      <c r="A263" s="1618"/>
      <c r="B263" s="1618"/>
      <c r="C263" s="1606"/>
      <c r="D263" s="1606"/>
      <c r="E263" s="1606"/>
      <c r="F263" s="1607"/>
      <c r="G263" s="1608"/>
      <c r="H263" s="1803"/>
      <c r="I263" s="1610"/>
      <c r="J263" s="1611"/>
      <c r="K263" s="1606"/>
    </row>
    <row r="264" spans="1:11">
      <c r="A264" s="1618"/>
      <c r="B264" s="1618"/>
      <c r="C264" s="1606"/>
      <c r="D264" s="1606"/>
      <c r="E264" s="1606"/>
      <c r="F264" s="1607"/>
      <c r="G264" s="1608"/>
      <c r="H264" s="1803"/>
      <c r="I264" s="1610"/>
      <c r="J264" s="1611"/>
      <c r="K264" s="1606"/>
    </row>
    <row r="265" spans="1:11">
      <c r="A265" s="1618"/>
      <c r="B265" s="1618"/>
      <c r="C265" s="1606"/>
      <c r="D265" s="1606"/>
      <c r="E265" s="1606"/>
      <c r="F265" s="1607"/>
      <c r="G265" s="1608"/>
      <c r="H265" s="1803"/>
      <c r="I265" s="1610"/>
      <c r="J265" s="1611"/>
      <c r="K265" s="1606"/>
    </row>
    <row r="266" spans="1:11">
      <c r="A266" s="1618"/>
      <c r="B266" s="1618"/>
      <c r="C266" s="1606"/>
      <c r="D266" s="1606"/>
      <c r="E266" s="1606"/>
      <c r="F266" s="1607"/>
      <c r="G266" s="1608"/>
      <c r="H266" s="1803"/>
      <c r="I266" s="1610"/>
      <c r="J266" s="1611"/>
      <c r="K266" s="1606"/>
    </row>
    <row r="267" spans="1:11">
      <c r="A267" s="1606"/>
      <c r="B267" s="1606"/>
      <c r="C267" s="1606"/>
      <c r="D267" s="1606"/>
      <c r="E267" s="1606"/>
      <c r="F267" s="1606"/>
      <c r="G267" s="1606"/>
      <c r="H267" s="1803"/>
      <c r="I267" s="1610"/>
      <c r="J267" s="1611"/>
      <c r="K267" s="1606"/>
    </row>
    <row r="268" spans="1:11">
      <c r="A268" s="1606"/>
      <c r="B268" s="1606"/>
      <c r="C268" s="1606"/>
      <c r="D268" s="1606"/>
      <c r="E268" s="1606"/>
      <c r="F268" s="1606"/>
      <c r="G268" s="1606"/>
      <c r="H268" s="1803"/>
      <c r="I268" s="1610"/>
      <c r="J268" s="1611"/>
      <c r="K268" s="1606"/>
    </row>
    <row r="269" spans="1:11">
      <c r="A269" s="1606"/>
      <c r="B269" s="1606"/>
      <c r="C269" s="1606"/>
      <c r="D269" s="1606"/>
      <c r="E269" s="1606"/>
      <c r="F269" s="1606"/>
      <c r="G269" s="1606"/>
      <c r="H269" s="1803"/>
      <c r="I269" s="1610"/>
      <c r="J269" s="1611"/>
      <c r="K269" s="1606"/>
    </row>
    <row r="270" spans="1:11">
      <c r="A270" s="1606"/>
      <c r="B270" s="1606"/>
      <c r="C270" s="1606"/>
      <c r="D270" s="1606"/>
      <c r="E270" s="1606"/>
      <c r="F270" s="1606"/>
      <c r="G270" s="1606"/>
      <c r="H270" s="1803"/>
      <c r="I270" s="1610"/>
      <c r="J270" s="1611"/>
      <c r="K270" s="1606"/>
    </row>
    <row r="271" spans="1:11">
      <c r="A271" s="1606"/>
      <c r="B271" s="1606"/>
      <c r="C271" s="1606"/>
      <c r="D271" s="1606"/>
      <c r="E271" s="1606"/>
      <c r="F271" s="1606"/>
      <c r="G271" s="1606"/>
      <c r="H271" s="1803"/>
      <c r="I271" s="1610"/>
      <c r="J271" s="1611"/>
      <c r="K271" s="1606"/>
    </row>
    <row r="272" spans="1:11">
      <c r="A272" s="1606"/>
      <c r="B272" s="1606"/>
      <c r="C272" s="1606"/>
      <c r="D272" s="1606"/>
      <c r="E272" s="1606"/>
      <c r="F272" s="1606"/>
      <c r="G272" s="1606"/>
      <c r="H272" s="1803"/>
      <c r="I272" s="1610"/>
      <c r="J272" s="1611"/>
      <c r="K272" s="1606"/>
    </row>
    <row r="273" spans="1:11">
      <c r="A273" s="1606"/>
      <c r="B273" s="1606"/>
      <c r="C273" s="1606"/>
      <c r="D273" s="1606"/>
      <c r="E273" s="1606"/>
      <c r="F273" s="1606"/>
      <c r="G273" s="1606"/>
      <c r="H273" s="1803"/>
      <c r="I273" s="1610"/>
      <c r="J273" s="1611"/>
      <c r="K273" s="1606"/>
    </row>
    <row r="274" spans="1:11">
      <c r="A274" s="1606"/>
      <c r="B274" s="1606"/>
      <c r="C274" s="1606"/>
      <c r="D274" s="1606"/>
      <c r="E274" s="1606"/>
      <c r="F274" s="1606"/>
      <c r="G274" s="1606"/>
      <c r="H274" s="1803"/>
      <c r="I274" s="1610"/>
      <c r="J274" s="1611"/>
      <c r="K274" s="1606"/>
    </row>
    <row r="275" spans="1:11">
      <c r="A275" s="1606"/>
      <c r="B275" s="1606"/>
      <c r="C275" s="1606"/>
      <c r="D275" s="1606"/>
      <c r="E275" s="1606"/>
      <c r="F275" s="1606"/>
      <c r="G275" s="1606"/>
      <c r="H275" s="1803"/>
      <c r="I275" s="1610"/>
      <c r="J275" s="1611"/>
      <c r="K275" s="1606"/>
    </row>
    <row r="276" spans="1:11">
      <c r="A276" s="1606"/>
      <c r="B276" s="1606"/>
      <c r="C276" s="1606"/>
      <c r="D276" s="1606"/>
      <c r="E276" s="1606"/>
      <c r="F276" s="1606"/>
      <c r="G276" s="1606"/>
      <c r="H276" s="1803"/>
      <c r="I276" s="1610"/>
      <c r="J276" s="1611"/>
      <c r="K276" s="1606"/>
    </row>
    <row r="277" spans="1:11">
      <c r="A277" s="1606"/>
      <c r="B277" s="1606"/>
      <c r="C277" s="1606"/>
      <c r="D277" s="1606"/>
      <c r="E277" s="1606"/>
      <c r="F277" s="1606"/>
      <c r="G277" s="1606"/>
      <c r="H277" s="1803"/>
      <c r="I277" s="1610"/>
      <c r="J277" s="1611"/>
      <c r="K277" s="1606"/>
    </row>
    <row r="278" spans="1:11">
      <c r="A278" s="1606"/>
      <c r="B278" s="1606"/>
      <c r="C278" s="1606"/>
      <c r="D278" s="1606"/>
      <c r="E278" s="1606"/>
      <c r="F278" s="1606"/>
      <c r="G278" s="1606"/>
      <c r="H278" s="1803"/>
      <c r="I278" s="1610"/>
      <c r="J278" s="1611"/>
      <c r="K278" s="1606"/>
    </row>
    <row r="279" spans="1:11">
      <c r="A279" s="1606"/>
      <c r="B279" s="1606"/>
      <c r="C279" s="1606"/>
      <c r="D279" s="1606"/>
      <c r="E279" s="1606"/>
      <c r="F279" s="1606"/>
      <c r="G279" s="1606"/>
      <c r="H279" s="1803"/>
      <c r="I279" s="1610"/>
      <c r="J279" s="1611"/>
      <c r="K279" s="1606"/>
    </row>
    <row r="280" spans="1:11">
      <c r="A280" s="1606"/>
      <c r="B280" s="1606"/>
      <c r="C280" s="1606"/>
      <c r="D280" s="1606"/>
      <c r="E280" s="1606"/>
      <c r="F280" s="1606"/>
      <c r="G280" s="1606"/>
      <c r="H280" s="1803"/>
      <c r="I280" s="1610"/>
      <c r="J280" s="1611"/>
      <c r="K280" s="1606"/>
    </row>
    <row r="281" spans="1:11" ht="15.75" thickBot="1">
      <c r="A281" s="1604"/>
      <c r="B281" s="1605"/>
      <c r="C281" s="1614"/>
      <c r="D281" s="1614"/>
      <c r="E281" s="1614"/>
      <c r="F281" s="1615"/>
      <c r="G281" s="1616"/>
      <c r="H281" s="1803"/>
      <c r="I281" s="1610"/>
      <c r="J281" s="1611"/>
      <c r="K281" s="1606"/>
    </row>
    <row r="282" spans="1:11" ht="20.25" thickBot="1">
      <c r="A282" s="1814"/>
      <c r="B282" s="1815"/>
      <c r="C282" s="1815"/>
      <c r="D282" s="1815"/>
      <c r="E282" s="1815"/>
      <c r="F282" s="1816">
        <f>SUM(F161:F169,F171:F281)</f>
        <v>0</v>
      </c>
      <c r="G282" s="1815"/>
      <c r="H282" s="1817">
        <f>SUM(H61:H281)</f>
        <v>9072.1799099999989</v>
      </c>
      <c r="I282" s="1816">
        <f>SUM(I161:I281)</f>
        <v>0</v>
      </c>
      <c r="J282" s="1611"/>
      <c r="K282" s="1612"/>
    </row>
  </sheetData>
  <autoFilter ref="A1:K61" xr:uid="{FD2568A9-166D-422B-9147-AE016F6ACD73}">
    <sortState xmlns:xlrd2="http://schemas.microsoft.com/office/spreadsheetml/2017/richdata2" ref="A2:K61">
      <sortCondition ref="B1:B61"/>
    </sortState>
  </autoFilter>
  <pageMargins left="0.511811024" right="0.511811024" top="0.78740157499999996" bottom="0.78740157499999996" header="0.31496062000000002" footer="0.3149606200000000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BC79C-D0E6-485C-9B5F-23762693B4DE}">
  <dimension ref="A1:K280"/>
  <sheetViews>
    <sheetView zoomScale="85" zoomScaleNormal="85" workbookViewId="0">
      <pane ySplit="1" topLeftCell="A30" activePane="bottomLeft" state="frozen"/>
      <selection pane="bottomLeft" activeCell="I29" sqref="I29"/>
    </sheetView>
  </sheetViews>
  <sheetFormatPr defaultColWidth="9.140625" defaultRowHeight="15"/>
  <cols>
    <col min="1" max="1" width="15.140625" style="1032" bestFit="1" customWidth="1"/>
    <col min="2" max="2" width="11.5703125" style="1032" bestFit="1" customWidth="1"/>
    <col min="3" max="3" width="44" style="1032" bestFit="1" customWidth="1"/>
    <col min="4" max="4" width="22.28515625" style="1032" bestFit="1" customWidth="1"/>
    <col min="5" max="5" width="14.140625" style="1032" bestFit="1" customWidth="1"/>
    <col min="6" max="6" width="22" style="1032" bestFit="1" customWidth="1"/>
    <col min="7" max="7" width="13.42578125" style="1032" bestFit="1" customWidth="1"/>
    <col min="8" max="8" width="24.85546875" style="1032" bestFit="1" customWidth="1"/>
    <col min="9" max="9" width="21" style="1032" bestFit="1" customWidth="1"/>
    <col min="10" max="10" width="13.140625" style="1032" customWidth="1"/>
    <col min="11" max="11" width="15" style="1032" bestFit="1" customWidth="1"/>
    <col min="12" max="16384" width="9.140625" style="1032"/>
  </cols>
  <sheetData>
    <row r="1" spans="1:11" ht="14.25" customHeight="1">
      <c r="A1" s="1559" t="s">
        <v>2519</v>
      </c>
      <c r="B1" s="1560" t="s">
        <v>2</v>
      </c>
      <c r="C1" s="1560" t="s">
        <v>3</v>
      </c>
      <c r="D1" s="1560" t="s">
        <v>4</v>
      </c>
      <c r="E1" s="1560" t="s">
        <v>5</v>
      </c>
      <c r="F1" s="1561" t="s">
        <v>644</v>
      </c>
      <c r="G1" s="1562" t="s">
        <v>555</v>
      </c>
      <c r="H1" s="1563" t="s">
        <v>7</v>
      </c>
      <c r="I1" s="1564" t="s">
        <v>307</v>
      </c>
      <c r="J1" s="1562" t="s">
        <v>370</v>
      </c>
      <c r="K1" s="1565" t="s">
        <v>3013</v>
      </c>
    </row>
    <row r="2" spans="1:11" ht="15.75">
      <c r="A2" s="1040">
        <v>46078</v>
      </c>
      <c r="B2" s="1042">
        <v>46447</v>
      </c>
      <c r="C2" s="1030" t="s">
        <v>2486</v>
      </c>
      <c r="D2" s="1030" t="s">
        <v>448</v>
      </c>
      <c r="E2" s="1030" t="s">
        <v>19</v>
      </c>
      <c r="F2" s="1072">
        <v>3392.54</v>
      </c>
      <c r="G2" s="1073">
        <v>0.1</v>
      </c>
      <c r="H2" s="1067">
        <f t="shared" ref="H2:H42" si="0">F2*G2*(1-10%)</f>
        <v>305.32860000000005</v>
      </c>
      <c r="I2" s="1068">
        <v>30.53</v>
      </c>
      <c r="J2" s="1112" t="s">
        <v>1470</v>
      </c>
      <c r="K2" s="1601" t="s">
        <v>2015</v>
      </c>
    </row>
    <row r="3" spans="1:11" ht="15.75">
      <c r="A3" s="1223">
        <v>46081</v>
      </c>
      <c r="B3" s="1472">
        <v>46447</v>
      </c>
      <c r="C3" s="1225" t="s">
        <v>2487</v>
      </c>
      <c r="D3" s="1225" t="s">
        <v>9</v>
      </c>
      <c r="E3" s="1225" t="s">
        <v>948</v>
      </c>
      <c r="F3" s="1477">
        <v>3501.69</v>
      </c>
      <c r="G3" s="1480">
        <v>0.1</v>
      </c>
      <c r="H3" s="1226">
        <f t="shared" si="0"/>
        <v>315.15210000000002</v>
      </c>
      <c r="I3" s="1227">
        <f>315.15/2</f>
        <v>157.57499999999999</v>
      </c>
      <c r="J3" s="1228" t="s">
        <v>1577</v>
      </c>
      <c r="K3" s="1895" t="s">
        <v>2015</v>
      </c>
    </row>
    <row r="4" spans="1:11" ht="15.75">
      <c r="A4" s="1041">
        <v>46176</v>
      </c>
      <c r="B4" s="1041">
        <v>46448</v>
      </c>
      <c r="C4" s="1027" t="s">
        <v>2244</v>
      </c>
      <c r="D4" s="1027" t="s">
        <v>448</v>
      </c>
      <c r="E4" s="1027" t="s">
        <v>948</v>
      </c>
      <c r="F4" s="1065">
        <v>3181.64</v>
      </c>
      <c r="G4" s="1066">
        <v>0.1</v>
      </c>
      <c r="H4" s="1067">
        <f t="shared" si="0"/>
        <v>286.3476</v>
      </c>
      <c r="I4" s="1243">
        <v>28.63</v>
      </c>
      <c r="J4" s="1027" t="s">
        <v>1470</v>
      </c>
      <c r="K4" s="1117" t="s">
        <v>2274</v>
      </c>
    </row>
    <row r="5" spans="1:11" ht="15.75">
      <c r="A5" s="1037">
        <v>46085</v>
      </c>
      <c r="B5" s="1038">
        <v>46450</v>
      </c>
      <c r="C5" s="1025" t="s">
        <v>3205</v>
      </c>
      <c r="D5" s="1026" t="s">
        <v>25</v>
      </c>
      <c r="E5" s="1026" t="s">
        <v>948</v>
      </c>
      <c r="F5" s="1059">
        <v>1430.73</v>
      </c>
      <c r="G5" s="1054">
        <v>0.15</v>
      </c>
      <c r="H5" s="1055">
        <f t="shared" si="0"/>
        <v>193.14855</v>
      </c>
      <c r="I5" s="1056"/>
      <c r="J5" s="1111"/>
      <c r="K5" s="1115" t="s">
        <v>2015</v>
      </c>
    </row>
    <row r="6" spans="1:11" s="1025" customFormat="1" ht="15.75">
      <c r="A6" s="1039">
        <v>46085</v>
      </c>
      <c r="B6" s="1039">
        <v>46450</v>
      </c>
      <c r="C6" s="1025" t="s">
        <v>1995</v>
      </c>
      <c r="D6" s="1025" t="s">
        <v>25</v>
      </c>
      <c r="E6" s="1025" t="s">
        <v>948</v>
      </c>
      <c r="F6" s="1023">
        <v>1145.6600000000001</v>
      </c>
      <c r="G6" s="1062">
        <v>0.1</v>
      </c>
      <c r="H6" s="1055">
        <f t="shared" si="0"/>
        <v>103.10940000000002</v>
      </c>
      <c r="I6" s="1242"/>
      <c r="K6" s="1115" t="s">
        <v>2015</v>
      </c>
    </row>
    <row r="7" spans="1:11" s="1025" customFormat="1" ht="15.75">
      <c r="A7" s="1406">
        <v>46084</v>
      </c>
      <c r="B7" s="1406">
        <v>46452</v>
      </c>
      <c r="C7" s="1224" t="s">
        <v>3204</v>
      </c>
      <c r="D7" s="1224" t="s">
        <v>25</v>
      </c>
      <c r="E7" s="1224" t="s">
        <v>948</v>
      </c>
      <c r="F7" s="1232">
        <v>1624.32</v>
      </c>
      <c r="G7" s="1409">
        <v>0.1</v>
      </c>
      <c r="H7" s="1226">
        <f t="shared" si="0"/>
        <v>146.18880000000001</v>
      </c>
      <c r="I7" s="1439">
        <f>146.19/2</f>
        <v>73.094999999999999</v>
      </c>
      <c r="J7" s="1224" t="s">
        <v>1577</v>
      </c>
      <c r="K7" s="1231" t="s">
        <v>2010</v>
      </c>
    </row>
    <row r="8" spans="1:11" ht="15.75">
      <c r="A8" s="1223">
        <v>46087</v>
      </c>
      <c r="B8" s="1472">
        <v>46452</v>
      </c>
      <c r="C8" s="1225" t="s">
        <v>3208</v>
      </c>
      <c r="D8" s="1225" t="s">
        <v>448</v>
      </c>
      <c r="E8" s="1225" t="s">
        <v>143</v>
      </c>
      <c r="F8" s="1516">
        <v>8750.99</v>
      </c>
      <c r="G8" s="1480">
        <v>0.15</v>
      </c>
      <c r="H8" s="1226">
        <f t="shared" si="0"/>
        <v>1181.38365</v>
      </c>
      <c r="I8" s="1227">
        <f>1181.38/2</f>
        <v>590.69000000000005</v>
      </c>
      <c r="J8" s="1228" t="s">
        <v>1577</v>
      </c>
      <c r="K8" s="1231" t="s">
        <v>2010</v>
      </c>
    </row>
    <row r="9" spans="1:11" ht="15" customHeight="1">
      <c r="A9" s="1037">
        <v>46086</v>
      </c>
      <c r="B9" s="1038">
        <v>46452</v>
      </c>
      <c r="C9" s="1026" t="s">
        <v>1998</v>
      </c>
      <c r="D9" s="1026" t="s">
        <v>21</v>
      </c>
      <c r="E9" s="1026" t="s">
        <v>948</v>
      </c>
      <c r="F9" s="1059">
        <v>1474.26</v>
      </c>
      <c r="G9" s="1054">
        <v>0.15</v>
      </c>
      <c r="H9" s="1055">
        <f t="shared" si="0"/>
        <v>199.02509999999998</v>
      </c>
      <c r="I9" s="1056"/>
      <c r="J9" s="1111"/>
      <c r="K9" s="1115" t="s">
        <v>2015</v>
      </c>
    </row>
    <row r="10" spans="1:11" ht="15.75">
      <c r="A10" s="1037">
        <v>46086</v>
      </c>
      <c r="B10" s="1038">
        <v>46452</v>
      </c>
      <c r="C10" s="1026" t="s">
        <v>253</v>
      </c>
      <c r="D10" s="1026" t="s">
        <v>25</v>
      </c>
      <c r="E10" s="1026" t="s">
        <v>948</v>
      </c>
      <c r="F10" s="1059">
        <v>2236.11</v>
      </c>
      <c r="G10" s="1054">
        <v>0.15</v>
      </c>
      <c r="H10" s="1055">
        <f t="shared" si="0"/>
        <v>301.87484999999998</v>
      </c>
      <c r="I10" s="1056"/>
      <c r="J10" s="1111"/>
      <c r="K10" s="1115" t="s">
        <v>2015</v>
      </c>
    </row>
    <row r="11" spans="1:11" ht="15.75">
      <c r="A11" s="1037">
        <v>46091</v>
      </c>
      <c r="B11" s="1038">
        <v>46456</v>
      </c>
      <c r="C11" s="1025" t="s">
        <v>3209</v>
      </c>
      <c r="D11" s="1025" t="s">
        <v>1862</v>
      </c>
      <c r="E11" s="1025" t="s">
        <v>19</v>
      </c>
      <c r="F11" s="903">
        <v>2461.31</v>
      </c>
      <c r="G11" s="1062">
        <v>0.15</v>
      </c>
      <c r="H11" s="1055">
        <f t="shared" si="0"/>
        <v>332.27684999999997</v>
      </c>
      <c r="I11" s="1056"/>
      <c r="J11" s="1111"/>
      <c r="K11" s="1115" t="s">
        <v>2010</v>
      </c>
    </row>
    <row r="12" spans="1:11">
      <c r="A12" s="1037">
        <v>46086</v>
      </c>
      <c r="B12" s="1038">
        <v>46456</v>
      </c>
      <c r="C12" s="1025" t="s">
        <v>1316</v>
      </c>
      <c r="D12" s="1025" t="s">
        <v>9</v>
      </c>
      <c r="E12" s="1025" t="s">
        <v>948</v>
      </c>
      <c r="F12" s="1061">
        <v>1150.92</v>
      </c>
      <c r="G12" s="1062">
        <v>0.1</v>
      </c>
      <c r="H12" s="1269">
        <f t="shared" si="0"/>
        <v>103.58280000000002</v>
      </c>
      <c r="I12" s="1056"/>
      <c r="J12" s="1111"/>
      <c r="K12" s="1025" t="s">
        <v>2012</v>
      </c>
    </row>
    <row r="13" spans="1:11" s="1875" customFormat="1" ht="15.75">
      <c r="A13" s="1223">
        <v>46092</v>
      </c>
      <c r="B13" s="1472">
        <v>46457</v>
      </c>
      <c r="C13" s="1225" t="s">
        <v>3228</v>
      </c>
      <c r="D13" s="1225" t="s">
        <v>14</v>
      </c>
      <c r="E13" s="1224" t="s">
        <v>19</v>
      </c>
      <c r="F13" s="1407">
        <v>3696.07</v>
      </c>
      <c r="G13" s="1409">
        <v>0.1</v>
      </c>
      <c r="H13" s="1859">
        <f t="shared" si="0"/>
        <v>332.64630000000005</v>
      </c>
      <c r="I13" s="1227">
        <f>332.65/2</f>
        <v>166.32499999999999</v>
      </c>
      <c r="J13" s="1228" t="s">
        <v>1577</v>
      </c>
      <c r="K13" s="1231" t="s">
        <v>2010</v>
      </c>
    </row>
    <row r="14" spans="1:11" ht="15.75" customHeight="1">
      <c r="A14" s="1037">
        <v>46092</v>
      </c>
      <c r="B14" s="1038">
        <v>46457</v>
      </c>
      <c r="C14" s="1039" t="s">
        <v>3210</v>
      </c>
      <c r="D14" s="1038" t="s">
        <v>448</v>
      </c>
      <c r="E14" s="1039" t="s">
        <v>19</v>
      </c>
      <c r="F14" s="1023">
        <v>4475.62</v>
      </c>
      <c r="G14" s="1062">
        <v>0.1</v>
      </c>
      <c r="H14" s="1269">
        <f t="shared" si="0"/>
        <v>402.80580000000003</v>
      </c>
      <c r="I14" s="1089"/>
      <c r="J14" s="1325"/>
      <c r="K14" s="1039" t="s">
        <v>2010</v>
      </c>
    </row>
    <row r="15" spans="1:11" ht="15.75">
      <c r="A15" s="1037">
        <v>46094</v>
      </c>
      <c r="B15" s="1038">
        <v>46459</v>
      </c>
      <c r="C15" s="1025" t="s">
        <v>3206</v>
      </c>
      <c r="D15" s="1026" t="s">
        <v>70</v>
      </c>
      <c r="E15" s="1025" t="s">
        <v>279</v>
      </c>
      <c r="F15" s="1061">
        <v>4175.3</v>
      </c>
      <c r="G15" s="1062">
        <v>0.1</v>
      </c>
      <c r="H15" s="1269">
        <f t="shared" si="0"/>
        <v>375.77700000000004</v>
      </c>
      <c r="I15" s="1056"/>
      <c r="J15" s="1111"/>
      <c r="K15" s="1115" t="s">
        <v>2015</v>
      </c>
    </row>
    <row r="16" spans="1:11" s="1464" customFormat="1" ht="15.75">
      <c r="A16" s="1040">
        <v>46094</v>
      </c>
      <c r="B16" s="1042">
        <v>46460</v>
      </c>
      <c r="C16" s="1027" t="s">
        <v>3211</v>
      </c>
      <c r="D16" s="1030" t="s">
        <v>448</v>
      </c>
      <c r="E16" s="1027" t="s">
        <v>143</v>
      </c>
      <c r="F16" s="1065">
        <v>1182.3599999999999</v>
      </c>
      <c r="G16" s="1066">
        <v>0.1</v>
      </c>
      <c r="H16" s="1635">
        <f t="shared" si="0"/>
        <v>106.41239999999999</v>
      </c>
      <c r="I16" s="1068">
        <v>10.64</v>
      </c>
      <c r="J16" s="1112" t="s">
        <v>1470</v>
      </c>
      <c r="K16" s="1117" t="s">
        <v>2010</v>
      </c>
    </row>
    <row r="17" spans="1:11" ht="15.75">
      <c r="A17" s="1406">
        <v>46094</v>
      </c>
      <c r="B17" s="1406">
        <v>46460</v>
      </c>
      <c r="C17" s="1224" t="s">
        <v>2808</v>
      </c>
      <c r="D17" s="1224" t="s">
        <v>448</v>
      </c>
      <c r="E17" s="1224" t="s">
        <v>19</v>
      </c>
      <c r="F17" s="1408">
        <v>2761.61</v>
      </c>
      <c r="G17" s="1409">
        <v>0.1</v>
      </c>
      <c r="H17" s="1859">
        <f t="shared" si="0"/>
        <v>248.54490000000001</v>
      </c>
      <c r="I17" s="1227">
        <f>248.54/2</f>
        <v>124.27</v>
      </c>
      <c r="J17" s="1228" t="s">
        <v>1577</v>
      </c>
      <c r="K17" s="1231" t="s">
        <v>2015</v>
      </c>
    </row>
    <row r="18" spans="1:11" ht="15.75">
      <c r="A18" s="1039">
        <v>46087</v>
      </c>
      <c r="B18" s="1039">
        <v>46460</v>
      </c>
      <c r="C18" s="1025" t="s">
        <v>1319</v>
      </c>
      <c r="D18" s="1025" t="s">
        <v>9</v>
      </c>
      <c r="E18" s="1025" t="s">
        <v>948</v>
      </c>
      <c r="F18" s="1061">
        <v>3434.81</v>
      </c>
      <c r="G18" s="1062">
        <v>0.15</v>
      </c>
      <c r="H18" s="1269">
        <f t="shared" si="0"/>
        <v>463.69934999999998</v>
      </c>
      <c r="I18" s="1056"/>
      <c r="J18" s="1111"/>
      <c r="K18" s="1115" t="s">
        <v>2015</v>
      </c>
    </row>
    <row r="19" spans="1:11" ht="15.75">
      <c r="A19" s="1037">
        <v>46091</v>
      </c>
      <c r="B19" s="1039">
        <v>46460</v>
      </c>
      <c r="C19" s="1025" t="s">
        <v>2003</v>
      </c>
      <c r="D19" s="1026" t="s">
        <v>448</v>
      </c>
      <c r="E19" s="1025" t="s">
        <v>19</v>
      </c>
      <c r="F19" s="1071">
        <v>1413.51</v>
      </c>
      <c r="G19" s="1062">
        <v>0.1</v>
      </c>
      <c r="H19" s="1269">
        <f t="shared" si="0"/>
        <v>127.2159</v>
      </c>
      <c r="I19" s="1056"/>
      <c r="J19" s="1111"/>
      <c r="K19" s="1115" t="s">
        <v>2015</v>
      </c>
    </row>
    <row r="20" spans="1:11" ht="15.75">
      <c r="A20" s="1037">
        <v>46094</v>
      </c>
      <c r="B20" s="1039">
        <v>46461</v>
      </c>
      <c r="C20" s="1025" t="s">
        <v>676</v>
      </c>
      <c r="D20" s="1026" t="s">
        <v>14</v>
      </c>
      <c r="E20" s="1025" t="s">
        <v>22</v>
      </c>
      <c r="F20" s="1061">
        <v>1357.1</v>
      </c>
      <c r="G20" s="1062">
        <v>0.1</v>
      </c>
      <c r="H20" s="1269">
        <f t="shared" si="0"/>
        <v>122.13900000000001</v>
      </c>
      <c r="I20" s="1056"/>
      <c r="J20" s="1111"/>
      <c r="K20" s="1115" t="s">
        <v>2015</v>
      </c>
    </row>
    <row r="21" spans="1:11">
      <c r="A21" s="1037">
        <v>46093</v>
      </c>
      <c r="B21" s="1039">
        <v>46463</v>
      </c>
      <c r="C21" s="1025" t="s">
        <v>1497</v>
      </c>
      <c r="D21" s="1026" t="s">
        <v>448</v>
      </c>
      <c r="E21" s="1025" t="s">
        <v>948</v>
      </c>
      <c r="F21" s="1061">
        <v>4236.45</v>
      </c>
      <c r="G21" s="1062">
        <v>0.1</v>
      </c>
      <c r="H21" s="1269">
        <f t="shared" si="0"/>
        <v>381.28050000000002</v>
      </c>
      <c r="I21" s="1056"/>
      <c r="J21" s="1111"/>
      <c r="K21" s="1025" t="s">
        <v>2015</v>
      </c>
    </row>
    <row r="22" spans="1:11" ht="15.75">
      <c r="A22" s="1041">
        <v>46099</v>
      </c>
      <c r="B22" s="1041">
        <v>46464</v>
      </c>
      <c r="C22" s="1027" t="s">
        <v>3214</v>
      </c>
      <c r="D22" s="1027" t="s">
        <v>70</v>
      </c>
      <c r="E22" s="1027" t="s">
        <v>279</v>
      </c>
      <c r="F22" s="1619">
        <v>923.65</v>
      </c>
      <c r="G22" s="1066">
        <v>0.16</v>
      </c>
      <c r="H22" s="1635">
        <f t="shared" si="0"/>
        <v>133.00559999999999</v>
      </c>
      <c r="I22" s="1243">
        <v>13.3</v>
      </c>
      <c r="J22" s="1027" t="s">
        <v>1470</v>
      </c>
      <c r="K22" s="1117" t="s">
        <v>2010</v>
      </c>
    </row>
    <row r="23" spans="1:11" s="1313" customFormat="1" ht="15.75">
      <c r="A23" s="1037">
        <v>46100</v>
      </c>
      <c r="B23" s="1039">
        <v>46465</v>
      </c>
      <c r="C23" s="1032" t="s">
        <v>2011</v>
      </c>
      <c r="D23" s="1026" t="s">
        <v>25</v>
      </c>
      <c r="E23" s="1026" t="s">
        <v>143</v>
      </c>
      <c r="F23" s="1071">
        <v>2001.62</v>
      </c>
      <c r="G23" s="1062">
        <v>0.15</v>
      </c>
      <c r="H23" s="1269">
        <f t="shared" si="0"/>
        <v>270.21870000000001</v>
      </c>
      <c r="I23" s="1056"/>
      <c r="J23" s="1111"/>
      <c r="K23" s="1115" t="s">
        <v>2015</v>
      </c>
    </row>
    <row r="24" spans="1:11" ht="15.75">
      <c r="A24" s="1040">
        <v>46101</v>
      </c>
      <c r="B24" s="1042">
        <v>46466</v>
      </c>
      <c r="C24" s="1027" t="s">
        <v>3212</v>
      </c>
      <c r="D24" s="1030" t="s">
        <v>1862</v>
      </c>
      <c r="E24" s="1030" t="s">
        <v>1310</v>
      </c>
      <c r="F24" s="1072">
        <v>1809.1</v>
      </c>
      <c r="G24" s="1073">
        <v>0.14000000000000001</v>
      </c>
      <c r="H24" s="1635">
        <f t="shared" si="0"/>
        <v>227.94660000000002</v>
      </c>
      <c r="I24" s="1068">
        <v>22.79</v>
      </c>
      <c r="J24" s="1112" t="s">
        <v>1470</v>
      </c>
      <c r="K24" s="1117" t="s">
        <v>2010</v>
      </c>
    </row>
    <row r="25" spans="1:11" ht="15.75">
      <c r="A25" s="1223">
        <v>46101</v>
      </c>
      <c r="B25" s="1472">
        <v>46466</v>
      </c>
      <c r="C25" s="1224" t="s">
        <v>3216</v>
      </c>
      <c r="D25" s="1225" t="s">
        <v>25</v>
      </c>
      <c r="E25" s="1225" t="s">
        <v>948</v>
      </c>
      <c r="F25" s="1516">
        <v>1967.96</v>
      </c>
      <c r="G25" s="1480">
        <v>0.15</v>
      </c>
      <c r="H25" s="1859">
        <f t="shared" si="0"/>
        <v>265.6746</v>
      </c>
      <c r="I25" s="1227">
        <v>132.84</v>
      </c>
      <c r="J25" s="1228" t="s">
        <v>1577</v>
      </c>
      <c r="K25" s="1231" t="s">
        <v>2015</v>
      </c>
    </row>
    <row r="26" spans="1:11" ht="15.75">
      <c r="A26" s="1037">
        <v>46101</v>
      </c>
      <c r="B26" s="1038">
        <v>46466</v>
      </c>
      <c r="C26" s="1025" t="s">
        <v>1728</v>
      </c>
      <c r="D26" s="1026" t="s">
        <v>25</v>
      </c>
      <c r="E26" s="1026" t="s">
        <v>948</v>
      </c>
      <c r="F26" s="1059">
        <v>1462.88</v>
      </c>
      <c r="G26" s="1054">
        <v>0.1</v>
      </c>
      <c r="H26" s="1269">
        <f t="shared" si="0"/>
        <v>131.65920000000003</v>
      </c>
      <c r="I26" s="1056"/>
      <c r="J26" s="1111"/>
      <c r="K26" s="1115" t="s">
        <v>2015</v>
      </c>
    </row>
    <row r="27" spans="1:11" ht="15.75">
      <c r="A27" s="1039">
        <v>46097</v>
      </c>
      <c r="B27" s="1039">
        <v>46469</v>
      </c>
      <c r="C27" s="1025" t="s">
        <v>266</v>
      </c>
      <c r="D27" s="1025" t="s">
        <v>25</v>
      </c>
      <c r="E27" s="1025" t="s">
        <v>22</v>
      </c>
      <c r="F27" s="1061">
        <v>1339.41</v>
      </c>
      <c r="G27" s="1062">
        <v>0.1</v>
      </c>
      <c r="H27" s="1269">
        <f t="shared" si="0"/>
        <v>120.54690000000001</v>
      </c>
      <c r="I27" s="1242"/>
      <c r="J27" s="1025"/>
      <c r="K27" s="1115" t="s">
        <v>2015</v>
      </c>
    </row>
    <row r="28" spans="1:11" ht="15.75">
      <c r="A28" s="1037">
        <v>46101</v>
      </c>
      <c r="B28" s="1038">
        <v>46469</v>
      </c>
      <c r="C28" s="1025" t="s">
        <v>1579</v>
      </c>
      <c r="D28" s="1026" t="s">
        <v>2472</v>
      </c>
      <c r="E28" s="1026" t="s">
        <v>948</v>
      </c>
      <c r="F28" s="1059">
        <v>1048.51</v>
      </c>
      <c r="G28" s="1054">
        <v>0.15</v>
      </c>
      <c r="H28" s="1269">
        <f t="shared" si="0"/>
        <v>141.54885000000002</v>
      </c>
      <c r="I28" s="1056"/>
      <c r="J28" s="1111"/>
      <c r="K28" s="1115" t="s">
        <v>2015</v>
      </c>
    </row>
    <row r="29" spans="1:11" ht="15.75">
      <c r="A29" s="1040">
        <v>46113</v>
      </c>
      <c r="B29" s="1042">
        <v>46470</v>
      </c>
      <c r="C29" s="1030" t="s">
        <v>3222</v>
      </c>
      <c r="D29" s="1030" t="s">
        <v>25</v>
      </c>
      <c r="E29" s="1030" t="s">
        <v>948</v>
      </c>
      <c r="F29" s="1072">
        <v>2076.5100000000002</v>
      </c>
      <c r="G29" s="1073">
        <v>0.15</v>
      </c>
      <c r="H29" s="1635">
        <f t="shared" si="0"/>
        <v>280.32885000000005</v>
      </c>
      <c r="I29" s="1068">
        <v>28.03</v>
      </c>
      <c r="J29" s="1112" t="s">
        <v>1470</v>
      </c>
      <c r="K29" s="1117" t="s">
        <v>2274</v>
      </c>
    </row>
    <row r="30" spans="1:11" ht="15.75">
      <c r="A30" s="1040">
        <v>46106</v>
      </c>
      <c r="B30" s="1042">
        <v>46471</v>
      </c>
      <c r="C30" s="1030" t="s">
        <v>3218</v>
      </c>
      <c r="D30" s="1030" t="s">
        <v>21</v>
      </c>
      <c r="E30" s="1030" t="s">
        <v>19</v>
      </c>
      <c r="F30" s="1072">
        <v>9774.17</v>
      </c>
      <c r="G30" s="1073">
        <v>0.15</v>
      </c>
      <c r="H30" s="1635">
        <f t="shared" si="0"/>
        <v>1319.5129499999998</v>
      </c>
      <c r="I30" s="1068">
        <v>131.94999999999999</v>
      </c>
      <c r="J30" s="1112" t="s">
        <v>1470</v>
      </c>
      <c r="K30" s="1117" t="s">
        <v>2010</v>
      </c>
    </row>
    <row r="31" spans="1:11" ht="15.75">
      <c r="A31" s="1868">
        <v>46106</v>
      </c>
      <c r="B31" s="1869">
        <v>46471</v>
      </c>
      <c r="C31" s="1870" t="s">
        <v>3217</v>
      </c>
      <c r="D31" s="1870" t="s">
        <v>70</v>
      </c>
      <c r="E31" s="1891" t="s">
        <v>279</v>
      </c>
      <c r="F31" s="1892">
        <v>709.49</v>
      </c>
      <c r="G31" s="1893">
        <v>0.16</v>
      </c>
      <c r="H31" s="1871">
        <f t="shared" si="0"/>
        <v>102.16656</v>
      </c>
      <c r="I31" s="1872">
        <f>102.17/2</f>
        <v>51.085000000000001</v>
      </c>
      <c r="J31" s="1873" t="s">
        <v>1577</v>
      </c>
      <c r="K31" s="1874" t="s">
        <v>2010</v>
      </c>
    </row>
    <row r="32" spans="1:11" ht="15.75">
      <c r="A32" s="1037">
        <v>46105</v>
      </c>
      <c r="B32" s="1038">
        <v>46471</v>
      </c>
      <c r="C32" s="1026" t="s">
        <v>3215</v>
      </c>
      <c r="D32" s="1026" t="s">
        <v>448</v>
      </c>
      <c r="E32" s="1026" t="s">
        <v>279</v>
      </c>
      <c r="F32" s="1059">
        <v>3200.76</v>
      </c>
      <c r="G32" s="1054">
        <v>0.1</v>
      </c>
      <c r="H32" s="1269">
        <f t="shared" si="0"/>
        <v>288.06840000000005</v>
      </c>
      <c r="I32" s="1056"/>
      <c r="J32" s="1111"/>
      <c r="K32" s="1115" t="s">
        <v>2015</v>
      </c>
    </row>
    <row r="33" spans="1:11" s="1031" customFormat="1" ht="15.75">
      <c r="A33" s="1037">
        <v>46104</v>
      </c>
      <c r="B33" s="1039">
        <v>46472</v>
      </c>
      <c r="C33" s="1025" t="s">
        <v>1325</v>
      </c>
      <c r="D33" s="1026" t="s">
        <v>448</v>
      </c>
      <c r="E33" s="1025" t="s">
        <v>948</v>
      </c>
      <c r="F33" s="1023">
        <v>1386.04</v>
      </c>
      <c r="G33" s="1062">
        <v>0.1</v>
      </c>
      <c r="H33" s="1269">
        <f t="shared" si="0"/>
        <v>124.74360000000001</v>
      </c>
      <c r="I33" s="1056"/>
      <c r="J33" s="1111"/>
      <c r="K33" s="1115" t="s">
        <v>2015</v>
      </c>
    </row>
    <row r="34" spans="1:11" ht="15.75">
      <c r="A34" s="1037">
        <v>46105</v>
      </c>
      <c r="B34" s="1038">
        <v>46472</v>
      </c>
      <c r="C34" s="1026" t="s">
        <v>1856</v>
      </c>
      <c r="D34" s="1026" t="s">
        <v>381</v>
      </c>
      <c r="E34" s="1026" t="s">
        <v>279</v>
      </c>
      <c r="F34" s="1071">
        <v>724.06</v>
      </c>
      <c r="G34" s="1054">
        <v>0.1</v>
      </c>
      <c r="H34" s="1269">
        <f t="shared" si="0"/>
        <v>65.165399999999991</v>
      </c>
      <c r="I34" s="1056"/>
      <c r="J34" s="1111"/>
      <c r="K34" s="1115" t="s">
        <v>2015</v>
      </c>
    </row>
    <row r="35" spans="1:11" ht="15.75" customHeight="1">
      <c r="A35" s="1037">
        <v>46108</v>
      </c>
      <c r="B35" s="1038">
        <v>46474</v>
      </c>
      <c r="C35" s="1026" t="s">
        <v>626</v>
      </c>
      <c r="D35" s="1026" t="s">
        <v>448</v>
      </c>
      <c r="E35" s="1025" t="s">
        <v>29</v>
      </c>
      <c r="F35" s="1061">
        <v>2145.25</v>
      </c>
      <c r="G35" s="1062">
        <v>0.1</v>
      </c>
      <c r="H35" s="1269">
        <f t="shared" si="0"/>
        <v>193.07250000000002</v>
      </c>
      <c r="I35" s="1056"/>
      <c r="J35" s="1111"/>
      <c r="K35" s="1115" t="s">
        <v>2015</v>
      </c>
    </row>
    <row r="36" spans="1:11" ht="15.75" customHeight="1">
      <c r="A36" s="1040">
        <v>46101</v>
      </c>
      <c r="B36" s="1042">
        <v>46475</v>
      </c>
      <c r="C36" s="1030" t="s">
        <v>3213</v>
      </c>
      <c r="D36" s="1030" t="s">
        <v>70</v>
      </c>
      <c r="E36" s="1030" t="s">
        <v>279</v>
      </c>
      <c r="F36" s="1120">
        <v>3122.89</v>
      </c>
      <c r="G36" s="1073">
        <v>0.1</v>
      </c>
      <c r="H36" s="1635">
        <f t="shared" si="0"/>
        <v>281.06009999999998</v>
      </c>
      <c r="I36" s="1068">
        <v>28.1</v>
      </c>
      <c r="J36" s="1112" t="s">
        <v>1470</v>
      </c>
      <c r="K36" s="1117" t="s">
        <v>2015</v>
      </c>
    </row>
    <row r="37" spans="1:11" ht="16.5" customHeight="1">
      <c r="A37" s="1223">
        <v>46109</v>
      </c>
      <c r="B37" s="1472">
        <v>46475</v>
      </c>
      <c r="C37" s="1894" t="s">
        <v>3219</v>
      </c>
      <c r="D37" s="1225" t="s">
        <v>14</v>
      </c>
      <c r="E37" s="1225" t="s">
        <v>22</v>
      </c>
      <c r="F37" s="1477">
        <v>1617.06</v>
      </c>
      <c r="G37" s="1480">
        <v>0.1</v>
      </c>
      <c r="H37" s="1859">
        <f t="shared" si="0"/>
        <v>145.53540000000001</v>
      </c>
      <c r="I37" s="1227">
        <f>145.54/2</f>
        <v>72.77</v>
      </c>
      <c r="J37" s="1228" t="s">
        <v>1577</v>
      </c>
      <c r="K37" s="1231" t="s">
        <v>2010</v>
      </c>
    </row>
    <row r="38" spans="1:11" ht="15.75">
      <c r="A38" s="1037">
        <v>46105</v>
      </c>
      <c r="B38" s="1038">
        <v>46475</v>
      </c>
      <c r="C38" s="1025" t="s">
        <v>524</v>
      </c>
      <c r="D38" s="1026" t="s">
        <v>21</v>
      </c>
      <c r="E38" s="1026" t="s">
        <v>948</v>
      </c>
      <c r="F38" s="1059">
        <v>1320.46</v>
      </c>
      <c r="G38" s="1054">
        <v>0.1</v>
      </c>
      <c r="H38" s="1269">
        <f t="shared" si="0"/>
        <v>118.84140000000002</v>
      </c>
      <c r="I38" s="1056"/>
      <c r="J38" s="1111"/>
      <c r="K38" s="1115" t="s">
        <v>2015</v>
      </c>
    </row>
    <row r="39" spans="1:11" ht="15.75">
      <c r="A39" s="1037">
        <v>46113</v>
      </c>
      <c r="B39" s="1038">
        <v>46476</v>
      </c>
      <c r="C39" s="1032" t="s">
        <v>2513</v>
      </c>
      <c r="D39" s="1026" t="s">
        <v>198</v>
      </c>
      <c r="E39" s="1026" t="s">
        <v>19</v>
      </c>
      <c r="F39" s="1059">
        <v>1755.23</v>
      </c>
      <c r="G39" s="1054">
        <v>0.1</v>
      </c>
      <c r="H39" s="1269">
        <f t="shared" si="0"/>
        <v>157.97070000000002</v>
      </c>
      <c r="I39" s="1056"/>
      <c r="J39" s="1111"/>
      <c r="K39" s="1115" t="s">
        <v>2015</v>
      </c>
    </row>
    <row r="40" spans="1:11" ht="15.75">
      <c r="A40" s="1037">
        <v>46112</v>
      </c>
      <c r="B40" s="1038">
        <v>46477</v>
      </c>
      <c r="C40" s="1026" t="s">
        <v>3221</v>
      </c>
      <c r="D40" s="1026" t="s">
        <v>70</v>
      </c>
      <c r="E40" s="1026" t="s">
        <v>279</v>
      </c>
      <c r="F40" s="1059">
        <v>2916.04</v>
      </c>
      <c r="G40" s="1054">
        <v>0.15</v>
      </c>
      <c r="H40" s="1269">
        <f t="shared" si="0"/>
        <v>393.66540000000003</v>
      </c>
      <c r="I40" s="1056"/>
      <c r="J40" s="1111"/>
      <c r="K40" s="1115" t="s">
        <v>2274</v>
      </c>
    </row>
    <row r="41" spans="1:11" ht="15.75">
      <c r="A41" s="1037">
        <v>46112</v>
      </c>
      <c r="B41" s="1038">
        <v>46477</v>
      </c>
      <c r="C41" s="1026" t="s">
        <v>3220</v>
      </c>
      <c r="D41" s="1026" t="s">
        <v>70</v>
      </c>
      <c r="E41" s="1026" t="s">
        <v>279</v>
      </c>
      <c r="F41" s="1059">
        <v>826.57</v>
      </c>
      <c r="G41" s="1054">
        <v>0.15</v>
      </c>
      <c r="H41" s="1269">
        <f t="shared" si="0"/>
        <v>111.58695</v>
      </c>
      <c r="I41" s="1089"/>
      <c r="J41" s="1111"/>
      <c r="K41" s="1115" t="s">
        <v>2274</v>
      </c>
    </row>
    <row r="42" spans="1:11" ht="15.75">
      <c r="A42" s="1037">
        <v>46085</v>
      </c>
      <c r="B42" s="1038" t="s">
        <v>1805</v>
      </c>
      <c r="C42" s="1026" t="s">
        <v>3202</v>
      </c>
      <c r="D42" s="1026" t="s">
        <v>198</v>
      </c>
      <c r="E42" s="1026" t="s">
        <v>279</v>
      </c>
      <c r="F42" s="1059">
        <v>2114.86</v>
      </c>
      <c r="G42" s="1054">
        <v>0.1</v>
      </c>
      <c r="H42" s="1269">
        <f t="shared" si="0"/>
        <v>190.33740000000003</v>
      </c>
      <c r="I42" s="1056"/>
      <c r="J42" s="1111"/>
      <c r="K42" s="1115" t="s">
        <v>1805</v>
      </c>
    </row>
    <row r="43" spans="1:11">
      <c r="A43" s="1046">
        <v>46098</v>
      </c>
      <c r="B43" s="1047" t="s">
        <v>1805</v>
      </c>
      <c r="C43" s="1080" t="s">
        <v>3207</v>
      </c>
      <c r="D43" s="1080" t="s">
        <v>25</v>
      </c>
      <c r="E43" s="1080" t="s">
        <v>948</v>
      </c>
      <c r="F43" s="1623">
        <v>0</v>
      </c>
      <c r="G43" s="1082">
        <v>0.1</v>
      </c>
      <c r="H43" s="1862">
        <v>0</v>
      </c>
      <c r="I43" s="1084"/>
      <c r="J43" s="1184"/>
      <c r="K43" s="1863" t="s">
        <v>1805</v>
      </c>
    </row>
    <row r="44" spans="1:11" ht="15.75">
      <c r="A44" s="1037"/>
      <c r="B44" s="1038"/>
      <c r="C44" s="1026"/>
      <c r="D44" s="1026"/>
      <c r="E44" s="1026"/>
      <c r="F44" s="1059"/>
      <c r="G44" s="1054"/>
      <c r="H44" s="1269">
        <f t="shared" ref="H44:H58" si="1">F44*G44*(1-10%)</f>
        <v>0</v>
      </c>
      <c r="I44" s="1056"/>
      <c r="J44" s="1111"/>
      <c r="K44" s="1115"/>
    </row>
    <row r="45" spans="1:11" ht="15.75">
      <c r="A45" s="1037"/>
      <c r="B45" s="1038"/>
      <c r="C45" s="1026"/>
      <c r="D45" s="1026"/>
      <c r="E45" s="1026"/>
      <c r="F45" s="1059"/>
      <c r="G45" s="1054"/>
      <c r="H45" s="1269">
        <f t="shared" si="1"/>
        <v>0</v>
      </c>
      <c r="I45" s="1056"/>
      <c r="J45" s="1111"/>
      <c r="K45" s="1115"/>
    </row>
    <row r="46" spans="1:11" ht="15.75">
      <c r="A46" s="1037"/>
      <c r="B46" s="1038"/>
      <c r="C46" s="1026"/>
      <c r="D46" s="1026"/>
      <c r="E46" s="1026"/>
      <c r="F46" s="1059"/>
      <c r="G46" s="1054"/>
      <c r="H46" s="1269">
        <f t="shared" si="1"/>
        <v>0</v>
      </c>
      <c r="I46" s="1056"/>
      <c r="J46" s="1111"/>
      <c r="K46" s="1115"/>
    </row>
    <row r="47" spans="1:11" ht="15.75">
      <c r="A47" s="1037"/>
      <c r="B47" s="1038"/>
      <c r="C47" s="1026"/>
      <c r="D47" s="1026"/>
      <c r="E47" s="1026"/>
      <c r="F47" s="1059"/>
      <c r="G47" s="1054"/>
      <c r="H47" s="1269">
        <f t="shared" si="1"/>
        <v>0</v>
      </c>
      <c r="I47" s="1056"/>
      <c r="J47" s="1111"/>
      <c r="K47" s="1115"/>
    </row>
    <row r="48" spans="1:11" ht="15.75">
      <c r="A48" s="1037"/>
      <c r="B48" s="1038"/>
      <c r="C48" s="1026"/>
      <c r="D48" s="1026"/>
      <c r="E48" s="1026"/>
      <c r="F48" s="1484"/>
      <c r="G48" s="1054"/>
      <c r="H48" s="1269">
        <f t="shared" si="1"/>
        <v>0</v>
      </c>
      <c r="I48" s="1056"/>
      <c r="J48" s="1111"/>
      <c r="K48" s="1115"/>
    </row>
    <row r="49" spans="1:11" ht="15.75">
      <c r="A49" s="1037"/>
      <c r="B49" s="1038"/>
      <c r="C49" s="1026"/>
      <c r="D49" s="1026"/>
      <c r="E49" s="1026"/>
      <c r="F49" s="1059"/>
      <c r="G49" s="1054"/>
      <c r="H49" s="1269">
        <f t="shared" si="1"/>
        <v>0</v>
      </c>
      <c r="I49" s="1056"/>
      <c r="J49" s="1111"/>
      <c r="K49" s="1115"/>
    </row>
    <row r="50" spans="1:11" ht="15.75">
      <c r="A50" s="1037"/>
      <c r="B50" s="1038"/>
      <c r="C50" s="1026"/>
      <c r="D50" s="1026"/>
      <c r="E50" s="1026"/>
      <c r="F50" s="1059"/>
      <c r="G50" s="1054"/>
      <c r="H50" s="1269">
        <f t="shared" si="1"/>
        <v>0</v>
      </c>
      <c r="I50" s="1056"/>
      <c r="J50" s="1111"/>
      <c r="K50" s="1115"/>
    </row>
    <row r="51" spans="1:11" ht="15.75">
      <c r="A51" s="1037"/>
      <c r="B51" s="1038"/>
      <c r="C51" s="1026"/>
      <c r="D51" s="1026"/>
      <c r="E51" s="1026"/>
      <c r="F51" s="1059"/>
      <c r="G51" s="1054"/>
      <c r="H51" s="1269">
        <f t="shared" si="1"/>
        <v>0</v>
      </c>
      <c r="I51" s="1056"/>
      <c r="J51" s="1111"/>
      <c r="K51" s="1115"/>
    </row>
    <row r="52" spans="1:11" ht="15.75">
      <c r="A52" s="1037"/>
      <c r="B52" s="1038"/>
      <c r="C52" s="1026"/>
      <c r="D52" s="1026"/>
      <c r="E52" s="1026"/>
      <c r="F52" s="1059"/>
      <c r="G52" s="1054"/>
      <c r="H52" s="1269">
        <f t="shared" si="1"/>
        <v>0</v>
      </c>
      <c r="I52" s="1056"/>
      <c r="J52" s="1111"/>
      <c r="K52" s="1115"/>
    </row>
    <row r="53" spans="1:11" ht="15.75">
      <c r="A53" s="1037"/>
      <c r="B53" s="1038"/>
      <c r="C53" s="1026"/>
      <c r="D53" s="1026"/>
      <c r="E53" s="1026"/>
      <c r="F53" s="1059"/>
      <c r="G53" s="1054"/>
      <c r="H53" s="1269">
        <f t="shared" si="1"/>
        <v>0</v>
      </c>
      <c r="I53" s="1056"/>
      <c r="J53" s="1111"/>
      <c r="K53" s="1115"/>
    </row>
    <row r="54" spans="1:11" ht="15.75">
      <c r="A54" s="1037"/>
      <c r="B54" s="1038"/>
      <c r="C54" s="1026"/>
      <c r="D54" s="1026"/>
      <c r="E54" s="1026"/>
      <c r="F54" s="1059"/>
      <c r="G54" s="1054"/>
      <c r="H54" s="1269">
        <f t="shared" si="1"/>
        <v>0</v>
      </c>
      <c r="I54" s="1056"/>
      <c r="J54" s="1111"/>
      <c r="K54" s="1115"/>
    </row>
    <row r="55" spans="1:11" ht="15.75">
      <c r="A55" s="1037"/>
      <c r="B55" s="1038"/>
      <c r="C55" s="1026"/>
      <c r="D55" s="1026"/>
      <c r="E55" s="1026"/>
      <c r="F55" s="1059"/>
      <c r="G55" s="1054"/>
      <c r="H55" s="1269">
        <f t="shared" si="1"/>
        <v>0</v>
      </c>
      <c r="I55" s="1056"/>
      <c r="J55" s="1111"/>
      <c r="K55" s="1115"/>
    </row>
    <row r="56" spans="1:11" ht="15.75">
      <c r="A56" s="1037"/>
      <c r="B56" s="1038"/>
      <c r="C56" s="1026"/>
      <c r="D56" s="1026"/>
      <c r="E56" s="1026"/>
      <c r="F56" s="1059"/>
      <c r="G56" s="1054"/>
      <c r="H56" s="1269">
        <f t="shared" si="1"/>
        <v>0</v>
      </c>
      <c r="I56" s="1056"/>
      <c r="J56" s="1111"/>
      <c r="K56" s="1115"/>
    </row>
    <row r="57" spans="1:11" ht="15.75">
      <c r="A57" s="1037"/>
      <c r="B57" s="1038"/>
      <c r="C57" s="1026"/>
      <c r="D57" s="1026"/>
      <c r="E57" s="1026"/>
      <c r="F57" s="1059"/>
      <c r="G57" s="1054"/>
      <c r="H57" s="1269">
        <f t="shared" si="1"/>
        <v>0</v>
      </c>
      <c r="I57" s="1056"/>
      <c r="J57" s="1111"/>
      <c r="K57" s="1115"/>
    </row>
    <row r="58" spans="1:11" ht="16.5" thickBot="1">
      <c r="A58" s="1039"/>
      <c r="B58" s="1039"/>
      <c r="C58" s="1025"/>
      <c r="D58" s="1025"/>
      <c r="E58" s="1025"/>
      <c r="F58" s="1059"/>
      <c r="G58" s="1054"/>
      <c r="H58" s="1269">
        <f t="shared" si="1"/>
        <v>0</v>
      </c>
      <c r="I58" s="1662"/>
      <c r="J58" s="1111"/>
      <c r="K58" s="1115"/>
    </row>
    <row r="59" spans="1:11" ht="15.75" customHeight="1" thickBot="1">
      <c r="A59" s="1864"/>
      <c r="B59" s="1865"/>
      <c r="C59" s="1865"/>
      <c r="D59" s="1865"/>
      <c r="E59" s="1866"/>
      <c r="F59" s="1670">
        <f>SUM(F3:F6,F7:F58)</f>
        <v>97932.98</v>
      </c>
      <c r="G59" s="1667"/>
      <c r="H59" s="1668">
        <f>SUM(H3:H58)</f>
        <v>10785.266910000004</v>
      </c>
      <c r="I59" s="1671">
        <f>SUM(I3:I58)</f>
        <v>1632.09</v>
      </c>
      <c r="J59" s="1867"/>
      <c r="K59" s="1689"/>
    </row>
    <row r="60" spans="1:11" ht="15.75" customHeight="1">
      <c r="A60" s="1037"/>
      <c r="B60" s="1037"/>
      <c r="C60" s="1026"/>
      <c r="D60" s="1026"/>
      <c r="E60" s="1026"/>
      <c r="F60" s="1102"/>
      <c r="G60" s="1076"/>
      <c r="H60" s="1663"/>
      <c r="I60" s="1077"/>
      <c r="J60" s="1111"/>
      <c r="K60" s="1115"/>
    </row>
    <row r="61" spans="1:11" ht="15.75" customHeight="1">
      <c r="A61" s="1037"/>
      <c r="B61" s="1038"/>
      <c r="C61" s="1026"/>
      <c r="D61" s="1026"/>
      <c r="E61" s="1026"/>
      <c r="F61" s="1059"/>
      <c r="G61" s="1054"/>
      <c r="H61" s="1269"/>
      <c r="I61" s="1056"/>
      <c r="J61" s="1111"/>
      <c r="K61" s="1115"/>
    </row>
    <row r="62" spans="1:11" ht="15.75" customHeight="1">
      <c r="A62" s="1037"/>
      <c r="B62" s="1038"/>
      <c r="C62" s="1026"/>
      <c r="D62" s="1026"/>
      <c r="E62" s="1026"/>
      <c r="F62" s="1059"/>
      <c r="G62" s="1054"/>
      <c r="H62" s="1269"/>
      <c r="I62" s="1056"/>
      <c r="J62" s="1111"/>
      <c r="K62" s="1115"/>
    </row>
    <row r="63" spans="1:11" ht="15.75" customHeight="1">
      <c r="A63" s="1037"/>
      <c r="B63" s="1038"/>
      <c r="C63" s="1026"/>
      <c r="D63" s="1026"/>
      <c r="E63" s="1026"/>
      <c r="F63" s="1059"/>
      <c r="G63" s="1054"/>
      <c r="H63" s="1269"/>
      <c r="I63" s="1056"/>
      <c r="J63" s="1111"/>
      <c r="K63" s="1115"/>
    </row>
    <row r="64" spans="1:11" ht="15.75" customHeight="1">
      <c r="A64" s="1037"/>
      <c r="B64" s="1038"/>
      <c r="C64" s="1026"/>
      <c r="D64" s="1026"/>
      <c r="E64" s="1026"/>
      <c r="F64" s="1059"/>
      <c r="G64" s="1054"/>
      <c r="H64" s="1269"/>
      <c r="I64" s="1056"/>
      <c r="J64" s="1111"/>
      <c r="K64" s="1115"/>
    </row>
    <row r="65" spans="1:11" ht="15.75" customHeight="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115"/>
    </row>
    <row r="66" spans="1:11" ht="15.75" customHeight="1">
      <c r="A66" s="1037"/>
      <c r="B66" s="1038"/>
      <c r="C66" s="1026"/>
      <c r="D66" s="1026"/>
      <c r="E66" s="1026"/>
      <c r="F66" s="1059"/>
      <c r="G66" s="1054"/>
      <c r="H66" s="1269"/>
      <c r="I66" s="1056"/>
      <c r="J66" s="1111"/>
      <c r="K66" s="1115"/>
    </row>
    <row r="67" spans="1:11" ht="15.75" customHeight="1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1115"/>
    </row>
    <row r="68" spans="1:11" ht="15.75" customHeight="1">
      <c r="A68" s="1037"/>
      <c r="B68" s="1038"/>
      <c r="C68" s="1026"/>
      <c r="D68" s="1026"/>
      <c r="E68" s="1026"/>
      <c r="F68" s="1059"/>
      <c r="G68" s="1054"/>
      <c r="H68" s="1269"/>
      <c r="I68" s="1056"/>
      <c r="J68" s="1111"/>
      <c r="K68" s="1025"/>
    </row>
    <row r="69" spans="1:11" ht="15.75" customHeight="1">
      <c r="A69" s="1037"/>
      <c r="B69" s="1038"/>
      <c r="C69" s="1026"/>
      <c r="D69" s="1026"/>
      <c r="E69" s="1026"/>
      <c r="F69" s="1059"/>
      <c r="G69" s="1054"/>
      <c r="H69" s="1269"/>
      <c r="I69" s="1056"/>
      <c r="J69" s="1111"/>
      <c r="K69" s="1115"/>
    </row>
    <row r="70" spans="1:11" ht="15.75" customHeight="1">
      <c r="A70" s="1037"/>
      <c r="B70" s="1038"/>
      <c r="C70" s="1026"/>
      <c r="D70" s="1026"/>
      <c r="E70" s="1026"/>
      <c r="F70" s="1059"/>
      <c r="G70" s="1059"/>
      <c r="H70" s="1269"/>
      <c r="I70" s="1056"/>
      <c r="J70" s="1111"/>
      <c r="K70" s="1115"/>
    </row>
    <row r="71" spans="1:11" ht="15.75" customHeight="1">
      <c r="A71" s="1037"/>
      <c r="B71" s="1038"/>
      <c r="C71" s="1026"/>
      <c r="D71" s="1026"/>
      <c r="E71" s="1026"/>
      <c r="F71" s="1059"/>
      <c r="G71" s="1059"/>
      <c r="H71" s="1269"/>
      <c r="I71" s="1056"/>
      <c r="J71" s="1111"/>
      <c r="K71" s="1025"/>
    </row>
    <row r="72" spans="1:11" ht="15.75" customHeight="1">
      <c r="A72" s="1037"/>
      <c r="B72" s="1038"/>
      <c r="C72" s="1026"/>
      <c r="D72" s="1026"/>
      <c r="E72" s="1026"/>
      <c r="F72" s="1059"/>
      <c r="G72" s="1059"/>
      <c r="H72" s="1269"/>
      <c r="I72" s="1056"/>
      <c r="J72" s="1111"/>
      <c r="K72" s="1025"/>
    </row>
    <row r="73" spans="1:11" ht="15.75" customHeight="1">
      <c r="A73" s="1037"/>
      <c r="B73" s="1038"/>
      <c r="C73" s="1026"/>
      <c r="D73" s="1026"/>
      <c r="E73" s="1026"/>
      <c r="F73" s="1059"/>
      <c r="G73" s="1054"/>
      <c r="H73" s="1269"/>
      <c r="I73" s="1056"/>
      <c r="J73" s="1111"/>
      <c r="K73" s="1115"/>
    </row>
    <row r="74" spans="1:11" ht="15.75" customHeight="1">
      <c r="A74" s="1037"/>
      <c r="B74" s="1038"/>
      <c r="C74" s="1026"/>
      <c r="D74" s="1026"/>
      <c r="E74" s="1026"/>
      <c r="F74" s="1059"/>
      <c r="G74" s="1054"/>
      <c r="H74" s="1269"/>
      <c r="I74" s="1056"/>
      <c r="J74" s="1111"/>
      <c r="K74" s="1115"/>
    </row>
    <row r="75" spans="1:11" ht="15.75" customHeight="1">
      <c r="A75" s="1037"/>
      <c r="B75" s="1038"/>
      <c r="C75" s="1026"/>
      <c r="D75" s="1026"/>
      <c r="E75" s="1026"/>
      <c r="F75" s="1059"/>
      <c r="G75" s="1054"/>
      <c r="H75" s="1269"/>
      <c r="I75" s="1056"/>
      <c r="J75" s="1111"/>
      <c r="K75" s="1115"/>
    </row>
    <row r="76" spans="1:11" ht="15.75">
      <c r="A76" s="1037"/>
      <c r="B76" s="1038"/>
      <c r="C76" s="1026"/>
      <c r="D76" s="1026"/>
      <c r="E76" s="1026"/>
      <c r="F76" s="1059"/>
      <c r="G76" s="1054"/>
      <c r="H76" s="1269"/>
      <c r="I76" s="1056"/>
      <c r="J76" s="1111"/>
      <c r="K76" s="1115"/>
    </row>
    <row r="77" spans="1:11" ht="15.75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1115"/>
    </row>
    <row r="78" spans="1:11" ht="15.75">
      <c r="A78" s="1037"/>
      <c r="B78" s="1038"/>
      <c r="C78" s="1025"/>
      <c r="D78" s="1025"/>
      <c r="E78" s="1025"/>
      <c r="F78" s="1059"/>
      <c r="G78" s="1062"/>
      <c r="H78" s="1055"/>
      <c r="I78" s="1056"/>
      <c r="J78" s="1111"/>
      <c r="K78" s="1115"/>
    </row>
    <row r="79" spans="1:11" ht="15.75">
      <c r="A79" s="1037"/>
      <c r="B79" s="1039"/>
      <c r="C79" s="1025"/>
      <c r="D79" s="1025"/>
      <c r="E79" s="1025"/>
      <c r="F79" s="1059"/>
      <c r="G79" s="1054"/>
      <c r="H79" s="1269"/>
      <c r="I79" s="1056"/>
      <c r="J79" s="1111"/>
      <c r="K79" s="1115"/>
    </row>
    <row r="80" spans="1:11" ht="15.75">
      <c r="A80" s="1037"/>
      <c r="B80" s="1038"/>
      <c r="C80" s="1026"/>
      <c r="D80" s="1026"/>
      <c r="E80" s="1026"/>
      <c r="F80" s="1059"/>
      <c r="G80" s="1054"/>
      <c r="H80" s="1269"/>
      <c r="I80" s="1056"/>
      <c r="J80" s="1111"/>
      <c r="K80" s="1115"/>
    </row>
    <row r="81" spans="1:11" ht="15.75">
      <c r="A81" s="1037"/>
      <c r="B81" s="1038"/>
      <c r="C81" s="1026"/>
      <c r="D81" s="1026"/>
      <c r="E81" s="1026"/>
      <c r="F81" s="1059"/>
      <c r="G81" s="1054"/>
      <c r="H81" s="1269"/>
      <c r="I81" s="1056"/>
      <c r="J81" s="1111"/>
      <c r="K81" s="1115"/>
    </row>
    <row r="82" spans="1:11" ht="15.75">
      <c r="A82" s="1037"/>
      <c r="B82" s="1038"/>
      <c r="C82" s="1026"/>
      <c r="D82" s="1026"/>
      <c r="E82" s="1026"/>
      <c r="F82" s="1059"/>
      <c r="G82" s="1054"/>
      <c r="H82" s="1269"/>
      <c r="I82" s="1056"/>
      <c r="J82" s="1111"/>
      <c r="K82" s="1115"/>
    </row>
    <row r="83" spans="1:11" ht="15.75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1115"/>
    </row>
    <row r="84" spans="1:11" ht="15.75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115"/>
    </row>
    <row r="85" spans="1:11" ht="15.75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115"/>
    </row>
    <row r="86" spans="1:11" ht="15.75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115"/>
    </row>
    <row r="87" spans="1:11" ht="15.75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5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115"/>
    </row>
    <row r="89" spans="1:11" ht="15.75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115"/>
    </row>
    <row r="90" spans="1:11" ht="15.75">
      <c r="A90" s="1037"/>
      <c r="B90" s="1038"/>
      <c r="C90" s="1026"/>
      <c r="D90" s="1026"/>
      <c r="E90" s="1026"/>
      <c r="F90" s="1059"/>
      <c r="G90" s="1054"/>
      <c r="H90" s="1269"/>
      <c r="I90" s="1056"/>
      <c r="J90" s="1111"/>
      <c r="K90" s="1115"/>
    </row>
    <row r="91" spans="1:11" ht="15.75">
      <c r="A91" s="1037"/>
      <c r="B91" s="1038"/>
      <c r="C91" s="1026"/>
      <c r="D91" s="1026"/>
      <c r="E91" s="1026"/>
      <c r="F91" s="1059"/>
      <c r="G91" s="1054"/>
      <c r="H91" s="1269"/>
      <c r="I91" s="1056"/>
      <c r="J91" s="1111"/>
      <c r="K91" s="1115"/>
    </row>
    <row r="92" spans="1:11" ht="15.75">
      <c r="A92" s="1037"/>
      <c r="B92" s="1038"/>
      <c r="C92" s="1026"/>
      <c r="D92" s="1026"/>
      <c r="E92" s="1026"/>
      <c r="F92" s="1059"/>
      <c r="G92" s="1054"/>
      <c r="H92" s="1269"/>
      <c r="I92" s="1056"/>
      <c r="J92" s="1111"/>
      <c r="K92" s="1115"/>
    </row>
    <row r="93" spans="1:11">
      <c r="A93" s="1037"/>
      <c r="B93" s="1038"/>
      <c r="C93" s="1026"/>
      <c r="D93" s="1026"/>
      <c r="E93" s="1026"/>
      <c r="F93" s="1059"/>
      <c r="G93" s="1059"/>
      <c r="H93" s="1269"/>
      <c r="I93" s="1056"/>
      <c r="J93" s="1111"/>
      <c r="K93" s="1025"/>
    </row>
    <row r="94" spans="1:11">
      <c r="A94" s="1037"/>
      <c r="B94" s="1038"/>
      <c r="C94" s="1026"/>
      <c r="D94" s="1026"/>
      <c r="E94" s="1026"/>
      <c r="F94" s="1059"/>
      <c r="G94" s="1059"/>
      <c r="H94" s="1269"/>
      <c r="I94" s="1056"/>
      <c r="J94" s="1111"/>
      <c r="K94" s="1025"/>
    </row>
    <row r="95" spans="1:11">
      <c r="A95" s="1037"/>
      <c r="B95" s="1038"/>
      <c r="C95" s="1026"/>
      <c r="D95" s="1026"/>
      <c r="E95" s="1026"/>
      <c r="F95" s="1059"/>
      <c r="G95" s="1059"/>
      <c r="H95" s="1269"/>
      <c r="I95" s="1056"/>
      <c r="J95" s="1111"/>
      <c r="K95" s="1025"/>
    </row>
    <row r="96" spans="1:11" ht="15.75">
      <c r="A96" s="1037"/>
      <c r="B96" s="1038"/>
      <c r="C96" s="1026"/>
      <c r="D96" s="1026"/>
      <c r="E96" s="1026"/>
      <c r="F96" s="1059"/>
      <c r="G96" s="1054"/>
      <c r="H96" s="1269"/>
      <c r="I96" s="1056"/>
      <c r="J96" s="1111"/>
      <c r="K96" s="1115"/>
    </row>
    <row r="97" spans="1:11">
      <c r="A97" s="1037"/>
      <c r="B97" s="1038"/>
      <c r="C97" s="1026"/>
      <c r="D97" s="1026"/>
      <c r="E97" s="1026"/>
      <c r="F97" s="1059"/>
      <c r="G97" s="1059"/>
      <c r="H97" s="1269"/>
      <c r="I97" s="1056"/>
      <c r="J97" s="1111"/>
      <c r="K97" s="1025"/>
    </row>
    <row r="98" spans="1:11">
      <c r="A98" s="1037"/>
      <c r="B98" s="1038"/>
      <c r="C98" s="1026"/>
      <c r="D98" s="1026"/>
      <c r="E98" s="1026"/>
      <c r="F98" s="1059"/>
      <c r="G98" s="1059"/>
      <c r="H98" s="1269"/>
      <c r="I98" s="1056"/>
      <c r="J98" s="1111"/>
      <c r="K98" s="1025"/>
    </row>
    <row r="99" spans="1:11">
      <c r="A99" s="1037"/>
      <c r="B99" s="1038"/>
      <c r="C99" s="1026"/>
      <c r="D99" s="1026"/>
      <c r="E99" s="1026"/>
      <c r="F99" s="1059"/>
      <c r="G99" s="1059"/>
      <c r="H99" s="1269"/>
      <c r="I99" s="1056"/>
      <c r="J99" s="1111"/>
      <c r="K99" s="1025"/>
    </row>
    <row r="100" spans="1:11" ht="15.75">
      <c r="A100" s="1037"/>
      <c r="B100" s="1038"/>
      <c r="C100" s="1026"/>
      <c r="D100" s="1026"/>
      <c r="E100" s="1026"/>
      <c r="F100" s="1059"/>
      <c r="G100" s="1054"/>
      <c r="H100" s="1269"/>
      <c r="I100" s="1056"/>
      <c r="J100" s="1111"/>
      <c r="K100" s="1115"/>
    </row>
    <row r="101" spans="1:11" ht="15.75">
      <c r="A101" s="1037"/>
      <c r="B101" s="1038"/>
      <c r="C101" s="1026"/>
      <c r="D101" s="1026"/>
      <c r="E101" s="1026"/>
      <c r="F101" s="1059"/>
      <c r="G101" s="1054"/>
      <c r="H101" s="1269"/>
      <c r="I101" s="1056"/>
      <c r="J101" s="1111"/>
      <c r="K101" s="1115"/>
    </row>
    <row r="102" spans="1:11">
      <c r="A102" s="1037"/>
      <c r="B102" s="1038"/>
      <c r="C102" s="1026"/>
      <c r="D102" s="1026"/>
      <c r="E102" s="1026"/>
      <c r="F102" s="1059"/>
      <c r="G102" s="1059"/>
      <c r="H102" s="1269"/>
      <c r="I102" s="1056"/>
      <c r="J102" s="1111"/>
      <c r="K102" s="1025"/>
    </row>
    <row r="103" spans="1:11">
      <c r="A103" s="1037"/>
      <c r="B103" s="1038"/>
      <c r="C103" s="1026"/>
      <c r="D103" s="1026"/>
      <c r="E103" s="1026"/>
      <c r="F103" s="1059"/>
      <c r="G103" s="1059"/>
      <c r="H103" s="1269"/>
      <c r="I103" s="1056"/>
      <c r="J103" s="1111"/>
      <c r="K103" s="1025"/>
    </row>
    <row r="104" spans="1:11">
      <c r="A104" s="1037"/>
      <c r="B104" s="1038"/>
      <c r="C104" s="1026"/>
      <c r="D104" s="1026"/>
      <c r="E104" s="1026"/>
      <c r="F104" s="1059"/>
      <c r="G104" s="1059"/>
      <c r="H104" s="1269"/>
      <c r="I104" s="1056"/>
      <c r="J104" s="1111"/>
      <c r="K104" s="1025"/>
    </row>
    <row r="105" spans="1:11">
      <c r="A105" s="1037"/>
      <c r="B105" s="1038"/>
      <c r="C105" s="1026"/>
      <c r="D105" s="1026"/>
      <c r="E105" s="1026"/>
      <c r="F105" s="1059"/>
      <c r="G105" s="1059"/>
      <c r="H105" s="1269"/>
      <c r="I105" s="1056"/>
      <c r="J105" s="1111"/>
      <c r="K105" s="1025"/>
    </row>
    <row r="106" spans="1:11">
      <c r="A106" s="1037"/>
      <c r="B106" s="1038"/>
      <c r="C106" s="1026"/>
      <c r="D106" s="1026"/>
      <c r="E106" s="1026"/>
      <c r="F106" s="1059"/>
      <c r="G106" s="1059"/>
      <c r="H106" s="1269"/>
      <c r="I106" s="1056"/>
      <c r="J106" s="1111"/>
      <c r="K106" s="1025"/>
    </row>
    <row r="107" spans="1:11">
      <c r="A107" s="1037"/>
      <c r="B107" s="1038"/>
      <c r="C107" s="1026"/>
      <c r="D107" s="1026"/>
      <c r="E107" s="1026"/>
      <c r="F107" s="1059"/>
      <c r="G107" s="1059"/>
      <c r="H107" s="1269"/>
      <c r="I107" s="1056"/>
      <c r="J107" s="1111"/>
      <c r="K107" s="1025"/>
    </row>
    <row r="108" spans="1:11" ht="15.75">
      <c r="A108" s="1037"/>
      <c r="B108" s="1038"/>
      <c r="C108" s="1026"/>
      <c r="D108" s="1026"/>
      <c r="E108" s="1026"/>
      <c r="F108" s="1059"/>
      <c r="G108" s="1054"/>
      <c r="H108" s="1269"/>
      <c r="I108" s="1056"/>
      <c r="J108" s="1111"/>
      <c r="K108" s="1115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1025"/>
    </row>
    <row r="110" spans="1:11">
      <c r="A110" s="1037"/>
      <c r="B110" s="1038"/>
      <c r="C110" s="1026"/>
      <c r="D110" s="1026"/>
      <c r="E110" s="1026"/>
      <c r="F110" s="1059"/>
      <c r="G110" s="1059"/>
      <c r="H110" s="1269"/>
      <c r="I110" s="1056"/>
      <c r="J110" s="1111"/>
      <c r="K110" s="1025"/>
    </row>
    <row r="111" spans="1:11">
      <c r="A111" s="1037"/>
      <c r="B111" s="1038"/>
      <c r="C111" s="1026"/>
      <c r="D111" s="1026"/>
      <c r="E111" s="1026"/>
      <c r="F111" s="1059"/>
      <c r="G111" s="1059"/>
      <c r="H111" s="1269"/>
      <c r="I111" s="1056"/>
      <c r="J111" s="1111"/>
      <c r="K111" s="1025"/>
    </row>
    <row r="112" spans="1:11" ht="15.75">
      <c r="A112" s="1037"/>
      <c r="B112" s="1038"/>
      <c r="C112" s="1026"/>
      <c r="D112" s="1026"/>
      <c r="E112" s="1026"/>
      <c r="F112" s="1059"/>
      <c r="G112" s="1059"/>
      <c r="H112" s="1269"/>
      <c r="I112" s="1056"/>
      <c r="J112" s="1111"/>
      <c r="K112" s="1115"/>
    </row>
    <row r="113" spans="1:11">
      <c r="A113" s="1037"/>
      <c r="B113" s="1038"/>
      <c r="C113" s="1026"/>
      <c r="D113" s="1026"/>
      <c r="E113" s="1026"/>
      <c r="F113" s="1059"/>
      <c r="G113" s="1059"/>
      <c r="H113" s="1269"/>
      <c r="I113" s="1056"/>
      <c r="J113" s="1111"/>
      <c r="K113" s="1025"/>
    </row>
    <row r="114" spans="1:11">
      <c r="A114" s="1037"/>
      <c r="B114" s="1038"/>
      <c r="C114" s="1026"/>
      <c r="D114" s="1026"/>
      <c r="E114" s="1026"/>
      <c r="F114" s="1059"/>
      <c r="G114" s="1059"/>
      <c r="H114" s="1269"/>
      <c r="I114" s="1056"/>
      <c r="J114" s="1111"/>
      <c r="K114" s="1025"/>
    </row>
    <row r="115" spans="1:11">
      <c r="A115" s="1037"/>
      <c r="B115" s="1038"/>
      <c r="C115" s="1026"/>
      <c r="D115" s="1026"/>
      <c r="E115" s="1026"/>
      <c r="F115" s="1059"/>
      <c r="G115" s="1059"/>
      <c r="H115" s="1269"/>
      <c r="I115" s="1056"/>
      <c r="J115" s="1111"/>
      <c r="K115" s="1025"/>
    </row>
    <row r="116" spans="1:11">
      <c r="A116" s="1037"/>
      <c r="B116" s="1038"/>
      <c r="C116" s="1026"/>
      <c r="D116" s="1026"/>
      <c r="E116" s="1026"/>
      <c r="F116" s="1059"/>
      <c r="G116" s="1059"/>
      <c r="H116" s="1269"/>
      <c r="I116" s="1056"/>
      <c r="J116" s="1111"/>
      <c r="K116" s="1025"/>
    </row>
    <row r="117" spans="1:11">
      <c r="A117" s="1037"/>
      <c r="B117" s="1038"/>
      <c r="C117" s="1026"/>
      <c r="D117" s="1026"/>
      <c r="E117" s="1026"/>
      <c r="F117" s="1059"/>
      <c r="G117" s="1054"/>
      <c r="H117" s="1269"/>
      <c r="I117" s="1056"/>
      <c r="J117" s="1111"/>
      <c r="K117" s="1025"/>
    </row>
    <row r="118" spans="1:11" ht="15.75">
      <c r="A118" s="1037"/>
      <c r="B118" s="1038"/>
      <c r="C118" s="1025"/>
      <c r="D118" s="1026"/>
      <c r="E118" s="1026"/>
      <c r="F118" s="1059"/>
      <c r="G118" s="1054"/>
      <c r="H118" s="1269"/>
      <c r="I118" s="1056"/>
      <c r="J118" s="1111"/>
      <c r="K118" s="1115"/>
    </row>
    <row r="119" spans="1:11" ht="15.75">
      <c r="A119" s="1037"/>
      <c r="B119" s="1038"/>
      <c r="C119" s="1026"/>
      <c r="D119" s="1026"/>
      <c r="E119" s="1026"/>
      <c r="F119" s="1059"/>
      <c r="G119" s="1054"/>
      <c r="H119" s="1269"/>
      <c r="I119" s="1056"/>
      <c r="J119" s="1111"/>
      <c r="K119" s="1115"/>
    </row>
    <row r="120" spans="1:11" ht="15.75">
      <c r="A120" s="1037"/>
      <c r="B120" s="1038"/>
      <c r="C120" s="1026"/>
      <c r="D120" s="1026"/>
      <c r="E120" s="1026"/>
      <c r="F120" s="1059"/>
      <c r="G120" s="1054"/>
      <c r="H120" s="1269"/>
      <c r="I120" s="1056"/>
      <c r="J120" s="1111"/>
      <c r="K120" s="1115"/>
    </row>
    <row r="121" spans="1:11" ht="15.75">
      <c r="A121" s="1037"/>
      <c r="B121" s="1038"/>
      <c r="C121" s="1026"/>
      <c r="D121" s="1026"/>
      <c r="E121" s="1026"/>
      <c r="F121" s="1059"/>
      <c r="G121" s="1054"/>
      <c r="H121" s="1269"/>
      <c r="I121" s="1056"/>
      <c r="J121" s="1111"/>
      <c r="K121" s="1115"/>
    </row>
    <row r="122" spans="1:11" ht="15.75">
      <c r="A122" s="1037"/>
      <c r="B122" s="1038"/>
      <c r="C122" s="1026"/>
      <c r="D122" s="1026"/>
      <c r="E122" s="1026"/>
      <c r="F122" s="1059"/>
      <c r="G122" s="1054"/>
      <c r="H122" s="1269"/>
      <c r="I122" s="1056"/>
      <c r="J122" s="1111"/>
      <c r="K122" s="1115"/>
    </row>
    <row r="123" spans="1:11">
      <c r="A123" s="1037"/>
      <c r="B123" s="1038"/>
      <c r="C123" s="1026"/>
      <c r="D123" s="1026"/>
      <c r="E123" s="1026"/>
      <c r="F123" s="1059"/>
      <c r="G123" s="1059"/>
      <c r="H123" s="1269"/>
      <c r="I123" s="1056"/>
      <c r="J123" s="1111"/>
      <c r="K123" s="1025"/>
    </row>
    <row r="124" spans="1:11">
      <c r="A124" s="1037"/>
      <c r="B124" s="1038"/>
      <c r="C124" s="1026"/>
      <c r="D124" s="1026"/>
      <c r="E124" s="1026"/>
      <c r="F124" s="1059"/>
      <c r="G124" s="1059"/>
      <c r="H124" s="1269"/>
      <c r="I124" s="1056"/>
      <c r="J124" s="1111"/>
      <c r="K124" s="1025"/>
    </row>
    <row r="125" spans="1:11" ht="15.75">
      <c r="A125" s="1037"/>
      <c r="B125" s="1038"/>
      <c r="C125" s="1026"/>
      <c r="D125" s="1026"/>
      <c r="E125" s="1026"/>
      <c r="F125" s="1059"/>
      <c r="G125" s="1054"/>
      <c r="H125" s="1269"/>
      <c r="I125" s="1056"/>
      <c r="J125" s="1111"/>
      <c r="K125" s="1115"/>
    </row>
    <row r="126" spans="1:11" ht="15.75">
      <c r="A126" s="1037"/>
      <c r="B126" s="1038"/>
      <c r="C126" s="1026"/>
      <c r="D126" s="1026"/>
      <c r="E126" s="1026"/>
      <c r="F126" s="1059"/>
      <c r="G126" s="1054"/>
      <c r="H126" s="1269"/>
      <c r="I126" s="1056"/>
      <c r="J126" s="1111"/>
      <c r="K126" s="1115"/>
    </row>
    <row r="127" spans="1:11" ht="15.75">
      <c r="A127" s="1037"/>
      <c r="B127" s="1038"/>
      <c r="C127" s="1026"/>
      <c r="D127" s="1026"/>
      <c r="E127" s="1026"/>
      <c r="F127" s="1059"/>
      <c r="G127" s="1054"/>
      <c r="H127" s="1269"/>
      <c r="I127" s="1056"/>
      <c r="J127" s="1111"/>
      <c r="K127" s="1115"/>
    </row>
    <row r="128" spans="1:11">
      <c r="A128" s="1037"/>
      <c r="B128" s="1038"/>
      <c r="C128" s="1026"/>
      <c r="D128" s="1026"/>
      <c r="E128" s="1026"/>
      <c r="F128" s="1059"/>
      <c r="G128" s="1054"/>
      <c r="H128" s="1269"/>
      <c r="I128" s="1056"/>
      <c r="J128" s="1111"/>
      <c r="K128" s="1025"/>
    </row>
    <row r="129" spans="1:11">
      <c r="A129" s="1037"/>
      <c r="B129" s="1038"/>
      <c r="C129" s="1026"/>
      <c r="D129" s="1026"/>
      <c r="E129" s="1026"/>
      <c r="F129" s="1059"/>
      <c r="G129" s="1054"/>
      <c r="H129" s="1269"/>
      <c r="I129" s="1056"/>
      <c r="J129" s="1111"/>
      <c r="K129" s="1025"/>
    </row>
    <row r="130" spans="1:11">
      <c r="A130" s="1037"/>
      <c r="B130" s="1038"/>
      <c r="C130" s="1026"/>
      <c r="D130" s="1026"/>
      <c r="E130" s="1026"/>
      <c r="F130" s="1059"/>
      <c r="G130" s="1059"/>
      <c r="H130" s="1269"/>
      <c r="I130" s="1056"/>
      <c r="J130" s="1111"/>
      <c r="K130" s="1025"/>
    </row>
    <row r="131" spans="1:11">
      <c r="A131" s="1037"/>
      <c r="B131" s="1038"/>
      <c r="C131" s="1026"/>
      <c r="D131" s="1026"/>
      <c r="E131" s="1026"/>
      <c r="F131" s="1059"/>
      <c r="G131" s="1059"/>
      <c r="H131" s="1269"/>
      <c r="I131" s="1056"/>
      <c r="J131" s="1111"/>
      <c r="K131" s="1025"/>
    </row>
    <row r="132" spans="1:11">
      <c r="A132" s="1037"/>
      <c r="B132" s="1038"/>
      <c r="C132" s="1026"/>
      <c r="D132" s="1026"/>
      <c r="E132" s="1026"/>
      <c r="F132" s="1059"/>
      <c r="G132" s="1059"/>
      <c r="H132" s="1269"/>
      <c r="I132" s="1056"/>
      <c r="J132" s="1111"/>
      <c r="K132" s="1025"/>
    </row>
    <row r="133" spans="1:11">
      <c r="A133" s="1037"/>
      <c r="B133" s="1038"/>
      <c r="C133" s="1026"/>
      <c r="D133" s="1026"/>
      <c r="E133" s="1026"/>
      <c r="F133" s="1059"/>
      <c r="G133" s="1059"/>
      <c r="H133" s="1269"/>
      <c r="I133" s="1056"/>
      <c r="J133" s="1111"/>
      <c r="K133" s="1025"/>
    </row>
    <row r="134" spans="1:11" ht="15.75">
      <c r="A134" s="1037"/>
      <c r="B134" s="1038"/>
      <c r="C134" s="1026"/>
      <c r="D134" s="1026"/>
      <c r="E134" s="1026"/>
      <c r="F134" s="1059"/>
      <c r="G134" s="1054"/>
      <c r="H134" s="1269"/>
      <c r="I134" s="1056"/>
      <c r="J134" s="1111"/>
      <c r="K134" s="1115"/>
    </row>
    <row r="135" spans="1:11" ht="15.75">
      <c r="A135" s="1037"/>
      <c r="B135" s="1038"/>
      <c r="C135" s="1026"/>
      <c r="D135" s="1026"/>
      <c r="E135" s="1026"/>
      <c r="F135" s="1059"/>
      <c r="G135" s="1059"/>
      <c r="H135" s="1269"/>
      <c r="I135" s="1056"/>
      <c r="J135" s="1111"/>
      <c r="K135" s="1115"/>
    </row>
    <row r="136" spans="1:11">
      <c r="A136" s="1037"/>
      <c r="B136" s="1038"/>
      <c r="C136" s="1026"/>
      <c r="D136" s="1026"/>
      <c r="E136" s="1026"/>
      <c r="F136" s="1059"/>
      <c r="G136" s="1059"/>
      <c r="H136" s="1269"/>
      <c r="I136" s="1056"/>
      <c r="J136" s="1111"/>
      <c r="K136" s="1025"/>
    </row>
    <row r="137" spans="1:11">
      <c r="A137" s="1037"/>
      <c r="B137" s="1038"/>
      <c r="C137" s="1026"/>
      <c r="D137" s="1026"/>
      <c r="E137" s="1026"/>
      <c r="F137" s="1059"/>
      <c r="G137" s="1054"/>
      <c r="H137" s="1269"/>
      <c r="I137" s="1056"/>
      <c r="J137" s="1111"/>
      <c r="K137" s="1025"/>
    </row>
    <row r="138" spans="1:11" ht="15.75">
      <c r="A138" s="1037"/>
      <c r="B138" s="1038"/>
      <c r="C138" s="1026"/>
      <c r="D138" s="1026"/>
      <c r="E138" s="1026"/>
      <c r="F138" s="1059"/>
      <c r="G138" s="1054"/>
      <c r="H138" s="1269"/>
      <c r="I138" s="1056"/>
      <c r="J138" s="1111"/>
      <c r="K138" s="1115"/>
    </row>
    <row r="139" spans="1:11">
      <c r="A139" s="1037"/>
      <c r="B139" s="1038"/>
      <c r="C139" s="1026"/>
      <c r="D139" s="1026"/>
      <c r="E139" s="1026"/>
      <c r="F139" s="1059"/>
      <c r="G139" s="1054"/>
      <c r="H139" s="1269"/>
      <c r="I139" s="1056"/>
      <c r="J139" s="1111"/>
      <c r="K139" s="1025"/>
    </row>
    <row r="140" spans="1:11">
      <c r="A140" s="1037"/>
      <c r="B140" s="1038"/>
      <c r="C140" s="1026"/>
      <c r="D140" s="1026"/>
      <c r="E140" s="1026"/>
      <c r="F140" s="1059"/>
      <c r="G140" s="1059"/>
      <c r="H140" s="1269"/>
      <c r="I140" s="1056"/>
      <c r="J140" s="1111"/>
      <c r="K140" s="1025"/>
    </row>
    <row r="141" spans="1:11">
      <c r="A141" s="1037"/>
      <c r="B141" s="1038"/>
      <c r="C141" s="1026"/>
      <c r="D141" s="1026"/>
      <c r="E141" s="1026"/>
      <c r="F141" s="1059"/>
      <c r="G141" s="1059"/>
      <c r="H141" s="1269"/>
      <c r="I141" s="1056"/>
      <c r="J141" s="1111"/>
      <c r="K141" s="1025"/>
    </row>
    <row r="142" spans="1:11" ht="15.75">
      <c r="A142" s="1037"/>
      <c r="B142" s="1038"/>
      <c r="C142" s="1026"/>
      <c r="D142" s="1026"/>
      <c r="E142" s="1026"/>
      <c r="F142" s="1059"/>
      <c r="G142" s="1054"/>
      <c r="H142" s="1269"/>
      <c r="I142" s="1056"/>
      <c r="J142" s="1111"/>
      <c r="K142" s="1115"/>
    </row>
    <row r="143" spans="1:11" ht="15.75">
      <c r="A143" s="1037"/>
      <c r="B143" s="1038"/>
      <c r="C143" s="1026"/>
      <c r="D143" s="1026"/>
      <c r="E143" s="1026"/>
      <c r="F143" s="1059"/>
      <c r="G143" s="1054"/>
      <c r="H143" s="1269"/>
      <c r="I143" s="1056"/>
      <c r="J143" s="1111"/>
      <c r="K143" s="1115"/>
    </row>
    <row r="144" spans="1:11" ht="15.75">
      <c r="A144" s="1037"/>
      <c r="B144" s="1038"/>
      <c r="C144" s="1026"/>
      <c r="D144" s="1026"/>
      <c r="E144" s="1026"/>
      <c r="F144" s="1059"/>
      <c r="G144" s="1054"/>
      <c r="H144" s="1269"/>
      <c r="I144" s="1056"/>
      <c r="J144" s="1111"/>
      <c r="K144" s="1115"/>
    </row>
    <row r="145" spans="1:11" ht="15.75">
      <c r="A145" s="1037"/>
      <c r="B145" s="1038"/>
      <c r="C145" s="1026"/>
      <c r="D145" s="1026"/>
      <c r="E145" s="1026"/>
      <c r="F145" s="1059"/>
      <c r="G145" s="1054"/>
      <c r="H145" s="1269"/>
      <c r="I145" s="1056"/>
      <c r="J145" s="1111"/>
      <c r="K145" s="1115"/>
    </row>
    <row r="146" spans="1:11" ht="15.75">
      <c r="A146" s="1037"/>
      <c r="B146" s="1038"/>
      <c r="C146" s="1026"/>
      <c r="D146" s="1026"/>
      <c r="E146" s="1026"/>
      <c r="F146" s="1059"/>
      <c r="G146" s="1054"/>
      <c r="H146" s="1269"/>
      <c r="I146" s="1056"/>
      <c r="J146" s="1111"/>
      <c r="K146" s="1115"/>
    </row>
    <row r="147" spans="1:11">
      <c r="A147" s="1037"/>
      <c r="B147" s="1038"/>
      <c r="C147" s="1026"/>
      <c r="D147" s="1026"/>
      <c r="E147" s="1026"/>
      <c r="F147" s="1059"/>
      <c r="G147" s="1054"/>
      <c r="H147" s="1269"/>
      <c r="I147" s="1056"/>
      <c r="J147" s="1111"/>
      <c r="K147" s="1025"/>
    </row>
    <row r="148" spans="1:11">
      <c r="A148" s="1037"/>
      <c r="B148" s="1038"/>
      <c r="C148" s="1025"/>
      <c r="D148" s="1026"/>
      <c r="E148" s="1026"/>
      <c r="F148" s="1061"/>
      <c r="G148" s="1054"/>
      <c r="H148" s="1055"/>
      <c r="I148" s="1056"/>
      <c r="J148" s="1111"/>
      <c r="K148" s="1025"/>
    </row>
    <row r="149" spans="1:11">
      <c r="A149" s="1037"/>
      <c r="B149" s="1038"/>
      <c r="C149" s="1026"/>
      <c r="D149" s="1026"/>
      <c r="E149" s="1026"/>
      <c r="F149" s="1059"/>
      <c r="G149" s="1054"/>
      <c r="H149" s="1269"/>
      <c r="I149" s="1056"/>
      <c r="J149" s="1111"/>
      <c r="K149" s="1025"/>
    </row>
    <row r="150" spans="1:11">
      <c r="A150" s="1037"/>
      <c r="B150" s="1038"/>
      <c r="C150" s="1026"/>
      <c r="D150" s="1026"/>
      <c r="E150" s="1026"/>
      <c r="F150" s="1059"/>
      <c r="G150" s="1054"/>
      <c r="H150" s="1269"/>
      <c r="I150" s="1056"/>
      <c r="J150" s="1111"/>
      <c r="K150" s="1025"/>
    </row>
    <row r="151" spans="1:11">
      <c r="A151" s="1037"/>
      <c r="B151" s="1038"/>
      <c r="C151" s="1026"/>
      <c r="D151" s="1026"/>
      <c r="E151" s="1026"/>
      <c r="F151" s="1059"/>
      <c r="G151" s="1059"/>
      <c r="H151" s="1269"/>
      <c r="I151" s="1056"/>
      <c r="J151" s="1111"/>
      <c r="K151" s="1025"/>
    </row>
    <row r="152" spans="1:11">
      <c r="A152" s="1037"/>
      <c r="B152" s="1038"/>
      <c r="C152" s="1026"/>
      <c r="D152" s="1026"/>
      <c r="E152" s="1026"/>
      <c r="F152" s="1059"/>
      <c r="G152" s="1059"/>
      <c r="H152" s="1269"/>
      <c r="I152" s="1056"/>
      <c r="J152" s="1111"/>
      <c r="K152" s="1025"/>
    </row>
    <row r="153" spans="1:11" ht="15.75">
      <c r="A153" s="1037"/>
      <c r="B153" s="1038"/>
      <c r="C153" s="1026"/>
      <c r="D153" s="1026"/>
      <c r="E153" s="1026"/>
      <c r="F153" s="1059"/>
      <c r="G153" s="1054"/>
      <c r="H153" s="1269"/>
      <c r="I153" s="1056"/>
      <c r="J153" s="1111"/>
      <c r="K153" s="1115"/>
    </row>
    <row r="154" spans="1:11">
      <c r="A154" s="1037"/>
      <c r="B154" s="1038"/>
      <c r="C154" s="1026"/>
      <c r="D154" s="1026"/>
      <c r="E154" s="1026"/>
      <c r="F154" s="1059"/>
      <c r="G154" s="1054"/>
      <c r="H154" s="1269"/>
      <c r="I154" s="1056"/>
      <c r="J154" s="1111"/>
      <c r="K154" s="1025"/>
    </row>
    <row r="155" spans="1:11">
      <c r="A155" s="1037"/>
      <c r="B155" s="1038"/>
      <c r="C155" s="1026"/>
      <c r="D155" s="1026"/>
      <c r="E155" s="1026"/>
      <c r="F155" s="1059"/>
      <c r="G155" s="1059"/>
      <c r="H155" s="1269"/>
      <c r="I155" s="1056"/>
      <c r="J155" s="1111"/>
      <c r="K155" s="1025"/>
    </row>
    <row r="156" spans="1:11">
      <c r="A156" s="1037"/>
      <c r="B156" s="1038"/>
      <c r="C156" s="1026"/>
      <c r="D156" s="1026"/>
      <c r="E156" s="1026"/>
      <c r="F156" s="1059"/>
      <c r="G156" s="1059"/>
      <c r="H156" s="1269"/>
      <c r="I156" s="1056"/>
      <c r="J156" s="1111"/>
      <c r="K156" s="1025"/>
    </row>
    <row r="157" spans="1:11">
      <c r="A157" s="1037"/>
      <c r="B157" s="1038"/>
      <c r="C157" s="1026"/>
      <c r="D157" s="1026"/>
      <c r="E157" s="1026"/>
      <c r="F157" s="1059"/>
      <c r="G157" s="1054"/>
      <c r="H157" s="1269"/>
      <c r="I157" s="1056"/>
      <c r="J157" s="1111"/>
      <c r="K157" s="1025"/>
    </row>
    <row r="158" spans="1:11">
      <c r="A158" s="1037"/>
      <c r="B158" s="1038"/>
      <c r="C158" s="1026"/>
      <c r="D158" s="1026"/>
      <c r="E158" s="1026"/>
      <c r="F158" s="1059"/>
      <c r="G158" s="1054"/>
      <c r="H158" s="1269"/>
      <c r="I158" s="1056"/>
      <c r="J158" s="1111"/>
      <c r="K158" s="1025"/>
    </row>
    <row r="159" spans="1:11">
      <c r="A159" s="1037"/>
      <c r="B159" s="1038"/>
      <c r="C159" s="1026"/>
      <c r="D159" s="1026"/>
      <c r="E159" s="1026"/>
      <c r="F159" s="1059"/>
      <c r="G159" s="1054"/>
      <c r="H159" s="1269"/>
      <c r="I159" s="1056"/>
      <c r="J159" s="1111"/>
      <c r="K159" s="1025"/>
    </row>
    <row r="160" spans="1:11" ht="15.75">
      <c r="A160" s="1037"/>
      <c r="B160" s="1038"/>
      <c r="C160" s="1026"/>
      <c r="D160" s="1026"/>
      <c r="E160" s="1026"/>
      <c r="F160" s="1059"/>
      <c r="G160" s="1054"/>
      <c r="H160" s="1269"/>
      <c r="I160" s="1056"/>
      <c r="J160" s="1111"/>
      <c r="K160" s="1115"/>
    </row>
    <row r="161" spans="1:11">
      <c r="A161" s="1037"/>
      <c r="B161" s="1038"/>
      <c r="C161" s="1026"/>
      <c r="D161" s="1026"/>
      <c r="E161" s="1026"/>
      <c r="F161" s="1059"/>
      <c r="G161" s="1054"/>
      <c r="H161" s="1269"/>
      <c r="I161" s="1056"/>
      <c r="J161" s="1111"/>
      <c r="K161" s="1025"/>
    </row>
    <row r="162" spans="1:11">
      <c r="A162" s="1037"/>
      <c r="B162" s="1038"/>
      <c r="C162" s="290"/>
      <c r="D162" s="1026"/>
      <c r="E162" s="1026"/>
      <c r="F162" s="1059"/>
      <c r="G162" s="1054"/>
      <c r="H162" s="1269"/>
      <c r="I162" s="1056"/>
      <c r="J162" s="1111"/>
      <c r="K162" s="1025"/>
    </row>
    <row r="163" spans="1:11">
      <c r="A163" s="1037"/>
      <c r="B163" s="1038"/>
      <c r="C163" s="1026"/>
      <c r="D163" s="1026"/>
      <c r="E163" s="1026"/>
      <c r="F163" s="1059"/>
      <c r="G163" s="1054"/>
      <c r="H163" s="1269"/>
      <c r="I163" s="1056"/>
      <c r="J163" s="1111"/>
      <c r="K163" s="1025"/>
    </row>
    <row r="164" spans="1:11">
      <c r="A164" s="1037"/>
      <c r="B164" s="1038"/>
      <c r="C164" s="1026"/>
      <c r="D164" s="1026"/>
      <c r="E164" s="1026"/>
      <c r="F164" s="1059"/>
      <c r="G164" s="1054"/>
      <c r="H164" s="1269"/>
      <c r="I164" s="1056"/>
      <c r="J164" s="1111"/>
      <c r="K164" s="1025"/>
    </row>
    <row r="165" spans="1:11">
      <c r="A165" s="1037"/>
      <c r="B165" s="1038"/>
      <c r="C165" s="1026"/>
      <c r="D165" s="1026"/>
      <c r="E165" s="1026"/>
      <c r="F165" s="1059"/>
      <c r="G165" s="1054"/>
      <c r="H165" s="1269"/>
      <c r="I165" s="1056"/>
      <c r="J165" s="1111"/>
      <c r="K165" s="1025"/>
    </row>
    <row r="166" spans="1:11">
      <c r="A166" s="1037"/>
      <c r="B166" s="1038"/>
      <c r="C166" s="1026"/>
      <c r="D166" s="1026"/>
      <c r="E166" s="1026"/>
      <c r="F166" s="1059"/>
      <c r="G166" s="1054"/>
      <c r="H166" s="1269"/>
      <c r="I166" s="1056"/>
      <c r="J166" s="1111"/>
      <c r="K166" s="1025"/>
    </row>
    <row r="167" spans="1:11">
      <c r="A167" s="1037"/>
      <c r="B167" s="1038"/>
      <c r="C167" s="1026"/>
      <c r="D167" s="1026"/>
      <c r="E167" s="1026"/>
      <c r="F167" s="1059"/>
      <c r="G167" s="1054"/>
      <c r="H167" s="1269"/>
      <c r="I167" s="1056"/>
      <c r="J167" s="1111"/>
      <c r="K167" s="1025"/>
    </row>
    <row r="168" spans="1:11">
      <c r="A168" s="1037"/>
      <c r="B168" s="1038"/>
      <c r="C168" s="1026"/>
      <c r="D168" s="1026"/>
      <c r="E168" s="1026"/>
      <c r="F168" s="1059"/>
      <c r="G168" s="1054"/>
      <c r="H168" s="1269"/>
      <c r="I168" s="1056"/>
      <c r="J168" s="1111"/>
      <c r="K168" s="1025"/>
    </row>
    <row r="169" spans="1:11">
      <c r="A169" s="1037"/>
      <c r="B169" s="1038"/>
      <c r="C169" s="1026"/>
      <c r="D169" s="1026"/>
      <c r="E169" s="1026"/>
      <c r="F169" s="1059"/>
      <c r="G169" s="1054"/>
      <c r="H169" s="1269"/>
      <c r="I169" s="1056"/>
      <c r="J169" s="1111"/>
      <c r="K169" s="1025"/>
    </row>
    <row r="170" spans="1:11">
      <c r="A170" s="1037"/>
      <c r="B170" s="1038"/>
      <c r="C170" s="1026"/>
      <c r="D170" s="1026"/>
      <c r="E170" s="1026"/>
      <c r="F170" s="1059"/>
      <c r="G170" s="1054"/>
      <c r="H170" s="1269"/>
      <c r="I170" s="1056"/>
      <c r="J170" s="1111"/>
      <c r="K170" s="1025"/>
    </row>
    <row r="171" spans="1:11">
      <c r="A171" s="1037"/>
      <c r="B171" s="1038"/>
      <c r="C171" s="1026"/>
      <c r="D171" s="1026"/>
      <c r="E171" s="1026"/>
      <c r="F171" s="1059"/>
      <c r="G171" s="1059"/>
      <c r="H171" s="1269"/>
      <c r="I171" s="1056"/>
      <c r="J171" s="1111"/>
      <c r="K171" s="1025"/>
    </row>
    <row r="172" spans="1:11">
      <c r="A172" s="1037"/>
      <c r="B172" s="1038"/>
      <c r="C172" s="1026"/>
      <c r="D172" s="1026"/>
      <c r="E172" s="1026"/>
      <c r="F172" s="1059"/>
      <c r="G172" s="1059"/>
      <c r="H172" s="1269"/>
      <c r="I172" s="1056"/>
      <c r="J172" s="1111"/>
      <c r="K172" s="1025"/>
    </row>
    <row r="173" spans="1:11">
      <c r="A173" s="1037"/>
      <c r="B173" s="1038"/>
      <c r="C173" s="1026"/>
      <c r="D173" s="1026"/>
      <c r="E173" s="1026"/>
      <c r="F173" s="1059"/>
      <c r="G173" s="1054"/>
      <c r="H173" s="1269"/>
      <c r="I173" s="1056"/>
      <c r="J173" s="1111"/>
      <c r="K173" s="1025"/>
    </row>
    <row r="174" spans="1:11">
      <c r="A174" s="1037"/>
      <c r="B174" s="1038"/>
      <c r="C174" s="1026"/>
      <c r="D174" s="1026"/>
      <c r="E174" s="1026"/>
      <c r="F174" s="1059"/>
      <c r="G174" s="1054"/>
      <c r="H174" s="1269"/>
      <c r="I174" s="1056"/>
      <c r="J174" s="1111"/>
      <c r="K174" s="1025"/>
    </row>
    <row r="175" spans="1:11">
      <c r="A175" s="1037"/>
      <c r="B175" s="1038"/>
      <c r="C175" s="1026"/>
      <c r="D175" s="1026"/>
      <c r="E175" s="1026"/>
      <c r="F175" s="1059"/>
      <c r="G175" s="1054"/>
      <c r="H175" s="1269"/>
      <c r="I175" s="1056"/>
      <c r="J175" s="1111"/>
      <c r="K175" s="1025"/>
    </row>
    <row r="176" spans="1:11" ht="15.75">
      <c r="A176" s="1037"/>
      <c r="B176" s="1038"/>
      <c r="C176" s="1026"/>
      <c r="D176" s="1026"/>
      <c r="E176" s="1026"/>
      <c r="F176" s="1059"/>
      <c r="G176" s="1059"/>
      <c r="H176" s="1269"/>
      <c r="I176" s="1056"/>
      <c r="J176" s="1111"/>
      <c r="K176" s="1115"/>
    </row>
    <row r="177" spans="1:11">
      <c r="A177" s="1037"/>
      <c r="B177" s="1038"/>
      <c r="C177" s="1026"/>
      <c r="D177" s="1026"/>
      <c r="E177" s="1026"/>
      <c r="F177" s="1059"/>
      <c r="G177" s="1059"/>
      <c r="H177" s="1269"/>
      <c r="I177" s="1056"/>
      <c r="J177" s="1111"/>
      <c r="K177" s="1025"/>
    </row>
    <row r="178" spans="1:11" ht="15.75">
      <c r="A178" s="1037"/>
      <c r="B178" s="1038"/>
      <c r="C178" s="1026"/>
      <c r="D178" s="1026"/>
      <c r="E178" s="1026"/>
      <c r="F178" s="1059"/>
      <c r="G178" s="1054"/>
      <c r="H178" s="1269"/>
      <c r="I178" s="1056"/>
      <c r="J178" s="1111"/>
      <c r="K178" s="1115"/>
    </row>
    <row r="179" spans="1:11" ht="15.75">
      <c r="A179" s="1037"/>
      <c r="B179" s="1038"/>
      <c r="C179" s="1026"/>
      <c r="D179" s="1026"/>
      <c r="E179" s="1026"/>
      <c r="F179" s="1059"/>
      <c r="G179" s="1054"/>
      <c r="H179" s="1269"/>
      <c r="I179" s="1056"/>
      <c r="J179" s="1111"/>
      <c r="K179" s="1115"/>
    </row>
    <row r="180" spans="1:11" ht="15.75">
      <c r="A180" s="1037"/>
      <c r="B180" s="1038"/>
      <c r="C180" s="1026"/>
      <c r="D180" s="1026"/>
      <c r="E180" s="1026"/>
      <c r="F180" s="1059"/>
      <c r="G180" s="1054"/>
      <c r="H180" s="1269"/>
      <c r="I180" s="1056"/>
      <c r="J180" s="1111"/>
      <c r="K180" s="1115"/>
    </row>
    <row r="181" spans="1:11" ht="15.75">
      <c r="A181" s="1037"/>
      <c r="B181" s="1038"/>
      <c r="C181" s="1026"/>
      <c r="D181" s="1026"/>
      <c r="E181" s="1026"/>
      <c r="F181" s="1059"/>
      <c r="G181" s="1054"/>
      <c r="H181" s="1269"/>
      <c r="I181" s="1056"/>
      <c r="J181" s="1111"/>
      <c r="K181" s="1115"/>
    </row>
    <row r="182" spans="1:11" ht="15.75">
      <c r="A182" s="1037"/>
      <c r="B182" s="1038"/>
      <c r="C182" s="1026"/>
      <c r="D182" s="1026"/>
      <c r="E182" s="1026"/>
      <c r="F182" s="1059"/>
      <c r="G182" s="1059"/>
      <c r="H182" s="1269"/>
      <c r="I182" s="1056"/>
      <c r="J182" s="1111"/>
      <c r="K182" s="1115"/>
    </row>
    <row r="183" spans="1:11">
      <c r="A183" s="1037"/>
      <c r="B183" s="1038"/>
      <c r="C183" s="1026"/>
      <c r="D183" s="1026"/>
      <c r="E183" s="1026"/>
      <c r="F183" s="1059"/>
      <c r="G183" s="1059"/>
      <c r="H183" s="1269"/>
      <c r="I183" s="1056"/>
      <c r="J183" s="1111"/>
      <c r="K183" s="1025"/>
    </row>
    <row r="184" spans="1:11" ht="15.75">
      <c r="A184" s="1037"/>
      <c r="B184" s="1038"/>
      <c r="C184" s="1026"/>
      <c r="D184" s="1026"/>
      <c r="E184" s="1026"/>
      <c r="F184" s="1059"/>
      <c r="G184" s="1054"/>
      <c r="H184" s="1269"/>
      <c r="I184" s="1056"/>
      <c r="J184" s="1111"/>
      <c r="K184" s="1115"/>
    </row>
    <row r="185" spans="1:11">
      <c r="A185" s="1037"/>
      <c r="B185" s="1038"/>
      <c r="C185" s="1026"/>
      <c r="D185" s="1026"/>
      <c r="E185" s="1026"/>
      <c r="F185" s="1059"/>
      <c r="G185" s="1059"/>
      <c r="H185" s="1269"/>
      <c r="I185" s="1056"/>
      <c r="J185" s="1111"/>
      <c r="K185" s="1025"/>
    </row>
    <row r="186" spans="1:11">
      <c r="A186" s="1037"/>
      <c r="B186" s="1038"/>
      <c r="C186" s="1026"/>
      <c r="D186" s="1026"/>
      <c r="E186" s="1026"/>
      <c r="F186" s="1059"/>
      <c r="G186" s="1059"/>
      <c r="H186" s="1269"/>
      <c r="I186" s="1056"/>
      <c r="J186" s="1111"/>
      <c r="K186" s="1025"/>
    </row>
    <row r="187" spans="1:11">
      <c r="A187" s="1037"/>
      <c r="B187" s="1038"/>
      <c r="C187" s="1026"/>
      <c r="D187" s="1026"/>
      <c r="E187" s="1026"/>
      <c r="F187" s="1059"/>
      <c r="G187" s="1059"/>
      <c r="H187" s="1269"/>
      <c r="I187" s="1056"/>
      <c r="J187" s="1111"/>
      <c r="K187" s="1025"/>
    </row>
    <row r="188" spans="1:11">
      <c r="A188" s="1037"/>
      <c r="B188" s="1038"/>
      <c r="C188" s="1026"/>
      <c r="D188" s="1026"/>
      <c r="E188" s="1026"/>
      <c r="F188" s="1059"/>
      <c r="G188" s="1059"/>
      <c r="H188" s="1269"/>
      <c r="I188" s="1056"/>
      <c r="J188" s="1111"/>
      <c r="K188" s="1025"/>
    </row>
    <row r="189" spans="1:11">
      <c r="A189" s="1037"/>
      <c r="B189" s="1038"/>
      <c r="C189" s="1026"/>
      <c r="D189" s="1026"/>
      <c r="E189" s="1026"/>
      <c r="F189" s="1059"/>
      <c r="G189" s="1054"/>
      <c r="H189" s="1269"/>
      <c r="I189" s="1056"/>
      <c r="J189" s="1111"/>
      <c r="K189" s="1025"/>
    </row>
    <row r="190" spans="1:11">
      <c r="A190" s="1037"/>
      <c r="B190" s="1038"/>
      <c r="C190" s="1026"/>
      <c r="D190" s="1026"/>
      <c r="E190" s="1026"/>
      <c r="F190" s="1059"/>
      <c r="G190" s="1054"/>
      <c r="H190" s="1269"/>
      <c r="I190" s="1056"/>
      <c r="J190" s="1111"/>
      <c r="K190" s="1025"/>
    </row>
    <row r="191" spans="1:11">
      <c r="A191" s="1037"/>
      <c r="B191" s="1038"/>
      <c r="C191" s="1026"/>
      <c r="D191" s="1026"/>
      <c r="E191" s="1026"/>
      <c r="F191" s="1059"/>
      <c r="G191" s="1054"/>
      <c r="H191" s="1269"/>
      <c r="I191" s="1056"/>
      <c r="J191" s="1111"/>
      <c r="K191" s="1025"/>
    </row>
    <row r="192" spans="1:11">
      <c r="A192" s="1037"/>
      <c r="B192" s="1038"/>
      <c r="C192" s="1026"/>
      <c r="D192" s="1026"/>
      <c r="E192" s="1026"/>
      <c r="F192" s="1059"/>
      <c r="G192" s="1054"/>
      <c r="H192" s="1269"/>
      <c r="I192" s="1056"/>
      <c r="J192" s="1111"/>
      <c r="K192" s="1025"/>
    </row>
    <row r="193" spans="1:11">
      <c r="A193" s="1037"/>
      <c r="B193" s="1038"/>
      <c r="C193" s="1026"/>
      <c r="D193" s="1026"/>
      <c r="E193" s="1026"/>
      <c r="F193" s="1059"/>
      <c r="G193" s="1054"/>
      <c r="H193" s="1269"/>
      <c r="I193" s="1056"/>
      <c r="J193" s="1111"/>
      <c r="K193" s="1025"/>
    </row>
    <row r="194" spans="1:11">
      <c r="A194" s="1037"/>
      <c r="B194" s="1038"/>
      <c r="C194" s="1026"/>
      <c r="D194" s="1026"/>
      <c r="E194" s="1026"/>
      <c r="F194" s="1059"/>
      <c r="G194" s="1054"/>
      <c r="H194" s="1269"/>
      <c r="I194" s="1056"/>
      <c r="J194" s="1111"/>
      <c r="K194" s="1025"/>
    </row>
    <row r="195" spans="1:11">
      <c r="A195" s="1037"/>
      <c r="B195" s="1038"/>
      <c r="C195" s="1026"/>
      <c r="D195" s="1026"/>
      <c r="E195" s="1026"/>
      <c r="F195" s="1059"/>
      <c r="G195" s="1054"/>
      <c r="H195" s="1269"/>
      <c r="I195" s="1056"/>
      <c r="J195" s="1111"/>
      <c r="K195" s="1025"/>
    </row>
    <row r="196" spans="1:11">
      <c r="A196" s="1037"/>
      <c r="B196" s="1038"/>
      <c r="C196" s="1026"/>
      <c r="D196" s="1026"/>
      <c r="E196" s="1026"/>
      <c r="F196" s="1059"/>
      <c r="G196" s="1059"/>
      <c r="H196" s="1269"/>
      <c r="I196" s="1056"/>
      <c r="J196" s="1111"/>
      <c r="K196" s="1025"/>
    </row>
    <row r="197" spans="1:11">
      <c r="A197" s="1037"/>
      <c r="B197" s="1038"/>
      <c r="C197" s="1026"/>
      <c r="D197" s="1026"/>
      <c r="E197" s="1026"/>
      <c r="F197" s="1059"/>
      <c r="G197" s="1059"/>
      <c r="H197" s="1269"/>
      <c r="I197" s="1056"/>
      <c r="J197" s="1111"/>
      <c r="K197" s="1025"/>
    </row>
    <row r="198" spans="1:11" ht="15.75">
      <c r="A198" s="1037"/>
      <c r="B198" s="1038"/>
      <c r="C198" s="1026"/>
      <c r="D198" s="1026"/>
      <c r="E198" s="1026"/>
      <c r="F198" s="1059"/>
      <c r="G198" s="1054"/>
      <c r="H198" s="1269"/>
      <c r="I198" s="1056"/>
      <c r="J198" s="1111"/>
      <c r="K198" s="1115"/>
    </row>
    <row r="199" spans="1:11">
      <c r="A199" s="1037"/>
      <c r="B199" s="1038"/>
      <c r="C199" s="1026"/>
      <c r="D199" s="1026"/>
      <c r="E199" s="1026"/>
      <c r="F199" s="1059"/>
      <c r="G199" s="1054"/>
      <c r="H199" s="1269"/>
      <c r="I199" s="1056"/>
      <c r="J199" s="1111"/>
      <c r="K199" s="1025"/>
    </row>
    <row r="200" spans="1:11">
      <c r="A200" s="1037"/>
      <c r="B200" s="1038"/>
      <c r="C200" s="1025"/>
      <c r="D200" s="1025"/>
      <c r="E200" s="1025"/>
      <c r="F200" s="1061"/>
      <c r="G200" s="1054"/>
      <c r="H200" s="1269"/>
      <c r="I200" s="1056"/>
      <c r="J200" s="1111"/>
      <c r="K200" s="1025"/>
    </row>
    <row r="201" spans="1:11">
      <c r="A201" s="1037"/>
      <c r="B201" s="1038"/>
      <c r="C201" s="1026"/>
      <c r="D201" s="1026"/>
      <c r="E201" s="1026"/>
      <c r="F201" s="1061"/>
      <c r="G201" s="1054"/>
      <c r="H201" s="1269"/>
      <c r="I201" s="1056"/>
      <c r="J201" s="1111"/>
      <c r="K201" s="1025"/>
    </row>
    <row r="202" spans="1:11" ht="15.75">
      <c r="A202" s="1037"/>
      <c r="B202" s="1038"/>
      <c r="C202" s="1026"/>
      <c r="D202" s="1026"/>
      <c r="E202" s="1026"/>
      <c r="F202" s="1059"/>
      <c r="G202" s="1059"/>
      <c r="H202" s="1269"/>
      <c r="I202" s="1056"/>
      <c r="J202" s="1111"/>
      <c r="K202" s="1115"/>
    </row>
    <row r="203" spans="1:11">
      <c r="A203" s="1037"/>
      <c r="B203" s="1038"/>
      <c r="C203" s="1026"/>
      <c r="D203" s="1026"/>
      <c r="E203" s="1026"/>
      <c r="F203" s="1059"/>
      <c r="G203" s="1059"/>
      <c r="H203" s="1269"/>
      <c r="I203" s="1056"/>
      <c r="J203" s="1111"/>
      <c r="K203" s="1025"/>
    </row>
    <row r="204" spans="1:11" ht="15.75">
      <c r="A204" s="1037"/>
      <c r="B204" s="1038"/>
      <c r="C204" s="1026"/>
      <c r="D204" s="1026"/>
      <c r="E204" s="1026"/>
      <c r="F204" s="1059"/>
      <c r="G204" s="1054"/>
      <c r="H204" s="1269"/>
      <c r="I204" s="1056"/>
      <c r="J204" s="1111"/>
      <c r="K204" s="1115"/>
    </row>
    <row r="205" spans="1:11" ht="15.75">
      <c r="A205" s="1037"/>
      <c r="B205" s="1038"/>
      <c r="C205" s="1026"/>
      <c r="D205" s="1026"/>
      <c r="E205" s="1026"/>
      <c r="F205" s="1059"/>
      <c r="G205" s="1054"/>
      <c r="H205" s="1269"/>
      <c r="I205" s="1056"/>
      <c r="J205" s="1111"/>
      <c r="K205" s="1115"/>
    </row>
    <row r="206" spans="1:11" ht="15.75">
      <c r="A206" s="1037"/>
      <c r="B206" s="1038"/>
      <c r="C206" s="1026"/>
      <c r="D206" s="1026"/>
      <c r="E206" s="1026"/>
      <c r="F206" s="1059"/>
      <c r="G206" s="1054"/>
      <c r="H206" s="1269"/>
      <c r="I206" s="1056"/>
      <c r="J206" s="1111"/>
      <c r="K206" s="1115"/>
    </row>
    <row r="207" spans="1:11" ht="15.75">
      <c r="A207" s="1037"/>
      <c r="B207" s="1038"/>
      <c r="C207" s="1026"/>
      <c r="D207" s="1026"/>
      <c r="E207" s="1026"/>
      <c r="F207" s="1059"/>
      <c r="G207" s="1054"/>
      <c r="H207" s="1269"/>
      <c r="I207" s="1056"/>
      <c r="J207" s="1111"/>
      <c r="K207" s="1115"/>
    </row>
    <row r="208" spans="1:11" ht="15.75">
      <c r="A208" s="1037"/>
      <c r="B208" s="1038"/>
      <c r="C208" s="1026"/>
      <c r="D208" s="1026"/>
      <c r="E208" s="1026"/>
      <c r="F208" s="1059"/>
      <c r="G208" s="1054"/>
      <c r="H208" s="1269"/>
      <c r="I208" s="1056"/>
      <c r="J208" s="1111"/>
      <c r="K208" s="1115"/>
    </row>
    <row r="209" spans="1:11" ht="15.75">
      <c r="A209" s="1037"/>
      <c r="B209" s="1038"/>
      <c r="C209" s="1026"/>
      <c r="D209" s="1026"/>
      <c r="E209" s="1026"/>
      <c r="F209" s="1059"/>
      <c r="G209" s="1054"/>
      <c r="H209" s="1269"/>
      <c r="I209" s="1056"/>
      <c r="J209" s="1111"/>
      <c r="K209" s="1115"/>
    </row>
    <row r="210" spans="1:11" ht="15.75">
      <c r="A210" s="1037"/>
      <c r="B210" s="1038"/>
      <c r="C210" s="1026"/>
      <c r="D210" s="1026"/>
      <c r="E210" s="1026"/>
      <c r="F210" s="1059"/>
      <c r="G210" s="1054"/>
      <c r="H210" s="1269"/>
      <c r="I210" s="1056"/>
      <c r="J210" s="1111"/>
      <c r="K210" s="1115"/>
    </row>
    <row r="211" spans="1:11" ht="15.75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115"/>
    </row>
    <row r="212" spans="1:11" ht="15.75">
      <c r="A212" s="1037"/>
      <c r="B212" s="1038"/>
      <c r="C212" s="1026"/>
      <c r="D212" s="1026"/>
      <c r="F212" s="1059"/>
      <c r="G212" s="1054"/>
      <c r="H212" s="1269"/>
      <c r="I212" s="1056"/>
      <c r="J212" s="1111"/>
      <c r="K212" s="1115"/>
    </row>
    <row r="213" spans="1:11" ht="15.75">
      <c r="A213" s="1037"/>
      <c r="B213" s="1038"/>
      <c r="C213" s="1026"/>
      <c r="D213" s="1026"/>
      <c r="E213" s="1026"/>
      <c r="F213" s="1059"/>
      <c r="G213" s="1054"/>
      <c r="H213" s="1269"/>
      <c r="I213" s="1056"/>
      <c r="J213" s="1111"/>
      <c r="K213" s="1115"/>
    </row>
    <row r="214" spans="1:11" ht="15.75">
      <c r="A214" s="1037"/>
      <c r="B214" s="1038"/>
      <c r="C214" s="1026"/>
      <c r="D214" s="1026"/>
      <c r="E214" s="1026"/>
      <c r="F214" s="1059"/>
      <c r="G214" s="1054"/>
      <c r="H214" s="1269"/>
      <c r="I214" s="1056"/>
      <c r="J214" s="1111"/>
      <c r="K214" s="1115"/>
    </row>
    <row r="215" spans="1:11" ht="15.75">
      <c r="A215" s="1037"/>
      <c r="B215" s="1038"/>
      <c r="C215" s="1026"/>
      <c r="D215" s="1026"/>
      <c r="E215" s="1026"/>
      <c r="F215" s="1059"/>
      <c r="G215" s="1054"/>
      <c r="H215" s="1269"/>
      <c r="I215" s="1056"/>
      <c r="J215" s="1111"/>
      <c r="K215" s="1115"/>
    </row>
    <row r="216" spans="1:11" ht="15.75">
      <c r="A216" s="1037"/>
      <c r="B216" s="1038"/>
      <c r="C216" s="1026"/>
      <c r="D216" s="1026"/>
      <c r="E216" s="1026"/>
      <c r="F216" s="1059"/>
      <c r="G216" s="1054"/>
      <c r="H216" s="1269"/>
      <c r="I216" s="1056"/>
      <c r="J216" s="1111"/>
      <c r="K216" s="1115"/>
    </row>
    <row r="217" spans="1:11">
      <c r="A217" s="1037"/>
      <c r="B217" s="1038"/>
      <c r="C217" s="1026"/>
      <c r="D217" s="1026"/>
      <c r="E217" s="1026"/>
      <c r="F217" s="1059"/>
      <c r="G217" s="1054"/>
      <c r="H217" s="1269"/>
      <c r="I217" s="1056"/>
      <c r="J217" s="1111"/>
      <c r="K217" s="1025"/>
    </row>
    <row r="218" spans="1:11">
      <c r="A218" s="1039"/>
      <c r="B218" s="1039"/>
      <c r="C218" s="1025"/>
      <c r="D218" s="1025"/>
      <c r="E218" s="1025"/>
      <c r="F218" s="1061"/>
      <c r="G218" s="1062"/>
      <c r="H218" s="1269"/>
      <c r="I218" s="1056"/>
      <c r="J218" s="1111"/>
      <c r="K218" s="1025"/>
    </row>
    <row r="219" spans="1:11">
      <c r="A219" s="1039"/>
      <c r="B219" s="1039"/>
      <c r="C219" s="1025"/>
      <c r="D219" s="1025"/>
      <c r="E219" s="1025"/>
      <c r="F219" s="1061"/>
      <c r="G219" s="1062"/>
      <c r="H219" s="1269"/>
      <c r="I219" s="1056"/>
      <c r="J219" s="1111"/>
      <c r="K219" s="1025"/>
    </row>
    <row r="220" spans="1:11">
      <c r="A220" s="1039"/>
      <c r="B220" s="1039"/>
      <c r="C220" s="1025"/>
      <c r="D220" s="1025"/>
      <c r="E220" s="1025"/>
      <c r="F220" s="1061"/>
      <c r="G220" s="1062"/>
      <c r="H220" s="1269"/>
      <c r="I220" s="1056"/>
      <c r="J220" s="1111"/>
      <c r="K220" s="1025"/>
    </row>
    <row r="221" spans="1:11">
      <c r="A221" s="1039"/>
      <c r="B221" s="1039"/>
      <c r="C221" s="1025"/>
      <c r="D221" s="1025"/>
      <c r="E221" s="1025"/>
      <c r="F221" s="1061"/>
      <c r="G221" s="1062"/>
      <c r="H221" s="1269"/>
      <c r="I221" s="1056"/>
      <c r="J221" s="1111"/>
      <c r="K221" s="1025"/>
    </row>
    <row r="222" spans="1:11">
      <c r="A222" s="1039"/>
      <c r="B222" s="1039"/>
      <c r="C222" s="1025"/>
      <c r="D222" s="1025"/>
      <c r="E222" s="1025"/>
      <c r="F222" s="1061"/>
      <c r="G222" s="1062"/>
      <c r="H222" s="1269"/>
      <c r="I222" s="1056"/>
      <c r="J222" s="1111"/>
      <c r="K222" s="1025"/>
    </row>
    <row r="223" spans="1:11">
      <c r="A223" s="1039"/>
      <c r="B223" s="1039"/>
      <c r="C223" s="1025"/>
      <c r="D223" s="1025"/>
      <c r="E223" s="1025"/>
      <c r="F223" s="1061"/>
      <c r="G223" s="1062"/>
      <c r="H223" s="1269"/>
      <c r="I223" s="1056"/>
      <c r="J223" s="1111"/>
      <c r="K223" s="1025"/>
    </row>
    <row r="224" spans="1:11">
      <c r="A224" s="1039"/>
      <c r="B224" s="1039"/>
      <c r="C224" s="1025"/>
      <c r="D224" s="1025"/>
      <c r="E224" s="1025"/>
      <c r="F224" s="1061"/>
      <c r="G224" s="1062"/>
      <c r="H224" s="1269"/>
      <c r="I224" s="1056"/>
      <c r="J224" s="1111"/>
      <c r="K224" s="1025"/>
    </row>
    <row r="225" spans="1:11">
      <c r="A225" s="1039"/>
      <c r="B225" s="1039"/>
      <c r="C225" s="1025"/>
      <c r="D225" s="1025"/>
      <c r="E225" s="1025"/>
      <c r="F225" s="1061"/>
      <c r="G225" s="1062"/>
      <c r="H225" s="1269"/>
      <c r="I225" s="1056"/>
      <c r="J225" s="1111"/>
      <c r="K225" s="1025"/>
    </row>
    <row r="226" spans="1:11">
      <c r="A226" s="1039"/>
      <c r="B226" s="1039"/>
      <c r="C226" s="1025"/>
      <c r="D226" s="1025"/>
      <c r="E226" s="1025"/>
      <c r="F226" s="1061"/>
      <c r="G226" s="1062"/>
      <c r="H226" s="1269"/>
      <c r="I226" s="1056"/>
      <c r="J226" s="1111"/>
      <c r="K226" s="1025"/>
    </row>
    <row r="227" spans="1:11">
      <c r="A227" s="1039"/>
      <c r="B227" s="1039"/>
      <c r="C227" s="1025"/>
      <c r="D227" s="1025"/>
      <c r="E227" s="1025"/>
      <c r="F227" s="1061"/>
      <c r="G227" s="1062"/>
      <c r="H227" s="1269"/>
      <c r="I227" s="1056"/>
      <c r="J227" s="1111"/>
      <c r="K227" s="1025"/>
    </row>
    <row r="228" spans="1:11">
      <c r="A228" s="1039"/>
      <c r="B228" s="1039"/>
      <c r="C228" s="1025"/>
      <c r="D228" s="1025"/>
      <c r="E228" s="1025"/>
      <c r="F228" s="1061"/>
      <c r="G228" s="1062"/>
      <c r="H228" s="1269"/>
      <c r="I228" s="1056"/>
      <c r="J228" s="1111"/>
      <c r="K228" s="1025"/>
    </row>
    <row r="229" spans="1:11">
      <c r="A229" s="1039"/>
      <c r="B229" s="1039"/>
      <c r="C229" s="1025"/>
      <c r="D229" s="1025"/>
      <c r="E229" s="1025"/>
      <c r="F229" s="1061"/>
      <c r="G229" s="1062"/>
      <c r="H229" s="1269"/>
      <c r="I229" s="1056"/>
      <c r="J229" s="1111"/>
      <c r="K229" s="1025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1025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1025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1025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1025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1025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1025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1025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1025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1025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1025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1025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1025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1025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1025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1025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1025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1025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1025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1025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1025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1025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1025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1025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1025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1025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1025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1025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1025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1025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1025"/>
    </row>
    <row r="260" spans="1:11">
      <c r="A260" s="1039"/>
      <c r="B260" s="1039"/>
      <c r="C260" s="1025"/>
      <c r="D260" s="1025"/>
      <c r="E260" s="1025"/>
      <c r="F260" s="1061"/>
      <c r="G260" s="1062"/>
      <c r="H260" s="1269"/>
      <c r="I260" s="1056"/>
      <c r="J260" s="1111"/>
      <c r="K260" s="1025"/>
    </row>
    <row r="261" spans="1:11">
      <c r="A261" s="1039"/>
      <c r="B261" s="1039"/>
      <c r="C261" s="1025"/>
      <c r="D261" s="1025"/>
      <c r="E261" s="1025"/>
      <c r="F261" s="1061"/>
      <c r="G261" s="1062"/>
      <c r="H261" s="1269"/>
      <c r="I261" s="1056"/>
      <c r="J261" s="1111"/>
      <c r="K261" s="1025"/>
    </row>
    <row r="262" spans="1:11">
      <c r="A262" s="1039"/>
      <c r="B262" s="1039"/>
      <c r="C262" s="1025"/>
      <c r="D262" s="1025"/>
      <c r="E262" s="1025"/>
      <c r="F262" s="1061"/>
      <c r="G262" s="1062"/>
      <c r="H262" s="1269"/>
      <c r="I262" s="1056"/>
      <c r="J262" s="1111"/>
      <c r="K262" s="1025"/>
    </row>
    <row r="263" spans="1:11">
      <c r="A263" s="1039"/>
      <c r="B263" s="1039"/>
      <c r="C263" s="1025"/>
      <c r="D263" s="1025"/>
      <c r="E263" s="1025"/>
      <c r="F263" s="1061"/>
      <c r="G263" s="1062"/>
      <c r="H263" s="1269"/>
      <c r="I263" s="1056"/>
      <c r="J263" s="1111"/>
      <c r="K263" s="1025"/>
    </row>
    <row r="264" spans="1:11">
      <c r="A264" s="1039"/>
      <c r="B264" s="1039"/>
      <c r="C264" s="1025"/>
      <c r="D264" s="1025"/>
      <c r="E264" s="1025"/>
      <c r="F264" s="1061"/>
      <c r="G264" s="1062"/>
      <c r="H264" s="1269"/>
      <c r="I264" s="1056"/>
      <c r="J264" s="1111"/>
      <c r="K264" s="1025"/>
    </row>
    <row r="265" spans="1:11">
      <c r="A265" s="1025"/>
      <c r="B265" s="1025"/>
      <c r="C265" s="1025"/>
      <c r="D265" s="1025"/>
      <c r="E265" s="1025"/>
      <c r="F265" s="1025"/>
      <c r="G265" s="1025"/>
      <c r="H265" s="1269"/>
      <c r="I265" s="1056"/>
      <c r="J265" s="1111"/>
      <c r="K265" s="1025"/>
    </row>
    <row r="266" spans="1:11">
      <c r="A266" s="1025"/>
      <c r="B266" s="1025"/>
      <c r="C266" s="1025"/>
      <c r="D266" s="1025"/>
      <c r="E266" s="1025"/>
      <c r="F266" s="1025"/>
      <c r="G266" s="1025"/>
      <c r="H266" s="1269"/>
      <c r="I266" s="1056"/>
      <c r="J266" s="1111"/>
      <c r="K266" s="1025"/>
    </row>
    <row r="267" spans="1:11">
      <c r="A267" s="1025"/>
      <c r="B267" s="1025"/>
      <c r="C267" s="1025"/>
      <c r="D267" s="1025"/>
      <c r="E267" s="1025"/>
      <c r="F267" s="1025"/>
      <c r="G267" s="1025"/>
      <c r="H267" s="1269"/>
      <c r="I267" s="1056"/>
      <c r="J267" s="1111"/>
      <c r="K267" s="1025"/>
    </row>
    <row r="268" spans="1:11">
      <c r="A268" s="1025"/>
      <c r="B268" s="1025"/>
      <c r="C268" s="1025"/>
      <c r="D268" s="1025"/>
      <c r="E268" s="1025"/>
      <c r="F268" s="1025"/>
      <c r="G268" s="1025"/>
      <c r="H268" s="1269"/>
      <c r="I268" s="1056"/>
      <c r="J268" s="1111"/>
      <c r="K268" s="1025"/>
    </row>
    <row r="269" spans="1:11">
      <c r="A269" s="1025"/>
      <c r="B269" s="1025"/>
      <c r="C269" s="1025"/>
      <c r="D269" s="1025"/>
      <c r="E269" s="1025"/>
      <c r="F269" s="1025"/>
      <c r="G269" s="1025"/>
      <c r="H269" s="1269"/>
      <c r="I269" s="1056"/>
      <c r="J269" s="1111"/>
      <c r="K269" s="1025"/>
    </row>
    <row r="270" spans="1:11">
      <c r="A270" s="1025"/>
      <c r="B270" s="1025"/>
      <c r="C270" s="1025"/>
      <c r="D270" s="1025"/>
      <c r="E270" s="1025"/>
      <c r="F270" s="1025"/>
      <c r="G270" s="1025"/>
      <c r="H270" s="1269"/>
      <c r="I270" s="1056"/>
      <c r="J270" s="1111"/>
      <c r="K270" s="1025"/>
    </row>
    <row r="271" spans="1:11">
      <c r="A271" s="1025"/>
      <c r="B271" s="1025"/>
      <c r="C271" s="1025"/>
      <c r="D271" s="1025"/>
      <c r="E271" s="1025"/>
      <c r="F271" s="1025"/>
      <c r="G271" s="1025"/>
      <c r="H271" s="1269"/>
      <c r="I271" s="1056"/>
      <c r="J271" s="1111"/>
      <c r="K271" s="1025"/>
    </row>
    <row r="272" spans="1:11">
      <c r="A272" s="1025"/>
      <c r="B272" s="1025"/>
      <c r="C272" s="1025"/>
      <c r="D272" s="1025"/>
      <c r="E272" s="1025"/>
      <c r="F272" s="1025"/>
      <c r="G272" s="1025"/>
      <c r="H272" s="1269"/>
      <c r="I272" s="1056"/>
      <c r="J272" s="1111"/>
      <c r="K272" s="1025"/>
    </row>
    <row r="273" spans="1:11">
      <c r="A273" s="1025"/>
      <c r="B273" s="1025"/>
      <c r="C273" s="1025"/>
      <c r="D273" s="1025"/>
      <c r="E273" s="1025"/>
      <c r="F273" s="1025"/>
      <c r="G273" s="1025"/>
      <c r="H273" s="1269"/>
      <c r="I273" s="1056"/>
      <c r="J273" s="1111"/>
      <c r="K273" s="1025"/>
    </row>
    <row r="274" spans="1:11">
      <c r="A274" s="1025"/>
      <c r="B274" s="1025"/>
      <c r="C274" s="1025"/>
      <c r="D274" s="1025"/>
      <c r="E274" s="1025"/>
      <c r="F274" s="1025"/>
      <c r="G274" s="1025"/>
      <c r="H274" s="1269"/>
      <c r="I274" s="1056"/>
      <c r="J274" s="1111"/>
      <c r="K274" s="1025"/>
    </row>
    <row r="275" spans="1:11">
      <c r="A275" s="1025"/>
      <c r="B275" s="1025"/>
      <c r="C275" s="1025"/>
      <c r="D275" s="1025"/>
      <c r="E275" s="1025"/>
      <c r="F275" s="1025"/>
      <c r="G275" s="1025"/>
      <c r="H275" s="1269"/>
      <c r="I275" s="1056"/>
      <c r="J275" s="1111"/>
      <c r="K275" s="1025"/>
    </row>
    <row r="276" spans="1:11">
      <c r="A276" s="1025"/>
      <c r="B276" s="1025"/>
      <c r="C276" s="1025"/>
      <c r="D276" s="1025"/>
      <c r="E276" s="1025"/>
      <c r="F276" s="1025"/>
      <c r="G276" s="1025"/>
      <c r="H276" s="1269"/>
      <c r="I276" s="1056"/>
      <c r="J276" s="1111"/>
      <c r="K276" s="1025"/>
    </row>
    <row r="277" spans="1:11">
      <c r="A277" s="1025"/>
      <c r="B277" s="1025"/>
      <c r="C277" s="1025"/>
      <c r="D277" s="1025"/>
      <c r="E277" s="1025"/>
      <c r="F277" s="1025"/>
      <c r="G277" s="1025"/>
      <c r="H277" s="1269"/>
      <c r="I277" s="1056"/>
      <c r="J277" s="1111"/>
      <c r="K277" s="1025"/>
    </row>
    <row r="278" spans="1:11">
      <c r="A278" s="1025"/>
      <c r="B278" s="1025"/>
      <c r="C278" s="1025"/>
      <c r="D278" s="1025"/>
      <c r="E278" s="1025"/>
      <c r="F278" s="1025"/>
      <c r="G278" s="1025"/>
      <c r="H278" s="1269"/>
      <c r="I278" s="1056"/>
      <c r="J278" s="1111"/>
      <c r="K278" s="1025"/>
    </row>
    <row r="279" spans="1:11" ht="15.75" thickBot="1">
      <c r="A279" s="1037"/>
      <c r="B279" s="1038"/>
      <c r="C279" s="1026"/>
      <c r="D279" s="1026"/>
      <c r="E279" s="1026"/>
      <c r="F279" s="1059"/>
      <c r="G279" s="1054"/>
      <c r="H279" s="1269"/>
      <c r="I279" s="1056"/>
      <c r="J279" s="1111"/>
      <c r="K279" s="1025"/>
    </row>
    <row r="280" spans="1:11" ht="20.25" thickBot="1">
      <c r="A280" s="1552"/>
      <c r="B280" s="1553"/>
      <c r="C280" s="1553"/>
      <c r="D280" s="1553"/>
      <c r="E280" s="1553"/>
      <c r="F280" s="1554">
        <f>SUM(F159:F167,F169:F279)</f>
        <v>0</v>
      </c>
      <c r="G280" s="1553"/>
      <c r="H280" s="1558">
        <f>SUM(H59:H279)</f>
        <v>10785.266910000004</v>
      </c>
      <c r="I280" s="1554">
        <f>SUM(I159:I279)</f>
        <v>0</v>
      </c>
      <c r="J280" s="1111"/>
      <c r="K280" s="1115"/>
    </row>
  </sheetData>
  <autoFilter ref="A1:K59" xr:uid="{FD2568A9-166D-422B-9147-AE016F6ACD73}">
    <sortState xmlns:xlrd2="http://schemas.microsoft.com/office/spreadsheetml/2017/richdata2" ref="A2:K59">
      <sortCondition ref="B1:B59"/>
    </sortState>
  </autoFilter>
  <pageMargins left="0.511811024" right="0.511811024" top="0.78740157499999996" bottom="0.78740157499999996" header="0.31496062000000002" footer="0.3149606200000000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F5B7-EF81-472E-BF70-60F40D344873}">
  <dimension ref="A1:K282"/>
  <sheetViews>
    <sheetView zoomScale="85" zoomScaleNormal="85" workbookViewId="0">
      <pane ySplit="1" topLeftCell="A2" activePane="bottomLeft" state="frozen"/>
      <selection pane="bottomLeft" activeCell="K6" sqref="A6:K6"/>
    </sheetView>
  </sheetViews>
  <sheetFormatPr defaultColWidth="9.140625" defaultRowHeight="15"/>
  <cols>
    <col min="1" max="1" width="15.140625" style="1032" bestFit="1" customWidth="1"/>
    <col min="2" max="2" width="11.5703125" style="1032" bestFit="1" customWidth="1"/>
    <col min="3" max="3" width="44" style="1032" bestFit="1" customWidth="1"/>
    <col min="4" max="4" width="22.28515625" style="1032" bestFit="1" customWidth="1"/>
    <col min="5" max="5" width="14.140625" style="1032" bestFit="1" customWidth="1"/>
    <col min="6" max="6" width="22" style="1032" bestFit="1" customWidth="1"/>
    <col min="7" max="7" width="13.42578125" style="1032" bestFit="1" customWidth="1"/>
    <col min="8" max="8" width="24.85546875" style="1032" bestFit="1" customWidth="1"/>
    <col min="9" max="9" width="21" style="1032" bestFit="1" customWidth="1"/>
    <col min="10" max="10" width="13.140625" style="1032" customWidth="1"/>
    <col min="11" max="11" width="15" style="1032" bestFit="1" customWidth="1"/>
    <col min="12" max="16384" width="9.140625" style="1032"/>
  </cols>
  <sheetData>
    <row r="1" spans="1:11" ht="14.25" customHeight="1">
      <c r="A1" s="1559" t="s">
        <v>2519</v>
      </c>
      <c r="B1" s="1560" t="s">
        <v>2</v>
      </c>
      <c r="C1" s="1560" t="s">
        <v>3</v>
      </c>
      <c r="D1" s="1560" t="s">
        <v>4</v>
      </c>
      <c r="E1" s="1560" t="s">
        <v>5</v>
      </c>
      <c r="F1" s="1561" t="s">
        <v>644</v>
      </c>
      <c r="G1" s="1562" t="s">
        <v>555</v>
      </c>
      <c r="H1" s="1563" t="s">
        <v>7</v>
      </c>
      <c r="I1" s="1564" t="s">
        <v>307</v>
      </c>
      <c r="J1" s="1562" t="s">
        <v>370</v>
      </c>
      <c r="K1" s="1565" t="s">
        <v>3013</v>
      </c>
    </row>
    <row r="2" spans="1:11" s="1031" customFormat="1" ht="15.75">
      <c r="A2" s="1040">
        <v>46120</v>
      </c>
      <c r="B2" s="1042">
        <v>46485</v>
      </c>
      <c r="C2" s="1030" t="s">
        <v>2670</v>
      </c>
      <c r="D2" s="1030" t="s">
        <v>9</v>
      </c>
      <c r="E2" s="1030" t="s">
        <v>19</v>
      </c>
      <c r="F2" s="1120">
        <v>2648.22</v>
      </c>
      <c r="G2" s="1073">
        <v>0.15</v>
      </c>
      <c r="H2" s="1067">
        <f t="shared" ref="H2:H42" si="0">F2*G2*(1-10%)</f>
        <v>357.50969999999995</v>
      </c>
      <c r="I2" s="1068">
        <v>35.75</v>
      </c>
      <c r="J2" s="1112" t="s">
        <v>1470</v>
      </c>
      <c r="K2" s="1601" t="s">
        <v>2274</v>
      </c>
    </row>
    <row r="3" spans="1:11" s="1031" customFormat="1" ht="15.75">
      <c r="A3" s="1040">
        <v>46125</v>
      </c>
      <c r="B3" s="1042">
        <v>46491</v>
      </c>
      <c r="C3" s="1030" t="s">
        <v>3227</v>
      </c>
      <c r="D3" s="1030" t="s">
        <v>1604</v>
      </c>
      <c r="E3" s="1030" t="s">
        <v>90</v>
      </c>
      <c r="F3" s="1072">
        <v>1353.43</v>
      </c>
      <c r="G3" s="1073">
        <v>0.1</v>
      </c>
      <c r="H3" s="1067">
        <f t="shared" si="0"/>
        <v>121.80870000000002</v>
      </c>
      <c r="I3" s="1068">
        <v>12.18</v>
      </c>
      <c r="J3" s="1112" t="s">
        <v>1470</v>
      </c>
      <c r="K3" s="1601" t="s">
        <v>2015</v>
      </c>
    </row>
    <row r="4" spans="1:11" s="1031" customFormat="1" ht="15.75">
      <c r="A4" s="1041">
        <v>46129</v>
      </c>
      <c r="B4" s="1041">
        <v>46495</v>
      </c>
      <c r="C4" s="1027" t="s">
        <v>3230</v>
      </c>
      <c r="D4" s="1027" t="s">
        <v>14</v>
      </c>
      <c r="E4" s="1027" t="s">
        <v>948</v>
      </c>
      <c r="F4" s="1065">
        <v>1084.78</v>
      </c>
      <c r="G4" s="1066">
        <v>0.25</v>
      </c>
      <c r="H4" s="1067">
        <f t="shared" si="0"/>
        <v>244.07550000000001</v>
      </c>
      <c r="I4" s="1243">
        <v>24.4</v>
      </c>
      <c r="J4" s="1027" t="s">
        <v>1470</v>
      </c>
      <c r="K4" s="1117" t="s">
        <v>2015</v>
      </c>
    </row>
    <row r="5" spans="1:11" s="1896" customFormat="1" ht="15.75">
      <c r="A5" s="1040">
        <v>46121</v>
      </c>
      <c r="B5" s="1042">
        <v>46483</v>
      </c>
      <c r="C5" s="1027" t="s">
        <v>3224</v>
      </c>
      <c r="D5" s="1030" t="s">
        <v>9</v>
      </c>
      <c r="E5" s="1030" t="s">
        <v>948</v>
      </c>
      <c r="F5" s="1120">
        <v>1677.16</v>
      </c>
      <c r="G5" s="1073">
        <v>0.15</v>
      </c>
      <c r="H5" s="1067">
        <f t="shared" si="0"/>
        <v>226.41660000000002</v>
      </c>
      <c r="I5" s="1068">
        <v>22.64</v>
      </c>
      <c r="J5" s="1112" t="s">
        <v>1470</v>
      </c>
      <c r="K5" s="1117" t="s">
        <v>2274</v>
      </c>
    </row>
    <row r="6" spans="1:11" s="1332" customFormat="1" ht="15.75">
      <c r="A6" s="1948">
        <v>46140</v>
      </c>
      <c r="B6" s="1948">
        <v>46505</v>
      </c>
      <c r="C6" s="1283" t="s">
        <v>3235</v>
      </c>
      <c r="D6" s="1283"/>
      <c r="E6" s="1283" t="s">
        <v>3080</v>
      </c>
      <c r="F6" s="1954">
        <v>1762.55</v>
      </c>
      <c r="G6" s="1950">
        <v>0.2</v>
      </c>
      <c r="H6" s="1955">
        <f t="shared" si="0"/>
        <v>317.25900000000001</v>
      </c>
      <c r="I6" s="1956">
        <v>21.72</v>
      </c>
      <c r="J6" s="1283" t="s">
        <v>1470</v>
      </c>
      <c r="K6" s="1957" t="s">
        <v>2274</v>
      </c>
    </row>
    <row r="7" spans="1:11" s="1332" customFormat="1" ht="15.75">
      <c r="A7" s="1041">
        <v>46128</v>
      </c>
      <c r="B7" s="1041">
        <v>46493</v>
      </c>
      <c r="C7" s="1027" t="s">
        <v>3238</v>
      </c>
      <c r="D7" s="1027" t="s">
        <v>448</v>
      </c>
      <c r="E7" s="1027" t="s">
        <v>948</v>
      </c>
      <c r="F7" s="947">
        <v>2474.54</v>
      </c>
      <c r="G7" s="1066">
        <v>0.15</v>
      </c>
      <c r="H7" s="1067">
        <f t="shared" si="0"/>
        <v>334.06290000000001</v>
      </c>
      <c r="I7" s="1243">
        <v>33.4</v>
      </c>
      <c r="J7" s="1027" t="s">
        <v>1470</v>
      </c>
      <c r="K7" s="1117" t="s">
        <v>2274</v>
      </c>
    </row>
    <row r="8" spans="1:11" s="1031" customFormat="1" ht="15.75">
      <c r="A8" s="1124">
        <v>46136</v>
      </c>
      <c r="B8" s="1125">
        <v>46501</v>
      </c>
      <c r="C8" s="1028" t="s">
        <v>2544</v>
      </c>
      <c r="D8" s="1028" t="s">
        <v>61</v>
      </c>
      <c r="E8" s="1028" t="s">
        <v>948</v>
      </c>
      <c r="F8" s="1126">
        <v>1755.92</v>
      </c>
      <c r="G8" s="1127">
        <v>0.1</v>
      </c>
      <c r="H8" s="1067">
        <f t="shared" si="0"/>
        <v>158.03280000000001</v>
      </c>
      <c r="I8" s="1129">
        <v>15.8</v>
      </c>
      <c r="J8" s="1130" t="s">
        <v>1470</v>
      </c>
      <c r="K8" s="1468" t="s">
        <v>2015</v>
      </c>
    </row>
    <row r="9" spans="1:11" s="1896" customFormat="1" ht="15.75">
      <c r="A9" s="1372">
        <v>46119</v>
      </c>
      <c r="B9" s="1373">
        <v>46484</v>
      </c>
      <c r="C9" s="1377" t="s">
        <v>3229</v>
      </c>
      <c r="D9" s="1377" t="s">
        <v>448</v>
      </c>
      <c r="E9" s="1377" t="s">
        <v>279</v>
      </c>
      <c r="F9" s="1402">
        <v>2121.0500000000002</v>
      </c>
      <c r="G9" s="1378">
        <v>0.1</v>
      </c>
      <c r="H9" s="1335">
        <f t="shared" si="0"/>
        <v>190.89450000000002</v>
      </c>
      <c r="I9" s="1374">
        <f>190.89/2</f>
        <v>95.444999999999993</v>
      </c>
      <c r="J9" s="1375" t="s">
        <v>1577</v>
      </c>
      <c r="K9" s="1337" t="s">
        <v>2274</v>
      </c>
    </row>
    <row r="10" spans="1:11" ht="15" customHeight="1">
      <c r="A10" s="1372">
        <v>46126</v>
      </c>
      <c r="B10" s="1373">
        <v>46491</v>
      </c>
      <c r="C10" s="1377" t="s">
        <v>2020</v>
      </c>
      <c r="D10" s="1377" t="s">
        <v>448</v>
      </c>
      <c r="E10" s="1377" t="s">
        <v>1593</v>
      </c>
      <c r="F10" s="1402">
        <v>3143.88</v>
      </c>
      <c r="G10" s="1378">
        <v>0.15</v>
      </c>
      <c r="H10" s="1335">
        <f t="shared" si="0"/>
        <v>424.42380000000003</v>
      </c>
      <c r="I10" s="1374">
        <f>424.42/2</f>
        <v>212.21</v>
      </c>
      <c r="J10" s="1375" t="s">
        <v>1577</v>
      </c>
      <c r="K10" s="1337" t="s">
        <v>2015</v>
      </c>
    </row>
    <row r="11" spans="1:11">
      <c r="A11" s="1372">
        <v>46132</v>
      </c>
      <c r="B11" s="1373">
        <v>46497</v>
      </c>
      <c r="C11" s="1897" t="s">
        <v>3236</v>
      </c>
      <c r="D11" s="1377" t="s">
        <v>9</v>
      </c>
      <c r="E11" s="1377" t="s">
        <v>3080</v>
      </c>
      <c r="F11" s="1402">
        <v>1925.22</v>
      </c>
      <c r="G11" s="1378">
        <v>0.1</v>
      </c>
      <c r="H11" s="1335">
        <f t="shared" si="0"/>
        <v>173.26980000000003</v>
      </c>
      <c r="I11" s="1374">
        <f>173.27/2</f>
        <v>86.635000000000005</v>
      </c>
      <c r="J11" s="1375" t="s">
        <v>1577</v>
      </c>
      <c r="K11" s="1332" t="s">
        <v>2274</v>
      </c>
    </row>
    <row r="12" spans="1:11" s="1031" customFormat="1" ht="15.75">
      <c r="A12" s="1372">
        <v>46140</v>
      </c>
      <c r="B12" s="1373">
        <v>46507</v>
      </c>
      <c r="C12" s="1332" t="s">
        <v>3234</v>
      </c>
      <c r="D12" s="1332" t="s">
        <v>448</v>
      </c>
      <c r="E12" s="1332" t="s">
        <v>948</v>
      </c>
      <c r="F12" s="1339">
        <v>3067.13</v>
      </c>
      <c r="G12" s="1334">
        <v>0.1</v>
      </c>
      <c r="H12" s="1335">
        <f t="shared" si="0"/>
        <v>276.04170000000005</v>
      </c>
      <c r="I12" s="1374">
        <f>276.04/2</f>
        <v>138.02000000000001</v>
      </c>
      <c r="J12" s="1375" t="s">
        <v>1577</v>
      </c>
      <c r="K12" s="1337" t="s">
        <v>2015</v>
      </c>
    </row>
    <row r="13" spans="1:11" ht="15.75">
      <c r="A13" s="1372">
        <v>46141</v>
      </c>
      <c r="B13" s="1373">
        <v>46506</v>
      </c>
      <c r="C13" s="1332" t="s">
        <v>2818</v>
      </c>
      <c r="D13" s="1332" t="s">
        <v>9</v>
      </c>
      <c r="E13" s="1332" t="s">
        <v>1310</v>
      </c>
      <c r="F13" s="1333">
        <v>12783.71</v>
      </c>
      <c r="G13" s="1334">
        <v>0.1</v>
      </c>
      <c r="H13" s="1898">
        <f t="shared" si="0"/>
        <v>1150.5339000000001</v>
      </c>
      <c r="I13" s="1374">
        <f>1150.53/2</f>
        <v>575.26499999999999</v>
      </c>
      <c r="J13" s="1375" t="s">
        <v>1577</v>
      </c>
      <c r="K13" s="1337" t="s">
        <v>2274</v>
      </c>
    </row>
    <row r="14" spans="1:11" ht="15.75">
      <c r="A14" s="1037">
        <v>46114</v>
      </c>
      <c r="B14" s="1038">
        <v>46479</v>
      </c>
      <c r="C14" s="1026" t="s">
        <v>2807</v>
      </c>
      <c r="D14" s="1026" t="s">
        <v>70</v>
      </c>
      <c r="E14" s="1025" t="s">
        <v>279</v>
      </c>
      <c r="F14" s="1061">
        <v>524.41999999999996</v>
      </c>
      <c r="G14" s="1062">
        <v>0.1</v>
      </c>
      <c r="H14" s="1269">
        <f t="shared" si="0"/>
        <v>47.197800000000001</v>
      </c>
      <c r="I14" s="1056"/>
      <c r="J14" s="1111"/>
      <c r="K14" s="1115" t="s">
        <v>2015</v>
      </c>
    </row>
    <row r="15" spans="1:11" ht="15.75" customHeight="1">
      <c r="A15" s="1037">
        <v>46118</v>
      </c>
      <c r="B15" s="1038">
        <v>46483</v>
      </c>
      <c r="C15" s="1025" t="s">
        <v>1788</v>
      </c>
      <c r="D15" s="1026" t="s">
        <v>448</v>
      </c>
      <c r="E15" s="1025" t="s">
        <v>143</v>
      </c>
      <c r="F15" s="1061">
        <v>2664.13</v>
      </c>
      <c r="G15" s="1062">
        <v>0.15</v>
      </c>
      <c r="H15" s="1269">
        <f t="shared" si="0"/>
        <v>359.65755000000001</v>
      </c>
      <c r="I15" s="1056"/>
      <c r="J15" s="1111"/>
      <c r="K15" s="1115" t="s">
        <v>2274</v>
      </c>
    </row>
    <row r="16" spans="1:11" ht="15.75">
      <c r="A16" s="1037">
        <v>46119</v>
      </c>
      <c r="B16" s="1038">
        <v>46484</v>
      </c>
      <c r="C16" s="1025" t="s">
        <v>3225</v>
      </c>
      <c r="D16" s="1026" t="s">
        <v>9</v>
      </c>
      <c r="E16" s="1025" t="s">
        <v>22</v>
      </c>
      <c r="F16" s="1023">
        <v>1459.11</v>
      </c>
      <c r="G16" s="1062">
        <v>0.1</v>
      </c>
      <c r="H16" s="1269">
        <f t="shared" si="0"/>
        <v>131.31990000000002</v>
      </c>
      <c r="I16" s="1056"/>
      <c r="J16" s="1111"/>
      <c r="K16" s="1115" t="s">
        <v>2015</v>
      </c>
    </row>
    <row r="17" spans="1:11" ht="15.75">
      <c r="A17" s="1037">
        <v>46121</v>
      </c>
      <c r="B17" s="1038">
        <v>46486</v>
      </c>
      <c r="C17" s="1025" t="s">
        <v>3226</v>
      </c>
      <c r="D17" s="1026" t="s">
        <v>9</v>
      </c>
      <c r="E17" s="1025" t="s">
        <v>143</v>
      </c>
      <c r="F17" s="1061">
        <v>2885.05</v>
      </c>
      <c r="G17" s="1062">
        <v>0.15</v>
      </c>
      <c r="H17" s="1269">
        <f t="shared" si="0"/>
        <v>389.48174999999998</v>
      </c>
      <c r="I17" s="1056"/>
      <c r="J17" s="1111"/>
      <c r="K17" s="1115" t="s">
        <v>2015</v>
      </c>
    </row>
    <row r="18" spans="1:11" ht="15.75">
      <c r="A18" s="1039">
        <v>46114</v>
      </c>
      <c r="B18" s="1039">
        <v>46489</v>
      </c>
      <c r="C18" s="1025" t="s">
        <v>677</v>
      </c>
      <c r="D18" s="1025" t="s">
        <v>9</v>
      </c>
      <c r="E18" s="1025" t="s">
        <v>29</v>
      </c>
      <c r="F18" s="1071">
        <v>1627.94</v>
      </c>
      <c r="G18" s="1062">
        <v>0.15</v>
      </c>
      <c r="H18" s="1269">
        <f t="shared" si="0"/>
        <v>219.77190000000002</v>
      </c>
      <c r="I18" s="1056"/>
      <c r="J18" s="1111"/>
      <c r="K18" s="1115" t="s">
        <v>2015</v>
      </c>
    </row>
    <row r="19" spans="1:11">
      <c r="A19" s="1039">
        <v>46122</v>
      </c>
      <c r="B19" s="1039">
        <v>46492</v>
      </c>
      <c r="C19" s="1025" t="s">
        <v>2032</v>
      </c>
      <c r="D19" s="1025" t="s">
        <v>448</v>
      </c>
      <c r="E19" s="1025" t="s">
        <v>29</v>
      </c>
      <c r="F19" s="1061">
        <v>3534.69</v>
      </c>
      <c r="G19" s="1062">
        <v>0.15</v>
      </c>
      <c r="H19" s="1269">
        <f t="shared" si="0"/>
        <v>477.18314999999996</v>
      </c>
      <c r="I19" s="1056"/>
      <c r="J19" s="1111"/>
      <c r="K19" s="1025" t="s">
        <v>2015</v>
      </c>
    </row>
    <row r="20" spans="1:11" ht="15.75">
      <c r="A20" s="1037">
        <v>46122</v>
      </c>
      <c r="B20" s="1039">
        <v>46493</v>
      </c>
      <c r="C20" s="1025" t="s">
        <v>1751</v>
      </c>
      <c r="D20" s="1026" t="s">
        <v>21</v>
      </c>
      <c r="E20" s="1025" t="s">
        <v>143</v>
      </c>
      <c r="F20" s="1071">
        <v>1919.78</v>
      </c>
      <c r="G20" s="1062">
        <v>0.1</v>
      </c>
      <c r="H20" s="1269">
        <f t="shared" si="0"/>
        <v>172.78020000000001</v>
      </c>
      <c r="I20" s="1056"/>
      <c r="J20" s="1111"/>
      <c r="K20" s="1115" t="s">
        <v>2015</v>
      </c>
    </row>
    <row r="21" spans="1:11" ht="15.75">
      <c r="A21" s="1037">
        <v>46122</v>
      </c>
      <c r="B21" s="1039">
        <v>46495</v>
      </c>
      <c r="C21" s="1032" t="s">
        <v>708</v>
      </c>
      <c r="D21" s="1026" t="s">
        <v>61</v>
      </c>
      <c r="E21" s="1025" t="s">
        <v>22</v>
      </c>
      <c r="F21" s="903">
        <v>1588.23</v>
      </c>
      <c r="G21" s="1062">
        <v>0.15</v>
      </c>
      <c r="H21" s="1269">
        <f t="shared" si="0"/>
        <v>214.41104999999999</v>
      </c>
      <c r="I21" s="1056"/>
      <c r="J21" s="1111"/>
      <c r="K21" s="1115" t="s">
        <v>2015</v>
      </c>
    </row>
    <row r="22" spans="1:11" ht="15.75">
      <c r="A22" s="1037">
        <v>46121</v>
      </c>
      <c r="B22" s="1039" t="s">
        <v>1805</v>
      </c>
      <c r="C22" s="1025" t="s">
        <v>3223</v>
      </c>
      <c r="D22" s="1026" t="s">
        <v>25</v>
      </c>
      <c r="E22" s="1025" t="s">
        <v>948</v>
      </c>
      <c r="F22" s="1061">
        <v>-624.25</v>
      </c>
      <c r="G22" s="1062">
        <v>0.15</v>
      </c>
      <c r="H22" s="1269">
        <f t="shared" si="0"/>
        <v>-84.273750000000007</v>
      </c>
      <c r="I22" s="1056"/>
      <c r="J22" s="1111"/>
      <c r="K22" s="1115" t="s">
        <v>1805</v>
      </c>
    </row>
    <row r="23" spans="1:11">
      <c r="A23" s="1039">
        <v>46122</v>
      </c>
      <c r="B23" s="1039" t="s">
        <v>1805</v>
      </c>
      <c r="C23" s="1039" t="s">
        <v>1816</v>
      </c>
      <c r="D23" s="1039" t="s">
        <v>25</v>
      </c>
      <c r="E23" s="1039" t="s">
        <v>362</v>
      </c>
      <c r="F23" s="1023">
        <v>96.38</v>
      </c>
      <c r="G23" s="1062">
        <v>0.15</v>
      </c>
      <c r="H23" s="1269">
        <f t="shared" si="0"/>
        <v>13.011299999999999</v>
      </c>
      <c r="I23" s="1023"/>
      <c r="J23" s="1039"/>
      <c r="K23" s="1039" t="s">
        <v>1805</v>
      </c>
    </row>
    <row r="24" spans="1:11" ht="15.75">
      <c r="A24" s="1037">
        <v>46126</v>
      </c>
      <c r="B24" s="1039">
        <v>46491</v>
      </c>
      <c r="C24" s="1032" t="s">
        <v>534</v>
      </c>
      <c r="D24" s="1026" t="s">
        <v>9</v>
      </c>
      <c r="E24" s="1026" t="s">
        <v>458</v>
      </c>
      <c r="F24" s="1071">
        <v>1670.03</v>
      </c>
      <c r="G24" s="1062">
        <v>0.1</v>
      </c>
      <c r="H24" s="1269">
        <f t="shared" si="0"/>
        <v>150.30270000000002</v>
      </c>
      <c r="I24" s="1056"/>
      <c r="J24" s="1111"/>
      <c r="K24" s="1115" t="s">
        <v>2015</v>
      </c>
    </row>
    <row r="25" spans="1:11" ht="15.75">
      <c r="A25" s="1037">
        <v>46127</v>
      </c>
      <c r="B25" s="1038">
        <v>46492</v>
      </c>
      <c r="C25" s="1025" t="s">
        <v>3231</v>
      </c>
      <c r="D25" s="1026" t="s">
        <v>33</v>
      </c>
      <c r="E25" s="1026" t="s">
        <v>19</v>
      </c>
      <c r="F25" s="1059">
        <v>1993.5</v>
      </c>
      <c r="G25" s="1054">
        <v>0.23</v>
      </c>
      <c r="H25" s="1269">
        <f t="shared" si="0"/>
        <v>412.65449999999998</v>
      </c>
      <c r="I25" s="1056"/>
      <c r="J25" s="1111"/>
      <c r="K25" s="1115" t="s">
        <v>2015</v>
      </c>
    </row>
    <row r="26" spans="1:11" ht="15.75">
      <c r="A26" s="1037">
        <v>46128</v>
      </c>
      <c r="B26" s="1038">
        <v>46490</v>
      </c>
      <c r="C26" s="1025" t="s">
        <v>1341</v>
      </c>
      <c r="D26" s="1026" t="s">
        <v>448</v>
      </c>
      <c r="E26" s="1026" t="s">
        <v>948</v>
      </c>
      <c r="F26" s="1059">
        <v>2325.16</v>
      </c>
      <c r="G26" s="1054">
        <v>0.1</v>
      </c>
      <c r="H26" s="1269">
        <f t="shared" si="0"/>
        <v>209.26439999999999</v>
      </c>
      <c r="I26" s="1056"/>
      <c r="J26" s="1111"/>
      <c r="K26" s="1115" t="s">
        <v>2015</v>
      </c>
    </row>
    <row r="27" spans="1:11" s="1031" customFormat="1" ht="15.75">
      <c r="A27" s="1037">
        <v>46134</v>
      </c>
      <c r="B27" s="1038">
        <v>46501</v>
      </c>
      <c r="C27" s="1025" t="s">
        <v>1352</v>
      </c>
      <c r="D27" s="1026" t="s">
        <v>25</v>
      </c>
      <c r="E27" s="1026" t="s">
        <v>19</v>
      </c>
      <c r="F27" s="291">
        <v>2350.86</v>
      </c>
      <c r="G27" s="1054">
        <v>0.1</v>
      </c>
      <c r="H27" s="1269">
        <f t="shared" si="0"/>
        <v>211.57740000000001</v>
      </c>
      <c r="I27" s="1056"/>
      <c r="J27" s="1111"/>
      <c r="K27" s="1115" t="s">
        <v>2015</v>
      </c>
    </row>
    <row r="28" spans="1:11" ht="15.75">
      <c r="A28" s="1039">
        <v>46135</v>
      </c>
      <c r="B28" s="1039" t="s">
        <v>1805</v>
      </c>
      <c r="C28" s="1025" t="s">
        <v>3232</v>
      </c>
      <c r="D28" s="1025" t="s">
        <v>61</v>
      </c>
      <c r="E28" s="1025" t="s">
        <v>948</v>
      </c>
      <c r="F28" s="1061">
        <v>473.29</v>
      </c>
      <c r="G28" s="1062">
        <v>0.15</v>
      </c>
      <c r="H28" s="1269">
        <f t="shared" si="0"/>
        <v>63.894149999999996</v>
      </c>
      <c r="I28" s="1242"/>
      <c r="J28" s="1025"/>
      <c r="K28" s="1115" t="s">
        <v>1805</v>
      </c>
    </row>
    <row r="29" spans="1:11" ht="15.75">
      <c r="A29" s="1037">
        <v>46139</v>
      </c>
      <c r="B29" s="1038" t="s">
        <v>1805</v>
      </c>
      <c r="C29" s="1025" t="s">
        <v>3233</v>
      </c>
      <c r="D29" s="1026" t="s">
        <v>25</v>
      </c>
      <c r="E29" s="1026" t="s">
        <v>90</v>
      </c>
      <c r="F29" s="1059">
        <v>62.92</v>
      </c>
      <c r="G29" s="1054">
        <v>0.15</v>
      </c>
      <c r="H29" s="1269">
        <f t="shared" si="0"/>
        <v>8.4942000000000011</v>
      </c>
      <c r="I29" s="1056"/>
      <c r="J29" s="1111"/>
      <c r="K29" s="1115" t="s">
        <v>1805</v>
      </c>
    </row>
    <row r="30" spans="1:11" s="1031" customFormat="1" ht="15.75">
      <c r="A30" s="1037">
        <v>46140</v>
      </c>
      <c r="B30" s="1038">
        <v>46507</v>
      </c>
      <c r="C30" s="1026" t="s">
        <v>2839</v>
      </c>
      <c r="D30" s="1026" t="s">
        <v>448</v>
      </c>
      <c r="E30" s="1026" t="s">
        <v>19</v>
      </c>
      <c r="F30" s="1059">
        <v>2306.52</v>
      </c>
      <c r="G30" s="1054">
        <v>0.18</v>
      </c>
      <c r="H30" s="1269">
        <f t="shared" si="0"/>
        <v>373.65623999999997</v>
      </c>
      <c r="I30" s="1056"/>
      <c r="J30" s="1111"/>
      <c r="K30" s="1115" t="s">
        <v>2015</v>
      </c>
    </row>
    <row r="31" spans="1:11" ht="15.75">
      <c r="A31" s="1037">
        <v>46134</v>
      </c>
      <c r="B31" s="1038">
        <v>46502</v>
      </c>
      <c r="C31" s="1026" t="s">
        <v>1356</v>
      </c>
      <c r="D31" s="1026" t="s">
        <v>25</v>
      </c>
      <c r="E31" s="1026" t="s">
        <v>948</v>
      </c>
      <c r="F31" s="1059">
        <v>753.24</v>
      </c>
      <c r="G31" s="1054">
        <v>0.15</v>
      </c>
      <c r="H31" s="1269">
        <f t="shared" si="0"/>
        <v>101.68740000000001</v>
      </c>
      <c r="I31" s="1056"/>
      <c r="J31" s="1111"/>
      <c r="K31" s="1115" t="s">
        <v>2015</v>
      </c>
    </row>
    <row r="32" spans="1:11" ht="15.75">
      <c r="A32" s="1037"/>
      <c r="B32" s="1038"/>
      <c r="C32" s="1025"/>
      <c r="D32" s="1026"/>
      <c r="E32" s="1026"/>
      <c r="F32" s="1059"/>
      <c r="G32" s="1054"/>
      <c r="H32" s="1269">
        <f t="shared" si="0"/>
        <v>0</v>
      </c>
      <c r="I32" s="1056"/>
      <c r="J32" s="1111"/>
      <c r="K32" s="1115"/>
    </row>
    <row r="33" spans="1:11" ht="15.75">
      <c r="A33" s="1037"/>
      <c r="B33" s="1038"/>
      <c r="C33" s="1026"/>
      <c r="D33" s="1026"/>
      <c r="E33" s="1025"/>
      <c r="F33" s="1023"/>
      <c r="G33" s="1062"/>
      <c r="H33" s="1269">
        <f t="shared" si="0"/>
        <v>0</v>
      </c>
      <c r="I33" s="1056"/>
      <c r="J33" s="1111"/>
      <c r="K33" s="1115"/>
    </row>
    <row r="34" spans="1:11" ht="15.75">
      <c r="A34" s="1037"/>
      <c r="B34" s="1038"/>
      <c r="C34" s="1026"/>
      <c r="D34" s="1026"/>
      <c r="E34" s="1026"/>
      <c r="F34" s="1059"/>
      <c r="G34" s="1054"/>
      <c r="H34" s="1269">
        <f t="shared" si="0"/>
        <v>0</v>
      </c>
      <c r="I34" s="1056"/>
      <c r="J34" s="1111"/>
      <c r="K34" s="1115"/>
    </row>
    <row r="35" spans="1:11" ht="15.75">
      <c r="A35" s="1037"/>
      <c r="B35" s="1039"/>
      <c r="C35" s="1025"/>
      <c r="D35" s="1026"/>
      <c r="E35" s="1025"/>
      <c r="F35" s="1061"/>
      <c r="G35" s="1062"/>
      <c r="H35" s="1269">
        <f t="shared" si="0"/>
        <v>0</v>
      </c>
      <c r="I35" s="1056"/>
      <c r="J35" s="1111"/>
      <c r="K35" s="1115"/>
    </row>
    <row r="36" spans="1:11" ht="15.75">
      <c r="A36" s="1037"/>
      <c r="B36" s="1038"/>
      <c r="C36" s="1026"/>
      <c r="D36" s="1026"/>
      <c r="E36" s="1026"/>
      <c r="F36" s="1071"/>
      <c r="G36" s="1054"/>
      <c r="H36" s="1269">
        <f t="shared" si="0"/>
        <v>0</v>
      </c>
      <c r="I36" s="1056"/>
      <c r="J36" s="1111"/>
      <c r="K36" s="1115"/>
    </row>
    <row r="37" spans="1:11" ht="15.75" customHeight="1">
      <c r="A37" s="1037"/>
      <c r="B37" s="1038"/>
      <c r="C37" s="1876"/>
      <c r="D37" s="1026"/>
      <c r="E37" s="1025"/>
      <c r="F37" s="1061"/>
      <c r="G37" s="1062"/>
      <c r="H37" s="1269">
        <f t="shared" si="0"/>
        <v>0</v>
      </c>
      <c r="I37" s="1056"/>
      <c r="J37" s="1111"/>
      <c r="K37" s="1115"/>
    </row>
    <row r="38" spans="1:11" ht="15.75" customHeight="1">
      <c r="A38" s="1037"/>
      <c r="B38" s="1038"/>
      <c r="C38" s="1026"/>
      <c r="D38" s="1026"/>
      <c r="E38" s="1026"/>
      <c r="F38" s="1053"/>
      <c r="G38" s="1054"/>
      <c r="H38" s="1269">
        <f t="shared" si="0"/>
        <v>0</v>
      </c>
      <c r="I38" s="1056"/>
      <c r="J38" s="1111"/>
      <c r="K38" s="1115"/>
    </row>
    <row r="39" spans="1:11" ht="16.5" customHeight="1">
      <c r="A39" s="1037"/>
      <c r="B39" s="1038"/>
      <c r="C39" s="1026"/>
      <c r="D39" s="1026"/>
      <c r="E39" s="1026"/>
      <c r="F39" s="1059"/>
      <c r="G39" s="1054"/>
      <c r="H39" s="1269">
        <f t="shared" si="0"/>
        <v>0</v>
      </c>
      <c r="I39" s="1056"/>
      <c r="J39" s="1111"/>
      <c r="K39" s="1115"/>
    </row>
    <row r="40" spans="1:11" ht="15.75">
      <c r="A40" s="1037"/>
      <c r="B40" s="1038"/>
      <c r="C40" s="1025"/>
      <c r="D40" s="1026"/>
      <c r="E40" s="1026"/>
      <c r="F40" s="1059"/>
      <c r="G40" s="1054"/>
      <c r="H40" s="1269">
        <f t="shared" si="0"/>
        <v>0</v>
      </c>
      <c r="I40" s="1056"/>
      <c r="J40" s="1111"/>
      <c r="K40" s="1115"/>
    </row>
    <row r="41" spans="1:11" ht="15.75">
      <c r="A41" s="1037"/>
      <c r="B41" s="1038"/>
      <c r="D41" s="1026"/>
      <c r="E41" s="1026"/>
      <c r="F41" s="1059"/>
      <c r="G41" s="1054"/>
      <c r="H41" s="1269">
        <f t="shared" si="0"/>
        <v>0</v>
      </c>
      <c r="I41" s="1089"/>
      <c r="J41" s="1111"/>
      <c r="K41" s="1115"/>
    </row>
    <row r="42" spans="1:11" ht="15.75">
      <c r="A42" s="1037"/>
      <c r="B42" s="1038"/>
      <c r="C42" s="1026"/>
      <c r="D42" s="1026"/>
      <c r="E42" s="1026"/>
      <c r="F42" s="1059"/>
      <c r="G42" s="1054"/>
      <c r="H42" s="1269">
        <f t="shared" si="0"/>
        <v>0</v>
      </c>
      <c r="I42" s="1056"/>
      <c r="J42" s="1111"/>
      <c r="K42" s="1115"/>
    </row>
    <row r="43" spans="1:11">
      <c r="A43" s="1037"/>
      <c r="B43" s="1038"/>
      <c r="C43" s="1026"/>
      <c r="D43" s="1026"/>
      <c r="E43" s="1026"/>
      <c r="F43" s="1053"/>
      <c r="G43" s="1054"/>
      <c r="H43" s="1269">
        <v>0</v>
      </c>
      <c r="I43" s="1056"/>
      <c r="J43" s="1111"/>
      <c r="K43" s="1890"/>
    </row>
    <row r="44" spans="1:11" ht="15.75">
      <c r="A44" s="1037"/>
      <c r="B44" s="1038"/>
      <c r="C44" s="1026"/>
      <c r="D44" s="1026"/>
      <c r="E44" s="1026"/>
      <c r="F44" s="1059"/>
      <c r="G44" s="1054"/>
      <c r="H44" s="1269">
        <f t="shared" ref="H44:H60" si="1">F44*G44*(1-10%)</f>
        <v>0</v>
      </c>
      <c r="I44" s="1056"/>
      <c r="J44" s="1111"/>
      <c r="K44" s="1115"/>
    </row>
    <row r="45" spans="1:11" ht="15.75">
      <c r="A45" s="1037"/>
      <c r="B45" s="1038"/>
      <c r="C45" s="1026"/>
      <c r="D45" s="1026"/>
      <c r="E45" s="1026"/>
      <c r="F45" s="1059"/>
      <c r="G45" s="1054"/>
      <c r="H45" s="1269">
        <f t="shared" si="1"/>
        <v>0</v>
      </c>
      <c r="I45" s="1056"/>
      <c r="J45" s="1111"/>
      <c r="K45" s="1115"/>
    </row>
    <row r="46" spans="1:11" ht="15.75">
      <c r="A46" s="1037"/>
      <c r="B46" s="1038"/>
      <c r="C46" s="1026"/>
      <c r="D46" s="1026"/>
      <c r="E46" s="1026"/>
      <c r="F46" s="1059"/>
      <c r="G46" s="1054"/>
      <c r="H46" s="1269">
        <f t="shared" si="1"/>
        <v>0</v>
      </c>
      <c r="I46" s="1056"/>
      <c r="J46" s="1111"/>
      <c r="K46" s="1115"/>
    </row>
    <row r="47" spans="1:11" ht="15.75">
      <c r="A47" s="1037"/>
      <c r="B47" s="1038"/>
      <c r="C47" s="1026"/>
      <c r="D47" s="1026"/>
      <c r="E47" s="1026"/>
      <c r="F47" s="1059"/>
      <c r="G47" s="1054"/>
      <c r="H47" s="1269">
        <f t="shared" si="1"/>
        <v>0</v>
      </c>
      <c r="I47" s="1056"/>
      <c r="J47" s="1111"/>
      <c r="K47" s="1115"/>
    </row>
    <row r="48" spans="1:11" ht="15.75">
      <c r="A48" s="1037"/>
      <c r="B48" s="1038"/>
      <c r="C48" s="1026"/>
      <c r="D48" s="1026"/>
      <c r="E48" s="1026"/>
      <c r="F48" s="1059"/>
      <c r="G48" s="1054"/>
      <c r="H48" s="1269">
        <f t="shared" si="1"/>
        <v>0</v>
      </c>
      <c r="I48" s="1056"/>
      <c r="J48" s="1111"/>
      <c r="K48" s="1115"/>
    </row>
    <row r="49" spans="1:11" ht="15.75">
      <c r="A49" s="1037"/>
      <c r="B49" s="1038"/>
      <c r="C49" s="1026"/>
      <c r="D49" s="1026"/>
      <c r="E49" s="1026"/>
      <c r="F49" s="1059"/>
      <c r="G49" s="1054"/>
      <c r="H49" s="1269">
        <f t="shared" si="1"/>
        <v>0</v>
      </c>
      <c r="I49" s="1056"/>
      <c r="J49" s="1111"/>
      <c r="K49" s="1115"/>
    </row>
    <row r="50" spans="1:11" ht="15.75">
      <c r="A50" s="1037"/>
      <c r="B50" s="1038"/>
      <c r="C50" s="1026"/>
      <c r="D50" s="1026"/>
      <c r="E50" s="1026"/>
      <c r="F50" s="1484"/>
      <c r="G50" s="1054"/>
      <c r="H50" s="1269">
        <f t="shared" si="1"/>
        <v>0</v>
      </c>
      <c r="I50" s="1056"/>
      <c r="J50" s="1111"/>
      <c r="K50" s="1115"/>
    </row>
    <row r="51" spans="1:11" ht="15.75">
      <c r="A51" s="1037"/>
      <c r="B51" s="1038"/>
      <c r="C51" s="1026"/>
      <c r="D51" s="1026"/>
      <c r="E51" s="1026"/>
      <c r="F51" s="1059"/>
      <c r="G51" s="1054"/>
      <c r="H51" s="1269">
        <f t="shared" si="1"/>
        <v>0</v>
      </c>
      <c r="I51" s="1056"/>
      <c r="J51" s="1111"/>
      <c r="K51" s="1115"/>
    </row>
    <row r="52" spans="1:11" ht="15.75">
      <c r="A52" s="1037"/>
      <c r="B52" s="1038"/>
      <c r="C52" s="1026"/>
      <c r="D52" s="1026"/>
      <c r="E52" s="1026"/>
      <c r="F52" s="1059"/>
      <c r="G52" s="1054"/>
      <c r="H52" s="1269">
        <f t="shared" si="1"/>
        <v>0</v>
      </c>
      <c r="I52" s="1056"/>
      <c r="J52" s="1111"/>
      <c r="K52" s="1115"/>
    </row>
    <row r="53" spans="1:11" ht="15.75">
      <c r="A53" s="1037"/>
      <c r="B53" s="1038"/>
      <c r="C53" s="1026"/>
      <c r="D53" s="1026"/>
      <c r="E53" s="1026"/>
      <c r="F53" s="1059"/>
      <c r="G53" s="1054"/>
      <c r="H53" s="1269">
        <f t="shared" si="1"/>
        <v>0</v>
      </c>
      <c r="I53" s="1056"/>
      <c r="J53" s="1111"/>
      <c r="K53" s="1115"/>
    </row>
    <row r="54" spans="1:11" ht="15.75">
      <c r="A54" s="1037"/>
      <c r="B54" s="1038"/>
      <c r="C54" s="1026"/>
      <c r="D54" s="1026"/>
      <c r="E54" s="1026"/>
      <c r="F54" s="1059"/>
      <c r="G54" s="1054"/>
      <c r="H54" s="1269">
        <f t="shared" si="1"/>
        <v>0</v>
      </c>
      <c r="I54" s="1056"/>
      <c r="J54" s="1111"/>
      <c r="K54" s="1115"/>
    </row>
    <row r="55" spans="1:11" ht="15.75">
      <c r="A55" s="1037"/>
      <c r="B55" s="1038"/>
      <c r="C55" s="1026"/>
      <c r="D55" s="1026"/>
      <c r="E55" s="1026"/>
      <c r="F55" s="1059"/>
      <c r="G55" s="1054"/>
      <c r="H55" s="1269">
        <f t="shared" si="1"/>
        <v>0</v>
      </c>
      <c r="I55" s="1056"/>
      <c r="J55" s="1111"/>
      <c r="K55" s="1115"/>
    </row>
    <row r="56" spans="1:11" ht="15.75">
      <c r="A56" s="1037"/>
      <c r="B56" s="1038"/>
      <c r="C56" s="1026"/>
      <c r="D56" s="1026"/>
      <c r="E56" s="1026"/>
      <c r="F56" s="1059"/>
      <c r="G56" s="1054"/>
      <c r="H56" s="1269">
        <f t="shared" si="1"/>
        <v>0</v>
      </c>
      <c r="I56" s="1056"/>
      <c r="J56" s="1111"/>
      <c r="K56" s="1115"/>
    </row>
    <row r="57" spans="1:11" ht="15.75">
      <c r="A57" s="1037"/>
      <c r="B57" s="1038"/>
      <c r="C57" s="1026"/>
      <c r="D57" s="1026"/>
      <c r="E57" s="1026"/>
      <c r="F57" s="1059"/>
      <c r="G57" s="1054"/>
      <c r="H57" s="1269">
        <f t="shared" si="1"/>
        <v>0</v>
      </c>
      <c r="I57" s="1056"/>
      <c r="J57" s="1111"/>
      <c r="K57" s="1115"/>
    </row>
    <row r="58" spans="1:11" ht="15.75">
      <c r="A58" s="1037"/>
      <c r="B58" s="1038"/>
      <c r="C58" s="1026"/>
      <c r="D58" s="1026"/>
      <c r="E58" s="1026"/>
      <c r="F58" s="1059"/>
      <c r="G58" s="1054"/>
      <c r="H58" s="1269">
        <f t="shared" si="1"/>
        <v>0</v>
      </c>
      <c r="I58" s="1056"/>
      <c r="J58" s="1111"/>
      <c r="K58" s="1115"/>
    </row>
    <row r="59" spans="1:11" ht="15.75">
      <c r="A59" s="1037"/>
      <c r="B59" s="1038"/>
      <c r="C59" s="1026"/>
      <c r="D59" s="1026"/>
      <c r="E59" s="1026"/>
      <c r="F59" s="1059"/>
      <c r="G59" s="1054"/>
      <c r="H59" s="1269">
        <f t="shared" si="1"/>
        <v>0</v>
      </c>
      <c r="I59" s="1056"/>
      <c r="J59" s="1111"/>
      <c r="K59" s="1115"/>
    </row>
    <row r="60" spans="1:11" ht="16.5" thickBot="1">
      <c r="A60" s="1039"/>
      <c r="B60" s="1039"/>
      <c r="C60" s="1025"/>
      <c r="D60" s="1025"/>
      <c r="E60" s="1025"/>
      <c r="F60" s="1059"/>
      <c r="G60" s="1054"/>
      <c r="H60" s="1269">
        <f t="shared" si="1"/>
        <v>0</v>
      </c>
      <c r="I60" s="1662"/>
      <c r="J60" s="1111"/>
      <c r="K60" s="1115"/>
    </row>
    <row r="61" spans="1:11" ht="15.75" customHeight="1" thickBot="1">
      <c r="A61" s="1864"/>
      <c r="B61" s="1865"/>
      <c r="C61" s="1865"/>
      <c r="D61" s="1865"/>
      <c r="E61" s="1866"/>
      <c r="F61" s="1670">
        <f>SUM(F3:F6,F7:F60)</f>
        <v>60760.37</v>
      </c>
      <c r="G61" s="1667"/>
      <c r="H61" s="1668">
        <f>SUM(H3:H60)</f>
        <v>7088.8910399999995</v>
      </c>
      <c r="I61" s="1671">
        <f>SUM(I3:I60)</f>
        <v>1237.7150000000001</v>
      </c>
      <c r="J61" s="1867"/>
      <c r="K61" s="1689"/>
    </row>
    <row r="62" spans="1:11" ht="15.75" customHeight="1">
      <c r="A62" s="1037"/>
      <c r="B62" s="1037"/>
      <c r="C62" s="1026"/>
      <c r="D62" s="1026"/>
      <c r="E62" s="1026"/>
      <c r="F62" s="1102"/>
      <c r="G62" s="1076"/>
      <c r="H62" s="1663"/>
      <c r="I62" s="1077"/>
      <c r="J62" s="1111"/>
      <c r="K62" s="1115"/>
    </row>
    <row r="63" spans="1:11" ht="15.75" customHeight="1">
      <c r="A63" s="1037"/>
      <c r="B63" s="1038"/>
      <c r="C63" s="1026"/>
      <c r="D63" s="1026"/>
      <c r="E63" s="1026"/>
      <c r="F63" s="1059"/>
      <c r="G63" s="1054"/>
      <c r="H63" s="1269"/>
      <c r="I63" s="1056"/>
      <c r="J63" s="1111"/>
      <c r="K63" s="1115"/>
    </row>
    <row r="64" spans="1:11" ht="15.75" customHeight="1">
      <c r="A64" s="1037"/>
      <c r="B64" s="1038"/>
      <c r="C64" s="1026"/>
      <c r="D64" s="1026"/>
      <c r="E64" s="1026"/>
      <c r="F64" s="1059"/>
      <c r="G64" s="1054"/>
      <c r="H64" s="1269"/>
      <c r="I64" s="1056"/>
      <c r="J64" s="1111"/>
      <c r="K64" s="1115"/>
    </row>
    <row r="65" spans="1:11" ht="15.75" customHeight="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115"/>
    </row>
    <row r="66" spans="1:11" ht="15.75" customHeight="1">
      <c r="A66" s="1037"/>
      <c r="B66" s="1038"/>
      <c r="C66" s="1026"/>
      <c r="D66" s="1026"/>
      <c r="E66" s="1026"/>
      <c r="F66" s="1059"/>
      <c r="G66" s="1054"/>
      <c r="H66" s="1269"/>
      <c r="I66" s="1056"/>
      <c r="J66" s="1111"/>
      <c r="K66" s="1115"/>
    </row>
    <row r="67" spans="1:11" ht="15.75" customHeight="1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1115"/>
    </row>
    <row r="68" spans="1:11" ht="15.75" customHeight="1">
      <c r="A68" s="1037"/>
      <c r="B68" s="1038"/>
      <c r="C68" s="1026"/>
      <c r="D68" s="1026"/>
      <c r="E68" s="1026"/>
      <c r="F68" s="1059"/>
      <c r="G68" s="1054"/>
      <c r="H68" s="1269"/>
      <c r="I68" s="1056"/>
      <c r="J68" s="1111"/>
      <c r="K68" s="1115"/>
    </row>
    <row r="69" spans="1:11" ht="15.75" customHeight="1">
      <c r="A69" s="1037"/>
      <c r="B69" s="1038"/>
      <c r="C69" s="1026"/>
      <c r="D69" s="1026"/>
      <c r="E69" s="1026"/>
      <c r="F69" s="1059"/>
      <c r="G69" s="1054"/>
      <c r="H69" s="1269"/>
      <c r="I69" s="1056"/>
      <c r="J69" s="1111"/>
      <c r="K69" s="1115"/>
    </row>
    <row r="70" spans="1:11" ht="15.75" customHeight="1">
      <c r="A70" s="1037"/>
      <c r="B70" s="1038"/>
      <c r="C70" s="1026"/>
      <c r="D70" s="1026"/>
      <c r="E70" s="1026"/>
      <c r="F70" s="1059"/>
      <c r="G70" s="1054"/>
      <c r="H70" s="1269"/>
      <c r="I70" s="1056"/>
      <c r="J70" s="1111"/>
      <c r="K70" s="1025"/>
    </row>
    <row r="71" spans="1:11" ht="15.75" customHeight="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115"/>
    </row>
    <row r="72" spans="1:11" ht="15.75" customHeight="1">
      <c r="A72" s="1037"/>
      <c r="B72" s="1038"/>
      <c r="C72" s="1026"/>
      <c r="D72" s="1026"/>
      <c r="E72" s="1026"/>
      <c r="F72" s="1059"/>
      <c r="G72" s="1059"/>
      <c r="H72" s="1269"/>
      <c r="I72" s="1056"/>
      <c r="J72" s="1111"/>
      <c r="K72" s="1115"/>
    </row>
    <row r="73" spans="1:11" ht="15.75" customHeight="1">
      <c r="A73" s="1037"/>
      <c r="B73" s="1038"/>
      <c r="C73" s="1026"/>
      <c r="D73" s="1026"/>
      <c r="E73" s="1026"/>
      <c r="F73" s="1059"/>
      <c r="G73" s="1059"/>
      <c r="H73" s="1269"/>
      <c r="I73" s="1056"/>
      <c r="J73" s="1111"/>
      <c r="K73" s="1025"/>
    </row>
    <row r="74" spans="1:11" ht="15.75" customHeight="1">
      <c r="A74" s="1037"/>
      <c r="B74" s="1038"/>
      <c r="C74" s="1026"/>
      <c r="D74" s="1026"/>
      <c r="E74" s="1026"/>
      <c r="F74" s="1059"/>
      <c r="G74" s="1059"/>
      <c r="H74" s="1269"/>
      <c r="I74" s="1056"/>
      <c r="J74" s="1111"/>
      <c r="K74" s="1025"/>
    </row>
    <row r="75" spans="1:11" ht="15.75" customHeight="1">
      <c r="A75" s="1037"/>
      <c r="B75" s="1038"/>
      <c r="C75" s="1026"/>
      <c r="D75" s="1026"/>
      <c r="E75" s="1026"/>
      <c r="F75" s="1059"/>
      <c r="G75" s="1054"/>
      <c r="H75" s="1269"/>
      <c r="I75" s="1056"/>
      <c r="J75" s="1111"/>
      <c r="K75" s="1115"/>
    </row>
    <row r="76" spans="1:11" ht="15.75" customHeight="1">
      <c r="A76" s="1037"/>
      <c r="B76" s="1038"/>
      <c r="C76" s="1026"/>
      <c r="D76" s="1026"/>
      <c r="E76" s="1026"/>
      <c r="F76" s="1059"/>
      <c r="G76" s="1054"/>
      <c r="H76" s="1269"/>
      <c r="I76" s="1056"/>
      <c r="J76" s="1111"/>
      <c r="K76" s="1115"/>
    </row>
    <row r="77" spans="1:11" ht="15.75" customHeight="1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1115"/>
    </row>
    <row r="78" spans="1:11" ht="15.75">
      <c r="A78" s="1037"/>
      <c r="B78" s="1038"/>
      <c r="C78" s="1026"/>
      <c r="D78" s="1026"/>
      <c r="E78" s="1026"/>
      <c r="F78" s="1059"/>
      <c r="G78" s="1054"/>
      <c r="H78" s="1269"/>
      <c r="I78" s="1056"/>
      <c r="J78" s="1111"/>
      <c r="K78" s="1115"/>
    </row>
    <row r="79" spans="1:11" ht="15.75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1115"/>
    </row>
    <row r="80" spans="1:11" ht="15.75">
      <c r="A80" s="1037"/>
      <c r="B80" s="1038"/>
      <c r="C80" s="1025"/>
      <c r="D80" s="1025"/>
      <c r="E80" s="1025"/>
      <c r="F80" s="1059"/>
      <c r="G80" s="1062"/>
      <c r="H80" s="1055"/>
      <c r="I80" s="1056"/>
      <c r="J80" s="1111"/>
      <c r="K80" s="1115"/>
    </row>
    <row r="81" spans="1:11" ht="15.75">
      <c r="A81" s="1037"/>
      <c r="B81" s="1039"/>
      <c r="C81" s="1025"/>
      <c r="D81" s="1025"/>
      <c r="E81" s="1025"/>
      <c r="F81" s="1059"/>
      <c r="G81" s="1054"/>
      <c r="H81" s="1269"/>
      <c r="I81" s="1056"/>
      <c r="J81" s="1111"/>
      <c r="K81" s="1115"/>
    </row>
    <row r="82" spans="1:11" ht="15.75">
      <c r="A82" s="1037"/>
      <c r="B82" s="1038"/>
      <c r="C82" s="1026"/>
      <c r="D82" s="1026"/>
      <c r="E82" s="1026"/>
      <c r="F82" s="1059"/>
      <c r="G82" s="1054"/>
      <c r="H82" s="1269"/>
      <c r="I82" s="1056"/>
      <c r="J82" s="1111"/>
      <c r="K82" s="1115"/>
    </row>
    <row r="83" spans="1:11" ht="15.75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1115"/>
    </row>
    <row r="84" spans="1:11" ht="15.75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115"/>
    </row>
    <row r="85" spans="1:11" ht="15.75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115"/>
    </row>
    <row r="86" spans="1:11" ht="15.75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115"/>
    </row>
    <row r="87" spans="1:11" ht="15.75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5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115"/>
    </row>
    <row r="89" spans="1:11" ht="15.75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115"/>
    </row>
    <row r="90" spans="1:11" ht="15.75">
      <c r="A90" s="1037"/>
      <c r="B90" s="1038"/>
      <c r="C90" s="1026"/>
      <c r="D90" s="1026"/>
      <c r="E90" s="1026"/>
      <c r="F90" s="1059"/>
      <c r="G90" s="1054"/>
      <c r="H90" s="1269"/>
      <c r="I90" s="1056"/>
      <c r="J90" s="1111"/>
      <c r="K90" s="1115"/>
    </row>
    <row r="91" spans="1:11" ht="15.75">
      <c r="A91" s="1037"/>
      <c r="B91" s="1038"/>
      <c r="C91" s="1026"/>
      <c r="D91" s="1026"/>
      <c r="E91" s="1026"/>
      <c r="F91" s="1059"/>
      <c r="G91" s="1054"/>
      <c r="H91" s="1269"/>
      <c r="I91" s="1056"/>
      <c r="J91" s="1111"/>
      <c r="K91" s="1115"/>
    </row>
    <row r="92" spans="1:11" ht="15.75">
      <c r="A92" s="1037"/>
      <c r="B92" s="1038"/>
      <c r="C92" s="1026"/>
      <c r="D92" s="1026"/>
      <c r="E92" s="1026"/>
      <c r="F92" s="1059"/>
      <c r="G92" s="1054"/>
      <c r="H92" s="1269"/>
      <c r="I92" s="1056"/>
      <c r="J92" s="1111"/>
      <c r="K92" s="1115"/>
    </row>
    <row r="93" spans="1:11" ht="15.75">
      <c r="A93" s="1037"/>
      <c r="B93" s="1038"/>
      <c r="C93" s="1026"/>
      <c r="D93" s="1026"/>
      <c r="E93" s="1026"/>
      <c r="F93" s="1059"/>
      <c r="G93" s="1054"/>
      <c r="H93" s="1269"/>
      <c r="I93" s="1056"/>
      <c r="J93" s="1111"/>
      <c r="K93" s="1115"/>
    </row>
    <row r="94" spans="1:11" ht="15.75">
      <c r="A94" s="1037"/>
      <c r="B94" s="1038"/>
      <c r="C94" s="1026"/>
      <c r="D94" s="1026"/>
      <c r="E94" s="1026"/>
      <c r="F94" s="1059"/>
      <c r="G94" s="1054"/>
      <c r="H94" s="1269"/>
      <c r="I94" s="1056"/>
      <c r="J94" s="1111"/>
      <c r="K94" s="1115"/>
    </row>
    <row r="95" spans="1:11">
      <c r="A95" s="1037"/>
      <c r="B95" s="1038"/>
      <c r="C95" s="1026"/>
      <c r="D95" s="1026"/>
      <c r="E95" s="1026"/>
      <c r="F95" s="1059"/>
      <c r="G95" s="1059"/>
      <c r="H95" s="1269"/>
      <c r="I95" s="1056"/>
      <c r="J95" s="1111"/>
      <c r="K95" s="1025"/>
    </row>
    <row r="96" spans="1:11">
      <c r="A96" s="1037"/>
      <c r="B96" s="1038"/>
      <c r="C96" s="1026"/>
      <c r="D96" s="1026"/>
      <c r="E96" s="1026"/>
      <c r="F96" s="1059"/>
      <c r="G96" s="1059"/>
      <c r="H96" s="1269"/>
      <c r="I96" s="1056"/>
      <c r="J96" s="1111"/>
      <c r="K96" s="1025"/>
    </row>
    <row r="97" spans="1:11">
      <c r="A97" s="1037"/>
      <c r="B97" s="1038"/>
      <c r="C97" s="1026"/>
      <c r="D97" s="1026"/>
      <c r="E97" s="1026"/>
      <c r="F97" s="1059"/>
      <c r="G97" s="1059"/>
      <c r="H97" s="1269"/>
      <c r="I97" s="1056"/>
      <c r="J97" s="1111"/>
      <c r="K97" s="1025"/>
    </row>
    <row r="98" spans="1:11" ht="15.75">
      <c r="A98" s="1037"/>
      <c r="B98" s="1038"/>
      <c r="C98" s="1026"/>
      <c r="D98" s="1026"/>
      <c r="E98" s="1026"/>
      <c r="F98" s="1059"/>
      <c r="G98" s="1054"/>
      <c r="H98" s="1269"/>
      <c r="I98" s="1056"/>
      <c r="J98" s="1111"/>
      <c r="K98" s="1115"/>
    </row>
    <row r="99" spans="1:11">
      <c r="A99" s="1037"/>
      <c r="B99" s="1038"/>
      <c r="C99" s="1026"/>
      <c r="D99" s="1026"/>
      <c r="E99" s="1026"/>
      <c r="F99" s="1059"/>
      <c r="G99" s="1059"/>
      <c r="H99" s="1269"/>
      <c r="I99" s="1056"/>
      <c r="J99" s="1111"/>
      <c r="K99" s="1025"/>
    </row>
    <row r="100" spans="1:11">
      <c r="A100" s="1037"/>
      <c r="B100" s="1038"/>
      <c r="C100" s="1026"/>
      <c r="D100" s="1026"/>
      <c r="E100" s="1026"/>
      <c r="F100" s="1059"/>
      <c r="G100" s="1059"/>
      <c r="H100" s="1269"/>
      <c r="I100" s="1056"/>
      <c r="J100" s="1111"/>
      <c r="K100" s="1025"/>
    </row>
    <row r="101" spans="1:11">
      <c r="A101" s="1037"/>
      <c r="B101" s="1038"/>
      <c r="C101" s="1026"/>
      <c r="D101" s="1026"/>
      <c r="E101" s="1026"/>
      <c r="F101" s="1059"/>
      <c r="G101" s="1059"/>
      <c r="H101" s="1269"/>
      <c r="I101" s="1056"/>
      <c r="J101" s="1111"/>
      <c r="K101" s="1025"/>
    </row>
    <row r="102" spans="1:11" ht="15.75">
      <c r="A102" s="1037"/>
      <c r="B102" s="1038"/>
      <c r="C102" s="1026"/>
      <c r="D102" s="1026"/>
      <c r="E102" s="1026"/>
      <c r="F102" s="1059"/>
      <c r="G102" s="1054"/>
      <c r="H102" s="1269"/>
      <c r="I102" s="1056"/>
      <c r="J102" s="1111"/>
      <c r="K102" s="1115"/>
    </row>
    <row r="103" spans="1:11" ht="15.75">
      <c r="A103" s="1037"/>
      <c r="B103" s="1038"/>
      <c r="C103" s="1026"/>
      <c r="D103" s="1026"/>
      <c r="E103" s="1026"/>
      <c r="F103" s="1059"/>
      <c r="G103" s="1054"/>
      <c r="H103" s="1269"/>
      <c r="I103" s="1056"/>
      <c r="J103" s="1111"/>
      <c r="K103" s="1115"/>
    </row>
    <row r="104" spans="1:11">
      <c r="A104" s="1037"/>
      <c r="B104" s="1038"/>
      <c r="C104" s="1026"/>
      <c r="D104" s="1026"/>
      <c r="E104" s="1026"/>
      <c r="F104" s="1059"/>
      <c r="G104" s="1059"/>
      <c r="H104" s="1269"/>
      <c r="I104" s="1056"/>
      <c r="J104" s="1111"/>
      <c r="K104" s="1025"/>
    </row>
    <row r="105" spans="1:11">
      <c r="A105" s="1037"/>
      <c r="B105" s="1038"/>
      <c r="C105" s="1026"/>
      <c r="D105" s="1026"/>
      <c r="E105" s="1026"/>
      <c r="F105" s="1059"/>
      <c r="G105" s="1059"/>
      <c r="H105" s="1269"/>
      <c r="I105" s="1056"/>
      <c r="J105" s="1111"/>
      <c r="K105" s="1025"/>
    </row>
    <row r="106" spans="1:11">
      <c r="A106" s="1037"/>
      <c r="B106" s="1038"/>
      <c r="C106" s="1026"/>
      <c r="D106" s="1026"/>
      <c r="E106" s="1026"/>
      <c r="F106" s="1059"/>
      <c r="G106" s="1059"/>
      <c r="H106" s="1269"/>
      <c r="I106" s="1056"/>
      <c r="J106" s="1111"/>
      <c r="K106" s="1025"/>
    </row>
    <row r="107" spans="1:11">
      <c r="A107" s="1037"/>
      <c r="B107" s="1038"/>
      <c r="C107" s="1026"/>
      <c r="D107" s="1026"/>
      <c r="E107" s="1026"/>
      <c r="F107" s="1059"/>
      <c r="G107" s="1059"/>
      <c r="H107" s="1269"/>
      <c r="I107" s="1056"/>
      <c r="J107" s="1111"/>
      <c r="K107" s="1025"/>
    </row>
    <row r="108" spans="1:11">
      <c r="A108" s="1037"/>
      <c r="B108" s="1038"/>
      <c r="C108" s="1026"/>
      <c r="D108" s="1026"/>
      <c r="E108" s="1026"/>
      <c r="F108" s="1059"/>
      <c r="G108" s="1059"/>
      <c r="H108" s="1269"/>
      <c r="I108" s="1056"/>
      <c r="J108" s="1111"/>
      <c r="K108" s="1025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1025"/>
    </row>
    <row r="110" spans="1:11" ht="15.75">
      <c r="A110" s="1037"/>
      <c r="B110" s="1038"/>
      <c r="C110" s="1026"/>
      <c r="D110" s="1026"/>
      <c r="E110" s="1026"/>
      <c r="F110" s="1059"/>
      <c r="G110" s="1054"/>
      <c r="H110" s="1269"/>
      <c r="I110" s="1056"/>
      <c r="J110" s="1111"/>
      <c r="K110" s="1115"/>
    </row>
    <row r="111" spans="1:11">
      <c r="A111" s="1037"/>
      <c r="B111" s="1038"/>
      <c r="C111" s="1026"/>
      <c r="D111" s="1026"/>
      <c r="E111" s="1026"/>
      <c r="F111" s="1059"/>
      <c r="G111" s="1059"/>
      <c r="H111" s="1269"/>
      <c r="I111" s="1056"/>
      <c r="J111" s="1111"/>
      <c r="K111" s="1025"/>
    </row>
    <row r="112" spans="1:11">
      <c r="A112" s="1037"/>
      <c r="B112" s="1038"/>
      <c r="C112" s="1026"/>
      <c r="D112" s="1026"/>
      <c r="E112" s="1026"/>
      <c r="F112" s="1059"/>
      <c r="G112" s="1059"/>
      <c r="H112" s="1269"/>
      <c r="I112" s="1056"/>
      <c r="J112" s="1111"/>
      <c r="K112" s="1025"/>
    </row>
    <row r="113" spans="1:11">
      <c r="A113" s="1037"/>
      <c r="B113" s="1038"/>
      <c r="C113" s="1026"/>
      <c r="D113" s="1026"/>
      <c r="E113" s="1026"/>
      <c r="F113" s="1059"/>
      <c r="G113" s="1059"/>
      <c r="H113" s="1269"/>
      <c r="I113" s="1056"/>
      <c r="J113" s="1111"/>
      <c r="K113" s="1025"/>
    </row>
    <row r="114" spans="1:11" ht="15.75">
      <c r="A114" s="1037"/>
      <c r="B114" s="1038"/>
      <c r="C114" s="1026"/>
      <c r="D114" s="1026"/>
      <c r="E114" s="1026"/>
      <c r="F114" s="1059"/>
      <c r="G114" s="1059"/>
      <c r="H114" s="1269"/>
      <c r="I114" s="1056"/>
      <c r="J114" s="1111"/>
      <c r="K114" s="1115"/>
    </row>
    <row r="115" spans="1:11">
      <c r="A115" s="1037"/>
      <c r="B115" s="1038"/>
      <c r="C115" s="1026"/>
      <c r="D115" s="1026"/>
      <c r="E115" s="1026"/>
      <c r="F115" s="1059"/>
      <c r="G115" s="1059"/>
      <c r="H115" s="1269"/>
      <c r="I115" s="1056"/>
      <c r="J115" s="1111"/>
      <c r="K115" s="1025"/>
    </row>
    <row r="116" spans="1:11">
      <c r="A116" s="1037"/>
      <c r="B116" s="1038"/>
      <c r="C116" s="1026"/>
      <c r="D116" s="1026"/>
      <c r="E116" s="1026"/>
      <c r="F116" s="1059"/>
      <c r="G116" s="1059"/>
      <c r="H116" s="1269"/>
      <c r="I116" s="1056"/>
      <c r="J116" s="1111"/>
      <c r="K116" s="1025"/>
    </row>
    <row r="117" spans="1:11">
      <c r="A117" s="1037"/>
      <c r="B117" s="1038"/>
      <c r="C117" s="1026"/>
      <c r="D117" s="1026"/>
      <c r="E117" s="1026"/>
      <c r="F117" s="1059"/>
      <c r="G117" s="1059"/>
      <c r="H117" s="1269"/>
      <c r="I117" s="1056"/>
      <c r="J117" s="1111"/>
      <c r="K117" s="1025"/>
    </row>
    <row r="118" spans="1:11">
      <c r="A118" s="1037"/>
      <c r="B118" s="1038"/>
      <c r="C118" s="1026"/>
      <c r="D118" s="1026"/>
      <c r="E118" s="1026"/>
      <c r="F118" s="1059"/>
      <c r="G118" s="1059"/>
      <c r="H118" s="1269"/>
      <c r="I118" s="1056"/>
      <c r="J118" s="1111"/>
      <c r="K118" s="1025"/>
    </row>
    <row r="119" spans="1:11">
      <c r="A119" s="1037"/>
      <c r="B119" s="1038"/>
      <c r="C119" s="1026"/>
      <c r="D119" s="1026"/>
      <c r="E119" s="1026"/>
      <c r="F119" s="1059"/>
      <c r="G119" s="1054"/>
      <c r="H119" s="1269"/>
      <c r="I119" s="1056"/>
      <c r="J119" s="1111"/>
      <c r="K119" s="1025"/>
    </row>
    <row r="120" spans="1:11" ht="15.75">
      <c r="A120" s="1037"/>
      <c r="B120" s="1038"/>
      <c r="C120" s="1025"/>
      <c r="D120" s="1026"/>
      <c r="E120" s="1026"/>
      <c r="F120" s="1059"/>
      <c r="G120" s="1054"/>
      <c r="H120" s="1269"/>
      <c r="I120" s="1056"/>
      <c r="J120" s="1111"/>
      <c r="K120" s="1115"/>
    </row>
    <row r="121" spans="1:11" ht="15.75">
      <c r="A121" s="1037"/>
      <c r="B121" s="1038"/>
      <c r="C121" s="1026"/>
      <c r="D121" s="1026"/>
      <c r="E121" s="1026"/>
      <c r="F121" s="1059"/>
      <c r="G121" s="1054"/>
      <c r="H121" s="1269"/>
      <c r="I121" s="1056"/>
      <c r="J121" s="1111"/>
      <c r="K121" s="1115"/>
    </row>
    <row r="122" spans="1:11" ht="15.75">
      <c r="A122" s="1037"/>
      <c r="B122" s="1038"/>
      <c r="C122" s="1026"/>
      <c r="D122" s="1026"/>
      <c r="E122" s="1026"/>
      <c r="F122" s="1059"/>
      <c r="G122" s="1054"/>
      <c r="H122" s="1269"/>
      <c r="I122" s="1056"/>
      <c r="J122" s="1111"/>
      <c r="K122" s="1115"/>
    </row>
    <row r="123" spans="1:11" ht="15.75">
      <c r="A123" s="1037"/>
      <c r="B123" s="1038"/>
      <c r="C123" s="1026"/>
      <c r="D123" s="1026"/>
      <c r="E123" s="1026"/>
      <c r="F123" s="1059"/>
      <c r="G123" s="1054"/>
      <c r="H123" s="1269"/>
      <c r="I123" s="1056"/>
      <c r="J123" s="1111"/>
      <c r="K123" s="1115"/>
    </row>
    <row r="124" spans="1:11" ht="15.75">
      <c r="A124" s="1037"/>
      <c r="B124" s="1038"/>
      <c r="C124" s="1026"/>
      <c r="D124" s="1026"/>
      <c r="E124" s="1026"/>
      <c r="F124" s="1059"/>
      <c r="G124" s="1054"/>
      <c r="H124" s="1269"/>
      <c r="I124" s="1056"/>
      <c r="J124" s="1111"/>
      <c r="K124" s="1115"/>
    </row>
    <row r="125" spans="1:11">
      <c r="A125" s="1037"/>
      <c r="B125" s="1038"/>
      <c r="C125" s="1026"/>
      <c r="D125" s="1026"/>
      <c r="E125" s="1026"/>
      <c r="F125" s="1059"/>
      <c r="G125" s="1059"/>
      <c r="H125" s="1269"/>
      <c r="I125" s="1056"/>
      <c r="J125" s="1111"/>
      <c r="K125" s="1025"/>
    </row>
    <row r="126" spans="1:11">
      <c r="A126" s="1037"/>
      <c r="B126" s="1038"/>
      <c r="C126" s="1026"/>
      <c r="D126" s="1026"/>
      <c r="E126" s="1026"/>
      <c r="F126" s="1059"/>
      <c r="G126" s="1059"/>
      <c r="H126" s="1269"/>
      <c r="I126" s="1056"/>
      <c r="J126" s="1111"/>
      <c r="K126" s="1025"/>
    </row>
    <row r="127" spans="1:11" ht="15.75">
      <c r="A127" s="1037"/>
      <c r="B127" s="1038"/>
      <c r="C127" s="1026"/>
      <c r="D127" s="1026"/>
      <c r="E127" s="1026"/>
      <c r="F127" s="1059"/>
      <c r="G127" s="1054"/>
      <c r="H127" s="1269"/>
      <c r="I127" s="1056"/>
      <c r="J127" s="1111"/>
      <c r="K127" s="1115"/>
    </row>
    <row r="128" spans="1:11" ht="15.75">
      <c r="A128" s="1037"/>
      <c r="B128" s="1038"/>
      <c r="C128" s="1026"/>
      <c r="D128" s="1026"/>
      <c r="E128" s="1026"/>
      <c r="F128" s="1059"/>
      <c r="G128" s="1054"/>
      <c r="H128" s="1269"/>
      <c r="I128" s="1056"/>
      <c r="J128" s="1111"/>
      <c r="K128" s="1115"/>
    </row>
    <row r="129" spans="1:11" ht="15.75">
      <c r="A129" s="1037"/>
      <c r="B129" s="1038"/>
      <c r="C129" s="1026"/>
      <c r="D129" s="1026"/>
      <c r="E129" s="1026"/>
      <c r="F129" s="1059"/>
      <c r="G129" s="1054"/>
      <c r="H129" s="1269"/>
      <c r="I129" s="1056"/>
      <c r="J129" s="1111"/>
      <c r="K129" s="1115"/>
    </row>
    <row r="130" spans="1:11">
      <c r="A130" s="1037"/>
      <c r="B130" s="1038"/>
      <c r="C130" s="1026"/>
      <c r="D130" s="1026"/>
      <c r="E130" s="1026"/>
      <c r="F130" s="1059"/>
      <c r="G130" s="1054"/>
      <c r="H130" s="1269"/>
      <c r="I130" s="1056"/>
      <c r="J130" s="1111"/>
      <c r="K130" s="1025"/>
    </row>
    <row r="131" spans="1:11">
      <c r="A131" s="1037"/>
      <c r="B131" s="1038"/>
      <c r="C131" s="1026"/>
      <c r="D131" s="1026"/>
      <c r="E131" s="1026"/>
      <c r="F131" s="1059"/>
      <c r="G131" s="1054"/>
      <c r="H131" s="1269"/>
      <c r="I131" s="1056"/>
      <c r="J131" s="1111"/>
      <c r="K131" s="1025"/>
    </row>
    <row r="132" spans="1:11">
      <c r="A132" s="1037"/>
      <c r="B132" s="1038"/>
      <c r="C132" s="1026"/>
      <c r="D132" s="1026"/>
      <c r="E132" s="1026"/>
      <c r="F132" s="1059"/>
      <c r="G132" s="1059"/>
      <c r="H132" s="1269"/>
      <c r="I132" s="1056"/>
      <c r="J132" s="1111"/>
      <c r="K132" s="1025"/>
    </row>
    <row r="133" spans="1:11">
      <c r="A133" s="1037"/>
      <c r="B133" s="1038"/>
      <c r="C133" s="1026"/>
      <c r="D133" s="1026"/>
      <c r="E133" s="1026"/>
      <c r="F133" s="1059"/>
      <c r="G133" s="1059"/>
      <c r="H133" s="1269"/>
      <c r="I133" s="1056"/>
      <c r="J133" s="1111"/>
      <c r="K133" s="1025"/>
    </row>
    <row r="134" spans="1:11">
      <c r="A134" s="1037"/>
      <c r="B134" s="1038"/>
      <c r="C134" s="1026"/>
      <c r="D134" s="1026"/>
      <c r="E134" s="1026"/>
      <c r="F134" s="1059"/>
      <c r="G134" s="1059"/>
      <c r="H134" s="1269"/>
      <c r="I134" s="1056"/>
      <c r="J134" s="1111"/>
      <c r="K134" s="1025"/>
    </row>
    <row r="135" spans="1:11">
      <c r="A135" s="1037"/>
      <c r="B135" s="1038"/>
      <c r="C135" s="1026"/>
      <c r="D135" s="1026"/>
      <c r="E135" s="1026"/>
      <c r="F135" s="1059"/>
      <c r="G135" s="1059"/>
      <c r="H135" s="1269"/>
      <c r="I135" s="1056"/>
      <c r="J135" s="1111"/>
      <c r="K135" s="1025"/>
    </row>
    <row r="136" spans="1:11" ht="15.75">
      <c r="A136" s="1037"/>
      <c r="B136" s="1038"/>
      <c r="C136" s="1026"/>
      <c r="D136" s="1026"/>
      <c r="E136" s="1026"/>
      <c r="F136" s="1059"/>
      <c r="G136" s="1054"/>
      <c r="H136" s="1269"/>
      <c r="I136" s="1056"/>
      <c r="J136" s="1111"/>
      <c r="K136" s="1115"/>
    </row>
    <row r="137" spans="1:11" ht="15.75">
      <c r="A137" s="1037"/>
      <c r="B137" s="1038"/>
      <c r="C137" s="1026"/>
      <c r="D137" s="1026"/>
      <c r="E137" s="1026"/>
      <c r="F137" s="1059"/>
      <c r="G137" s="1059"/>
      <c r="H137" s="1269"/>
      <c r="I137" s="1056"/>
      <c r="J137" s="1111"/>
      <c r="K137" s="1115"/>
    </row>
    <row r="138" spans="1:11">
      <c r="A138" s="1037"/>
      <c r="B138" s="1038"/>
      <c r="C138" s="1026"/>
      <c r="D138" s="1026"/>
      <c r="E138" s="1026"/>
      <c r="F138" s="1059"/>
      <c r="G138" s="1059"/>
      <c r="H138" s="1269"/>
      <c r="I138" s="1056"/>
      <c r="J138" s="1111"/>
      <c r="K138" s="1025"/>
    </row>
    <row r="139" spans="1:11">
      <c r="A139" s="1037"/>
      <c r="B139" s="1038"/>
      <c r="C139" s="1026"/>
      <c r="D139" s="1026"/>
      <c r="E139" s="1026"/>
      <c r="F139" s="1059"/>
      <c r="G139" s="1054"/>
      <c r="H139" s="1269"/>
      <c r="I139" s="1056"/>
      <c r="J139" s="1111"/>
      <c r="K139" s="1025"/>
    </row>
    <row r="140" spans="1:11" ht="15.75">
      <c r="A140" s="1037"/>
      <c r="B140" s="1038"/>
      <c r="C140" s="1026"/>
      <c r="D140" s="1026"/>
      <c r="E140" s="1026"/>
      <c r="F140" s="1059"/>
      <c r="G140" s="1054"/>
      <c r="H140" s="1269"/>
      <c r="I140" s="1056"/>
      <c r="J140" s="1111"/>
      <c r="K140" s="1115"/>
    </row>
    <row r="141" spans="1:11">
      <c r="A141" s="1037"/>
      <c r="B141" s="1038"/>
      <c r="C141" s="1026"/>
      <c r="D141" s="1026"/>
      <c r="E141" s="1026"/>
      <c r="F141" s="1059"/>
      <c r="G141" s="1054"/>
      <c r="H141" s="1269"/>
      <c r="I141" s="1056"/>
      <c r="J141" s="1111"/>
      <c r="K141" s="1025"/>
    </row>
    <row r="142" spans="1:11">
      <c r="A142" s="1037"/>
      <c r="B142" s="1038"/>
      <c r="C142" s="1026"/>
      <c r="D142" s="1026"/>
      <c r="E142" s="1026"/>
      <c r="F142" s="1059"/>
      <c r="G142" s="1059"/>
      <c r="H142" s="1269"/>
      <c r="I142" s="1056"/>
      <c r="J142" s="1111"/>
      <c r="K142" s="1025"/>
    </row>
    <row r="143" spans="1:11">
      <c r="A143" s="1037"/>
      <c r="B143" s="1038"/>
      <c r="C143" s="1026"/>
      <c r="D143" s="1026"/>
      <c r="E143" s="1026"/>
      <c r="F143" s="1059"/>
      <c r="G143" s="1059"/>
      <c r="H143" s="1269"/>
      <c r="I143" s="1056"/>
      <c r="J143" s="1111"/>
      <c r="K143" s="1025"/>
    </row>
    <row r="144" spans="1:11" ht="15.75">
      <c r="A144" s="1037"/>
      <c r="B144" s="1038"/>
      <c r="C144" s="1026"/>
      <c r="D144" s="1026"/>
      <c r="E144" s="1026"/>
      <c r="F144" s="1059"/>
      <c r="G144" s="1054"/>
      <c r="H144" s="1269"/>
      <c r="I144" s="1056"/>
      <c r="J144" s="1111"/>
      <c r="K144" s="1115"/>
    </row>
    <row r="145" spans="1:11" ht="15.75">
      <c r="A145" s="1037"/>
      <c r="B145" s="1038"/>
      <c r="C145" s="1026"/>
      <c r="D145" s="1026"/>
      <c r="E145" s="1026"/>
      <c r="F145" s="1059"/>
      <c r="G145" s="1054"/>
      <c r="H145" s="1269"/>
      <c r="I145" s="1056"/>
      <c r="J145" s="1111"/>
      <c r="K145" s="1115"/>
    </row>
    <row r="146" spans="1:11" ht="15.75">
      <c r="A146" s="1037"/>
      <c r="B146" s="1038"/>
      <c r="C146" s="1026"/>
      <c r="D146" s="1026"/>
      <c r="E146" s="1026"/>
      <c r="F146" s="1059"/>
      <c r="G146" s="1054"/>
      <c r="H146" s="1269"/>
      <c r="I146" s="1056"/>
      <c r="J146" s="1111"/>
      <c r="K146" s="1115"/>
    </row>
    <row r="147" spans="1:11" ht="15.75">
      <c r="A147" s="1037"/>
      <c r="B147" s="1038"/>
      <c r="C147" s="1026"/>
      <c r="D147" s="1026"/>
      <c r="E147" s="1026"/>
      <c r="F147" s="1059"/>
      <c r="G147" s="1054"/>
      <c r="H147" s="1269"/>
      <c r="I147" s="1056"/>
      <c r="J147" s="1111"/>
      <c r="K147" s="1115"/>
    </row>
    <row r="148" spans="1:11" ht="15.75">
      <c r="A148" s="1037"/>
      <c r="B148" s="1038"/>
      <c r="C148" s="1026"/>
      <c r="D148" s="1026"/>
      <c r="E148" s="1026"/>
      <c r="F148" s="1059"/>
      <c r="G148" s="1054"/>
      <c r="H148" s="1269"/>
      <c r="I148" s="1056"/>
      <c r="J148" s="1111"/>
      <c r="K148" s="1115"/>
    </row>
    <row r="149" spans="1:11">
      <c r="A149" s="1037"/>
      <c r="B149" s="1038"/>
      <c r="C149" s="1026"/>
      <c r="D149" s="1026"/>
      <c r="E149" s="1026"/>
      <c r="F149" s="1059"/>
      <c r="G149" s="1054"/>
      <c r="H149" s="1269"/>
      <c r="I149" s="1056"/>
      <c r="J149" s="1111"/>
      <c r="K149" s="1025"/>
    </row>
    <row r="150" spans="1:11">
      <c r="A150" s="1037"/>
      <c r="B150" s="1038"/>
      <c r="C150" s="1025"/>
      <c r="D150" s="1026"/>
      <c r="E150" s="1026"/>
      <c r="F150" s="1061"/>
      <c r="G150" s="1054"/>
      <c r="H150" s="1055"/>
      <c r="I150" s="1056"/>
      <c r="J150" s="1111"/>
      <c r="K150" s="1025"/>
    </row>
    <row r="151" spans="1:11">
      <c r="A151" s="1037"/>
      <c r="B151" s="1038"/>
      <c r="C151" s="1026"/>
      <c r="D151" s="1026"/>
      <c r="E151" s="1026"/>
      <c r="F151" s="1059"/>
      <c r="G151" s="1054"/>
      <c r="H151" s="1269"/>
      <c r="I151" s="1056"/>
      <c r="J151" s="1111"/>
      <c r="K151" s="1025"/>
    </row>
    <row r="152" spans="1:11">
      <c r="A152" s="1037"/>
      <c r="B152" s="1038"/>
      <c r="C152" s="1026"/>
      <c r="D152" s="1026"/>
      <c r="E152" s="1026"/>
      <c r="F152" s="1059"/>
      <c r="G152" s="1054"/>
      <c r="H152" s="1269"/>
      <c r="I152" s="1056"/>
      <c r="J152" s="1111"/>
      <c r="K152" s="1025"/>
    </row>
    <row r="153" spans="1:11">
      <c r="A153" s="1037"/>
      <c r="B153" s="1038"/>
      <c r="C153" s="1026"/>
      <c r="D153" s="1026"/>
      <c r="E153" s="1026"/>
      <c r="F153" s="1059"/>
      <c r="G153" s="1059"/>
      <c r="H153" s="1269"/>
      <c r="I153" s="1056"/>
      <c r="J153" s="1111"/>
      <c r="K153" s="1025"/>
    </row>
    <row r="154" spans="1:11">
      <c r="A154" s="1037"/>
      <c r="B154" s="1038"/>
      <c r="C154" s="1026"/>
      <c r="D154" s="1026"/>
      <c r="E154" s="1026"/>
      <c r="F154" s="1059"/>
      <c r="G154" s="1059"/>
      <c r="H154" s="1269"/>
      <c r="I154" s="1056"/>
      <c r="J154" s="1111"/>
      <c r="K154" s="1025"/>
    </row>
    <row r="155" spans="1:11" ht="15.75">
      <c r="A155" s="1037"/>
      <c r="B155" s="1038"/>
      <c r="C155" s="1026"/>
      <c r="D155" s="1026"/>
      <c r="E155" s="1026"/>
      <c r="F155" s="1059"/>
      <c r="G155" s="1054"/>
      <c r="H155" s="1269"/>
      <c r="I155" s="1056"/>
      <c r="J155" s="1111"/>
      <c r="K155" s="1115"/>
    </row>
    <row r="156" spans="1:11">
      <c r="A156" s="1037"/>
      <c r="B156" s="1038"/>
      <c r="C156" s="1026"/>
      <c r="D156" s="1026"/>
      <c r="E156" s="1026"/>
      <c r="F156" s="1059"/>
      <c r="G156" s="1054"/>
      <c r="H156" s="1269"/>
      <c r="I156" s="1056"/>
      <c r="J156" s="1111"/>
      <c r="K156" s="1025"/>
    </row>
    <row r="157" spans="1:11">
      <c r="A157" s="1037"/>
      <c r="B157" s="1038"/>
      <c r="C157" s="1026"/>
      <c r="D157" s="1026"/>
      <c r="E157" s="1026"/>
      <c r="F157" s="1059"/>
      <c r="G157" s="1059"/>
      <c r="H157" s="1269"/>
      <c r="I157" s="1056"/>
      <c r="J157" s="1111"/>
      <c r="K157" s="1025"/>
    </row>
    <row r="158" spans="1:11">
      <c r="A158" s="1037"/>
      <c r="B158" s="1038"/>
      <c r="C158" s="1026"/>
      <c r="D158" s="1026"/>
      <c r="E158" s="1026"/>
      <c r="F158" s="1059"/>
      <c r="G158" s="1059"/>
      <c r="H158" s="1269"/>
      <c r="I158" s="1056"/>
      <c r="J158" s="1111"/>
      <c r="K158" s="1025"/>
    </row>
    <row r="159" spans="1:11">
      <c r="A159" s="1037"/>
      <c r="B159" s="1038"/>
      <c r="C159" s="1026"/>
      <c r="D159" s="1026"/>
      <c r="E159" s="1026"/>
      <c r="F159" s="1059"/>
      <c r="G159" s="1054"/>
      <c r="H159" s="1269"/>
      <c r="I159" s="1056"/>
      <c r="J159" s="1111"/>
      <c r="K159" s="1025"/>
    </row>
    <row r="160" spans="1:11">
      <c r="A160" s="1037"/>
      <c r="B160" s="1038"/>
      <c r="C160" s="1026"/>
      <c r="D160" s="1026"/>
      <c r="E160" s="1026"/>
      <c r="F160" s="1059"/>
      <c r="G160" s="1054"/>
      <c r="H160" s="1269"/>
      <c r="I160" s="1056"/>
      <c r="J160" s="1111"/>
      <c r="K160" s="1025"/>
    </row>
    <row r="161" spans="1:11">
      <c r="A161" s="1037"/>
      <c r="B161" s="1038"/>
      <c r="C161" s="1026"/>
      <c r="D161" s="1026"/>
      <c r="E161" s="1026"/>
      <c r="F161" s="1059"/>
      <c r="G161" s="1054"/>
      <c r="H161" s="1269"/>
      <c r="I161" s="1056"/>
      <c r="J161" s="1111"/>
      <c r="K161" s="1025"/>
    </row>
    <row r="162" spans="1:11" ht="15.75">
      <c r="A162" s="1037"/>
      <c r="B162" s="1038"/>
      <c r="C162" s="1026"/>
      <c r="D162" s="1026"/>
      <c r="E162" s="1026"/>
      <c r="F162" s="1059"/>
      <c r="G162" s="1054"/>
      <c r="H162" s="1269"/>
      <c r="I162" s="1056"/>
      <c r="J162" s="1111"/>
      <c r="K162" s="1115"/>
    </row>
    <row r="163" spans="1:11">
      <c r="A163" s="1037"/>
      <c r="B163" s="1038"/>
      <c r="C163" s="1026"/>
      <c r="D163" s="1026"/>
      <c r="E163" s="1026"/>
      <c r="F163" s="1059"/>
      <c r="G163" s="1054"/>
      <c r="H163" s="1269"/>
      <c r="I163" s="1056"/>
      <c r="J163" s="1111"/>
      <c r="K163" s="1025"/>
    </row>
    <row r="164" spans="1:11">
      <c r="A164" s="1037"/>
      <c r="B164" s="1038"/>
      <c r="C164" s="290"/>
      <c r="D164" s="1026"/>
      <c r="E164" s="1026"/>
      <c r="F164" s="1059"/>
      <c r="G164" s="1054"/>
      <c r="H164" s="1269"/>
      <c r="I164" s="1056"/>
      <c r="J164" s="1111"/>
      <c r="K164" s="1025"/>
    </row>
    <row r="165" spans="1:11">
      <c r="A165" s="1037"/>
      <c r="B165" s="1038"/>
      <c r="C165" s="1026"/>
      <c r="D165" s="1026"/>
      <c r="E165" s="1026"/>
      <c r="F165" s="1059"/>
      <c r="G165" s="1054"/>
      <c r="H165" s="1269"/>
      <c r="I165" s="1056"/>
      <c r="J165" s="1111"/>
      <c r="K165" s="1025"/>
    </row>
    <row r="166" spans="1:11">
      <c r="A166" s="1037"/>
      <c r="B166" s="1038"/>
      <c r="C166" s="1026"/>
      <c r="D166" s="1026"/>
      <c r="E166" s="1026"/>
      <c r="F166" s="1059"/>
      <c r="G166" s="1054"/>
      <c r="H166" s="1269"/>
      <c r="I166" s="1056"/>
      <c r="J166" s="1111"/>
      <c r="K166" s="1025"/>
    </row>
    <row r="167" spans="1:11">
      <c r="A167" s="1037"/>
      <c r="B167" s="1038"/>
      <c r="C167" s="1026"/>
      <c r="D167" s="1026"/>
      <c r="E167" s="1026"/>
      <c r="F167" s="1059"/>
      <c r="G167" s="1054"/>
      <c r="H167" s="1269"/>
      <c r="I167" s="1056"/>
      <c r="J167" s="1111"/>
      <c r="K167" s="1025"/>
    </row>
    <row r="168" spans="1:11">
      <c r="A168" s="1037"/>
      <c r="B168" s="1038"/>
      <c r="C168" s="1026"/>
      <c r="D168" s="1026"/>
      <c r="E168" s="1026"/>
      <c r="F168" s="1059"/>
      <c r="G168" s="1054"/>
      <c r="H168" s="1269"/>
      <c r="I168" s="1056"/>
      <c r="J168" s="1111"/>
      <c r="K168" s="1025"/>
    </row>
    <row r="169" spans="1:11">
      <c r="A169" s="1037"/>
      <c r="B169" s="1038"/>
      <c r="C169" s="1026"/>
      <c r="D169" s="1026"/>
      <c r="E169" s="1026"/>
      <c r="F169" s="1059"/>
      <c r="G169" s="1054"/>
      <c r="H169" s="1269"/>
      <c r="I169" s="1056"/>
      <c r="J169" s="1111"/>
      <c r="K169" s="1025"/>
    </row>
    <row r="170" spans="1:11">
      <c r="A170" s="1037"/>
      <c r="B170" s="1038"/>
      <c r="C170" s="1026"/>
      <c r="D170" s="1026"/>
      <c r="E170" s="1026"/>
      <c r="F170" s="1059"/>
      <c r="G170" s="1054"/>
      <c r="H170" s="1269"/>
      <c r="I170" s="1056"/>
      <c r="J170" s="1111"/>
      <c r="K170" s="1025"/>
    </row>
    <row r="171" spans="1:11">
      <c r="A171" s="1037"/>
      <c r="B171" s="1038"/>
      <c r="C171" s="1026"/>
      <c r="D171" s="1026"/>
      <c r="E171" s="1026"/>
      <c r="F171" s="1059"/>
      <c r="G171" s="1054"/>
      <c r="H171" s="1269"/>
      <c r="I171" s="1056"/>
      <c r="J171" s="1111"/>
      <c r="K171" s="1025"/>
    </row>
    <row r="172" spans="1:11">
      <c r="A172" s="1037"/>
      <c r="B172" s="1038"/>
      <c r="C172" s="1026"/>
      <c r="D172" s="1026"/>
      <c r="E172" s="1026"/>
      <c r="F172" s="1059"/>
      <c r="G172" s="1054"/>
      <c r="H172" s="1269"/>
      <c r="I172" s="1056"/>
      <c r="J172" s="1111"/>
      <c r="K172" s="1025"/>
    </row>
    <row r="173" spans="1:11">
      <c r="A173" s="1037"/>
      <c r="B173" s="1038"/>
      <c r="C173" s="1026"/>
      <c r="D173" s="1026"/>
      <c r="E173" s="1026"/>
      <c r="F173" s="1059"/>
      <c r="G173" s="1059"/>
      <c r="H173" s="1269"/>
      <c r="I173" s="1056"/>
      <c r="J173" s="1111"/>
      <c r="K173" s="1025"/>
    </row>
    <row r="174" spans="1:11">
      <c r="A174" s="1037"/>
      <c r="B174" s="1038"/>
      <c r="C174" s="1026"/>
      <c r="D174" s="1026"/>
      <c r="E174" s="1026"/>
      <c r="F174" s="1059"/>
      <c r="G174" s="1059"/>
      <c r="H174" s="1269"/>
      <c r="I174" s="1056"/>
      <c r="J174" s="1111"/>
      <c r="K174" s="1025"/>
    </row>
    <row r="175" spans="1:11">
      <c r="A175" s="1037"/>
      <c r="B175" s="1038"/>
      <c r="C175" s="1026"/>
      <c r="D175" s="1026"/>
      <c r="E175" s="1026"/>
      <c r="F175" s="1059"/>
      <c r="G175" s="1054"/>
      <c r="H175" s="1269"/>
      <c r="I175" s="1056"/>
      <c r="J175" s="1111"/>
      <c r="K175" s="1025"/>
    </row>
    <row r="176" spans="1:11">
      <c r="A176" s="1037"/>
      <c r="B176" s="1038"/>
      <c r="C176" s="1026"/>
      <c r="D176" s="1026"/>
      <c r="E176" s="1026"/>
      <c r="F176" s="1059"/>
      <c r="G176" s="1054"/>
      <c r="H176" s="1269"/>
      <c r="I176" s="1056"/>
      <c r="J176" s="1111"/>
      <c r="K176" s="1025"/>
    </row>
    <row r="177" spans="1:11">
      <c r="A177" s="1037"/>
      <c r="B177" s="1038"/>
      <c r="C177" s="1026"/>
      <c r="D177" s="1026"/>
      <c r="E177" s="1026"/>
      <c r="F177" s="1059"/>
      <c r="G177" s="1054"/>
      <c r="H177" s="1269"/>
      <c r="I177" s="1056"/>
      <c r="J177" s="1111"/>
      <c r="K177" s="1025"/>
    </row>
    <row r="178" spans="1:11" ht="15.75">
      <c r="A178" s="1037"/>
      <c r="B178" s="1038"/>
      <c r="C178" s="1026"/>
      <c r="D178" s="1026"/>
      <c r="E178" s="1026"/>
      <c r="F178" s="1059"/>
      <c r="G178" s="1059"/>
      <c r="H178" s="1269"/>
      <c r="I178" s="1056"/>
      <c r="J178" s="1111"/>
      <c r="K178" s="1115"/>
    </row>
    <row r="179" spans="1:11">
      <c r="A179" s="1037"/>
      <c r="B179" s="1038"/>
      <c r="C179" s="1026"/>
      <c r="D179" s="1026"/>
      <c r="E179" s="1026"/>
      <c r="F179" s="1059"/>
      <c r="G179" s="1059"/>
      <c r="H179" s="1269"/>
      <c r="I179" s="1056"/>
      <c r="J179" s="1111"/>
      <c r="K179" s="1025"/>
    </row>
    <row r="180" spans="1:11" ht="15.75">
      <c r="A180" s="1037"/>
      <c r="B180" s="1038"/>
      <c r="C180" s="1026"/>
      <c r="D180" s="1026"/>
      <c r="E180" s="1026"/>
      <c r="F180" s="1059"/>
      <c r="G180" s="1054"/>
      <c r="H180" s="1269"/>
      <c r="I180" s="1056"/>
      <c r="J180" s="1111"/>
      <c r="K180" s="1115"/>
    </row>
    <row r="181" spans="1:11" ht="15.75">
      <c r="A181" s="1037"/>
      <c r="B181" s="1038"/>
      <c r="C181" s="1026"/>
      <c r="D181" s="1026"/>
      <c r="E181" s="1026"/>
      <c r="F181" s="1059"/>
      <c r="G181" s="1054"/>
      <c r="H181" s="1269"/>
      <c r="I181" s="1056"/>
      <c r="J181" s="1111"/>
      <c r="K181" s="1115"/>
    </row>
    <row r="182" spans="1:11" ht="15.75">
      <c r="A182" s="1037"/>
      <c r="B182" s="1038"/>
      <c r="C182" s="1026"/>
      <c r="D182" s="1026"/>
      <c r="E182" s="1026"/>
      <c r="F182" s="1059"/>
      <c r="G182" s="1054"/>
      <c r="H182" s="1269"/>
      <c r="I182" s="1056"/>
      <c r="J182" s="1111"/>
      <c r="K182" s="1115"/>
    </row>
    <row r="183" spans="1:11" ht="15.75">
      <c r="A183" s="1037"/>
      <c r="B183" s="1038"/>
      <c r="C183" s="1026"/>
      <c r="D183" s="1026"/>
      <c r="E183" s="1026"/>
      <c r="F183" s="1059"/>
      <c r="G183" s="1054"/>
      <c r="H183" s="1269"/>
      <c r="I183" s="1056"/>
      <c r="J183" s="1111"/>
      <c r="K183" s="1115"/>
    </row>
    <row r="184" spans="1:11" ht="15.75">
      <c r="A184" s="1037"/>
      <c r="B184" s="1038"/>
      <c r="C184" s="1026"/>
      <c r="D184" s="1026"/>
      <c r="E184" s="1026"/>
      <c r="F184" s="1059"/>
      <c r="G184" s="1059"/>
      <c r="H184" s="1269"/>
      <c r="I184" s="1056"/>
      <c r="J184" s="1111"/>
      <c r="K184" s="1115"/>
    </row>
    <row r="185" spans="1:11">
      <c r="A185" s="1037"/>
      <c r="B185" s="1038"/>
      <c r="C185" s="1026"/>
      <c r="D185" s="1026"/>
      <c r="E185" s="1026"/>
      <c r="F185" s="1059"/>
      <c r="G185" s="1059"/>
      <c r="H185" s="1269"/>
      <c r="I185" s="1056"/>
      <c r="J185" s="1111"/>
      <c r="K185" s="1025"/>
    </row>
    <row r="186" spans="1:11" ht="15.75">
      <c r="A186" s="1037"/>
      <c r="B186" s="1038"/>
      <c r="C186" s="1026"/>
      <c r="D186" s="1026"/>
      <c r="E186" s="1026"/>
      <c r="F186" s="1059"/>
      <c r="G186" s="1054"/>
      <c r="H186" s="1269"/>
      <c r="I186" s="1056"/>
      <c r="J186" s="1111"/>
      <c r="K186" s="1115"/>
    </row>
    <row r="187" spans="1:11">
      <c r="A187" s="1037"/>
      <c r="B187" s="1038"/>
      <c r="C187" s="1026"/>
      <c r="D187" s="1026"/>
      <c r="E187" s="1026"/>
      <c r="F187" s="1059"/>
      <c r="G187" s="1059"/>
      <c r="H187" s="1269"/>
      <c r="I187" s="1056"/>
      <c r="J187" s="1111"/>
      <c r="K187" s="1025"/>
    </row>
    <row r="188" spans="1:11">
      <c r="A188" s="1037"/>
      <c r="B188" s="1038"/>
      <c r="C188" s="1026"/>
      <c r="D188" s="1026"/>
      <c r="E188" s="1026"/>
      <c r="F188" s="1059"/>
      <c r="G188" s="1059"/>
      <c r="H188" s="1269"/>
      <c r="I188" s="1056"/>
      <c r="J188" s="1111"/>
      <c r="K188" s="1025"/>
    </row>
    <row r="189" spans="1:11">
      <c r="A189" s="1037"/>
      <c r="B189" s="1038"/>
      <c r="C189" s="1026"/>
      <c r="D189" s="1026"/>
      <c r="E189" s="1026"/>
      <c r="F189" s="1059"/>
      <c r="G189" s="1059"/>
      <c r="H189" s="1269"/>
      <c r="I189" s="1056"/>
      <c r="J189" s="1111"/>
      <c r="K189" s="1025"/>
    </row>
    <row r="190" spans="1:11">
      <c r="A190" s="1037"/>
      <c r="B190" s="1038"/>
      <c r="C190" s="1026"/>
      <c r="D190" s="1026"/>
      <c r="E190" s="1026"/>
      <c r="F190" s="1059"/>
      <c r="G190" s="1059"/>
      <c r="H190" s="1269"/>
      <c r="I190" s="1056"/>
      <c r="J190" s="1111"/>
      <c r="K190" s="1025"/>
    </row>
    <row r="191" spans="1:11">
      <c r="A191" s="1037"/>
      <c r="B191" s="1038"/>
      <c r="C191" s="1026"/>
      <c r="D191" s="1026"/>
      <c r="E191" s="1026"/>
      <c r="F191" s="1059"/>
      <c r="G191" s="1054"/>
      <c r="H191" s="1269"/>
      <c r="I191" s="1056"/>
      <c r="J191" s="1111"/>
      <c r="K191" s="1025"/>
    </row>
    <row r="192" spans="1:11">
      <c r="A192" s="1037"/>
      <c r="B192" s="1038"/>
      <c r="C192" s="1026"/>
      <c r="D192" s="1026"/>
      <c r="E192" s="1026"/>
      <c r="F192" s="1059"/>
      <c r="G192" s="1054"/>
      <c r="H192" s="1269"/>
      <c r="I192" s="1056"/>
      <c r="J192" s="1111"/>
      <c r="K192" s="1025"/>
    </row>
    <row r="193" spans="1:11">
      <c r="A193" s="1037"/>
      <c r="B193" s="1038"/>
      <c r="C193" s="1026"/>
      <c r="D193" s="1026"/>
      <c r="E193" s="1026"/>
      <c r="F193" s="1059"/>
      <c r="G193" s="1054"/>
      <c r="H193" s="1269"/>
      <c r="I193" s="1056"/>
      <c r="J193" s="1111"/>
      <c r="K193" s="1025"/>
    </row>
    <row r="194" spans="1:11">
      <c r="A194" s="1037"/>
      <c r="B194" s="1038"/>
      <c r="C194" s="1026"/>
      <c r="D194" s="1026"/>
      <c r="E194" s="1026"/>
      <c r="F194" s="1059"/>
      <c r="G194" s="1054"/>
      <c r="H194" s="1269"/>
      <c r="I194" s="1056"/>
      <c r="J194" s="1111"/>
      <c r="K194" s="1025"/>
    </row>
    <row r="195" spans="1:11">
      <c r="A195" s="1037"/>
      <c r="B195" s="1038"/>
      <c r="C195" s="1026"/>
      <c r="D195" s="1026"/>
      <c r="E195" s="1026"/>
      <c r="F195" s="1059"/>
      <c r="G195" s="1054"/>
      <c r="H195" s="1269"/>
      <c r="I195" s="1056"/>
      <c r="J195" s="1111"/>
      <c r="K195" s="1025"/>
    </row>
    <row r="196" spans="1:11">
      <c r="A196" s="1037"/>
      <c r="B196" s="1038"/>
      <c r="C196" s="1026"/>
      <c r="D196" s="1026"/>
      <c r="E196" s="1026"/>
      <c r="F196" s="1059"/>
      <c r="G196" s="1054"/>
      <c r="H196" s="1269"/>
      <c r="I196" s="1056"/>
      <c r="J196" s="1111"/>
      <c r="K196" s="1025"/>
    </row>
    <row r="197" spans="1:11">
      <c r="A197" s="1037"/>
      <c r="B197" s="1038"/>
      <c r="C197" s="1026"/>
      <c r="D197" s="1026"/>
      <c r="E197" s="1026"/>
      <c r="F197" s="1059"/>
      <c r="G197" s="1054"/>
      <c r="H197" s="1269"/>
      <c r="I197" s="1056"/>
      <c r="J197" s="1111"/>
      <c r="K197" s="1025"/>
    </row>
    <row r="198" spans="1:11">
      <c r="A198" s="1037"/>
      <c r="B198" s="1038"/>
      <c r="C198" s="1026"/>
      <c r="D198" s="1026"/>
      <c r="E198" s="1026"/>
      <c r="F198" s="1059"/>
      <c r="G198" s="1059"/>
      <c r="H198" s="1269"/>
      <c r="I198" s="1056"/>
      <c r="J198" s="1111"/>
      <c r="K198" s="1025"/>
    </row>
    <row r="199" spans="1:11">
      <c r="A199" s="1037"/>
      <c r="B199" s="1038"/>
      <c r="C199" s="1026"/>
      <c r="D199" s="1026"/>
      <c r="E199" s="1026"/>
      <c r="F199" s="1059"/>
      <c r="G199" s="1059"/>
      <c r="H199" s="1269"/>
      <c r="I199" s="1056"/>
      <c r="J199" s="1111"/>
      <c r="K199" s="1025"/>
    </row>
    <row r="200" spans="1:11" ht="15.75">
      <c r="A200" s="1037"/>
      <c r="B200" s="1038"/>
      <c r="C200" s="1026"/>
      <c r="D200" s="1026"/>
      <c r="E200" s="1026"/>
      <c r="F200" s="1059"/>
      <c r="G200" s="1054"/>
      <c r="H200" s="1269"/>
      <c r="I200" s="1056"/>
      <c r="J200" s="1111"/>
      <c r="K200" s="1115"/>
    </row>
    <row r="201" spans="1:11">
      <c r="A201" s="1037"/>
      <c r="B201" s="1038"/>
      <c r="C201" s="1026"/>
      <c r="D201" s="1026"/>
      <c r="E201" s="1026"/>
      <c r="F201" s="1059"/>
      <c r="G201" s="1054"/>
      <c r="H201" s="1269"/>
      <c r="I201" s="1056"/>
      <c r="J201" s="1111"/>
      <c r="K201" s="1025"/>
    </row>
    <row r="202" spans="1:11">
      <c r="A202" s="1037"/>
      <c r="B202" s="1038"/>
      <c r="C202" s="1025"/>
      <c r="D202" s="1025"/>
      <c r="E202" s="1025"/>
      <c r="F202" s="1061"/>
      <c r="G202" s="1054"/>
      <c r="H202" s="1269"/>
      <c r="I202" s="1056"/>
      <c r="J202" s="1111"/>
      <c r="K202" s="1025"/>
    </row>
    <row r="203" spans="1:11">
      <c r="A203" s="1037"/>
      <c r="B203" s="1038"/>
      <c r="C203" s="1026"/>
      <c r="D203" s="1026"/>
      <c r="E203" s="1026"/>
      <c r="F203" s="1061"/>
      <c r="G203" s="1054"/>
      <c r="H203" s="1269"/>
      <c r="I203" s="1056"/>
      <c r="J203" s="1111"/>
      <c r="K203" s="1025"/>
    </row>
    <row r="204" spans="1:11" ht="15.75">
      <c r="A204" s="1037"/>
      <c r="B204" s="1038"/>
      <c r="C204" s="1026"/>
      <c r="D204" s="1026"/>
      <c r="E204" s="1026"/>
      <c r="F204" s="1059"/>
      <c r="G204" s="1059"/>
      <c r="H204" s="1269"/>
      <c r="I204" s="1056"/>
      <c r="J204" s="1111"/>
      <c r="K204" s="1115"/>
    </row>
    <row r="205" spans="1:11">
      <c r="A205" s="1037"/>
      <c r="B205" s="1038"/>
      <c r="C205" s="1026"/>
      <c r="D205" s="1026"/>
      <c r="E205" s="1026"/>
      <c r="F205" s="1059"/>
      <c r="G205" s="1059"/>
      <c r="H205" s="1269"/>
      <c r="I205" s="1056"/>
      <c r="J205" s="1111"/>
      <c r="K205" s="1025"/>
    </row>
    <row r="206" spans="1:11" ht="15.75">
      <c r="A206" s="1037"/>
      <c r="B206" s="1038"/>
      <c r="C206" s="1026"/>
      <c r="D206" s="1026"/>
      <c r="E206" s="1026"/>
      <c r="F206" s="1059"/>
      <c r="G206" s="1054"/>
      <c r="H206" s="1269"/>
      <c r="I206" s="1056"/>
      <c r="J206" s="1111"/>
      <c r="K206" s="1115"/>
    </row>
    <row r="207" spans="1:11" ht="15.75">
      <c r="A207" s="1037"/>
      <c r="B207" s="1038"/>
      <c r="C207" s="1026"/>
      <c r="D207" s="1026"/>
      <c r="E207" s="1026"/>
      <c r="F207" s="1059"/>
      <c r="G207" s="1054"/>
      <c r="H207" s="1269"/>
      <c r="I207" s="1056"/>
      <c r="J207" s="1111"/>
      <c r="K207" s="1115"/>
    </row>
    <row r="208" spans="1:11" ht="15.75">
      <c r="A208" s="1037"/>
      <c r="B208" s="1038"/>
      <c r="C208" s="1026"/>
      <c r="D208" s="1026"/>
      <c r="E208" s="1026"/>
      <c r="F208" s="1059"/>
      <c r="G208" s="1054"/>
      <c r="H208" s="1269"/>
      <c r="I208" s="1056"/>
      <c r="J208" s="1111"/>
      <c r="K208" s="1115"/>
    </row>
    <row r="209" spans="1:11" ht="15.75">
      <c r="A209" s="1037"/>
      <c r="B209" s="1038"/>
      <c r="C209" s="1026"/>
      <c r="D209" s="1026"/>
      <c r="E209" s="1026"/>
      <c r="F209" s="1059"/>
      <c r="G209" s="1054"/>
      <c r="H209" s="1269"/>
      <c r="I209" s="1056"/>
      <c r="J209" s="1111"/>
      <c r="K209" s="1115"/>
    </row>
    <row r="210" spans="1:11" ht="15.75">
      <c r="A210" s="1037"/>
      <c r="B210" s="1038"/>
      <c r="C210" s="1026"/>
      <c r="D210" s="1026"/>
      <c r="E210" s="1026"/>
      <c r="F210" s="1059"/>
      <c r="G210" s="1054"/>
      <c r="H210" s="1269"/>
      <c r="I210" s="1056"/>
      <c r="J210" s="1111"/>
      <c r="K210" s="1115"/>
    </row>
    <row r="211" spans="1:11" ht="15.75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115"/>
    </row>
    <row r="212" spans="1:11" ht="15.75">
      <c r="A212" s="1037"/>
      <c r="B212" s="1038"/>
      <c r="C212" s="1026"/>
      <c r="D212" s="1026"/>
      <c r="E212" s="1026"/>
      <c r="F212" s="1059"/>
      <c r="G212" s="1054"/>
      <c r="H212" s="1269"/>
      <c r="I212" s="1056"/>
      <c r="J212" s="1111"/>
      <c r="K212" s="1115"/>
    </row>
    <row r="213" spans="1:11" ht="15.75">
      <c r="A213" s="1037"/>
      <c r="B213" s="1038"/>
      <c r="C213" s="1026"/>
      <c r="D213" s="1026"/>
      <c r="E213" s="1026"/>
      <c r="F213" s="1059"/>
      <c r="G213" s="1054"/>
      <c r="H213" s="1269"/>
      <c r="I213" s="1056"/>
      <c r="J213" s="1111"/>
      <c r="K213" s="1115"/>
    </row>
    <row r="214" spans="1:11" ht="15.75">
      <c r="A214" s="1037"/>
      <c r="B214" s="1038"/>
      <c r="C214" s="1026"/>
      <c r="D214" s="1026"/>
      <c r="F214" s="1059"/>
      <c r="G214" s="1054"/>
      <c r="H214" s="1269"/>
      <c r="I214" s="1056"/>
      <c r="J214" s="1111"/>
      <c r="K214" s="1115"/>
    </row>
    <row r="215" spans="1:11" ht="15.75">
      <c r="A215" s="1037"/>
      <c r="B215" s="1038"/>
      <c r="C215" s="1026"/>
      <c r="D215" s="1026"/>
      <c r="E215" s="1026"/>
      <c r="F215" s="1059"/>
      <c r="G215" s="1054"/>
      <c r="H215" s="1269"/>
      <c r="I215" s="1056"/>
      <c r="J215" s="1111"/>
      <c r="K215" s="1115"/>
    </row>
    <row r="216" spans="1:11" ht="15.75">
      <c r="A216" s="1037"/>
      <c r="B216" s="1038"/>
      <c r="C216" s="1026"/>
      <c r="D216" s="1026"/>
      <c r="E216" s="1026"/>
      <c r="F216" s="1059"/>
      <c r="G216" s="1054"/>
      <c r="H216" s="1269"/>
      <c r="I216" s="1056"/>
      <c r="J216" s="1111"/>
      <c r="K216" s="1115"/>
    </row>
    <row r="217" spans="1:11" ht="15.75">
      <c r="A217" s="1037"/>
      <c r="B217" s="1038"/>
      <c r="C217" s="1026"/>
      <c r="D217" s="1026"/>
      <c r="E217" s="1026"/>
      <c r="F217" s="1059"/>
      <c r="G217" s="1054"/>
      <c r="H217" s="1269"/>
      <c r="I217" s="1056"/>
      <c r="J217" s="1111"/>
      <c r="K217" s="1115"/>
    </row>
    <row r="218" spans="1:11" ht="15.75">
      <c r="A218" s="1037"/>
      <c r="B218" s="1038"/>
      <c r="C218" s="1026"/>
      <c r="D218" s="1026"/>
      <c r="E218" s="1026"/>
      <c r="F218" s="1059"/>
      <c r="G218" s="1054"/>
      <c r="H218" s="1269"/>
      <c r="I218" s="1056"/>
      <c r="J218" s="1111"/>
      <c r="K218" s="1115"/>
    </row>
    <row r="219" spans="1:11">
      <c r="A219" s="1037"/>
      <c r="B219" s="1038"/>
      <c r="C219" s="1026"/>
      <c r="D219" s="1026"/>
      <c r="E219" s="1026"/>
      <c r="F219" s="1059"/>
      <c r="G219" s="1054"/>
      <c r="H219" s="1269"/>
      <c r="I219" s="1056"/>
      <c r="J219" s="1111"/>
      <c r="K219" s="1025"/>
    </row>
    <row r="220" spans="1:11">
      <c r="A220" s="1039"/>
      <c r="B220" s="1039"/>
      <c r="C220" s="1025"/>
      <c r="D220" s="1025"/>
      <c r="E220" s="1025"/>
      <c r="F220" s="1061"/>
      <c r="G220" s="1062"/>
      <c r="H220" s="1269"/>
      <c r="I220" s="1056"/>
      <c r="J220" s="1111"/>
      <c r="K220" s="1025"/>
    </row>
    <row r="221" spans="1:11">
      <c r="A221" s="1039"/>
      <c r="B221" s="1039"/>
      <c r="C221" s="1025"/>
      <c r="D221" s="1025"/>
      <c r="E221" s="1025"/>
      <c r="F221" s="1061"/>
      <c r="G221" s="1062"/>
      <c r="H221" s="1269"/>
      <c r="I221" s="1056"/>
      <c r="J221" s="1111"/>
      <c r="K221" s="1025"/>
    </row>
    <row r="222" spans="1:11">
      <c r="A222" s="1039"/>
      <c r="B222" s="1039"/>
      <c r="C222" s="1025"/>
      <c r="D222" s="1025"/>
      <c r="E222" s="1025"/>
      <c r="F222" s="1061"/>
      <c r="G222" s="1062"/>
      <c r="H222" s="1269"/>
      <c r="I222" s="1056"/>
      <c r="J222" s="1111"/>
      <c r="K222" s="1025"/>
    </row>
    <row r="223" spans="1:11">
      <c r="A223" s="1039"/>
      <c r="B223" s="1039"/>
      <c r="C223" s="1025"/>
      <c r="D223" s="1025"/>
      <c r="E223" s="1025"/>
      <c r="F223" s="1061"/>
      <c r="G223" s="1062"/>
      <c r="H223" s="1269"/>
      <c r="I223" s="1056"/>
      <c r="J223" s="1111"/>
      <c r="K223" s="1025"/>
    </row>
    <row r="224" spans="1:11">
      <c r="A224" s="1039"/>
      <c r="B224" s="1039"/>
      <c r="C224" s="1025"/>
      <c r="D224" s="1025"/>
      <c r="E224" s="1025"/>
      <c r="F224" s="1061"/>
      <c r="G224" s="1062"/>
      <c r="H224" s="1269"/>
      <c r="I224" s="1056"/>
      <c r="J224" s="1111"/>
      <c r="K224" s="1025"/>
    </row>
    <row r="225" spans="1:11">
      <c r="A225" s="1039"/>
      <c r="B225" s="1039"/>
      <c r="C225" s="1025"/>
      <c r="D225" s="1025"/>
      <c r="E225" s="1025"/>
      <c r="F225" s="1061"/>
      <c r="G225" s="1062"/>
      <c r="H225" s="1269"/>
      <c r="I225" s="1056"/>
      <c r="J225" s="1111"/>
      <c r="K225" s="1025"/>
    </row>
    <row r="226" spans="1:11">
      <c r="A226" s="1039"/>
      <c r="B226" s="1039"/>
      <c r="C226" s="1025"/>
      <c r="D226" s="1025"/>
      <c r="E226" s="1025"/>
      <c r="F226" s="1061"/>
      <c r="G226" s="1062"/>
      <c r="H226" s="1269"/>
      <c r="I226" s="1056"/>
      <c r="J226" s="1111"/>
      <c r="K226" s="1025"/>
    </row>
    <row r="227" spans="1:11">
      <c r="A227" s="1039"/>
      <c r="B227" s="1039"/>
      <c r="C227" s="1025"/>
      <c r="D227" s="1025"/>
      <c r="E227" s="1025"/>
      <c r="F227" s="1061"/>
      <c r="G227" s="1062"/>
      <c r="H227" s="1269"/>
      <c r="I227" s="1056"/>
      <c r="J227" s="1111"/>
      <c r="K227" s="1025"/>
    </row>
    <row r="228" spans="1:11">
      <c r="A228" s="1039"/>
      <c r="B228" s="1039"/>
      <c r="C228" s="1025"/>
      <c r="D228" s="1025"/>
      <c r="E228" s="1025"/>
      <c r="F228" s="1061"/>
      <c r="G228" s="1062"/>
      <c r="H228" s="1269"/>
      <c r="I228" s="1056"/>
      <c r="J228" s="1111"/>
      <c r="K228" s="1025"/>
    </row>
    <row r="229" spans="1:11">
      <c r="A229" s="1039"/>
      <c r="B229" s="1039"/>
      <c r="C229" s="1025"/>
      <c r="D229" s="1025"/>
      <c r="E229" s="1025"/>
      <c r="F229" s="1061"/>
      <c r="G229" s="1062"/>
      <c r="H229" s="1269"/>
      <c r="I229" s="1056"/>
      <c r="J229" s="1111"/>
      <c r="K229" s="1025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1025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1025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1025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1025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1025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1025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1025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1025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1025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1025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1025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1025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1025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1025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1025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1025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1025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1025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1025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1025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1025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1025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1025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1025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1025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1025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1025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1025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1025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1025"/>
    </row>
    <row r="260" spans="1:11">
      <c r="A260" s="1039"/>
      <c r="B260" s="1039"/>
      <c r="C260" s="1025"/>
      <c r="D260" s="1025"/>
      <c r="E260" s="1025"/>
      <c r="F260" s="1061"/>
      <c r="G260" s="1062"/>
      <c r="H260" s="1269"/>
      <c r="I260" s="1056"/>
      <c r="J260" s="1111"/>
      <c r="K260" s="1025"/>
    </row>
    <row r="261" spans="1:11">
      <c r="A261" s="1039"/>
      <c r="B261" s="1039"/>
      <c r="C261" s="1025"/>
      <c r="D261" s="1025"/>
      <c r="E261" s="1025"/>
      <c r="F261" s="1061"/>
      <c r="G261" s="1062"/>
      <c r="H261" s="1269"/>
      <c r="I261" s="1056"/>
      <c r="J261" s="1111"/>
      <c r="K261" s="1025"/>
    </row>
    <row r="262" spans="1:11">
      <c r="A262" s="1039"/>
      <c r="B262" s="1039"/>
      <c r="C262" s="1025"/>
      <c r="D262" s="1025"/>
      <c r="E262" s="1025"/>
      <c r="F262" s="1061"/>
      <c r="G262" s="1062"/>
      <c r="H262" s="1269"/>
      <c r="I262" s="1056"/>
      <c r="J262" s="1111"/>
      <c r="K262" s="1025"/>
    </row>
    <row r="263" spans="1:11">
      <c r="A263" s="1039"/>
      <c r="B263" s="1039"/>
      <c r="C263" s="1025"/>
      <c r="D263" s="1025"/>
      <c r="E263" s="1025"/>
      <c r="F263" s="1061"/>
      <c r="G263" s="1062"/>
      <c r="H263" s="1269"/>
      <c r="I263" s="1056"/>
      <c r="J263" s="1111"/>
      <c r="K263" s="1025"/>
    </row>
    <row r="264" spans="1:11">
      <c r="A264" s="1039"/>
      <c r="B264" s="1039"/>
      <c r="C264" s="1025"/>
      <c r="D264" s="1025"/>
      <c r="E264" s="1025"/>
      <c r="F264" s="1061"/>
      <c r="G264" s="1062"/>
      <c r="H264" s="1269"/>
      <c r="I264" s="1056"/>
      <c r="J264" s="1111"/>
      <c r="K264" s="1025"/>
    </row>
    <row r="265" spans="1:11">
      <c r="A265" s="1039"/>
      <c r="B265" s="1039"/>
      <c r="C265" s="1025"/>
      <c r="D265" s="1025"/>
      <c r="E265" s="1025"/>
      <c r="F265" s="1061"/>
      <c r="G265" s="1062"/>
      <c r="H265" s="1269"/>
      <c r="I265" s="1056"/>
      <c r="J265" s="1111"/>
      <c r="K265" s="1025"/>
    </row>
    <row r="266" spans="1:11">
      <c r="A266" s="1039"/>
      <c r="B266" s="1039"/>
      <c r="C266" s="1025"/>
      <c r="D266" s="1025"/>
      <c r="E266" s="1025"/>
      <c r="F266" s="1061"/>
      <c r="G266" s="1062"/>
      <c r="H266" s="1269"/>
      <c r="I266" s="1056"/>
      <c r="J266" s="1111"/>
      <c r="K266" s="1025"/>
    </row>
    <row r="267" spans="1:11">
      <c r="A267" s="1025"/>
      <c r="B267" s="1025"/>
      <c r="C267" s="1025"/>
      <c r="D267" s="1025"/>
      <c r="E267" s="1025"/>
      <c r="F267" s="1025"/>
      <c r="G267" s="1025"/>
      <c r="H267" s="1269"/>
      <c r="I267" s="1056"/>
      <c r="J267" s="1111"/>
      <c r="K267" s="1025"/>
    </row>
    <row r="268" spans="1:11">
      <c r="A268" s="1025"/>
      <c r="B268" s="1025"/>
      <c r="C268" s="1025"/>
      <c r="D268" s="1025"/>
      <c r="E268" s="1025"/>
      <c r="F268" s="1025"/>
      <c r="G268" s="1025"/>
      <c r="H268" s="1269"/>
      <c r="I268" s="1056"/>
      <c r="J268" s="1111"/>
      <c r="K268" s="1025"/>
    </row>
    <row r="269" spans="1:11">
      <c r="A269" s="1025"/>
      <c r="B269" s="1025"/>
      <c r="C269" s="1025"/>
      <c r="D269" s="1025"/>
      <c r="E269" s="1025"/>
      <c r="F269" s="1025"/>
      <c r="G269" s="1025"/>
      <c r="H269" s="1269"/>
      <c r="I269" s="1056"/>
      <c r="J269" s="1111"/>
      <c r="K269" s="1025"/>
    </row>
    <row r="270" spans="1:11">
      <c r="A270" s="1025"/>
      <c r="B270" s="1025"/>
      <c r="C270" s="1025"/>
      <c r="D270" s="1025"/>
      <c r="E270" s="1025"/>
      <c r="F270" s="1025"/>
      <c r="G270" s="1025"/>
      <c r="H270" s="1269"/>
      <c r="I270" s="1056"/>
      <c r="J270" s="1111"/>
      <c r="K270" s="1025"/>
    </row>
    <row r="271" spans="1:11">
      <c r="A271" s="1025"/>
      <c r="B271" s="1025"/>
      <c r="C271" s="1025"/>
      <c r="D271" s="1025"/>
      <c r="E271" s="1025"/>
      <c r="F271" s="1025"/>
      <c r="G271" s="1025"/>
      <c r="H271" s="1269"/>
      <c r="I271" s="1056"/>
      <c r="J271" s="1111"/>
      <c r="K271" s="1025"/>
    </row>
    <row r="272" spans="1:11">
      <c r="A272" s="1025"/>
      <c r="B272" s="1025"/>
      <c r="C272" s="1025"/>
      <c r="D272" s="1025"/>
      <c r="E272" s="1025"/>
      <c r="F272" s="1025"/>
      <c r="G272" s="1025"/>
      <c r="H272" s="1269"/>
      <c r="I272" s="1056"/>
      <c r="J272" s="1111"/>
      <c r="K272" s="1025"/>
    </row>
    <row r="273" spans="1:11">
      <c r="A273" s="1025"/>
      <c r="B273" s="1025"/>
      <c r="C273" s="1025"/>
      <c r="D273" s="1025"/>
      <c r="E273" s="1025"/>
      <c r="F273" s="1025"/>
      <c r="G273" s="1025"/>
      <c r="H273" s="1269"/>
      <c r="I273" s="1056"/>
      <c r="J273" s="1111"/>
      <c r="K273" s="1025"/>
    </row>
    <row r="274" spans="1:11">
      <c r="A274" s="1025"/>
      <c r="B274" s="1025"/>
      <c r="C274" s="1025"/>
      <c r="D274" s="1025"/>
      <c r="E274" s="1025"/>
      <c r="F274" s="1025"/>
      <c r="G274" s="1025"/>
      <c r="H274" s="1269"/>
      <c r="I274" s="1056"/>
      <c r="J274" s="1111"/>
      <c r="K274" s="1025"/>
    </row>
    <row r="275" spans="1:11">
      <c r="A275" s="1025"/>
      <c r="B275" s="1025"/>
      <c r="C275" s="1025"/>
      <c r="D275" s="1025"/>
      <c r="E275" s="1025"/>
      <c r="F275" s="1025"/>
      <c r="G275" s="1025"/>
      <c r="H275" s="1269"/>
      <c r="I275" s="1056"/>
      <c r="J275" s="1111"/>
      <c r="K275" s="1025"/>
    </row>
    <row r="276" spans="1:11">
      <c r="A276" s="1025"/>
      <c r="B276" s="1025"/>
      <c r="C276" s="1025"/>
      <c r="D276" s="1025"/>
      <c r="E276" s="1025"/>
      <c r="F276" s="1025"/>
      <c r="G276" s="1025"/>
      <c r="H276" s="1269"/>
      <c r="I276" s="1056"/>
      <c r="J276" s="1111"/>
      <c r="K276" s="1025"/>
    </row>
    <row r="277" spans="1:11">
      <c r="A277" s="1025"/>
      <c r="B277" s="1025"/>
      <c r="C277" s="1025"/>
      <c r="D277" s="1025"/>
      <c r="E277" s="1025"/>
      <c r="F277" s="1025"/>
      <c r="G277" s="1025"/>
      <c r="H277" s="1269"/>
      <c r="I277" s="1056"/>
      <c r="J277" s="1111"/>
      <c r="K277" s="1025"/>
    </row>
    <row r="278" spans="1:11">
      <c r="A278" s="1025"/>
      <c r="B278" s="1025"/>
      <c r="C278" s="1025"/>
      <c r="D278" s="1025"/>
      <c r="E278" s="1025"/>
      <c r="F278" s="1025"/>
      <c r="G278" s="1025"/>
      <c r="H278" s="1269"/>
      <c r="I278" s="1056"/>
      <c r="J278" s="1111"/>
      <c r="K278" s="1025"/>
    </row>
    <row r="279" spans="1:11">
      <c r="A279" s="1025"/>
      <c r="B279" s="1025"/>
      <c r="C279" s="1025"/>
      <c r="D279" s="1025"/>
      <c r="E279" s="1025"/>
      <c r="F279" s="1025"/>
      <c r="G279" s="1025"/>
      <c r="H279" s="1269"/>
      <c r="I279" s="1056"/>
      <c r="J279" s="1111"/>
      <c r="K279" s="1025"/>
    </row>
    <row r="280" spans="1:11">
      <c r="A280" s="1025"/>
      <c r="B280" s="1025"/>
      <c r="C280" s="1025"/>
      <c r="D280" s="1025"/>
      <c r="E280" s="1025"/>
      <c r="F280" s="1025"/>
      <c r="G280" s="1025"/>
      <c r="H280" s="1269"/>
      <c r="I280" s="1056"/>
      <c r="J280" s="1111"/>
      <c r="K280" s="1025"/>
    </row>
    <row r="281" spans="1:11" ht="15.75" thickBot="1">
      <c r="A281" s="1037"/>
      <c r="B281" s="1038"/>
      <c r="C281" s="1026"/>
      <c r="D281" s="1026"/>
      <c r="E281" s="1026"/>
      <c r="F281" s="1059"/>
      <c r="G281" s="1054"/>
      <c r="H281" s="1269"/>
      <c r="I281" s="1056"/>
      <c r="J281" s="1111"/>
      <c r="K281" s="1025"/>
    </row>
    <row r="282" spans="1:11" ht="20.25" thickBot="1">
      <c r="A282" s="1552"/>
      <c r="B282" s="1553"/>
      <c r="C282" s="1553"/>
      <c r="D282" s="1553"/>
      <c r="E282" s="1553"/>
      <c r="F282" s="1554">
        <f>SUM(F161:F169,F171:F281)</f>
        <v>0</v>
      </c>
      <c r="G282" s="1553"/>
      <c r="H282" s="1558">
        <f>SUM(H61:H281)</f>
        <v>7088.8910399999995</v>
      </c>
      <c r="I282" s="1554">
        <f>SUM(I161:I281)</f>
        <v>0</v>
      </c>
      <c r="J282" s="1111"/>
      <c r="K282" s="1115"/>
    </row>
  </sheetData>
  <autoFilter ref="A1:K61" xr:uid="{FD2568A9-166D-422B-9147-AE016F6ACD73}">
    <sortState xmlns:xlrd2="http://schemas.microsoft.com/office/spreadsheetml/2017/richdata2" ref="A2:K61">
      <sortCondition ref="J1:J61"/>
    </sortState>
  </autoFilter>
  <pageMargins left="0.511811024" right="0.511811024" top="0.78740157499999996" bottom="0.78740157499999996" header="0.31496062000000002" footer="0.3149606200000000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73A0-6F79-4E88-9E70-9E440D3F38DA}">
  <dimension ref="A1:K282"/>
  <sheetViews>
    <sheetView zoomScale="85" zoomScaleNormal="85" workbookViewId="0">
      <pane ySplit="1" topLeftCell="A2" activePane="bottomLeft" state="frozen"/>
      <selection pane="bottomLeft" activeCell="I13" sqref="I13"/>
    </sheetView>
  </sheetViews>
  <sheetFormatPr defaultColWidth="9.140625" defaultRowHeight="15"/>
  <cols>
    <col min="1" max="1" width="15.140625" style="1032" bestFit="1" customWidth="1"/>
    <col min="2" max="2" width="11.5703125" style="1032" bestFit="1" customWidth="1"/>
    <col min="3" max="3" width="44" style="1032" bestFit="1" customWidth="1"/>
    <col min="4" max="4" width="22.28515625" style="1032" bestFit="1" customWidth="1"/>
    <col min="5" max="5" width="14.140625" style="1032" bestFit="1" customWidth="1"/>
    <col min="6" max="6" width="22" style="1032" bestFit="1" customWidth="1"/>
    <col min="7" max="7" width="13.42578125" style="1032" bestFit="1" customWidth="1"/>
    <col min="8" max="8" width="24.85546875" style="1032" bestFit="1" customWidth="1"/>
    <col min="9" max="9" width="21" style="1032" bestFit="1" customWidth="1"/>
    <col min="10" max="10" width="13.140625" style="1032" customWidth="1"/>
    <col min="11" max="11" width="15" style="1032" bestFit="1" customWidth="1"/>
    <col min="12" max="16384" width="9.140625" style="1032"/>
  </cols>
  <sheetData>
    <row r="1" spans="1:11" ht="14.25" customHeight="1">
      <c r="A1" s="1559" t="s">
        <v>2519</v>
      </c>
      <c r="B1" s="1560" t="s">
        <v>2</v>
      </c>
      <c r="C1" s="1560" t="s">
        <v>3</v>
      </c>
      <c r="D1" s="1560" t="s">
        <v>4</v>
      </c>
      <c r="E1" s="1560" t="s">
        <v>5</v>
      </c>
      <c r="F1" s="1561" t="s">
        <v>644</v>
      </c>
      <c r="G1" s="1562" t="s">
        <v>555</v>
      </c>
      <c r="H1" s="1563" t="s">
        <v>7</v>
      </c>
      <c r="I1" s="1564" t="s">
        <v>307</v>
      </c>
      <c r="J1" s="1562" t="s">
        <v>370</v>
      </c>
      <c r="K1" s="1565" t="s">
        <v>3013</v>
      </c>
    </row>
    <row r="2" spans="1:11" s="1031" customFormat="1" ht="15.75">
      <c r="A2" s="1040">
        <v>46167</v>
      </c>
      <c r="B2" s="1042" t="s">
        <v>1805</v>
      </c>
      <c r="C2" s="1030" t="s">
        <v>3248</v>
      </c>
      <c r="D2" s="1030" t="s">
        <v>9</v>
      </c>
      <c r="E2" s="1030" t="s">
        <v>948</v>
      </c>
      <c r="F2" s="1072">
        <v>835.04</v>
      </c>
      <c r="G2" s="1073">
        <v>0.15</v>
      </c>
      <c r="H2" s="1067">
        <f t="shared" ref="H2:H36" si="0">F2*G2*(1-10%)</f>
        <v>112.73039999999999</v>
      </c>
      <c r="I2" s="1068">
        <v>11.27</v>
      </c>
      <c r="J2" s="1112" t="s">
        <v>2070</v>
      </c>
      <c r="K2" s="1601" t="s">
        <v>1805</v>
      </c>
    </row>
    <row r="3" spans="1:11" s="1896" customFormat="1" ht="15.75">
      <c r="A3" s="1358">
        <v>46156</v>
      </c>
      <c r="B3" s="1359" t="s">
        <v>1805</v>
      </c>
      <c r="C3" s="1360" t="s">
        <v>1974</v>
      </c>
      <c r="D3" s="1360" t="s">
        <v>25</v>
      </c>
      <c r="E3" s="1360" t="s">
        <v>1552</v>
      </c>
      <c r="F3" s="1419">
        <v>961.71</v>
      </c>
      <c r="G3" s="1361">
        <v>0.2</v>
      </c>
      <c r="H3" s="1348">
        <f t="shared" si="0"/>
        <v>173.10780000000003</v>
      </c>
      <c r="I3" s="1362">
        <v>86.55</v>
      </c>
      <c r="J3" s="1363" t="s">
        <v>1577</v>
      </c>
      <c r="K3" s="1936" t="s">
        <v>1805</v>
      </c>
    </row>
    <row r="4" spans="1:11" s="1031" customFormat="1" ht="15.75">
      <c r="A4" s="1039">
        <v>46170</v>
      </c>
      <c r="B4" s="1039" t="s">
        <v>1805</v>
      </c>
      <c r="C4" s="1025" t="s">
        <v>2746</v>
      </c>
      <c r="D4" s="1025" t="s">
        <v>25</v>
      </c>
      <c r="E4" s="1025" t="s">
        <v>29</v>
      </c>
      <c r="F4" s="1061">
        <v>737.18</v>
      </c>
      <c r="G4" s="1062">
        <v>0.1</v>
      </c>
      <c r="H4" s="1055">
        <f t="shared" si="0"/>
        <v>66.34620000000001</v>
      </c>
      <c r="I4" s="1242"/>
      <c r="J4" s="1025"/>
      <c r="K4" s="1115" t="s">
        <v>1805</v>
      </c>
    </row>
    <row r="5" spans="1:11" s="1031" customFormat="1" ht="15.75">
      <c r="A5" s="1040">
        <v>46163</v>
      </c>
      <c r="B5" s="1042">
        <v>46528</v>
      </c>
      <c r="C5" s="1027" t="s">
        <v>3255</v>
      </c>
      <c r="D5" s="1030" t="s">
        <v>448</v>
      </c>
      <c r="E5" s="1030" t="s">
        <v>1593</v>
      </c>
      <c r="F5" s="1072">
        <v>973.99</v>
      </c>
      <c r="G5" s="1073">
        <v>0.15</v>
      </c>
      <c r="H5" s="1067">
        <f t="shared" si="0"/>
        <v>131.48865000000001</v>
      </c>
      <c r="I5" s="1068">
        <v>13.14</v>
      </c>
      <c r="J5" s="1112" t="s">
        <v>2070</v>
      </c>
      <c r="K5" s="1117" t="s">
        <v>2010</v>
      </c>
    </row>
    <row r="6" spans="1:11" s="1027" customFormat="1" ht="15.75">
      <c r="A6" s="1344">
        <v>46157</v>
      </c>
      <c r="B6" s="1344">
        <v>46524</v>
      </c>
      <c r="C6" s="1345" t="s">
        <v>3253</v>
      </c>
      <c r="D6" s="1345" t="s">
        <v>448</v>
      </c>
      <c r="E6" s="1345" t="s">
        <v>362</v>
      </c>
      <c r="F6" s="1346">
        <v>1313.14</v>
      </c>
      <c r="G6" s="1347">
        <v>0.1</v>
      </c>
      <c r="H6" s="1348">
        <f t="shared" si="0"/>
        <v>118.18260000000002</v>
      </c>
      <c r="I6" s="1349">
        <f>118.18/2</f>
        <v>59.09</v>
      </c>
      <c r="J6" s="1345" t="s">
        <v>1577</v>
      </c>
      <c r="K6" s="1350" t="s">
        <v>2010</v>
      </c>
    </row>
    <row r="7" spans="1:11" s="1345" customFormat="1" ht="15.75">
      <c r="A7" s="1379">
        <v>46167</v>
      </c>
      <c r="B7" s="1379">
        <v>46534</v>
      </c>
      <c r="C7" s="1380" t="s">
        <v>3247</v>
      </c>
      <c r="D7" s="1380" t="s">
        <v>448</v>
      </c>
      <c r="E7" s="1380" t="s">
        <v>279</v>
      </c>
      <c r="F7" s="1381">
        <v>1293.73</v>
      </c>
      <c r="G7" s="1384">
        <v>0.16</v>
      </c>
      <c r="H7" s="1340">
        <f t="shared" si="0"/>
        <v>186.29712000000001</v>
      </c>
      <c r="I7" s="1463">
        <f>186.3/2</f>
        <v>93.15</v>
      </c>
      <c r="J7" s="1380" t="s">
        <v>3246</v>
      </c>
      <c r="K7" s="1341" t="s">
        <v>2010</v>
      </c>
    </row>
    <row r="8" spans="1:11" s="1404" customFormat="1" ht="15.75">
      <c r="A8" s="1928">
        <v>46170</v>
      </c>
      <c r="B8" s="1929">
        <v>46535</v>
      </c>
      <c r="C8" s="1931" t="s">
        <v>1864</v>
      </c>
      <c r="D8" s="1931" t="s">
        <v>9</v>
      </c>
      <c r="E8" s="1931" t="s">
        <v>458</v>
      </c>
      <c r="F8" s="1932">
        <v>1020.5</v>
      </c>
      <c r="G8" s="1933">
        <v>0.1</v>
      </c>
      <c r="H8" s="1340">
        <f t="shared" si="0"/>
        <v>91.845000000000013</v>
      </c>
      <c r="I8" s="1934">
        <f>91.85/2</f>
        <v>45.924999999999997</v>
      </c>
      <c r="J8" s="1935" t="s">
        <v>3246</v>
      </c>
      <c r="K8" s="1937" t="s">
        <v>2010</v>
      </c>
    </row>
    <row r="9" spans="1:11" s="1600" customFormat="1" ht="15.75">
      <c r="A9" s="1372">
        <v>46164</v>
      </c>
      <c r="B9" s="1373">
        <v>46530</v>
      </c>
      <c r="C9" s="1377" t="s">
        <v>3249</v>
      </c>
      <c r="D9" s="1377" t="s">
        <v>9</v>
      </c>
      <c r="E9" s="1377" t="s">
        <v>1593</v>
      </c>
      <c r="F9" s="1905">
        <v>1876.74</v>
      </c>
      <c r="G9" s="1378">
        <v>0.1</v>
      </c>
      <c r="H9" s="1335">
        <f t="shared" si="0"/>
        <v>168.9066</v>
      </c>
      <c r="I9" s="1374">
        <f>168.91/2</f>
        <v>84.454999999999998</v>
      </c>
      <c r="J9" s="1375" t="s">
        <v>3245</v>
      </c>
      <c r="K9" s="1337" t="s">
        <v>2274</v>
      </c>
    </row>
    <row r="10" spans="1:11" s="1600" customFormat="1" ht="15" customHeight="1">
      <c r="A10" s="1040">
        <v>46146</v>
      </c>
      <c r="B10" s="1042">
        <v>46511</v>
      </c>
      <c r="C10" s="1030" t="s">
        <v>2056</v>
      </c>
      <c r="D10" s="1030" t="s">
        <v>448</v>
      </c>
      <c r="E10" s="1030" t="s">
        <v>279</v>
      </c>
      <c r="F10" s="1120">
        <v>622.41999999999996</v>
      </c>
      <c r="G10" s="1073">
        <v>0.1</v>
      </c>
      <c r="H10" s="1067">
        <f t="shared" si="0"/>
        <v>56.017800000000001</v>
      </c>
      <c r="I10" s="1068">
        <v>5.6</v>
      </c>
      <c r="J10" s="1112" t="s">
        <v>2070</v>
      </c>
      <c r="K10" s="1117" t="s">
        <v>2274</v>
      </c>
    </row>
    <row r="11" spans="1:11" s="1600" customFormat="1">
      <c r="A11" s="1040">
        <v>46148</v>
      </c>
      <c r="B11" s="1042">
        <v>46513</v>
      </c>
      <c r="C11" s="1030" t="s">
        <v>3237</v>
      </c>
      <c r="D11" s="1030" t="s">
        <v>9</v>
      </c>
      <c r="E11" s="1030" t="s">
        <v>22</v>
      </c>
      <c r="F11" s="1072">
        <v>1296.93</v>
      </c>
      <c r="G11" s="1073">
        <v>0.14000000000000001</v>
      </c>
      <c r="H11" s="1067">
        <f t="shared" si="0"/>
        <v>163.41318000000004</v>
      </c>
      <c r="I11" s="1068">
        <v>16.34</v>
      </c>
      <c r="J11" s="1112" t="s">
        <v>2070</v>
      </c>
      <c r="K11" s="1027" t="s">
        <v>2274</v>
      </c>
    </row>
    <row r="12" spans="1:11" s="1031" customFormat="1" ht="15.75">
      <c r="A12" s="1040">
        <v>46163</v>
      </c>
      <c r="B12" s="1042">
        <v>46528</v>
      </c>
      <c r="C12" s="1027" t="s">
        <v>3256</v>
      </c>
      <c r="D12" s="1027" t="s">
        <v>1862</v>
      </c>
      <c r="E12" s="1027" t="s">
        <v>1593</v>
      </c>
      <c r="F12" s="1065">
        <v>2886.57</v>
      </c>
      <c r="G12" s="1066">
        <v>0.15</v>
      </c>
      <c r="H12" s="1067">
        <f t="shared" si="0"/>
        <v>389.68695000000002</v>
      </c>
      <c r="I12" s="1068">
        <v>38.96</v>
      </c>
      <c r="J12" s="1112" t="s">
        <v>2070</v>
      </c>
      <c r="K12" s="1117" t="s">
        <v>2274</v>
      </c>
    </row>
    <row r="13" spans="1:11">
      <c r="A13" s="1946">
        <v>46154</v>
      </c>
      <c r="B13" s="1947">
        <v>46519</v>
      </c>
      <c r="C13" s="1948" t="s">
        <v>2221</v>
      </c>
      <c r="D13" s="1948" t="s">
        <v>448</v>
      </c>
      <c r="E13" s="1948" t="s">
        <v>10</v>
      </c>
      <c r="F13" s="1949">
        <v>1888.22</v>
      </c>
      <c r="G13" s="1950">
        <v>0.1</v>
      </c>
      <c r="H13" s="1951">
        <f t="shared" si="0"/>
        <v>169.93980000000002</v>
      </c>
      <c r="I13" s="1952">
        <v>60</v>
      </c>
      <c r="J13" s="1953" t="s">
        <v>2070</v>
      </c>
      <c r="K13" s="1948" t="s">
        <v>2015</v>
      </c>
    </row>
    <row r="14" spans="1:11" s="1031" customFormat="1" ht="15.75">
      <c r="A14" s="1040">
        <v>46149</v>
      </c>
      <c r="B14" s="1042">
        <v>46520</v>
      </c>
      <c r="C14" s="1030" t="s">
        <v>3239</v>
      </c>
      <c r="D14" s="1030" t="s">
        <v>448</v>
      </c>
      <c r="E14" s="1027" t="s">
        <v>948</v>
      </c>
      <c r="F14" s="1065">
        <v>2061.9299999999998</v>
      </c>
      <c r="G14" s="1066">
        <v>0.1</v>
      </c>
      <c r="H14" s="1635">
        <f t="shared" si="0"/>
        <v>185.5737</v>
      </c>
      <c r="I14" s="1068">
        <v>18.55</v>
      </c>
      <c r="J14" s="1112" t="s">
        <v>2070</v>
      </c>
      <c r="K14" s="1117" t="s">
        <v>2015</v>
      </c>
    </row>
    <row r="15" spans="1:11" ht="15.75" customHeight="1">
      <c r="A15" s="1040">
        <v>46154</v>
      </c>
      <c r="B15" s="1042">
        <v>46521</v>
      </c>
      <c r="C15" s="1027" t="s">
        <v>3250</v>
      </c>
      <c r="D15" s="1030" t="s">
        <v>448</v>
      </c>
      <c r="E15" s="1027" t="s">
        <v>1593</v>
      </c>
      <c r="F15" s="1065">
        <v>2010.88</v>
      </c>
      <c r="G15" s="1066">
        <v>0.15</v>
      </c>
      <c r="H15" s="1635">
        <f t="shared" si="0"/>
        <v>271.46879999999999</v>
      </c>
      <c r="I15" s="1068">
        <v>27.14</v>
      </c>
      <c r="J15" s="1112" t="s">
        <v>2070</v>
      </c>
      <c r="K15" s="1117" t="s">
        <v>2015</v>
      </c>
    </row>
    <row r="16" spans="1:11">
      <c r="A16" s="1040">
        <v>46156</v>
      </c>
      <c r="B16" s="1042">
        <v>46522</v>
      </c>
      <c r="C16" s="1930" t="s">
        <v>155</v>
      </c>
      <c r="D16" s="1030" t="s">
        <v>448</v>
      </c>
      <c r="E16" s="1027" t="s">
        <v>10</v>
      </c>
      <c r="F16" s="1065">
        <v>2647.31</v>
      </c>
      <c r="G16" s="1066">
        <v>0.1</v>
      </c>
      <c r="H16" s="1635">
        <f t="shared" si="0"/>
        <v>238.25790000000001</v>
      </c>
      <c r="I16" s="1068">
        <v>23.82</v>
      </c>
      <c r="J16" s="1112" t="s">
        <v>2070</v>
      </c>
      <c r="K16" s="1027" t="s">
        <v>2015</v>
      </c>
    </row>
    <row r="17" spans="1:11" ht="15.75">
      <c r="A17" s="1040">
        <v>46164</v>
      </c>
      <c r="B17" s="1042">
        <v>46532</v>
      </c>
      <c r="C17" s="1027" t="s">
        <v>2232</v>
      </c>
      <c r="D17" s="1030" t="s">
        <v>14</v>
      </c>
      <c r="E17" s="1027" t="s">
        <v>19</v>
      </c>
      <c r="F17" s="1065">
        <v>839.63</v>
      </c>
      <c r="G17" s="1066">
        <v>0.2</v>
      </c>
      <c r="H17" s="1635">
        <f t="shared" si="0"/>
        <v>151.13340000000002</v>
      </c>
      <c r="I17" s="1068">
        <v>15.11</v>
      </c>
      <c r="J17" s="1112" t="s">
        <v>2070</v>
      </c>
      <c r="K17" s="1117" t="s">
        <v>2015</v>
      </c>
    </row>
    <row r="18" spans="1:11" ht="15.75">
      <c r="A18" s="1041">
        <v>46170</v>
      </c>
      <c r="B18" s="1041">
        <v>46538</v>
      </c>
      <c r="C18" s="1027" t="s">
        <v>3259</v>
      </c>
      <c r="D18" s="1027" t="s">
        <v>25</v>
      </c>
      <c r="E18" s="1027" t="s">
        <v>948</v>
      </c>
      <c r="F18" s="1508">
        <v>2556.87</v>
      </c>
      <c r="G18" s="1066">
        <v>0.1</v>
      </c>
      <c r="H18" s="1635">
        <f t="shared" si="0"/>
        <v>230.1183</v>
      </c>
      <c r="I18" s="1234">
        <v>23.01</v>
      </c>
      <c r="J18" s="1112" t="s">
        <v>2070</v>
      </c>
      <c r="K18" s="1117" t="s">
        <v>2015</v>
      </c>
    </row>
    <row r="19" spans="1:11" s="1031" customFormat="1" ht="15.75">
      <c r="A19" s="1379">
        <v>46169</v>
      </c>
      <c r="B19" s="1379">
        <v>46538</v>
      </c>
      <c r="C19" s="1380" t="s">
        <v>3258</v>
      </c>
      <c r="D19" s="1380" t="s">
        <v>70</v>
      </c>
      <c r="E19" s="1380" t="s">
        <v>279</v>
      </c>
      <c r="F19" s="1431">
        <v>798.65</v>
      </c>
      <c r="G19" s="1384">
        <v>0.2</v>
      </c>
      <c r="H19" s="1861">
        <f t="shared" si="0"/>
        <v>143.75700000000003</v>
      </c>
      <c r="I19" s="1369">
        <f>143.76/2</f>
        <v>71.88</v>
      </c>
      <c r="J19" s="1370" t="s">
        <v>3246</v>
      </c>
      <c r="K19" s="1341" t="s">
        <v>2015</v>
      </c>
    </row>
    <row r="20" spans="1:11" ht="15.75">
      <c r="A20" s="1037">
        <v>46142</v>
      </c>
      <c r="B20" s="1039">
        <v>46509</v>
      </c>
      <c r="C20" s="1025" t="s">
        <v>2044</v>
      </c>
      <c r="D20" s="1026" t="s">
        <v>448</v>
      </c>
      <c r="E20" s="1025" t="s">
        <v>10</v>
      </c>
      <c r="F20" s="1071">
        <v>2938.47</v>
      </c>
      <c r="G20" s="1062">
        <v>0.1</v>
      </c>
      <c r="H20" s="1269">
        <f t="shared" si="0"/>
        <v>264.46229999999997</v>
      </c>
      <c r="I20" s="1056"/>
      <c r="J20" s="1111"/>
      <c r="K20" s="1115" t="s">
        <v>2015</v>
      </c>
    </row>
    <row r="21" spans="1:11" ht="15.75">
      <c r="A21" s="1037">
        <v>46142</v>
      </c>
      <c r="B21" s="1039">
        <v>46511</v>
      </c>
      <c r="C21" s="1032" t="s">
        <v>1767</v>
      </c>
      <c r="D21" s="1026" t="s">
        <v>9</v>
      </c>
      <c r="E21" s="1025" t="s">
        <v>10</v>
      </c>
      <c r="F21" s="1061">
        <v>973.4</v>
      </c>
      <c r="G21" s="1062">
        <v>0.2</v>
      </c>
      <c r="H21" s="1269">
        <f t="shared" si="0"/>
        <v>175.21200000000002</v>
      </c>
      <c r="I21" s="1056"/>
      <c r="J21" s="1111"/>
      <c r="K21" s="1115" t="s">
        <v>2015</v>
      </c>
    </row>
    <row r="22" spans="1:11" ht="15.75">
      <c r="A22" s="1037">
        <v>46142</v>
      </c>
      <c r="B22" s="1039">
        <v>46511</v>
      </c>
      <c r="C22" s="1025" t="s">
        <v>1581</v>
      </c>
      <c r="D22" s="1026" t="s">
        <v>2372</v>
      </c>
      <c r="E22" s="1025" t="s">
        <v>19</v>
      </c>
      <c r="F22" s="1023">
        <v>2087.1999999999998</v>
      </c>
      <c r="G22" s="1062">
        <v>0.1</v>
      </c>
      <c r="H22" s="1269">
        <f t="shared" si="0"/>
        <v>187.84800000000001</v>
      </c>
      <c r="I22" s="1056"/>
      <c r="J22" s="1111"/>
      <c r="K22" s="1115" t="s">
        <v>2015</v>
      </c>
    </row>
    <row r="23" spans="1:11" ht="15.75">
      <c r="A23" s="1039">
        <v>46142</v>
      </c>
      <c r="B23" s="1039">
        <v>46511</v>
      </c>
      <c r="C23" s="1025" t="s">
        <v>2046</v>
      </c>
      <c r="D23" s="1025" t="s">
        <v>25</v>
      </c>
      <c r="E23" s="1025" t="s">
        <v>279</v>
      </c>
      <c r="F23" s="1061">
        <v>1485.97</v>
      </c>
      <c r="G23" s="1062">
        <v>0.2</v>
      </c>
      <c r="H23" s="1269">
        <f t="shared" si="0"/>
        <v>267.47460000000001</v>
      </c>
      <c r="I23" s="1242"/>
      <c r="J23" s="1025"/>
      <c r="K23" s="1115" t="s">
        <v>2015</v>
      </c>
    </row>
    <row r="24" spans="1:11" ht="15.75">
      <c r="A24" s="1037">
        <v>46147</v>
      </c>
      <c r="B24" s="1039">
        <v>46512</v>
      </c>
      <c r="C24" s="1032" t="s">
        <v>1257</v>
      </c>
      <c r="D24" s="1026" t="s">
        <v>448</v>
      </c>
      <c r="E24" s="1026" t="s">
        <v>22</v>
      </c>
      <c r="F24" s="1071">
        <v>2769.17</v>
      </c>
      <c r="G24" s="1062">
        <v>0.1</v>
      </c>
      <c r="H24" s="1269">
        <f t="shared" si="0"/>
        <v>249.22530000000003</v>
      </c>
      <c r="I24" s="1056"/>
      <c r="J24" s="1111"/>
      <c r="K24" s="1115" t="s">
        <v>2015</v>
      </c>
    </row>
    <row r="25" spans="1:11" ht="15.75">
      <c r="A25" s="1037">
        <v>46147</v>
      </c>
      <c r="B25" s="1038">
        <v>46512</v>
      </c>
      <c r="C25" s="1025" t="s">
        <v>2223</v>
      </c>
      <c r="D25" s="1026" t="s">
        <v>448</v>
      </c>
      <c r="E25" s="1026" t="s">
        <v>19</v>
      </c>
      <c r="F25" s="1059">
        <v>2722.23</v>
      </c>
      <c r="G25" s="1054">
        <v>0.1</v>
      </c>
      <c r="H25" s="1269">
        <f t="shared" si="0"/>
        <v>245.00070000000002</v>
      </c>
      <c r="I25" s="1056"/>
      <c r="J25" s="1111"/>
      <c r="K25" s="1115" t="s">
        <v>2015</v>
      </c>
    </row>
    <row r="26" spans="1:11" ht="15.75">
      <c r="A26" s="1037">
        <v>46149</v>
      </c>
      <c r="B26" s="1038">
        <v>46514</v>
      </c>
      <c r="C26" s="1025" t="s">
        <v>3241</v>
      </c>
      <c r="D26" s="1026" t="s">
        <v>448</v>
      </c>
      <c r="E26" s="1026" t="s">
        <v>19</v>
      </c>
      <c r="F26" s="1059">
        <v>4017.48</v>
      </c>
      <c r="G26" s="1054">
        <v>0.15</v>
      </c>
      <c r="H26" s="1269">
        <f t="shared" si="0"/>
        <v>542.35979999999995</v>
      </c>
      <c r="I26" s="1056"/>
      <c r="J26" s="1111"/>
      <c r="K26" s="1115" t="s">
        <v>2015</v>
      </c>
    </row>
    <row r="27" spans="1:11" ht="15.75">
      <c r="A27" s="1037">
        <v>46147</v>
      </c>
      <c r="B27" s="1038">
        <v>46516</v>
      </c>
      <c r="C27" s="1025" t="s">
        <v>1379</v>
      </c>
      <c r="D27" s="1026" t="s">
        <v>9</v>
      </c>
      <c r="E27" s="1026" t="s">
        <v>948</v>
      </c>
      <c r="F27" s="1053">
        <v>992.69</v>
      </c>
      <c r="G27" s="1054">
        <v>0.1</v>
      </c>
      <c r="H27" s="1269">
        <f t="shared" si="0"/>
        <v>89.342100000000002</v>
      </c>
      <c r="I27" s="1056"/>
      <c r="J27" s="1111"/>
      <c r="K27" s="1115" t="s">
        <v>2015</v>
      </c>
    </row>
    <row r="28" spans="1:11" ht="15.75">
      <c r="A28" s="1039">
        <v>46149</v>
      </c>
      <c r="B28" s="1039">
        <v>46516</v>
      </c>
      <c r="C28" s="1025" t="s">
        <v>3240</v>
      </c>
      <c r="D28" s="1025" t="s">
        <v>1862</v>
      </c>
      <c r="E28" s="1025" t="s">
        <v>1593</v>
      </c>
      <c r="F28" s="903">
        <v>1504.74</v>
      </c>
      <c r="G28" s="1062">
        <v>0.1</v>
      </c>
      <c r="H28" s="1269">
        <f t="shared" si="0"/>
        <v>135.42660000000001</v>
      </c>
      <c r="I28" s="1242"/>
      <c r="J28" s="1025"/>
      <c r="K28" s="1115" t="s">
        <v>2015</v>
      </c>
    </row>
    <row r="29" spans="1:11" ht="15.75">
      <c r="A29" s="1037">
        <v>46155</v>
      </c>
      <c r="B29" s="1038">
        <v>46520</v>
      </c>
      <c r="C29" s="1025" t="s">
        <v>1284</v>
      </c>
      <c r="D29" s="1026" t="s">
        <v>448</v>
      </c>
      <c r="E29" s="1026" t="s">
        <v>19</v>
      </c>
      <c r="F29" s="1059">
        <v>1953.23</v>
      </c>
      <c r="G29" s="1054">
        <v>0.15</v>
      </c>
      <c r="H29" s="1269">
        <f t="shared" si="0"/>
        <v>263.68604999999997</v>
      </c>
      <c r="I29" s="1056"/>
      <c r="J29" s="1111"/>
      <c r="K29" s="1115" t="s">
        <v>2015</v>
      </c>
    </row>
    <row r="30" spans="1:11" ht="15.75">
      <c r="A30" s="1037">
        <v>46154</v>
      </c>
      <c r="B30" s="1038">
        <v>46521</v>
      </c>
      <c r="C30" s="1026" t="s">
        <v>3242</v>
      </c>
      <c r="D30" s="1026" t="s">
        <v>9</v>
      </c>
      <c r="E30" s="1026" t="s">
        <v>948</v>
      </c>
      <c r="F30" s="1059">
        <v>2484.56</v>
      </c>
      <c r="G30" s="1054">
        <v>0.1</v>
      </c>
      <c r="H30" s="1269">
        <f t="shared" si="0"/>
        <v>223.61040000000003</v>
      </c>
      <c r="I30" s="1056"/>
      <c r="J30" s="1111"/>
      <c r="K30" s="1115" t="s">
        <v>2015</v>
      </c>
    </row>
    <row r="31" spans="1:11" s="1031" customFormat="1" ht="15.75">
      <c r="A31" s="1037">
        <v>46155</v>
      </c>
      <c r="B31" s="1038">
        <v>46521</v>
      </c>
      <c r="C31" s="1026" t="s">
        <v>1770</v>
      </c>
      <c r="D31" s="1026" t="s">
        <v>25</v>
      </c>
      <c r="E31" s="1026" t="s">
        <v>22</v>
      </c>
      <c r="F31" s="1059">
        <v>2641.89</v>
      </c>
      <c r="G31" s="1054">
        <v>0.1</v>
      </c>
      <c r="H31" s="1269">
        <f t="shared" si="0"/>
        <v>237.77010000000001</v>
      </c>
      <c r="I31" s="1056"/>
      <c r="J31" s="1111"/>
      <c r="K31" s="1115" t="s">
        <v>2015</v>
      </c>
    </row>
    <row r="32" spans="1:11" ht="15.75">
      <c r="A32" s="1037">
        <v>46155</v>
      </c>
      <c r="B32" s="1038">
        <v>46523</v>
      </c>
      <c r="C32" s="1025" t="s">
        <v>3251</v>
      </c>
      <c r="D32" s="1026" t="s">
        <v>61</v>
      </c>
      <c r="E32" s="1026" t="s">
        <v>1552</v>
      </c>
      <c r="F32" s="1059">
        <v>2352.25</v>
      </c>
      <c r="G32" s="1054">
        <v>0.1</v>
      </c>
      <c r="H32" s="1269">
        <f t="shared" si="0"/>
        <v>211.70250000000001</v>
      </c>
      <c r="I32" s="1056"/>
      <c r="J32" s="1111"/>
      <c r="K32" s="1115" t="s">
        <v>2015</v>
      </c>
    </row>
    <row r="33" spans="1:11" ht="15.75">
      <c r="A33" s="1037">
        <v>46157</v>
      </c>
      <c r="B33" s="1038">
        <v>46523</v>
      </c>
      <c r="C33" s="1026" t="s">
        <v>3252</v>
      </c>
      <c r="D33" s="1026" t="s">
        <v>848</v>
      </c>
      <c r="E33" s="1025" t="s">
        <v>1593</v>
      </c>
      <c r="F33" s="1023">
        <v>1842.33</v>
      </c>
      <c r="G33" s="1062">
        <v>0.2</v>
      </c>
      <c r="H33" s="1269">
        <f t="shared" si="0"/>
        <v>331.61940000000004</v>
      </c>
      <c r="I33" s="1056"/>
      <c r="J33" s="1111"/>
      <c r="K33" s="1115" t="s">
        <v>2015</v>
      </c>
    </row>
    <row r="34" spans="1:11" ht="15.75">
      <c r="A34" s="1037">
        <v>46157</v>
      </c>
      <c r="B34" s="1038">
        <v>46524</v>
      </c>
      <c r="C34" s="1026" t="s">
        <v>3254</v>
      </c>
      <c r="D34" s="1026" t="s">
        <v>14</v>
      </c>
      <c r="E34" s="1026" t="s">
        <v>279</v>
      </c>
      <c r="F34" s="1059">
        <v>790.86</v>
      </c>
      <c r="G34" s="1054">
        <v>0.2</v>
      </c>
      <c r="H34" s="1269">
        <f t="shared" si="0"/>
        <v>142.35480000000004</v>
      </c>
      <c r="I34" s="1056"/>
      <c r="J34" s="1111"/>
      <c r="K34" s="1115" t="s">
        <v>2015</v>
      </c>
    </row>
    <row r="35" spans="1:11" ht="15.75">
      <c r="A35" s="1037">
        <v>46156</v>
      </c>
      <c r="B35" s="1039">
        <v>46528</v>
      </c>
      <c r="C35" s="1025" t="s">
        <v>3243</v>
      </c>
      <c r="D35" s="1026" t="s">
        <v>533</v>
      </c>
      <c r="E35" s="1025" t="s">
        <v>362</v>
      </c>
      <c r="F35" s="906">
        <v>2206.4</v>
      </c>
      <c r="G35" s="1062">
        <v>0.1</v>
      </c>
      <c r="H35" s="1269">
        <f t="shared" si="0"/>
        <v>198.57600000000002</v>
      </c>
      <c r="I35" s="1056"/>
      <c r="J35" s="1111"/>
      <c r="K35" s="1115" t="s">
        <v>2015</v>
      </c>
    </row>
    <row r="36" spans="1:11" ht="15.75">
      <c r="A36" s="1037">
        <v>46163</v>
      </c>
      <c r="B36" s="1038">
        <v>46528</v>
      </c>
      <c r="C36" s="1026" t="s">
        <v>3244</v>
      </c>
      <c r="D36" s="1026" t="s">
        <v>9</v>
      </c>
      <c r="E36" s="1026" t="s">
        <v>10</v>
      </c>
      <c r="F36" s="1071">
        <v>1904.91</v>
      </c>
      <c r="G36" s="1054">
        <v>0.15</v>
      </c>
      <c r="H36" s="1269">
        <f t="shared" si="0"/>
        <v>257.16284999999999</v>
      </c>
      <c r="I36" s="1056"/>
      <c r="J36" s="1111"/>
      <c r="K36" s="1115" t="s">
        <v>2015</v>
      </c>
    </row>
    <row r="37" spans="1:11" ht="15.75" customHeight="1">
      <c r="A37" s="1037">
        <v>46162</v>
      </c>
      <c r="B37" s="1038">
        <v>46530</v>
      </c>
      <c r="C37" s="1026" t="s">
        <v>1772</v>
      </c>
      <c r="D37" s="1026" t="s">
        <v>14</v>
      </c>
      <c r="E37" s="1025" t="s">
        <v>3101</v>
      </c>
      <c r="F37" s="1061">
        <v>1793.44</v>
      </c>
      <c r="G37" s="1062">
        <v>0.2</v>
      </c>
      <c r="H37" s="1269">
        <v>300.63</v>
      </c>
      <c r="I37" s="1056"/>
      <c r="J37" s="1111"/>
      <c r="K37" s="1115" t="s">
        <v>2015</v>
      </c>
    </row>
    <row r="38" spans="1:11" ht="15.75" customHeight="1">
      <c r="A38" s="1037">
        <v>46162</v>
      </c>
      <c r="B38" s="1038">
        <v>46531</v>
      </c>
      <c r="C38" s="1026" t="s">
        <v>2053</v>
      </c>
      <c r="D38" s="1026" t="s">
        <v>25</v>
      </c>
      <c r="E38" s="1026" t="s">
        <v>22</v>
      </c>
      <c r="F38" s="1059">
        <v>661.1</v>
      </c>
      <c r="G38" s="1054">
        <v>0.15</v>
      </c>
      <c r="H38" s="1269">
        <f t="shared" ref="H38:H60" si="1">F38*G38*(1-10%)</f>
        <v>89.248500000000007</v>
      </c>
      <c r="I38" s="1056"/>
      <c r="J38" s="1111"/>
      <c r="K38" s="1115" t="s">
        <v>2015</v>
      </c>
    </row>
    <row r="39" spans="1:11" ht="16.5" customHeight="1">
      <c r="A39" s="1037">
        <v>46163</v>
      </c>
      <c r="B39" s="1038">
        <v>46533</v>
      </c>
      <c r="C39" s="1026" t="s">
        <v>1424</v>
      </c>
      <c r="D39" s="1026" t="s">
        <v>9</v>
      </c>
      <c r="E39" s="1026" t="s">
        <v>19</v>
      </c>
      <c r="F39" s="1059">
        <v>3766.9</v>
      </c>
      <c r="G39" s="1054">
        <v>0.1</v>
      </c>
      <c r="H39" s="1269">
        <f t="shared" si="1"/>
        <v>339.02100000000007</v>
      </c>
      <c r="I39" s="1056"/>
      <c r="J39" s="1111"/>
      <c r="K39" s="1115" t="s">
        <v>2015</v>
      </c>
    </row>
    <row r="40" spans="1:11" s="1031" customFormat="1" ht="15.75">
      <c r="A40" s="1037">
        <v>46163</v>
      </c>
      <c r="B40" s="1038">
        <v>46534</v>
      </c>
      <c r="C40" s="1025" t="s">
        <v>3257</v>
      </c>
      <c r="D40" s="1026" t="s">
        <v>448</v>
      </c>
      <c r="E40" s="1026" t="s">
        <v>10</v>
      </c>
      <c r="F40" s="1135">
        <v>3161.64</v>
      </c>
      <c r="G40" s="1054">
        <v>0.1</v>
      </c>
      <c r="H40" s="1269">
        <f t="shared" si="1"/>
        <v>284.54759999999999</v>
      </c>
      <c r="I40" s="1056"/>
      <c r="J40" s="1111"/>
      <c r="K40" s="1115" t="s">
        <v>2015</v>
      </c>
    </row>
    <row r="41" spans="1:11">
      <c r="A41" s="1037">
        <v>46170</v>
      </c>
      <c r="B41" s="1038">
        <v>46535</v>
      </c>
      <c r="C41" s="1032" t="s">
        <v>1777</v>
      </c>
      <c r="D41" s="1026" t="s">
        <v>25</v>
      </c>
      <c r="E41" s="1026" t="s">
        <v>10</v>
      </c>
      <c r="F41" s="1053">
        <v>1408.45</v>
      </c>
      <c r="G41" s="1054">
        <v>0.2</v>
      </c>
      <c r="H41" s="1269">
        <f t="shared" si="1"/>
        <v>253.52100000000002</v>
      </c>
      <c r="I41" s="1056"/>
      <c r="J41" s="1111"/>
      <c r="K41" s="1890" t="s">
        <v>2015</v>
      </c>
    </row>
    <row r="42" spans="1:11" ht="16.5">
      <c r="A42" s="1037">
        <v>46168</v>
      </c>
      <c r="B42" s="1038">
        <v>46536</v>
      </c>
      <c r="C42" s="1876" t="s">
        <v>383</v>
      </c>
      <c r="D42" s="1026" t="s">
        <v>9</v>
      </c>
      <c r="E42" s="1026" t="s">
        <v>22</v>
      </c>
      <c r="F42" s="1059">
        <v>1999.91</v>
      </c>
      <c r="G42" s="1054">
        <v>0.15</v>
      </c>
      <c r="H42" s="1269">
        <f t="shared" si="1"/>
        <v>269.98784999999998</v>
      </c>
      <c r="I42" s="1056"/>
      <c r="J42" s="1111"/>
      <c r="K42" s="1115" t="s">
        <v>2015</v>
      </c>
    </row>
    <row r="43" spans="1:11" ht="15.75">
      <c r="A43" s="1037">
        <v>46170</v>
      </c>
      <c r="B43" s="1038">
        <v>46537</v>
      </c>
      <c r="C43" s="1026" t="s">
        <v>1392</v>
      </c>
      <c r="D43" s="1026" t="s">
        <v>25</v>
      </c>
      <c r="E43" s="1026" t="s">
        <v>948</v>
      </c>
      <c r="F43" s="1059">
        <v>1486.29</v>
      </c>
      <c r="G43" s="1054">
        <v>0.15</v>
      </c>
      <c r="H43" s="1269">
        <f t="shared" si="1"/>
        <v>200.64914999999999</v>
      </c>
      <c r="I43" s="1056"/>
      <c r="J43" s="1111"/>
      <c r="K43" s="1115" t="s">
        <v>2015</v>
      </c>
    </row>
    <row r="44" spans="1:11" ht="15.75">
      <c r="A44" s="1037"/>
      <c r="B44" s="1038"/>
      <c r="C44" s="1026"/>
      <c r="D44" s="1026"/>
      <c r="E44" s="1026"/>
      <c r="F44" s="1059"/>
      <c r="G44" s="1054"/>
      <c r="H44" s="1269">
        <f t="shared" si="1"/>
        <v>0</v>
      </c>
      <c r="I44" s="1056"/>
      <c r="J44" s="1111"/>
      <c r="K44" s="1115"/>
    </row>
    <row r="45" spans="1:11" ht="15.75">
      <c r="A45" s="1037"/>
      <c r="B45" s="1038"/>
      <c r="C45" s="1026"/>
      <c r="D45" s="1026"/>
      <c r="E45" s="1026"/>
      <c r="F45" s="1059"/>
      <c r="G45" s="1054"/>
      <c r="H45" s="1269">
        <f t="shared" si="1"/>
        <v>0</v>
      </c>
      <c r="I45" s="1056"/>
      <c r="J45" s="1111"/>
      <c r="K45" s="1115"/>
    </row>
    <row r="46" spans="1:11" ht="15.75">
      <c r="A46" s="1037"/>
      <c r="B46" s="1038"/>
      <c r="C46" s="1030"/>
      <c r="D46" s="1026"/>
      <c r="E46" s="1026"/>
      <c r="F46" s="1059"/>
      <c r="G46" s="1054"/>
      <c r="H46" s="1269">
        <f t="shared" si="1"/>
        <v>0</v>
      </c>
      <c r="I46" s="1056"/>
      <c r="J46" s="1111"/>
      <c r="K46" s="1115"/>
    </row>
    <row r="47" spans="1:11" ht="15.75">
      <c r="A47" s="1037"/>
      <c r="B47" s="1038"/>
      <c r="C47" s="1030"/>
      <c r="D47" s="1026"/>
      <c r="E47" s="1026"/>
      <c r="F47" s="1059"/>
      <c r="G47" s="1054"/>
      <c r="H47" s="1269">
        <f t="shared" si="1"/>
        <v>0</v>
      </c>
      <c r="I47" s="1056"/>
      <c r="J47" s="1111"/>
      <c r="K47" s="1115"/>
    </row>
    <row r="48" spans="1:11" ht="15.75">
      <c r="A48" s="1037"/>
      <c r="B48" s="1038"/>
      <c r="C48" s="1027"/>
      <c r="D48" s="1026"/>
      <c r="E48" s="1026"/>
      <c r="F48" s="1059"/>
      <c r="G48" s="1054"/>
      <c r="H48" s="1269">
        <f t="shared" si="1"/>
        <v>0</v>
      </c>
      <c r="I48" s="1056"/>
      <c r="J48" s="1111"/>
      <c r="K48" s="1115"/>
    </row>
    <row r="49" spans="1:11" ht="15.75">
      <c r="A49" s="1037"/>
      <c r="B49" s="1038"/>
      <c r="C49" s="1041"/>
      <c r="D49" s="1026"/>
      <c r="E49" s="1026"/>
      <c r="F49" s="1059"/>
      <c r="G49" s="1054"/>
      <c r="H49" s="1269">
        <f t="shared" si="1"/>
        <v>0</v>
      </c>
      <c r="I49" s="1056"/>
      <c r="J49" s="1111"/>
      <c r="K49" s="1115"/>
    </row>
    <row r="50" spans="1:11" ht="15.75">
      <c r="A50" s="1037"/>
      <c r="B50" s="1038"/>
      <c r="C50" s="1027"/>
      <c r="D50" s="1026"/>
      <c r="E50" s="1026"/>
      <c r="F50" s="1484"/>
      <c r="G50" s="1054"/>
      <c r="H50" s="1269">
        <f t="shared" si="1"/>
        <v>0</v>
      </c>
      <c r="I50" s="1056"/>
      <c r="J50" s="1111"/>
      <c r="K50" s="1115"/>
    </row>
    <row r="51" spans="1:11" ht="15.75">
      <c r="A51" s="1037"/>
      <c r="B51" s="1038"/>
      <c r="C51" s="1027"/>
      <c r="D51" s="1026"/>
      <c r="E51" s="1026"/>
      <c r="F51" s="1059"/>
      <c r="G51" s="1054"/>
      <c r="H51" s="1269">
        <f t="shared" si="1"/>
        <v>0</v>
      </c>
      <c r="I51" s="1056"/>
      <c r="J51" s="1111"/>
      <c r="K51" s="1115"/>
    </row>
    <row r="52" spans="1:11" ht="15.75">
      <c r="A52" s="1037"/>
      <c r="B52" s="1038"/>
      <c r="C52" s="1028"/>
      <c r="D52" s="1026"/>
      <c r="E52" s="1026"/>
      <c r="F52" s="1059"/>
      <c r="G52" s="1054"/>
      <c r="H52" s="1269">
        <f t="shared" si="1"/>
        <v>0</v>
      </c>
      <c r="I52" s="1056"/>
      <c r="J52" s="1111"/>
      <c r="K52" s="1115"/>
    </row>
    <row r="53" spans="1:11" ht="15.75">
      <c r="A53" s="1037"/>
      <c r="B53" s="1038"/>
      <c r="C53" s="1026"/>
      <c r="D53" s="1026"/>
      <c r="E53" s="1026"/>
      <c r="F53" s="1059"/>
      <c r="G53" s="1054"/>
      <c r="H53" s="1269">
        <f t="shared" si="1"/>
        <v>0</v>
      </c>
      <c r="I53" s="1056"/>
      <c r="J53" s="1111"/>
      <c r="K53" s="1115"/>
    </row>
    <row r="54" spans="1:11" ht="15.75">
      <c r="A54" s="1037"/>
      <c r="B54" s="1038"/>
      <c r="C54" s="1026"/>
      <c r="D54" s="1026"/>
      <c r="E54" s="1026"/>
      <c r="F54" s="1059"/>
      <c r="G54" s="1054"/>
      <c r="H54" s="1269">
        <f t="shared" si="1"/>
        <v>0</v>
      </c>
      <c r="I54" s="1056"/>
      <c r="J54" s="1111"/>
      <c r="K54" s="1115"/>
    </row>
    <row r="55" spans="1:11" ht="15.75">
      <c r="A55" s="1037"/>
      <c r="B55" s="1038"/>
      <c r="C55" s="1026"/>
      <c r="D55" s="1026"/>
      <c r="E55" s="1026"/>
      <c r="F55" s="1059"/>
      <c r="G55" s="1054"/>
      <c r="H55" s="1269">
        <f t="shared" si="1"/>
        <v>0</v>
      </c>
      <c r="I55" s="1056"/>
      <c r="J55" s="1111"/>
      <c r="K55" s="1115"/>
    </row>
    <row r="56" spans="1:11" ht="15.75">
      <c r="A56" s="1037"/>
      <c r="B56" s="1038"/>
      <c r="C56" s="1026"/>
      <c r="D56" s="1026"/>
      <c r="E56" s="1026"/>
      <c r="F56" s="1059"/>
      <c r="G56" s="1054"/>
      <c r="H56" s="1269">
        <f t="shared" si="1"/>
        <v>0</v>
      </c>
      <c r="I56" s="1056"/>
      <c r="J56" s="1111"/>
      <c r="K56" s="1115"/>
    </row>
    <row r="57" spans="1:11" ht="15.75">
      <c r="A57" s="1037"/>
      <c r="B57" s="1038"/>
      <c r="C57" s="1026"/>
      <c r="D57" s="1026"/>
      <c r="E57" s="1026"/>
      <c r="F57" s="1059"/>
      <c r="G57" s="1054"/>
      <c r="H57" s="1269">
        <f t="shared" si="1"/>
        <v>0</v>
      </c>
      <c r="I57" s="1056"/>
      <c r="J57" s="1111"/>
      <c r="K57" s="1115"/>
    </row>
    <row r="58" spans="1:11" ht="15.75">
      <c r="A58" s="1037"/>
      <c r="B58" s="1038"/>
      <c r="C58" s="1026"/>
      <c r="D58" s="1026"/>
      <c r="E58" s="1026"/>
      <c r="F58" s="1059"/>
      <c r="G58" s="1054"/>
      <c r="H58" s="1269">
        <f t="shared" si="1"/>
        <v>0</v>
      </c>
      <c r="I58" s="1056"/>
      <c r="J58" s="1111"/>
      <c r="K58" s="1115"/>
    </row>
    <row r="59" spans="1:11" ht="15.75">
      <c r="A59" s="1037"/>
      <c r="B59" s="1038"/>
      <c r="C59" s="1026"/>
      <c r="D59" s="1026"/>
      <c r="E59" s="1026"/>
      <c r="F59" s="1059"/>
      <c r="G59" s="1054"/>
      <c r="H59" s="1269">
        <f t="shared" si="1"/>
        <v>0</v>
      </c>
      <c r="I59" s="1056"/>
      <c r="J59" s="1111"/>
      <c r="K59" s="1115"/>
    </row>
    <row r="60" spans="1:11" ht="16.5" thickBot="1">
      <c r="A60" s="1039"/>
      <c r="B60" s="1039"/>
      <c r="C60" s="1025"/>
      <c r="D60" s="1025"/>
      <c r="E60" s="1025"/>
      <c r="F60" s="1059"/>
      <c r="G60" s="1054"/>
      <c r="H60" s="1269">
        <f t="shared" si="1"/>
        <v>0</v>
      </c>
      <c r="I60" s="1662"/>
      <c r="J60" s="1111"/>
      <c r="K60" s="1115"/>
    </row>
    <row r="61" spans="1:11" ht="15.75" customHeight="1" thickBot="1">
      <c r="A61" s="1864"/>
      <c r="B61" s="1865"/>
      <c r="C61" s="1865"/>
      <c r="D61" s="1865"/>
      <c r="E61" s="1866"/>
      <c r="F61" s="1670">
        <f>SUM(F3:F6,F7:F60)</f>
        <v>75731.91</v>
      </c>
      <c r="G61" s="1667"/>
      <c r="H61" s="1668">
        <f>SUM(H3:H60)</f>
        <v>8695.9793999999983</v>
      </c>
      <c r="I61" s="1671">
        <f>SUM(I3:I60)</f>
        <v>682.72</v>
      </c>
      <c r="J61" s="1867"/>
      <c r="K61" s="1689"/>
    </row>
    <row r="62" spans="1:11" ht="15.75" customHeight="1">
      <c r="A62" s="1037"/>
      <c r="B62" s="1037"/>
      <c r="C62" s="1026"/>
      <c r="D62" s="1026"/>
      <c r="E62" s="1026"/>
      <c r="F62" s="1102"/>
      <c r="G62" s="1076"/>
      <c r="H62" s="1663"/>
      <c r="I62" s="1077"/>
      <c r="J62" s="1111"/>
      <c r="K62" s="1115"/>
    </row>
    <row r="63" spans="1:11" ht="15.75" customHeight="1">
      <c r="A63" s="1037"/>
      <c r="B63" s="1038"/>
      <c r="C63" s="1026"/>
      <c r="D63" s="1026"/>
      <c r="E63" s="1026"/>
      <c r="F63" s="1059"/>
      <c r="G63" s="1054"/>
      <c r="H63" s="1269"/>
      <c r="I63" s="1056"/>
      <c r="J63" s="1111"/>
      <c r="K63" s="1115"/>
    </row>
    <row r="64" spans="1:11" ht="15.75" customHeight="1">
      <c r="A64" s="1037"/>
      <c r="B64" s="1038"/>
      <c r="C64" s="1026"/>
      <c r="D64" s="1026"/>
      <c r="E64" s="1026"/>
      <c r="F64" s="1059"/>
      <c r="G64" s="1054"/>
      <c r="H64" s="1269"/>
      <c r="I64" s="1056"/>
      <c r="J64" s="1111"/>
      <c r="K64" s="1115"/>
    </row>
    <row r="65" spans="1:11" ht="15.75" customHeight="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115"/>
    </row>
    <row r="66" spans="1:11" ht="15.75" customHeight="1">
      <c r="A66" s="1037"/>
      <c r="B66" s="1038"/>
      <c r="C66" s="1026"/>
      <c r="D66" s="1026"/>
      <c r="E66" s="1026"/>
      <c r="F66" s="1059"/>
      <c r="G66" s="1054"/>
      <c r="H66" s="1269"/>
      <c r="I66" s="1056"/>
      <c r="J66" s="1111"/>
      <c r="K66" s="1115"/>
    </row>
    <row r="67" spans="1:11" ht="15.75" customHeight="1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1115"/>
    </row>
    <row r="68" spans="1:11" ht="15.75" customHeight="1">
      <c r="A68" s="1037"/>
      <c r="B68" s="1038"/>
      <c r="C68" s="1026"/>
      <c r="D68" s="1026"/>
      <c r="E68" s="1026"/>
      <c r="F68" s="1059"/>
      <c r="G68" s="1054"/>
      <c r="H68" s="1269"/>
      <c r="I68" s="1056"/>
      <c r="J68" s="1111"/>
      <c r="K68" s="1115"/>
    </row>
    <row r="69" spans="1:11" ht="15.75" customHeight="1">
      <c r="A69" s="1037"/>
      <c r="B69" s="1038"/>
      <c r="C69" s="1026"/>
      <c r="D69" s="1026"/>
      <c r="E69" s="1026"/>
      <c r="F69" s="1059"/>
      <c r="G69" s="1054"/>
      <c r="H69" s="1269"/>
      <c r="I69" s="1056"/>
      <c r="J69" s="1111"/>
      <c r="K69" s="1115"/>
    </row>
    <row r="70" spans="1:11" ht="15.75" customHeight="1">
      <c r="A70" s="1037"/>
      <c r="B70" s="1038"/>
      <c r="C70" s="1026"/>
      <c r="D70" s="1026"/>
      <c r="E70" s="1026"/>
      <c r="F70" s="1059"/>
      <c r="G70" s="1054"/>
      <c r="H70" s="1269"/>
      <c r="I70" s="1056"/>
      <c r="J70" s="1111"/>
      <c r="K70" s="1025"/>
    </row>
    <row r="71" spans="1:11" ht="15.75" customHeight="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115"/>
    </row>
    <row r="72" spans="1:11" ht="15.75" customHeight="1">
      <c r="A72" s="1037"/>
      <c r="B72" s="1038"/>
      <c r="C72" s="1026"/>
      <c r="D72" s="1026"/>
      <c r="E72" s="1026"/>
      <c r="F72" s="1059"/>
      <c r="G72" s="1059"/>
      <c r="H72" s="1269"/>
      <c r="I72" s="1056"/>
      <c r="J72" s="1111"/>
      <c r="K72" s="1115"/>
    </row>
    <row r="73" spans="1:11" ht="15.75" customHeight="1">
      <c r="A73" s="1037"/>
      <c r="B73" s="1038"/>
      <c r="C73" s="1026"/>
      <c r="D73" s="1026"/>
      <c r="E73" s="1026"/>
      <c r="F73" s="1059"/>
      <c r="G73" s="1059"/>
      <c r="H73" s="1269"/>
      <c r="I73" s="1056"/>
      <c r="J73" s="1111"/>
      <c r="K73" s="1025"/>
    </row>
    <row r="74" spans="1:11" ht="15.75" customHeight="1">
      <c r="A74" s="1037"/>
      <c r="B74" s="1038"/>
      <c r="C74" s="1026"/>
      <c r="D74" s="1026"/>
      <c r="E74" s="1026"/>
      <c r="F74" s="1059"/>
      <c r="G74" s="1059"/>
      <c r="H74" s="1269"/>
      <c r="I74" s="1056"/>
      <c r="J74" s="1111"/>
      <c r="K74" s="1025"/>
    </row>
    <row r="75" spans="1:11" ht="15.75" customHeight="1">
      <c r="A75" s="1037"/>
      <c r="B75" s="1038"/>
      <c r="C75" s="1026"/>
      <c r="D75" s="1026"/>
      <c r="E75" s="1026"/>
      <c r="F75" s="1059"/>
      <c r="G75" s="1054"/>
      <c r="H75" s="1269"/>
      <c r="I75" s="1056"/>
      <c r="J75" s="1111"/>
      <c r="K75" s="1115"/>
    </row>
    <row r="76" spans="1:11" ht="15.75" customHeight="1">
      <c r="A76" s="1037"/>
      <c r="B76" s="1038"/>
      <c r="C76" s="1026"/>
      <c r="D76" s="1026"/>
      <c r="E76" s="1026"/>
      <c r="F76" s="1059"/>
      <c r="G76" s="1054"/>
      <c r="H76" s="1269"/>
      <c r="I76" s="1056"/>
      <c r="J76" s="1111"/>
      <c r="K76" s="1115"/>
    </row>
    <row r="77" spans="1:11" ht="15.75" customHeight="1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1115"/>
    </row>
    <row r="78" spans="1:11" ht="15.75">
      <c r="A78" s="1037"/>
      <c r="B78" s="1038"/>
      <c r="C78" s="1026"/>
      <c r="D78" s="1026"/>
      <c r="E78" s="1026"/>
      <c r="F78" s="1059"/>
      <c r="G78" s="1054"/>
      <c r="H78" s="1269"/>
      <c r="I78" s="1056"/>
      <c r="J78" s="1111"/>
      <c r="K78" s="1115"/>
    </row>
    <row r="79" spans="1:11" ht="15.75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1115"/>
    </row>
    <row r="80" spans="1:11" ht="15.75">
      <c r="A80" s="1037"/>
      <c r="B80" s="1038"/>
      <c r="C80" s="1025"/>
      <c r="D80" s="1025"/>
      <c r="E80" s="1025"/>
      <c r="F80" s="1059"/>
      <c r="G80" s="1062"/>
      <c r="H80" s="1055"/>
      <c r="I80" s="1056"/>
      <c r="J80" s="1111"/>
      <c r="K80" s="1115"/>
    </row>
    <row r="81" spans="1:11" ht="15.75">
      <c r="A81" s="1037"/>
      <c r="B81" s="1039"/>
      <c r="C81" s="1025"/>
      <c r="D81" s="1025"/>
      <c r="E81" s="1025"/>
      <c r="F81" s="1059"/>
      <c r="G81" s="1054"/>
      <c r="H81" s="1269"/>
      <c r="I81" s="1056"/>
      <c r="J81" s="1111"/>
      <c r="K81" s="1115"/>
    </row>
    <row r="82" spans="1:11" ht="15.75">
      <c r="A82" s="1037"/>
      <c r="B82" s="1038"/>
      <c r="C82" s="1026"/>
      <c r="D82" s="1026"/>
      <c r="E82" s="1026"/>
      <c r="F82" s="1059"/>
      <c r="G82" s="1054"/>
      <c r="H82" s="1269"/>
      <c r="I82" s="1056"/>
      <c r="J82" s="1111"/>
      <c r="K82" s="1115"/>
    </row>
    <row r="83" spans="1:11" ht="15.75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1115"/>
    </row>
    <row r="84" spans="1:11" ht="15.75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115"/>
    </row>
    <row r="85" spans="1:11" ht="15.75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115"/>
    </row>
    <row r="86" spans="1:11" ht="15.75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115"/>
    </row>
    <row r="87" spans="1:11" ht="15.75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5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115"/>
    </row>
    <row r="89" spans="1:11" ht="15.75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115"/>
    </row>
    <row r="90" spans="1:11" ht="15.75">
      <c r="A90" s="1037"/>
      <c r="B90" s="1038"/>
      <c r="C90" s="1026"/>
      <c r="D90" s="1026"/>
      <c r="E90" s="1026"/>
      <c r="F90" s="1059"/>
      <c r="G90" s="1054"/>
      <c r="H90" s="1269"/>
      <c r="I90" s="1056"/>
      <c r="J90" s="1111"/>
      <c r="K90" s="1115"/>
    </row>
    <row r="91" spans="1:11" ht="15.75">
      <c r="A91" s="1037"/>
      <c r="B91" s="1038"/>
      <c r="C91" s="1026"/>
      <c r="D91" s="1026"/>
      <c r="E91" s="1026"/>
      <c r="F91" s="1059"/>
      <c r="G91" s="1054"/>
      <c r="H91" s="1269"/>
      <c r="I91" s="1056"/>
      <c r="J91" s="1111"/>
      <c r="K91" s="1115"/>
    </row>
    <row r="92" spans="1:11" ht="15.75">
      <c r="A92" s="1037"/>
      <c r="B92" s="1038"/>
      <c r="C92" s="1026"/>
      <c r="D92" s="1026"/>
      <c r="E92" s="1026"/>
      <c r="F92" s="1059"/>
      <c r="G92" s="1054"/>
      <c r="H92" s="1269"/>
      <c r="I92" s="1056"/>
      <c r="J92" s="1111"/>
      <c r="K92" s="1115"/>
    </row>
    <row r="93" spans="1:11" ht="15.75">
      <c r="A93" s="1037"/>
      <c r="B93" s="1038"/>
      <c r="C93" s="1026"/>
      <c r="D93" s="1026"/>
      <c r="E93" s="1026"/>
      <c r="F93" s="1059"/>
      <c r="G93" s="1054"/>
      <c r="H93" s="1269"/>
      <c r="I93" s="1056"/>
      <c r="J93" s="1111"/>
      <c r="K93" s="1115"/>
    </row>
    <row r="94" spans="1:11" ht="15.75">
      <c r="A94" s="1037"/>
      <c r="B94" s="1038"/>
      <c r="C94" s="1026"/>
      <c r="D94" s="1026"/>
      <c r="E94" s="1026"/>
      <c r="F94" s="1059"/>
      <c r="G94" s="1054"/>
      <c r="H94" s="1269"/>
      <c r="I94" s="1056"/>
      <c r="J94" s="1111"/>
      <c r="K94" s="1115"/>
    </row>
    <row r="95" spans="1:11">
      <c r="A95" s="1037"/>
      <c r="B95" s="1038"/>
      <c r="C95" s="1026"/>
      <c r="D95" s="1026"/>
      <c r="E95" s="1026"/>
      <c r="F95" s="1059"/>
      <c r="G95" s="1059"/>
      <c r="H95" s="1269"/>
      <c r="I95" s="1056"/>
      <c r="J95" s="1111"/>
      <c r="K95" s="1025"/>
    </row>
    <row r="96" spans="1:11">
      <c r="A96" s="1037"/>
      <c r="B96" s="1038"/>
      <c r="C96" s="1026"/>
      <c r="D96" s="1026"/>
      <c r="E96" s="1026"/>
      <c r="F96" s="1059"/>
      <c r="G96" s="1059"/>
      <c r="H96" s="1269"/>
      <c r="I96" s="1056"/>
      <c r="J96" s="1111"/>
      <c r="K96" s="1025"/>
    </row>
    <row r="97" spans="1:11">
      <c r="A97" s="1037"/>
      <c r="B97" s="1038"/>
      <c r="C97" s="1026"/>
      <c r="D97" s="1026"/>
      <c r="E97" s="1026"/>
      <c r="F97" s="1059"/>
      <c r="G97" s="1059"/>
      <c r="H97" s="1269"/>
      <c r="I97" s="1056"/>
      <c r="J97" s="1111"/>
      <c r="K97" s="1025"/>
    </row>
    <row r="98" spans="1:11" ht="15.75">
      <c r="A98" s="1037"/>
      <c r="B98" s="1038"/>
      <c r="C98" s="1026"/>
      <c r="D98" s="1026"/>
      <c r="E98" s="1026"/>
      <c r="F98" s="1059"/>
      <c r="G98" s="1054"/>
      <c r="H98" s="1269"/>
      <c r="I98" s="1056"/>
      <c r="J98" s="1111"/>
      <c r="K98" s="1115"/>
    </row>
    <row r="99" spans="1:11">
      <c r="A99" s="1037"/>
      <c r="B99" s="1038"/>
      <c r="C99" s="1026"/>
      <c r="D99" s="1026"/>
      <c r="E99" s="1026"/>
      <c r="F99" s="1059"/>
      <c r="G99" s="1059"/>
      <c r="H99" s="1269"/>
      <c r="I99" s="1056"/>
      <c r="J99" s="1111"/>
      <c r="K99" s="1025"/>
    </row>
    <row r="100" spans="1:11">
      <c r="A100" s="1037"/>
      <c r="B100" s="1038"/>
      <c r="C100" s="1026"/>
      <c r="D100" s="1026"/>
      <c r="E100" s="1026"/>
      <c r="F100" s="1059"/>
      <c r="G100" s="1059"/>
      <c r="H100" s="1269"/>
      <c r="I100" s="1056"/>
      <c r="J100" s="1111"/>
      <c r="K100" s="1025"/>
    </row>
    <row r="101" spans="1:11">
      <c r="A101" s="1037"/>
      <c r="B101" s="1038"/>
      <c r="C101" s="1026"/>
      <c r="D101" s="1026"/>
      <c r="E101" s="1026"/>
      <c r="F101" s="1059"/>
      <c r="G101" s="1059"/>
      <c r="H101" s="1269"/>
      <c r="I101" s="1056"/>
      <c r="J101" s="1111"/>
      <c r="K101" s="1025"/>
    </row>
    <row r="102" spans="1:11" ht="15.75">
      <c r="A102" s="1037"/>
      <c r="B102" s="1038"/>
      <c r="C102" s="1026"/>
      <c r="D102" s="1026"/>
      <c r="E102" s="1026"/>
      <c r="F102" s="1059"/>
      <c r="G102" s="1054"/>
      <c r="H102" s="1269"/>
      <c r="I102" s="1056"/>
      <c r="J102" s="1111"/>
      <c r="K102" s="1115"/>
    </row>
    <row r="103" spans="1:11" ht="15.75">
      <c r="A103" s="1037"/>
      <c r="B103" s="1038"/>
      <c r="C103" s="1026"/>
      <c r="D103" s="1026"/>
      <c r="E103" s="1026"/>
      <c r="F103" s="1059"/>
      <c r="G103" s="1054"/>
      <c r="H103" s="1269"/>
      <c r="I103" s="1056"/>
      <c r="J103" s="1111"/>
      <c r="K103" s="1115"/>
    </row>
    <row r="104" spans="1:11">
      <c r="A104" s="1037"/>
      <c r="B104" s="1038"/>
      <c r="C104" s="1026"/>
      <c r="D104" s="1026"/>
      <c r="E104" s="1026"/>
      <c r="F104" s="1059"/>
      <c r="G104" s="1059"/>
      <c r="H104" s="1269"/>
      <c r="I104" s="1056"/>
      <c r="J104" s="1111"/>
      <c r="K104" s="1025"/>
    </row>
    <row r="105" spans="1:11">
      <c r="A105" s="1037"/>
      <c r="B105" s="1038"/>
      <c r="C105" s="1026"/>
      <c r="D105" s="1026"/>
      <c r="E105" s="1026"/>
      <c r="F105" s="1059"/>
      <c r="G105" s="1059"/>
      <c r="H105" s="1269"/>
      <c r="I105" s="1056"/>
      <c r="J105" s="1111"/>
      <c r="K105" s="1025"/>
    </row>
    <row r="106" spans="1:11">
      <c r="A106" s="1037"/>
      <c r="B106" s="1038"/>
      <c r="C106" s="1026"/>
      <c r="D106" s="1026"/>
      <c r="E106" s="1026"/>
      <c r="F106" s="1059"/>
      <c r="G106" s="1059"/>
      <c r="H106" s="1269"/>
      <c r="I106" s="1056"/>
      <c r="J106" s="1111"/>
      <c r="K106" s="1025"/>
    </row>
    <row r="107" spans="1:11">
      <c r="A107" s="1037"/>
      <c r="B107" s="1038"/>
      <c r="C107" s="1026"/>
      <c r="D107" s="1026"/>
      <c r="E107" s="1026"/>
      <c r="F107" s="1059"/>
      <c r="G107" s="1059"/>
      <c r="H107" s="1269"/>
      <c r="I107" s="1056"/>
      <c r="J107" s="1111"/>
      <c r="K107" s="1025"/>
    </row>
    <row r="108" spans="1:11">
      <c r="A108" s="1037"/>
      <c r="B108" s="1038"/>
      <c r="C108" s="1026"/>
      <c r="D108" s="1026"/>
      <c r="E108" s="1026"/>
      <c r="F108" s="1059"/>
      <c r="G108" s="1059"/>
      <c r="H108" s="1269"/>
      <c r="I108" s="1056"/>
      <c r="J108" s="1111"/>
      <c r="K108" s="1025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1025"/>
    </row>
    <row r="110" spans="1:11" ht="15.75">
      <c r="A110" s="1037"/>
      <c r="B110" s="1038"/>
      <c r="C110" s="1026"/>
      <c r="D110" s="1026"/>
      <c r="E110" s="1026"/>
      <c r="F110" s="1059"/>
      <c r="G110" s="1054"/>
      <c r="H110" s="1269"/>
      <c r="I110" s="1056"/>
      <c r="J110" s="1111"/>
      <c r="K110" s="1115"/>
    </row>
    <row r="111" spans="1:11">
      <c r="A111" s="1037"/>
      <c r="B111" s="1038"/>
      <c r="C111" s="1026"/>
      <c r="D111" s="1026"/>
      <c r="E111" s="1026"/>
      <c r="F111" s="1059"/>
      <c r="G111" s="1059"/>
      <c r="H111" s="1269"/>
      <c r="I111" s="1056"/>
      <c r="J111" s="1111"/>
      <c r="K111" s="1025"/>
    </row>
    <row r="112" spans="1:11">
      <c r="A112" s="1037"/>
      <c r="B112" s="1038"/>
      <c r="C112" s="1026"/>
      <c r="D112" s="1026"/>
      <c r="E112" s="1026"/>
      <c r="F112" s="1059"/>
      <c r="G112" s="1059"/>
      <c r="H112" s="1269"/>
      <c r="I112" s="1056"/>
      <c r="J112" s="1111"/>
      <c r="K112" s="1025"/>
    </row>
    <row r="113" spans="1:11">
      <c r="A113" s="1037"/>
      <c r="B113" s="1038"/>
      <c r="C113" s="1026"/>
      <c r="D113" s="1026"/>
      <c r="E113" s="1026"/>
      <c r="F113" s="1059"/>
      <c r="G113" s="1059"/>
      <c r="H113" s="1269"/>
      <c r="I113" s="1056"/>
      <c r="J113" s="1111"/>
      <c r="K113" s="1025"/>
    </row>
    <row r="114" spans="1:11" ht="15.75">
      <c r="A114" s="1037"/>
      <c r="B114" s="1038"/>
      <c r="C114" s="1026"/>
      <c r="D114" s="1026"/>
      <c r="E114" s="1026"/>
      <c r="F114" s="1059"/>
      <c r="G114" s="1059"/>
      <c r="H114" s="1269"/>
      <c r="I114" s="1056"/>
      <c r="J114" s="1111"/>
      <c r="K114" s="1115"/>
    </row>
    <row r="115" spans="1:11">
      <c r="A115" s="1037"/>
      <c r="B115" s="1038"/>
      <c r="C115" s="1026"/>
      <c r="D115" s="1026"/>
      <c r="E115" s="1026"/>
      <c r="F115" s="1059"/>
      <c r="G115" s="1059"/>
      <c r="H115" s="1269"/>
      <c r="I115" s="1056"/>
      <c r="J115" s="1111"/>
      <c r="K115" s="1025"/>
    </row>
    <row r="116" spans="1:11">
      <c r="A116" s="1037"/>
      <c r="B116" s="1038"/>
      <c r="C116" s="1026"/>
      <c r="D116" s="1026"/>
      <c r="E116" s="1026"/>
      <c r="F116" s="1059"/>
      <c r="G116" s="1059"/>
      <c r="H116" s="1269"/>
      <c r="I116" s="1056"/>
      <c r="J116" s="1111"/>
      <c r="K116" s="1025"/>
    </row>
    <row r="117" spans="1:11">
      <c r="A117" s="1037"/>
      <c r="B117" s="1038"/>
      <c r="C117" s="1026"/>
      <c r="D117" s="1026"/>
      <c r="E117" s="1026"/>
      <c r="F117" s="1059"/>
      <c r="G117" s="1059"/>
      <c r="H117" s="1269"/>
      <c r="I117" s="1056"/>
      <c r="J117" s="1111"/>
      <c r="K117" s="1025"/>
    </row>
    <row r="118" spans="1:11">
      <c r="A118" s="1037"/>
      <c r="B118" s="1038"/>
      <c r="C118" s="1026"/>
      <c r="D118" s="1026"/>
      <c r="E118" s="1026"/>
      <c r="F118" s="1059"/>
      <c r="G118" s="1059"/>
      <c r="H118" s="1269"/>
      <c r="I118" s="1056"/>
      <c r="J118" s="1111"/>
      <c r="K118" s="1025"/>
    </row>
    <row r="119" spans="1:11">
      <c r="A119" s="1037"/>
      <c r="B119" s="1038"/>
      <c r="C119" s="1026"/>
      <c r="D119" s="1026"/>
      <c r="E119" s="1026"/>
      <c r="F119" s="1059"/>
      <c r="G119" s="1054"/>
      <c r="H119" s="1269"/>
      <c r="I119" s="1056"/>
      <c r="J119" s="1111"/>
      <c r="K119" s="1025"/>
    </row>
    <row r="120" spans="1:11" ht="15.75">
      <c r="A120" s="1037"/>
      <c r="B120" s="1038"/>
      <c r="C120" s="1025"/>
      <c r="D120" s="1026"/>
      <c r="E120" s="1026"/>
      <c r="F120" s="1059"/>
      <c r="G120" s="1054"/>
      <c r="H120" s="1269"/>
      <c r="I120" s="1056"/>
      <c r="J120" s="1111"/>
      <c r="K120" s="1115"/>
    </row>
    <row r="121" spans="1:11" ht="15.75">
      <c r="A121" s="1037"/>
      <c r="B121" s="1038"/>
      <c r="C121" s="1026"/>
      <c r="D121" s="1026"/>
      <c r="E121" s="1026"/>
      <c r="F121" s="1059"/>
      <c r="G121" s="1054"/>
      <c r="H121" s="1269"/>
      <c r="I121" s="1056"/>
      <c r="J121" s="1111"/>
      <c r="K121" s="1115"/>
    </row>
    <row r="122" spans="1:11" ht="15.75">
      <c r="A122" s="1037"/>
      <c r="B122" s="1038"/>
      <c r="C122" s="1026"/>
      <c r="D122" s="1026"/>
      <c r="E122" s="1026"/>
      <c r="F122" s="1059"/>
      <c r="G122" s="1054"/>
      <c r="H122" s="1269"/>
      <c r="I122" s="1056"/>
      <c r="J122" s="1111"/>
      <c r="K122" s="1115"/>
    </row>
    <row r="123" spans="1:11" ht="15.75">
      <c r="A123" s="1037"/>
      <c r="B123" s="1038"/>
      <c r="C123" s="1026"/>
      <c r="D123" s="1026"/>
      <c r="E123" s="1026"/>
      <c r="F123" s="1059"/>
      <c r="G123" s="1054"/>
      <c r="H123" s="1269"/>
      <c r="I123" s="1056"/>
      <c r="J123" s="1111"/>
      <c r="K123" s="1115"/>
    </row>
    <row r="124" spans="1:11" ht="15.75">
      <c r="A124" s="1037"/>
      <c r="B124" s="1038"/>
      <c r="C124" s="1026"/>
      <c r="D124" s="1026"/>
      <c r="E124" s="1026"/>
      <c r="F124" s="1059"/>
      <c r="G124" s="1054"/>
      <c r="H124" s="1269"/>
      <c r="I124" s="1056"/>
      <c r="J124" s="1111"/>
      <c r="K124" s="1115"/>
    </row>
    <row r="125" spans="1:11">
      <c r="A125" s="1037"/>
      <c r="B125" s="1038"/>
      <c r="C125" s="1026"/>
      <c r="D125" s="1026"/>
      <c r="E125" s="1026"/>
      <c r="F125" s="1059"/>
      <c r="G125" s="1059"/>
      <c r="H125" s="1269"/>
      <c r="I125" s="1056"/>
      <c r="J125" s="1111"/>
      <c r="K125" s="1025"/>
    </row>
    <row r="126" spans="1:11">
      <c r="A126" s="1037"/>
      <c r="B126" s="1038"/>
      <c r="C126" s="1026"/>
      <c r="D126" s="1026"/>
      <c r="E126" s="1026"/>
      <c r="F126" s="1059"/>
      <c r="G126" s="1059"/>
      <c r="H126" s="1269"/>
      <c r="I126" s="1056"/>
      <c r="J126" s="1111"/>
      <c r="K126" s="1025"/>
    </row>
    <row r="127" spans="1:11" ht="15.75">
      <c r="A127" s="1037"/>
      <c r="B127" s="1038"/>
      <c r="C127" s="1026"/>
      <c r="D127" s="1026"/>
      <c r="E127" s="1026"/>
      <c r="F127" s="1059"/>
      <c r="G127" s="1054"/>
      <c r="H127" s="1269"/>
      <c r="I127" s="1056"/>
      <c r="J127" s="1111"/>
      <c r="K127" s="1115"/>
    </row>
    <row r="128" spans="1:11" ht="15.75">
      <c r="A128" s="1037"/>
      <c r="B128" s="1038"/>
      <c r="C128" s="1026"/>
      <c r="D128" s="1026"/>
      <c r="E128" s="1026"/>
      <c r="F128" s="1059"/>
      <c r="G128" s="1054"/>
      <c r="H128" s="1269"/>
      <c r="I128" s="1056"/>
      <c r="J128" s="1111"/>
      <c r="K128" s="1115"/>
    </row>
    <row r="129" spans="1:11" ht="15.75">
      <c r="A129" s="1037"/>
      <c r="B129" s="1038"/>
      <c r="C129" s="1026"/>
      <c r="D129" s="1026"/>
      <c r="E129" s="1026"/>
      <c r="F129" s="1059"/>
      <c r="G129" s="1054"/>
      <c r="H129" s="1269"/>
      <c r="I129" s="1056"/>
      <c r="J129" s="1111"/>
      <c r="K129" s="1115"/>
    </row>
    <row r="130" spans="1:11">
      <c r="A130" s="1037"/>
      <c r="B130" s="1038"/>
      <c r="C130" s="1026"/>
      <c r="D130" s="1026"/>
      <c r="E130" s="1026"/>
      <c r="F130" s="1059"/>
      <c r="G130" s="1054"/>
      <c r="H130" s="1269"/>
      <c r="I130" s="1056"/>
      <c r="J130" s="1111"/>
      <c r="K130" s="1025"/>
    </row>
    <row r="131" spans="1:11">
      <c r="A131" s="1037"/>
      <c r="B131" s="1038"/>
      <c r="C131" s="1026"/>
      <c r="D131" s="1026"/>
      <c r="E131" s="1026"/>
      <c r="F131" s="1059"/>
      <c r="G131" s="1054"/>
      <c r="H131" s="1269"/>
      <c r="I131" s="1056"/>
      <c r="J131" s="1111"/>
      <c r="K131" s="1025"/>
    </row>
    <row r="132" spans="1:11">
      <c r="A132" s="1037"/>
      <c r="B132" s="1038"/>
      <c r="C132" s="1026"/>
      <c r="D132" s="1026"/>
      <c r="E132" s="1026"/>
      <c r="F132" s="1059"/>
      <c r="G132" s="1059"/>
      <c r="H132" s="1269"/>
      <c r="I132" s="1056"/>
      <c r="J132" s="1111"/>
      <c r="K132" s="1025"/>
    </row>
    <row r="133" spans="1:11">
      <c r="A133" s="1037"/>
      <c r="B133" s="1038"/>
      <c r="C133" s="1026"/>
      <c r="D133" s="1026"/>
      <c r="E133" s="1026"/>
      <c r="F133" s="1059"/>
      <c r="G133" s="1059"/>
      <c r="H133" s="1269"/>
      <c r="I133" s="1056"/>
      <c r="J133" s="1111"/>
      <c r="K133" s="1025"/>
    </row>
    <row r="134" spans="1:11">
      <c r="A134" s="1037"/>
      <c r="B134" s="1038"/>
      <c r="C134" s="1026"/>
      <c r="D134" s="1026"/>
      <c r="E134" s="1026"/>
      <c r="F134" s="1059"/>
      <c r="G134" s="1059"/>
      <c r="H134" s="1269"/>
      <c r="I134" s="1056"/>
      <c r="J134" s="1111"/>
      <c r="K134" s="1025"/>
    </row>
    <row r="135" spans="1:11">
      <c r="A135" s="1037"/>
      <c r="B135" s="1038"/>
      <c r="C135" s="1026"/>
      <c r="D135" s="1026"/>
      <c r="E135" s="1026"/>
      <c r="F135" s="1059"/>
      <c r="G135" s="1059"/>
      <c r="H135" s="1269"/>
      <c r="I135" s="1056"/>
      <c r="J135" s="1111"/>
      <c r="K135" s="1025"/>
    </row>
    <row r="136" spans="1:11" ht="15.75">
      <c r="A136" s="1037"/>
      <c r="B136" s="1038"/>
      <c r="C136" s="1026"/>
      <c r="D136" s="1026"/>
      <c r="E136" s="1026"/>
      <c r="F136" s="1059"/>
      <c r="G136" s="1054"/>
      <c r="H136" s="1269"/>
      <c r="I136" s="1056"/>
      <c r="J136" s="1111"/>
      <c r="K136" s="1115"/>
    </row>
    <row r="137" spans="1:11" ht="15.75">
      <c r="A137" s="1037"/>
      <c r="B137" s="1038"/>
      <c r="C137" s="1026"/>
      <c r="D137" s="1026"/>
      <c r="E137" s="1026"/>
      <c r="F137" s="1059"/>
      <c r="G137" s="1059"/>
      <c r="H137" s="1269"/>
      <c r="I137" s="1056"/>
      <c r="J137" s="1111"/>
      <c r="K137" s="1115"/>
    </row>
    <row r="138" spans="1:11">
      <c r="A138" s="1037"/>
      <c r="B138" s="1038"/>
      <c r="C138" s="1026"/>
      <c r="D138" s="1026"/>
      <c r="E138" s="1026"/>
      <c r="F138" s="1059"/>
      <c r="G138" s="1059"/>
      <c r="H138" s="1269"/>
      <c r="I138" s="1056"/>
      <c r="J138" s="1111"/>
      <c r="K138" s="1025"/>
    </row>
    <row r="139" spans="1:11">
      <c r="A139" s="1037"/>
      <c r="B139" s="1038"/>
      <c r="C139" s="1026"/>
      <c r="D139" s="1026"/>
      <c r="E139" s="1026"/>
      <c r="F139" s="1059"/>
      <c r="G139" s="1054"/>
      <c r="H139" s="1269"/>
      <c r="I139" s="1056"/>
      <c r="J139" s="1111"/>
      <c r="K139" s="1025"/>
    </row>
    <row r="140" spans="1:11" ht="15.75">
      <c r="A140" s="1037"/>
      <c r="B140" s="1038"/>
      <c r="C140" s="1026"/>
      <c r="D140" s="1026"/>
      <c r="E140" s="1026"/>
      <c r="F140" s="1059"/>
      <c r="G140" s="1054"/>
      <c r="H140" s="1269"/>
      <c r="I140" s="1056"/>
      <c r="J140" s="1111"/>
      <c r="K140" s="1115"/>
    </row>
    <row r="141" spans="1:11">
      <c r="A141" s="1037"/>
      <c r="B141" s="1038"/>
      <c r="C141" s="1026"/>
      <c r="D141" s="1026"/>
      <c r="E141" s="1026"/>
      <c r="F141" s="1059"/>
      <c r="G141" s="1054"/>
      <c r="H141" s="1269"/>
      <c r="I141" s="1056"/>
      <c r="J141" s="1111"/>
      <c r="K141" s="1025"/>
    </row>
    <row r="142" spans="1:11">
      <c r="A142" s="1037"/>
      <c r="B142" s="1038"/>
      <c r="C142" s="1026"/>
      <c r="D142" s="1026"/>
      <c r="E142" s="1026"/>
      <c r="F142" s="1059"/>
      <c r="G142" s="1059"/>
      <c r="H142" s="1269"/>
      <c r="I142" s="1056"/>
      <c r="J142" s="1111"/>
      <c r="K142" s="1025"/>
    </row>
    <row r="143" spans="1:11">
      <c r="A143" s="1037"/>
      <c r="B143" s="1038"/>
      <c r="C143" s="1026"/>
      <c r="D143" s="1026"/>
      <c r="E143" s="1026"/>
      <c r="F143" s="1059"/>
      <c r="G143" s="1059"/>
      <c r="H143" s="1269"/>
      <c r="I143" s="1056"/>
      <c r="J143" s="1111"/>
      <c r="K143" s="1025"/>
    </row>
    <row r="144" spans="1:11" ht="15.75">
      <c r="A144" s="1037"/>
      <c r="B144" s="1038"/>
      <c r="C144" s="1026"/>
      <c r="D144" s="1026"/>
      <c r="E144" s="1026"/>
      <c r="F144" s="1059"/>
      <c r="G144" s="1054"/>
      <c r="H144" s="1269"/>
      <c r="I144" s="1056"/>
      <c r="J144" s="1111"/>
      <c r="K144" s="1115"/>
    </row>
    <row r="145" spans="1:11" ht="15.75">
      <c r="A145" s="1037"/>
      <c r="B145" s="1038"/>
      <c r="C145" s="1026"/>
      <c r="D145" s="1026"/>
      <c r="E145" s="1026"/>
      <c r="F145" s="1059"/>
      <c r="G145" s="1054"/>
      <c r="H145" s="1269"/>
      <c r="I145" s="1056"/>
      <c r="J145" s="1111"/>
      <c r="K145" s="1115"/>
    </row>
    <row r="146" spans="1:11" ht="15.75">
      <c r="A146" s="1037"/>
      <c r="B146" s="1038"/>
      <c r="C146" s="1026"/>
      <c r="D146" s="1026"/>
      <c r="E146" s="1026"/>
      <c r="F146" s="1059"/>
      <c r="G146" s="1054"/>
      <c r="H146" s="1269"/>
      <c r="I146" s="1056"/>
      <c r="J146" s="1111"/>
      <c r="K146" s="1115"/>
    </row>
    <row r="147" spans="1:11" ht="15.75">
      <c r="A147" s="1037"/>
      <c r="B147" s="1038"/>
      <c r="C147" s="1026"/>
      <c r="D147" s="1026"/>
      <c r="E147" s="1026"/>
      <c r="F147" s="1059"/>
      <c r="G147" s="1054"/>
      <c r="H147" s="1269"/>
      <c r="I147" s="1056"/>
      <c r="J147" s="1111"/>
      <c r="K147" s="1115"/>
    </row>
    <row r="148" spans="1:11" ht="15.75">
      <c r="A148" s="1037"/>
      <c r="B148" s="1038"/>
      <c r="C148" s="1026"/>
      <c r="D148" s="1026"/>
      <c r="E148" s="1026"/>
      <c r="F148" s="1059"/>
      <c r="G148" s="1054"/>
      <c r="H148" s="1269"/>
      <c r="I148" s="1056"/>
      <c r="J148" s="1111"/>
      <c r="K148" s="1115"/>
    </row>
    <row r="149" spans="1:11">
      <c r="A149" s="1037"/>
      <c r="B149" s="1038"/>
      <c r="C149" s="1026"/>
      <c r="D149" s="1026"/>
      <c r="E149" s="1026"/>
      <c r="F149" s="1059"/>
      <c r="G149" s="1054"/>
      <c r="H149" s="1269"/>
      <c r="I149" s="1056"/>
      <c r="J149" s="1111"/>
      <c r="K149" s="1025"/>
    </row>
    <row r="150" spans="1:11">
      <c r="A150" s="1037"/>
      <c r="B150" s="1038"/>
      <c r="C150" s="1025"/>
      <c r="D150" s="1026"/>
      <c r="E150" s="1026"/>
      <c r="F150" s="1061"/>
      <c r="G150" s="1054"/>
      <c r="H150" s="1055"/>
      <c r="I150" s="1056"/>
      <c r="J150" s="1111"/>
      <c r="K150" s="1025"/>
    </row>
    <row r="151" spans="1:11">
      <c r="A151" s="1037"/>
      <c r="B151" s="1038"/>
      <c r="C151" s="1026"/>
      <c r="D151" s="1026"/>
      <c r="E151" s="1026"/>
      <c r="F151" s="1059"/>
      <c r="G151" s="1054"/>
      <c r="H151" s="1269"/>
      <c r="I151" s="1056"/>
      <c r="J151" s="1111"/>
      <c r="K151" s="1025"/>
    </row>
    <row r="152" spans="1:11">
      <c r="A152" s="1037"/>
      <c r="B152" s="1038"/>
      <c r="C152" s="1026"/>
      <c r="D152" s="1026"/>
      <c r="E152" s="1026"/>
      <c r="F152" s="1059"/>
      <c r="G152" s="1054"/>
      <c r="H152" s="1269"/>
      <c r="I152" s="1056"/>
      <c r="J152" s="1111"/>
      <c r="K152" s="1025"/>
    </row>
    <row r="153" spans="1:11">
      <c r="A153" s="1037"/>
      <c r="B153" s="1038"/>
      <c r="C153" s="1026"/>
      <c r="D153" s="1026"/>
      <c r="E153" s="1026"/>
      <c r="F153" s="1059"/>
      <c r="G153" s="1059"/>
      <c r="H153" s="1269"/>
      <c r="I153" s="1056"/>
      <c r="J153" s="1111"/>
      <c r="K153" s="1025"/>
    </row>
    <row r="154" spans="1:11">
      <c r="A154" s="1037"/>
      <c r="B154" s="1038"/>
      <c r="C154" s="1026"/>
      <c r="D154" s="1026"/>
      <c r="E154" s="1026"/>
      <c r="F154" s="1059"/>
      <c r="G154" s="1059"/>
      <c r="H154" s="1269"/>
      <c r="I154" s="1056"/>
      <c r="J154" s="1111"/>
      <c r="K154" s="1025"/>
    </row>
    <row r="155" spans="1:11" ht="15.75">
      <c r="A155" s="1037"/>
      <c r="B155" s="1038"/>
      <c r="C155" s="1026"/>
      <c r="D155" s="1026"/>
      <c r="E155" s="1026"/>
      <c r="F155" s="1059"/>
      <c r="G155" s="1054"/>
      <c r="H155" s="1269"/>
      <c r="I155" s="1056"/>
      <c r="J155" s="1111"/>
      <c r="K155" s="1115"/>
    </row>
    <row r="156" spans="1:11">
      <c r="A156" s="1037"/>
      <c r="B156" s="1038"/>
      <c r="C156" s="1026"/>
      <c r="D156" s="1026"/>
      <c r="E156" s="1026"/>
      <c r="F156" s="1059"/>
      <c r="G156" s="1054"/>
      <c r="H156" s="1269"/>
      <c r="I156" s="1056"/>
      <c r="J156" s="1111"/>
      <c r="K156" s="1025"/>
    </row>
    <row r="157" spans="1:11">
      <c r="A157" s="1037"/>
      <c r="B157" s="1038"/>
      <c r="C157" s="1026"/>
      <c r="D157" s="1026"/>
      <c r="E157" s="1026"/>
      <c r="F157" s="1059"/>
      <c r="G157" s="1059"/>
      <c r="H157" s="1269"/>
      <c r="I157" s="1056"/>
      <c r="J157" s="1111"/>
      <c r="K157" s="1025"/>
    </row>
    <row r="158" spans="1:11">
      <c r="A158" s="1037"/>
      <c r="B158" s="1038"/>
      <c r="C158" s="1026"/>
      <c r="D158" s="1026"/>
      <c r="E158" s="1026"/>
      <c r="F158" s="1059"/>
      <c r="G158" s="1059"/>
      <c r="H158" s="1269"/>
      <c r="I158" s="1056"/>
      <c r="J158" s="1111"/>
      <c r="K158" s="1025"/>
    </row>
    <row r="159" spans="1:11">
      <c r="A159" s="1037"/>
      <c r="B159" s="1038"/>
      <c r="C159" s="1026"/>
      <c r="D159" s="1026"/>
      <c r="E159" s="1026"/>
      <c r="F159" s="1059"/>
      <c r="G159" s="1054"/>
      <c r="H159" s="1269"/>
      <c r="I159" s="1056"/>
      <c r="J159" s="1111"/>
      <c r="K159" s="1025"/>
    </row>
    <row r="160" spans="1:11">
      <c r="A160" s="1037"/>
      <c r="B160" s="1038"/>
      <c r="C160" s="1026"/>
      <c r="D160" s="1026"/>
      <c r="E160" s="1026"/>
      <c r="F160" s="1059"/>
      <c r="G160" s="1054"/>
      <c r="H160" s="1269"/>
      <c r="I160" s="1056"/>
      <c r="J160" s="1111"/>
      <c r="K160" s="1025"/>
    </row>
    <row r="161" spans="1:11">
      <c r="A161" s="1037"/>
      <c r="B161" s="1038"/>
      <c r="C161" s="1026"/>
      <c r="D161" s="1026"/>
      <c r="E161" s="1026"/>
      <c r="F161" s="1059"/>
      <c r="G161" s="1054"/>
      <c r="H161" s="1269"/>
      <c r="I161" s="1056"/>
      <c r="J161" s="1111"/>
      <c r="K161" s="1025"/>
    </row>
    <row r="162" spans="1:11" ht="15.75">
      <c r="A162" s="1037"/>
      <c r="B162" s="1038"/>
      <c r="C162" s="1026"/>
      <c r="D162" s="1026"/>
      <c r="E162" s="1026"/>
      <c r="F162" s="1059"/>
      <c r="G162" s="1054"/>
      <c r="H162" s="1269"/>
      <c r="I162" s="1056"/>
      <c r="J162" s="1111"/>
      <c r="K162" s="1115"/>
    </row>
    <row r="163" spans="1:11">
      <c r="A163" s="1037"/>
      <c r="B163" s="1038"/>
      <c r="C163" s="1026"/>
      <c r="D163" s="1026"/>
      <c r="E163" s="1026"/>
      <c r="F163" s="1059"/>
      <c r="G163" s="1054"/>
      <c r="H163" s="1269"/>
      <c r="I163" s="1056"/>
      <c r="J163" s="1111"/>
      <c r="K163" s="1025"/>
    </row>
    <row r="164" spans="1:11">
      <c r="A164" s="1037"/>
      <c r="B164" s="1038"/>
      <c r="C164" s="290"/>
      <c r="D164" s="1026"/>
      <c r="E164" s="1026"/>
      <c r="F164" s="1059"/>
      <c r="G164" s="1054"/>
      <c r="H164" s="1269"/>
      <c r="I164" s="1056"/>
      <c r="J164" s="1111"/>
      <c r="K164" s="1025"/>
    </row>
    <row r="165" spans="1:11">
      <c r="A165" s="1037"/>
      <c r="B165" s="1038"/>
      <c r="C165" s="1026"/>
      <c r="D165" s="1026"/>
      <c r="E165" s="1026"/>
      <c r="F165" s="1059"/>
      <c r="G165" s="1054"/>
      <c r="H165" s="1269"/>
      <c r="I165" s="1056"/>
      <c r="J165" s="1111"/>
      <c r="K165" s="1025"/>
    </row>
    <row r="166" spans="1:11">
      <c r="A166" s="1037"/>
      <c r="B166" s="1038"/>
      <c r="C166" s="1026"/>
      <c r="D166" s="1026"/>
      <c r="E166" s="1026"/>
      <c r="F166" s="1059"/>
      <c r="G166" s="1054"/>
      <c r="H166" s="1269"/>
      <c r="I166" s="1056"/>
      <c r="J166" s="1111"/>
      <c r="K166" s="1025"/>
    </row>
    <row r="167" spans="1:11">
      <c r="A167" s="1037"/>
      <c r="B167" s="1038"/>
      <c r="C167" s="1026"/>
      <c r="D167" s="1026"/>
      <c r="E167" s="1026"/>
      <c r="F167" s="1059"/>
      <c r="G167" s="1054"/>
      <c r="H167" s="1269"/>
      <c r="I167" s="1056"/>
      <c r="J167" s="1111"/>
      <c r="K167" s="1025"/>
    </row>
    <row r="168" spans="1:11">
      <c r="A168" s="1037"/>
      <c r="B168" s="1038"/>
      <c r="C168" s="1026"/>
      <c r="D168" s="1026"/>
      <c r="E168" s="1026"/>
      <c r="F168" s="1059"/>
      <c r="G168" s="1054"/>
      <c r="H168" s="1269"/>
      <c r="I168" s="1056"/>
      <c r="J168" s="1111"/>
      <c r="K168" s="1025"/>
    </row>
    <row r="169" spans="1:11">
      <c r="A169" s="1037"/>
      <c r="B169" s="1038"/>
      <c r="C169" s="1026"/>
      <c r="D169" s="1026"/>
      <c r="E169" s="1026"/>
      <c r="F169" s="1059"/>
      <c r="G169" s="1054"/>
      <c r="H169" s="1269"/>
      <c r="I169" s="1056"/>
      <c r="J169" s="1111"/>
      <c r="K169" s="1025"/>
    </row>
    <row r="170" spans="1:11">
      <c r="A170" s="1037"/>
      <c r="B170" s="1038"/>
      <c r="C170" s="1026"/>
      <c r="D170" s="1026"/>
      <c r="E170" s="1026"/>
      <c r="F170" s="1059"/>
      <c r="G170" s="1054"/>
      <c r="H170" s="1269"/>
      <c r="I170" s="1056"/>
      <c r="J170" s="1111"/>
      <c r="K170" s="1025"/>
    </row>
    <row r="171" spans="1:11">
      <c r="A171" s="1037"/>
      <c r="B171" s="1038"/>
      <c r="C171" s="1026"/>
      <c r="D171" s="1026"/>
      <c r="E171" s="1026"/>
      <c r="F171" s="1059"/>
      <c r="G171" s="1054"/>
      <c r="H171" s="1269"/>
      <c r="I171" s="1056"/>
      <c r="J171" s="1111"/>
      <c r="K171" s="1025"/>
    </row>
    <row r="172" spans="1:11">
      <c r="A172" s="1037"/>
      <c r="B172" s="1038"/>
      <c r="C172" s="1026"/>
      <c r="D172" s="1026"/>
      <c r="E172" s="1026"/>
      <c r="F172" s="1059"/>
      <c r="G172" s="1054"/>
      <c r="H172" s="1269"/>
      <c r="I172" s="1056"/>
      <c r="J172" s="1111"/>
      <c r="K172" s="1025"/>
    </row>
    <row r="173" spans="1:11">
      <c r="A173" s="1037"/>
      <c r="B173" s="1038"/>
      <c r="C173" s="1026"/>
      <c r="D173" s="1026"/>
      <c r="E173" s="1026"/>
      <c r="F173" s="1059"/>
      <c r="G173" s="1059"/>
      <c r="H173" s="1269"/>
      <c r="I173" s="1056"/>
      <c r="J173" s="1111"/>
      <c r="K173" s="1025"/>
    </row>
    <row r="174" spans="1:11">
      <c r="A174" s="1037"/>
      <c r="B174" s="1038"/>
      <c r="C174" s="1026"/>
      <c r="D174" s="1026"/>
      <c r="E174" s="1026"/>
      <c r="F174" s="1059"/>
      <c r="G174" s="1059"/>
      <c r="H174" s="1269"/>
      <c r="I174" s="1056"/>
      <c r="J174" s="1111"/>
      <c r="K174" s="1025"/>
    </row>
    <row r="175" spans="1:11">
      <c r="A175" s="1037"/>
      <c r="B175" s="1038"/>
      <c r="C175" s="1026"/>
      <c r="D175" s="1026"/>
      <c r="E175" s="1026"/>
      <c r="F175" s="1059"/>
      <c r="G175" s="1054"/>
      <c r="H175" s="1269"/>
      <c r="I175" s="1056"/>
      <c r="J175" s="1111"/>
      <c r="K175" s="1025"/>
    </row>
    <row r="176" spans="1:11">
      <c r="A176" s="1037"/>
      <c r="B176" s="1038"/>
      <c r="C176" s="1026"/>
      <c r="D176" s="1026"/>
      <c r="E176" s="1026"/>
      <c r="F176" s="1059"/>
      <c r="G176" s="1054"/>
      <c r="H176" s="1269"/>
      <c r="I176" s="1056"/>
      <c r="J176" s="1111"/>
      <c r="K176" s="1025"/>
    </row>
    <row r="177" spans="1:11">
      <c r="A177" s="1037"/>
      <c r="B177" s="1038"/>
      <c r="C177" s="1026"/>
      <c r="D177" s="1026"/>
      <c r="E177" s="1026"/>
      <c r="F177" s="1059"/>
      <c r="G177" s="1054"/>
      <c r="H177" s="1269"/>
      <c r="I177" s="1056"/>
      <c r="J177" s="1111"/>
      <c r="K177" s="1025"/>
    </row>
    <row r="178" spans="1:11" ht="15.75">
      <c r="A178" s="1037"/>
      <c r="B178" s="1038"/>
      <c r="C178" s="1026"/>
      <c r="D178" s="1026"/>
      <c r="E178" s="1026"/>
      <c r="F178" s="1059"/>
      <c r="G178" s="1059"/>
      <c r="H178" s="1269"/>
      <c r="I178" s="1056"/>
      <c r="J178" s="1111"/>
      <c r="K178" s="1115"/>
    </row>
    <row r="179" spans="1:11">
      <c r="A179" s="1037"/>
      <c r="B179" s="1038"/>
      <c r="C179" s="1026"/>
      <c r="D179" s="1026"/>
      <c r="E179" s="1026"/>
      <c r="F179" s="1059"/>
      <c r="G179" s="1059"/>
      <c r="H179" s="1269"/>
      <c r="I179" s="1056"/>
      <c r="J179" s="1111"/>
      <c r="K179" s="1025"/>
    </row>
    <row r="180" spans="1:11" ht="15.75">
      <c r="A180" s="1037"/>
      <c r="B180" s="1038"/>
      <c r="C180" s="1026"/>
      <c r="D180" s="1026"/>
      <c r="E180" s="1026"/>
      <c r="F180" s="1059"/>
      <c r="G180" s="1054"/>
      <c r="H180" s="1269"/>
      <c r="I180" s="1056"/>
      <c r="J180" s="1111"/>
      <c r="K180" s="1115"/>
    </row>
    <row r="181" spans="1:11" ht="15.75">
      <c r="A181" s="1037"/>
      <c r="B181" s="1038"/>
      <c r="C181" s="1026"/>
      <c r="D181" s="1026"/>
      <c r="E181" s="1026"/>
      <c r="F181" s="1059"/>
      <c r="G181" s="1054"/>
      <c r="H181" s="1269"/>
      <c r="I181" s="1056"/>
      <c r="J181" s="1111"/>
      <c r="K181" s="1115"/>
    </row>
    <row r="182" spans="1:11" ht="15.75">
      <c r="A182" s="1037"/>
      <c r="B182" s="1038"/>
      <c r="C182" s="1026"/>
      <c r="D182" s="1026"/>
      <c r="E182" s="1026"/>
      <c r="F182" s="1059"/>
      <c r="G182" s="1054"/>
      <c r="H182" s="1269"/>
      <c r="I182" s="1056"/>
      <c r="J182" s="1111"/>
      <c r="K182" s="1115"/>
    </row>
    <row r="183" spans="1:11" ht="15.75">
      <c r="A183" s="1037"/>
      <c r="B183" s="1038"/>
      <c r="C183" s="1026"/>
      <c r="D183" s="1026"/>
      <c r="E183" s="1026"/>
      <c r="F183" s="1059"/>
      <c r="G183" s="1054"/>
      <c r="H183" s="1269"/>
      <c r="I183" s="1056"/>
      <c r="J183" s="1111"/>
      <c r="K183" s="1115"/>
    </row>
    <row r="184" spans="1:11" ht="15.75">
      <c r="A184" s="1037"/>
      <c r="B184" s="1038"/>
      <c r="C184" s="1026"/>
      <c r="D184" s="1026"/>
      <c r="E184" s="1026"/>
      <c r="F184" s="1059"/>
      <c r="G184" s="1059"/>
      <c r="H184" s="1269"/>
      <c r="I184" s="1056"/>
      <c r="J184" s="1111"/>
      <c r="K184" s="1115"/>
    </row>
    <row r="185" spans="1:11">
      <c r="A185" s="1037"/>
      <c r="B185" s="1038"/>
      <c r="C185" s="1026"/>
      <c r="D185" s="1026"/>
      <c r="E185" s="1026"/>
      <c r="F185" s="1059"/>
      <c r="G185" s="1059"/>
      <c r="H185" s="1269"/>
      <c r="I185" s="1056"/>
      <c r="J185" s="1111"/>
      <c r="K185" s="1025"/>
    </row>
    <row r="186" spans="1:11" ht="15.75">
      <c r="A186" s="1037"/>
      <c r="B186" s="1038"/>
      <c r="C186" s="1026"/>
      <c r="D186" s="1026"/>
      <c r="E186" s="1026"/>
      <c r="F186" s="1059"/>
      <c r="G186" s="1054"/>
      <c r="H186" s="1269"/>
      <c r="I186" s="1056"/>
      <c r="J186" s="1111"/>
      <c r="K186" s="1115"/>
    </row>
    <row r="187" spans="1:11">
      <c r="A187" s="1037"/>
      <c r="B187" s="1038"/>
      <c r="C187" s="1026"/>
      <c r="D187" s="1026"/>
      <c r="E187" s="1026"/>
      <c r="F187" s="1059"/>
      <c r="G187" s="1059"/>
      <c r="H187" s="1269"/>
      <c r="I187" s="1056"/>
      <c r="J187" s="1111"/>
      <c r="K187" s="1025"/>
    </row>
    <row r="188" spans="1:11">
      <c r="A188" s="1037"/>
      <c r="B188" s="1038"/>
      <c r="C188" s="1026"/>
      <c r="D188" s="1026"/>
      <c r="E188" s="1026"/>
      <c r="F188" s="1059"/>
      <c r="G188" s="1059"/>
      <c r="H188" s="1269"/>
      <c r="I188" s="1056"/>
      <c r="J188" s="1111"/>
      <c r="K188" s="1025"/>
    </row>
    <row r="189" spans="1:11">
      <c r="A189" s="1037"/>
      <c r="B189" s="1038"/>
      <c r="C189" s="1026"/>
      <c r="D189" s="1026"/>
      <c r="E189" s="1026"/>
      <c r="F189" s="1059"/>
      <c r="G189" s="1059"/>
      <c r="H189" s="1269"/>
      <c r="I189" s="1056"/>
      <c r="J189" s="1111"/>
      <c r="K189" s="1025"/>
    </row>
    <row r="190" spans="1:11">
      <c r="A190" s="1037"/>
      <c r="B190" s="1038"/>
      <c r="C190" s="1026"/>
      <c r="D190" s="1026"/>
      <c r="E190" s="1026"/>
      <c r="F190" s="1059"/>
      <c r="G190" s="1059"/>
      <c r="H190" s="1269"/>
      <c r="I190" s="1056"/>
      <c r="J190" s="1111"/>
      <c r="K190" s="1025"/>
    </row>
    <row r="191" spans="1:11">
      <c r="A191" s="1037"/>
      <c r="B191" s="1038"/>
      <c r="C191" s="1026"/>
      <c r="D191" s="1026"/>
      <c r="E191" s="1026"/>
      <c r="F191" s="1059"/>
      <c r="G191" s="1054"/>
      <c r="H191" s="1269"/>
      <c r="I191" s="1056"/>
      <c r="J191" s="1111"/>
      <c r="K191" s="1025"/>
    </row>
    <row r="192" spans="1:11">
      <c r="A192" s="1037"/>
      <c r="B192" s="1038"/>
      <c r="C192" s="1026"/>
      <c r="D192" s="1026"/>
      <c r="E192" s="1026"/>
      <c r="F192" s="1059"/>
      <c r="G192" s="1054"/>
      <c r="H192" s="1269"/>
      <c r="I192" s="1056"/>
      <c r="J192" s="1111"/>
      <c r="K192" s="1025"/>
    </row>
    <row r="193" spans="1:11">
      <c r="A193" s="1037"/>
      <c r="B193" s="1038"/>
      <c r="C193" s="1026"/>
      <c r="D193" s="1026"/>
      <c r="E193" s="1026"/>
      <c r="F193" s="1059"/>
      <c r="G193" s="1054"/>
      <c r="H193" s="1269"/>
      <c r="I193" s="1056"/>
      <c r="J193" s="1111"/>
      <c r="K193" s="1025"/>
    </row>
    <row r="194" spans="1:11">
      <c r="A194" s="1037"/>
      <c r="B194" s="1038"/>
      <c r="C194" s="1026"/>
      <c r="D194" s="1026"/>
      <c r="E194" s="1026"/>
      <c r="F194" s="1059"/>
      <c r="G194" s="1054"/>
      <c r="H194" s="1269"/>
      <c r="I194" s="1056"/>
      <c r="J194" s="1111"/>
      <c r="K194" s="1025"/>
    </row>
    <row r="195" spans="1:11">
      <c r="A195" s="1037"/>
      <c r="B195" s="1038"/>
      <c r="C195" s="1026"/>
      <c r="D195" s="1026"/>
      <c r="E195" s="1026"/>
      <c r="F195" s="1059"/>
      <c r="G195" s="1054"/>
      <c r="H195" s="1269"/>
      <c r="I195" s="1056"/>
      <c r="J195" s="1111"/>
      <c r="K195" s="1025"/>
    </row>
    <row r="196" spans="1:11">
      <c r="A196" s="1037"/>
      <c r="B196" s="1038"/>
      <c r="C196" s="1026"/>
      <c r="D196" s="1026"/>
      <c r="E196" s="1026"/>
      <c r="F196" s="1059"/>
      <c r="G196" s="1054"/>
      <c r="H196" s="1269"/>
      <c r="I196" s="1056"/>
      <c r="J196" s="1111"/>
      <c r="K196" s="1025"/>
    </row>
    <row r="197" spans="1:11">
      <c r="A197" s="1037"/>
      <c r="B197" s="1038"/>
      <c r="C197" s="1026"/>
      <c r="D197" s="1026"/>
      <c r="E197" s="1026"/>
      <c r="F197" s="1059"/>
      <c r="G197" s="1054"/>
      <c r="H197" s="1269"/>
      <c r="I197" s="1056"/>
      <c r="J197" s="1111"/>
      <c r="K197" s="1025"/>
    </row>
    <row r="198" spans="1:11">
      <c r="A198" s="1037"/>
      <c r="B198" s="1038"/>
      <c r="C198" s="1026"/>
      <c r="D198" s="1026"/>
      <c r="E198" s="1026"/>
      <c r="F198" s="1059"/>
      <c r="G198" s="1059"/>
      <c r="H198" s="1269"/>
      <c r="I198" s="1056"/>
      <c r="J198" s="1111"/>
      <c r="K198" s="1025"/>
    </row>
    <row r="199" spans="1:11">
      <c r="A199" s="1037"/>
      <c r="B199" s="1038"/>
      <c r="C199" s="1026"/>
      <c r="D199" s="1026"/>
      <c r="E199" s="1026"/>
      <c r="F199" s="1059"/>
      <c r="G199" s="1059"/>
      <c r="H199" s="1269"/>
      <c r="I199" s="1056"/>
      <c r="J199" s="1111"/>
      <c r="K199" s="1025"/>
    </row>
    <row r="200" spans="1:11" ht="15.75">
      <c r="A200" s="1037"/>
      <c r="B200" s="1038"/>
      <c r="C200" s="1026"/>
      <c r="D200" s="1026"/>
      <c r="E200" s="1026"/>
      <c r="F200" s="1059"/>
      <c r="G200" s="1054"/>
      <c r="H200" s="1269"/>
      <c r="I200" s="1056"/>
      <c r="J200" s="1111"/>
      <c r="K200" s="1115"/>
    </row>
    <row r="201" spans="1:11">
      <c r="A201" s="1037"/>
      <c r="B201" s="1038"/>
      <c r="C201" s="1026"/>
      <c r="D201" s="1026"/>
      <c r="E201" s="1026"/>
      <c r="F201" s="1059"/>
      <c r="G201" s="1054"/>
      <c r="H201" s="1269"/>
      <c r="I201" s="1056"/>
      <c r="J201" s="1111"/>
      <c r="K201" s="1025"/>
    </row>
    <row r="202" spans="1:11">
      <c r="A202" s="1037"/>
      <c r="B202" s="1038"/>
      <c r="C202" s="1025"/>
      <c r="D202" s="1025"/>
      <c r="E202" s="1025"/>
      <c r="F202" s="1061"/>
      <c r="G202" s="1054"/>
      <c r="H202" s="1269"/>
      <c r="I202" s="1056"/>
      <c r="J202" s="1111"/>
      <c r="K202" s="1025"/>
    </row>
    <row r="203" spans="1:11">
      <c r="A203" s="1037"/>
      <c r="B203" s="1038"/>
      <c r="C203" s="1026"/>
      <c r="D203" s="1026"/>
      <c r="E203" s="1026"/>
      <c r="F203" s="1061"/>
      <c r="G203" s="1054"/>
      <c r="H203" s="1269"/>
      <c r="I203" s="1056"/>
      <c r="J203" s="1111"/>
      <c r="K203" s="1025"/>
    </row>
    <row r="204" spans="1:11" ht="15.75">
      <c r="A204" s="1037"/>
      <c r="B204" s="1038"/>
      <c r="C204" s="1026"/>
      <c r="D204" s="1026"/>
      <c r="E204" s="1026"/>
      <c r="F204" s="1059"/>
      <c r="G204" s="1059"/>
      <c r="H204" s="1269"/>
      <c r="I204" s="1056"/>
      <c r="J204" s="1111"/>
      <c r="K204" s="1115"/>
    </row>
    <row r="205" spans="1:11">
      <c r="A205" s="1037"/>
      <c r="B205" s="1038"/>
      <c r="C205" s="1026"/>
      <c r="D205" s="1026"/>
      <c r="E205" s="1026"/>
      <c r="F205" s="1059"/>
      <c r="G205" s="1059"/>
      <c r="H205" s="1269"/>
      <c r="I205" s="1056"/>
      <c r="J205" s="1111"/>
      <c r="K205" s="1025"/>
    </row>
    <row r="206" spans="1:11" ht="15.75">
      <c r="A206" s="1037"/>
      <c r="B206" s="1038"/>
      <c r="C206" s="1026"/>
      <c r="D206" s="1026"/>
      <c r="E206" s="1026"/>
      <c r="F206" s="1059"/>
      <c r="G206" s="1054"/>
      <c r="H206" s="1269"/>
      <c r="I206" s="1056"/>
      <c r="J206" s="1111"/>
      <c r="K206" s="1115"/>
    </row>
    <row r="207" spans="1:11" ht="15.75">
      <c r="A207" s="1037"/>
      <c r="B207" s="1038"/>
      <c r="C207" s="1026"/>
      <c r="D207" s="1026"/>
      <c r="E207" s="1026"/>
      <c r="F207" s="1059"/>
      <c r="G207" s="1054"/>
      <c r="H207" s="1269"/>
      <c r="I207" s="1056"/>
      <c r="J207" s="1111"/>
      <c r="K207" s="1115"/>
    </row>
    <row r="208" spans="1:11" ht="15.75">
      <c r="A208" s="1037"/>
      <c r="B208" s="1038"/>
      <c r="C208" s="1026"/>
      <c r="D208" s="1026"/>
      <c r="E208" s="1026"/>
      <c r="F208" s="1059"/>
      <c r="G208" s="1054"/>
      <c r="H208" s="1269"/>
      <c r="I208" s="1056"/>
      <c r="J208" s="1111"/>
      <c r="K208" s="1115"/>
    </row>
    <row r="209" spans="1:11" ht="15.75">
      <c r="A209" s="1037"/>
      <c r="B209" s="1038"/>
      <c r="C209" s="1026"/>
      <c r="D209" s="1026"/>
      <c r="E209" s="1026"/>
      <c r="F209" s="1059"/>
      <c r="G209" s="1054"/>
      <c r="H209" s="1269"/>
      <c r="I209" s="1056"/>
      <c r="J209" s="1111"/>
      <c r="K209" s="1115"/>
    </row>
    <row r="210" spans="1:11" ht="15.75">
      <c r="A210" s="1037"/>
      <c r="B210" s="1038"/>
      <c r="C210" s="1026"/>
      <c r="D210" s="1026"/>
      <c r="E210" s="1026"/>
      <c r="F210" s="1059"/>
      <c r="G210" s="1054"/>
      <c r="H210" s="1269"/>
      <c r="I210" s="1056"/>
      <c r="J210" s="1111"/>
      <c r="K210" s="1115"/>
    </row>
    <row r="211" spans="1:11" ht="15.75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115"/>
    </row>
    <row r="212" spans="1:11" ht="15.75">
      <c r="A212" s="1037"/>
      <c r="B212" s="1038"/>
      <c r="C212" s="1026"/>
      <c r="D212" s="1026"/>
      <c r="E212" s="1026"/>
      <c r="F212" s="1059"/>
      <c r="G212" s="1054"/>
      <c r="H212" s="1269"/>
      <c r="I212" s="1056"/>
      <c r="J212" s="1111"/>
      <c r="K212" s="1115"/>
    </row>
    <row r="213" spans="1:11" ht="15.75">
      <c r="A213" s="1037"/>
      <c r="B213" s="1038"/>
      <c r="C213" s="1026"/>
      <c r="D213" s="1026"/>
      <c r="E213" s="1026"/>
      <c r="F213" s="1059"/>
      <c r="G213" s="1054"/>
      <c r="H213" s="1269"/>
      <c r="I213" s="1056"/>
      <c r="J213" s="1111"/>
      <c r="K213" s="1115"/>
    </row>
    <row r="214" spans="1:11" ht="15.75">
      <c r="A214" s="1037"/>
      <c r="B214" s="1038"/>
      <c r="C214" s="1026"/>
      <c r="D214" s="1026"/>
      <c r="F214" s="1059"/>
      <c r="G214" s="1054"/>
      <c r="H214" s="1269"/>
      <c r="I214" s="1056"/>
      <c r="J214" s="1111"/>
      <c r="K214" s="1115"/>
    </row>
    <row r="215" spans="1:11" ht="15.75">
      <c r="A215" s="1037"/>
      <c r="B215" s="1038"/>
      <c r="C215" s="1026"/>
      <c r="D215" s="1026"/>
      <c r="E215" s="1026"/>
      <c r="F215" s="1059"/>
      <c r="G215" s="1054"/>
      <c r="H215" s="1269"/>
      <c r="I215" s="1056"/>
      <c r="J215" s="1111"/>
      <c r="K215" s="1115"/>
    </row>
    <row r="216" spans="1:11" ht="15.75">
      <c r="A216" s="1037"/>
      <c r="B216" s="1038"/>
      <c r="C216" s="1026"/>
      <c r="D216" s="1026"/>
      <c r="E216" s="1026"/>
      <c r="F216" s="1059"/>
      <c r="G216" s="1054"/>
      <c r="H216" s="1269"/>
      <c r="I216" s="1056"/>
      <c r="J216" s="1111"/>
      <c r="K216" s="1115"/>
    </row>
    <row r="217" spans="1:11" ht="15.75">
      <c r="A217" s="1037"/>
      <c r="B217" s="1038"/>
      <c r="C217" s="1026"/>
      <c r="D217" s="1026"/>
      <c r="E217" s="1026"/>
      <c r="F217" s="1059"/>
      <c r="G217" s="1054"/>
      <c r="H217" s="1269"/>
      <c r="I217" s="1056"/>
      <c r="J217" s="1111"/>
      <c r="K217" s="1115"/>
    </row>
    <row r="218" spans="1:11" ht="15.75">
      <c r="A218" s="1037"/>
      <c r="B218" s="1038"/>
      <c r="C218" s="1026"/>
      <c r="D218" s="1026"/>
      <c r="E218" s="1026"/>
      <c r="F218" s="1059"/>
      <c r="G218" s="1054"/>
      <c r="H218" s="1269"/>
      <c r="I218" s="1056"/>
      <c r="J218" s="1111"/>
      <c r="K218" s="1115"/>
    </row>
    <row r="219" spans="1:11">
      <c r="A219" s="1037"/>
      <c r="B219" s="1038"/>
      <c r="C219" s="1026"/>
      <c r="D219" s="1026"/>
      <c r="E219" s="1026"/>
      <c r="F219" s="1059"/>
      <c r="G219" s="1054"/>
      <c r="H219" s="1269"/>
      <c r="I219" s="1056"/>
      <c r="J219" s="1111"/>
      <c r="K219" s="1025"/>
    </row>
    <row r="220" spans="1:11">
      <c r="A220" s="1039"/>
      <c r="B220" s="1039"/>
      <c r="C220" s="1025"/>
      <c r="D220" s="1025"/>
      <c r="E220" s="1025"/>
      <c r="F220" s="1061"/>
      <c r="G220" s="1062"/>
      <c r="H220" s="1269"/>
      <c r="I220" s="1056"/>
      <c r="J220" s="1111"/>
      <c r="K220" s="1025"/>
    </row>
    <row r="221" spans="1:11">
      <c r="A221" s="1039"/>
      <c r="B221" s="1039"/>
      <c r="C221" s="1025"/>
      <c r="D221" s="1025"/>
      <c r="E221" s="1025"/>
      <c r="F221" s="1061"/>
      <c r="G221" s="1062"/>
      <c r="H221" s="1269"/>
      <c r="I221" s="1056"/>
      <c r="J221" s="1111"/>
      <c r="K221" s="1025"/>
    </row>
    <row r="222" spans="1:11">
      <c r="A222" s="1039"/>
      <c r="B222" s="1039"/>
      <c r="C222" s="1025"/>
      <c r="D222" s="1025"/>
      <c r="E222" s="1025"/>
      <c r="F222" s="1061"/>
      <c r="G222" s="1062"/>
      <c r="H222" s="1269"/>
      <c r="I222" s="1056"/>
      <c r="J222" s="1111"/>
      <c r="K222" s="1025"/>
    </row>
    <row r="223" spans="1:11">
      <c r="A223" s="1039"/>
      <c r="B223" s="1039"/>
      <c r="C223" s="1025"/>
      <c r="D223" s="1025"/>
      <c r="E223" s="1025"/>
      <c r="F223" s="1061"/>
      <c r="G223" s="1062"/>
      <c r="H223" s="1269"/>
      <c r="I223" s="1056"/>
      <c r="J223" s="1111"/>
      <c r="K223" s="1025"/>
    </row>
    <row r="224" spans="1:11">
      <c r="A224" s="1039"/>
      <c r="B224" s="1039"/>
      <c r="C224" s="1025"/>
      <c r="D224" s="1025"/>
      <c r="E224" s="1025"/>
      <c r="F224" s="1061"/>
      <c r="G224" s="1062"/>
      <c r="H224" s="1269"/>
      <c r="I224" s="1056"/>
      <c r="J224" s="1111"/>
      <c r="K224" s="1025"/>
    </row>
    <row r="225" spans="1:11">
      <c r="A225" s="1039"/>
      <c r="B225" s="1039"/>
      <c r="C225" s="1025"/>
      <c r="D225" s="1025"/>
      <c r="E225" s="1025"/>
      <c r="F225" s="1061"/>
      <c r="G225" s="1062"/>
      <c r="H225" s="1269"/>
      <c r="I225" s="1056"/>
      <c r="J225" s="1111"/>
      <c r="K225" s="1025"/>
    </row>
    <row r="226" spans="1:11">
      <c r="A226" s="1039"/>
      <c r="B226" s="1039"/>
      <c r="C226" s="1025"/>
      <c r="D226" s="1025"/>
      <c r="E226" s="1025"/>
      <c r="F226" s="1061"/>
      <c r="G226" s="1062"/>
      <c r="H226" s="1269"/>
      <c r="I226" s="1056"/>
      <c r="J226" s="1111"/>
      <c r="K226" s="1025"/>
    </row>
    <row r="227" spans="1:11">
      <c r="A227" s="1039"/>
      <c r="B227" s="1039"/>
      <c r="C227" s="1025"/>
      <c r="D227" s="1025"/>
      <c r="E227" s="1025"/>
      <c r="F227" s="1061"/>
      <c r="G227" s="1062"/>
      <c r="H227" s="1269"/>
      <c r="I227" s="1056"/>
      <c r="J227" s="1111"/>
      <c r="K227" s="1025"/>
    </row>
    <row r="228" spans="1:11">
      <c r="A228" s="1039"/>
      <c r="B228" s="1039"/>
      <c r="C228" s="1025"/>
      <c r="D228" s="1025"/>
      <c r="E228" s="1025"/>
      <c r="F228" s="1061"/>
      <c r="G228" s="1062"/>
      <c r="H228" s="1269"/>
      <c r="I228" s="1056"/>
      <c r="J228" s="1111"/>
      <c r="K228" s="1025"/>
    </row>
    <row r="229" spans="1:11">
      <c r="A229" s="1039"/>
      <c r="B229" s="1039"/>
      <c r="C229" s="1025"/>
      <c r="D229" s="1025"/>
      <c r="E229" s="1025"/>
      <c r="F229" s="1061"/>
      <c r="G229" s="1062"/>
      <c r="H229" s="1269"/>
      <c r="I229" s="1056"/>
      <c r="J229" s="1111"/>
      <c r="K229" s="1025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1025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1025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1025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1025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1025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1025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1025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1025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1025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1025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1025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1025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1025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1025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1025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1025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1025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1025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1025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1025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1025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1025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1025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1025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1025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1025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1025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1025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1025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1025"/>
    </row>
    <row r="260" spans="1:11">
      <c r="A260" s="1039"/>
      <c r="B260" s="1039"/>
      <c r="C260" s="1025"/>
      <c r="D260" s="1025"/>
      <c r="E260" s="1025"/>
      <c r="F260" s="1061"/>
      <c r="G260" s="1062"/>
      <c r="H260" s="1269"/>
      <c r="I260" s="1056"/>
      <c r="J260" s="1111"/>
      <c r="K260" s="1025"/>
    </row>
    <row r="261" spans="1:11">
      <c r="A261" s="1039"/>
      <c r="B261" s="1039"/>
      <c r="C261" s="1025"/>
      <c r="D261" s="1025"/>
      <c r="E261" s="1025"/>
      <c r="F261" s="1061"/>
      <c r="G261" s="1062"/>
      <c r="H261" s="1269"/>
      <c r="I261" s="1056"/>
      <c r="J261" s="1111"/>
      <c r="K261" s="1025"/>
    </row>
    <row r="262" spans="1:11">
      <c r="A262" s="1039"/>
      <c r="B262" s="1039"/>
      <c r="C262" s="1025"/>
      <c r="D262" s="1025"/>
      <c r="E262" s="1025"/>
      <c r="F262" s="1061"/>
      <c r="G262" s="1062"/>
      <c r="H262" s="1269"/>
      <c r="I262" s="1056"/>
      <c r="J262" s="1111"/>
      <c r="K262" s="1025"/>
    </row>
    <row r="263" spans="1:11">
      <c r="A263" s="1039"/>
      <c r="B263" s="1039"/>
      <c r="C263" s="1025"/>
      <c r="D263" s="1025"/>
      <c r="E263" s="1025"/>
      <c r="F263" s="1061"/>
      <c r="G263" s="1062"/>
      <c r="H263" s="1269"/>
      <c r="I263" s="1056"/>
      <c r="J263" s="1111"/>
      <c r="K263" s="1025"/>
    </row>
    <row r="264" spans="1:11">
      <c r="A264" s="1039"/>
      <c r="B264" s="1039"/>
      <c r="C264" s="1025"/>
      <c r="D264" s="1025"/>
      <c r="E264" s="1025"/>
      <c r="F264" s="1061"/>
      <c r="G264" s="1062"/>
      <c r="H264" s="1269"/>
      <c r="I264" s="1056"/>
      <c r="J264" s="1111"/>
      <c r="K264" s="1025"/>
    </row>
    <row r="265" spans="1:11">
      <c r="A265" s="1039"/>
      <c r="B265" s="1039"/>
      <c r="C265" s="1025"/>
      <c r="D265" s="1025"/>
      <c r="E265" s="1025"/>
      <c r="F265" s="1061"/>
      <c r="G265" s="1062"/>
      <c r="H265" s="1269"/>
      <c r="I265" s="1056"/>
      <c r="J265" s="1111"/>
      <c r="K265" s="1025"/>
    </row>
    <row r="266" spans="1:11">
      <c r="A266" s="1039"/>
      <c r="B266" s="1039"/>
      <c r="C266" s="1025"/>
      <c r="D266" s="1025"/>
      <c r="E266" s="1025"/>
      <c r="F266" s="1061"/>
      <c r="G266" s="1062"/>
      <c r="H266" s="1269"/>
      <c r="I266" s="1056"/>
      <c r="J266" s="1111"/>
      <c r="K266" s="1025"/>
    </row>
    <row r="267" spans="1:11">
      <c r="A267" s="1025"/>
      <c r="B267" s="1025"/>
      <c r="C267" s="1025"/>
      <c r="D267" s="1025"/>
      <c r="E267" s="1025"/>
      <c r="F267" s="1025"/>
      <c r="G267" s="1025"/>
      <c r="H267" s="1269"/>
      <c r="I267" s="1056"/>
      <c r="J267" s="1111"/>
      <c r="K267" s="1025"/>
    </row>
    <row r="268" spans="1:11">
      <c r="A268" s="1025"/>
      <c r="B268" s="1025"/>
      <c r="C268" s="1025"/>
      <c r="D268" s="1025"/>
      <c r="E268" s="1025"/>
      <c r="F268" s="1025"/>
      <c r="G268" s="1025"/>
      <c r="H268" s="1269"/>
      <c r="I268" s="1056"/>
      <c r="J268" s="1111"/>
      <c r="K268" s="1025"/>
    </row>
    <row r="269" spans="1:11">
      <c r="A269" s="1025"/>
      <c r="B269" s="1025"/>
      <c r="C269" s="1025"/>
      <c r="D269" s="1025"/>
      <c r="E269" s="1025"/>
      <c r="F269" s="1025"/>
      <c r="G269" s="1025"/>
      <c r="H269" s="1269"/>
      <c r="I269" s="1056"/>
      <c r="J269" s="1111"/>
      <c r="K269" s="1025"/>
    </row>
    <row r="270" spans="1:11">
      <c r="A270" s="1025"/>
      <c r="B270" s="1025"/>
      <c r="C270" s="1025"/>
      <c r="D270" s="1025"/>
      <c r="E270" s="1025"/>
      <c r="F270" s="1025"/>
      <c r="G270" s="1025"/>
      <c r="H270" s="1269"/>
      <c r="I270" s="1056"/>
      <c r="J270" s="1111"/>
      <c r="K270" s="1025"/>
    </row>
    <row r="271" spans="1:11">
      <c r="A271" s="1025"/>
      <c r="B271" s="1025"/>
      <c r="C271" s="1025"/>
      <c r="D271" s="1025"/>
      <c r="E271" s="1025"/>
      <c r="F271" s="1025"/>
      <c r="G271" s="1025"/>
      <c r="H271" s="1269"/>
      <c r="I271" s="1056"/>
      <c r="J271" s="1111"/>
      <c r="K271" s="1025"/>
    </row>
    <row r="272" spans="1:11">
      <c r="A272" s="1025"/>
      <c r="B272" s="1025"/>
      <c r="C272" s="1025"/>
      <c r="D272" s="1025"/>
      <c r="E272" s="1025"/>
      <c r="F272" s="1025"/>
      <c r="G272" s="1025"/>
      <c r="H272" s="1269"/>
      <c r="I272" s="1056"/>
      <c r="J272" s="1111"/>
      <c r="K272" s="1025"/>
    </row>
    <row r="273" spans="1:11">
      <c r="A273" s="1025"/>
      <c r="B273" s="1025"/>
      <c r="C273" s="1025"/>
      <c r="D273" s="1025"/>
      <c r="E273" s="1025"/>
      <c r="F273" s="1025"/>
      <c r="G273" s="1025"/>
      <c r="H273" s="1269"/>
      <c r="I273" s="1056"/>
      <c r="J273" s="1111"/>
      <c r="K273" s="1025"/>
    </row>
    <row r="274" spans="1:11">
      <c r="A274" s="1025"/>
      <c r="B274" s="1025"/>
      <c r="C274" s="1025"/>
      <c r="D274" s="1025"/>
      <c r="E274" s="1025"/>
      <c r="F274" s="1025"/>
      <c r="G274" s="1025"/>
      <c r="H274" s="1269"/>
      <c r="I274" s="1056"/>
      <c r="J274" s="1111"/>
      <c r="K274" s="1025"/>
    </row>
    <row r="275" spans="1:11">
      <c r="A275" s="1025"/>
      <c r="B275" s="1025"/>
      <c r="C275" s="1025"/>
      <c r="D275" s="1025"/>
      <c r="E275" s="1025"/>
      <c r="F275" s="1025"/>
      <c r="G275" s="1025"/>
      <c r="H275" s="1269"/>
      <c r="I275" s="1056"/>
      <c r="J275" s="1111"/>
      <c r="K275" s="1025"/>
    </row>
    <row r="276" spans="1:11">
      <c r="A276" s="1025"/>
      <c r="B276" s="1025"/>
      <c r="C276" s="1025"/>
      <c r="D276" s="1025"/>
      <c r="E276" s="1025"/>
      <c r="F276" s="1025"/>
      <c r="G276" s="1025"/>
      <c r="H276" s="1269"/>
      <c r="I276" s="1056"/>
      <c r="J276" s="1111"/>
      <c r="K276" s="1025"/>
    </row>
    <row r="277" spans="1:11">
      <c r="A277" s="1025"/>
      <c r="B277" s="1025"/>
      <c r="C277" s="1025"/>
      <c r="D277" s="1025"/>
      <c r="E277" s="1025"/>
      <c r="F277" s="1025"/>
      <c r="G277" s="1025"/>
      <c r="H277" s="1269"/>
      <c r="I277" s="1056"/>
      <c r="J277" s="1111"/>
      <c r="K277" s="1025"/>
    </row>
    <row r="278" spans="1:11">
      <c r="A278" s="1025"/>
      <c r="B278" s="1025"/>
      <c r="C278" s="1025"/>
      <c r="D278" s="1025"/>
      <c r="E278" s="1025"/>
      <c r="F278" s="1025"/>
      <c r="G278" s="1025"/>
      <c r="H278" s="1269"/>
      <c r="I278" s="1056"/>
      <c r="J278" s="1111"/>
      <c r="K278" s="1025"/>
    </row>
    <row r="279" spans="1:11">
      <c r="A279" s="1025"/>
      <c r="B279" s="1025"/>
      <c r="C279" s="1025"/>
      <c r="D279" s="1025"/>
      <c r="E279" s="1025"/>
      <c r="F279" s="1025"/>
      <c r="G279" s="1025"/>
      <c r="H279" s="1269"/>
      <c r="I279" s="1056"/>
      <c r="J279" s="1111"/>
      <c r="K279" s="1025"/>
    </row>
    <row r="280" spans="1:11">
      <c r="A280" s="1025"/>
      <c r="B280" s="1025"/>
      <c r="C280" s="1025"/>
      <c r="D280" s="1025"/>
      <c r="E280" s="1025"/>
      <c r="F280" s="1025"/>
      <c r="G280" s="1025"/>
      <c r="H280" s="1269"/>
      <c r="I280" s="1056"/>
      <c r="J280" s="1111"/>
      <c r="K280" s="1025"/>
    </row>
    <row r="281" spans="1:11" ht="15.75" thickBot="1">
      <c r="A281" s="1037"/>
      <c r="B281" s="1038"/>
      <c r="C281" s="1026"/>
      <c r="D281" s="1026"/>
      <c r="E281" s="1026"/>
      <c r="F281" s="1059"/>
      <c r="G281" s="1054"/>
      <c r="H281" s="1269"/>
      <c r="I281" s="1056"/>
      <c r="J281" s="1111"/>
      <c r="K281" s="1025"/>
    </row>
    <row r="282" spans="1:11" ht="20.25" thickBot="1">
      <c r="A282" s="1552"/>
      <c r="B282" s="1553"/>
      <c r="C282" s="1553"/>
      <c r="D282" s="1553"/>
      <c r="E282" s="1553"/>
      <c r="F282" s="1554">
        <f>SUM(F161:F169,F171:F281)</f>
        <v>0</v>
      </c>
      <c r="G282" s="1553"/>
      <c r="H282" s="1558">
        <f>SUM(H61:H281)</f>
        <v>8695.9793999999983</v>
      </c>
      <c r="I282" s="1554">
        <f>SUM(I161:I281)</f>
        <v>0</v>
      </c>
      <c r="J282" s="1111"/>
      <c r="K282" s="1115"/>
    </row>
  </sheetData>
  <autoFilter ref="A1:K61" xr:uid="{FD2568A9-166D-422B-9147-AE016F6ACD73}">
    <sortState xmlns:xlrd2="http://schemas.microsoft.com/office/spreadsheetml/2017/richdata2" ref="A2:K61">
      <sortCondition ref="K1:K61"/>
    </sortState>
  </autoFilter>
  <pageMargins left="0.511811024" right="0.511811024" top="0.78740157499999996" bottom="0.78740157499999996" header="0.31496062000000002" footer="0.3149606200000000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2759-4D0B-429C-9119-AB34487C605F}">
  <dimension ref="A1:M282"/>
  <sheetViews>
    <sheetView zoomScale="85" zoomScaleNormal="85" workbookViewId="0">
      <pane ySplit="1" topLeftCell="A24" activePane="bottomLeft" state="frozen"/>
      <selection pane="bottomLeft" activeCell="K44" sqref="K44"/>
    </sheetView>
  </sheetViews>
  <sheetFormatPr defaultColWidth="9.140625" defaultRowHeight="15"/>
  <cols>
    <col min="1" max="1" width="15.140625" style="1032" bestFit="1" customWidth="1"/>
    <col min="2" max="2" width="12.5703125" style="1032" bestFit="1" customWidth="1"/>
    <col min="3" max="3" width="44" style="1032" bestFit="1" customWidth="1"/>
    <col min="4" max="4" width="20.85546875" style="1032" bestFit="1" customWidth="1"/>
    <col min="5" max="5" width="14.140625" style="1032" bestFit="1" customWidth="1"/>
    <col min="6" max="6" width="22" style="1032" bestFit="1" customWidth="1"/>
    <col min="7" max="7" width="13.42578125" style="1032" bestFit="1" customWidth="1"/>
    <col min="8" max="8" width="24.85546875" style="1032" bestFit="1" customWidth="1"/>
    <col min="9" max="9" width="23.28515625" style="1032" bestFit="1" customWidth="1"/>
    <col min="10" max="10" width="13.140625" style="1032" customWidth="1"/>
    <col min="11" max="11" width="15" style="1032" bestFit="1" customWidth="1"/>
    <col min="12" max="12" width="10.42578125" style="1032" bestFit="1" customWidth="1"/>
    <col min="13" max="16384" width="9.140625" style="1032"/>
  </cols>
  <sheetData>
    <row r="1" spans="1:13" ht="14.25" customHeight="1">
      <c r="A1" s="1919" t="s">
        <v>2519</v>
      </c>
      <c r="B1" s="1920" t="s">
        <v>2</v>
      </c>
      <c r="C1" s="1920" t="s">
        <v>3</v>
      </c>
      <c r="D1" s="1920" t="s">
        <v>4</v>
      </c>
      <c r="E1" s="1920" t="s">
        <v>5</v>
      </c>
      <c r="F1" s="1921" t="s">
        <v>644</v>
      </c>
      <c r="G1" s="1922" t="s">
        <v>555</v>
      </c>
      <c r="H1" s="1923" t="s">
        <v>7</v>
      </c>
      <c r="I1" s="1924" t="s">
        <v>307</v>
      </c>
      <c r="J1" s="1922" t="s">
        <v>370</v>
      </c>
      <c r="K1" s="1926" t="s">
        <v>3013</v>
      </c>
    </row>
    <row r="2" spans="1:13" ht="15.75">
      <c r="A2" s="1284">
        <v>46191</v>
      </c>
      <c r="B2" s="1399">
        <v>46556</v>
      </c>
      <c r="C2" s="1285" t="s">
        <v>2885</v>
      </c>
      <c r="D2" s="1285" t="s">
        <v>448</v>
      </c>
      <c r="E2" s="1285" t="s">
        <v>279</v>
      </c>
      <c r="F2" s="1960">
        <v>1058.93</v>
      </c>
      <c r="G2" s="1962">
        <v>0.1</v>
      </c>
      <c r="H2" s="1266">
        <f t="shared" ref="H2:H33" si="0">F2*G2*(1-10%)</f>
        <v>95.303700000000021</v>
      </c>
      <c r="I2" s="1286">
        <f>95.3/2</f>
        <v>47.65</v>
      </c>
      <c r="J2" s="1287" t="s">
        <v>2870</v>
      </c>
      <c r="K2" s="1267" t="s">
        <v>2015</v>
      </c>
    </row>
    <row r="3" spans="1:13" ht="15.75">
      <c r="A3" s="1040">
        <v>46175</v>
      </c>
      <c r="B3" s="1042">
        <v>46540</v>
      </c>
      <c r="C3" s="1030" t="s">
        <v>3264</v>
      </c>
      <c r="D3" s="1030" t="s">
        <v>1852</v>
      </c>
      <c r="E3" s="1030" t="s">
        <v>3080</v>
      </c>
      <c r="F3" s="1072">
        <v>2179.06</v>
      </c>
      <c r="G3" s="1073">
        <v>0.15</v>
      </c>
      <c r="H3" s="1067">
        <f t="shared" si="0"/>
        <v>294.17309999999998</v>
      </c>
      <c r="I3" s="1068">
        <v>29.41</v>
      </c>
      <c r="J3" s="1112" t="s">
        <v>2070</v>
      </c>
      <c r="K3" s="1117" t="s">
        <v>2274</v>
      </c>
    </row>
    <row r="4" spans="1:13" ht="15.75">
      <c r="A4" s="1041">
        <v>46168</v>
      </c>
      <c r="B4" s="1041">
        <v>46540</v>
      </c>
      <c r="C4" s="1027" t="s">
        <v>1782</v>
      </c>
      <c r="D4" s="1027" t="s">
        <v>9</v>
      </c>
      <c r="E4" s="1027" t="s">
        <v>22</v>
      </c>
      <c r="F4" s="1065">
        <v>1119.69</v>
      </c>
      <c r="G4" s="1066">
        <v>0.1</v>
      </c>
      <c r="H4" s="1067">
        <f t="shared" si="0"/>
        <v>100.77210000000001</v>
      </c>
      <c r="I4" s="1243">
        <v>10.07</v>
      </c>
      <c r="J4" s="1027" t="s">
        <v>2070</v>
      </c>
      <c r="K4" s="1117" t="s">
        <v>2015</v>
      </c>
    </row>
    <row r="5" spans="1:13" ht="15.75">
      <c r="A5" s="1040">
        <v>46178</v>
      </c>
      <c r="B5" s="1042">
        <v>46543</v>
      </c>
      <c r="C5" s="1027" t="s">
        <v>1439</v>
      </c>
      <c r="D5" s="1030" t="s">
        <v>376</v>
      </c>
      <c r="E5" s="1030" t="s">
        <v>3080</v>
      </c>
      <c r="F5" s="280">
        <v>710.42</v>
      </c>
      <c r="G5" s="1073">
        <v>0.15</v>
      </c>
      <c r="H5" s="1067">
        <f t="shared" si="0"/>
        <v>95.906699999999987</v>
      </c>
      <c r="I5" s="1068">
        <v>9.59</v>
      </c>
      <c r="J5" s="1112" t="s">
        <v>2070</v>
      </c>
      <c r="K5" s="1117" t="s">
        <v>2274</v>
      </c>
    </row>
    <row r="6" spans="1:13" s="1025" customFormat="1" ht="15.75">
      <c r="A6" s="1041">
        <v>46178</v>
      </c>
      <c r="B6" s="1041">
        <v>46543</v>
      </c>
      <c r="C6" s="1027" t="s">
        <v>3263</v>
      </c>
      <c r="D6" s="1027" t="s">
        <v>448</v>
      </c>
      <c r="E6" s="1027" t="s">
        <v>279</v>
      </c>
      <c r="F6" s="1065">
        <v>1676.82</v>
      </c>
      <c r="G6" s="1066">
        <v>0.1</v>
      </c>
      <c r="H6" s="1067">
        <f t="shared" si="0"/>
        <v>150.91380000000001</v>
      </c>
      <c r="I6" s="1243">
        <v>15.09</v>
      </c>
      <c r="J6" s="1027" t="s">
        <v>2070</v>
      </c>
      <c r="K6" s="1117" t="s">
        <v>2015</v>
      </c>
      <c r="L6" s="1847"/>
    </row>
    <row r="7" spans="1:13" s="1025" customFormat="1" ht="15.75">
      <c r="A7" s="1041">
        <v>46168</v>
      </c>
      <c r="B7" s="1041">
        <v>46546</v>
      </c>
      <c r="C7" s="1027" t="s">
        <v>3261</v>
      </c>
      <c r="D7" s="1027" t="s">
        <v>9</v>
      </c>
      <c r="E7" s="1027" t="s">
        <v>19</v>
      </c>
      <c r="F7" s="1065">
        <v>1778.99</v>
      </c>
      <c r="G7" s="1066">
        <v>0.187</v>
      </c>
      <c r="H7" s="1067">
        <f t="shared" si="0"/>
        <v>299.40401700000001</v>
      </c>
      <c r="I7" s="1243">
        <v>29.94</v>
      </c>
      <c r="J7" s="1027" t="s">
        <v>2070</v>
      </c>
      <c r="K7" s="1117" t="s">
        <v>2015</v>
      </c>
      <c r="L7" s="1847"/>
      <c r="M7" s="1847"/>
    </row>
    <row r="8" spans="1:13" ht="15.75">
      <c r="A8" s="1124">
        <v>46182</v>
      </c>
      <c r="B8" s="1125">
        <v>46547</v>
      </c>
      <c r="C8" s="1028" t="s">
        <v>733</v>
      </c>
      <c r="D8" s="1028" t="s">
        <v>21</v>
      </c>
      <c r="E8" s="1028" t="s">
        <v>19</v>
      </c>
      <c r="F8" s="1126">
        <v>914.24</v>
      </c>
      <c r="G8" s="1127">
        <v>0.15</v>
      </c>
      <c r="H8" s="1067">
        <f t="shared" si="0"/>
        <v>123.4224</v>
      </c>
      <c r="I8" s="1129">
        <v>12.34</v>
      </c>
      <c r="J8" s="1130" t="s">
        <v>2070</v>
      </c>
      <c r="K8" s="1117" t="s">
        <v>2010</v>
      </c>
      <c r="L8" s="1847"/>
    </row>
    <row r="9" spans="1:13">
      <c r="A9" s="1040">
        <v>46176</v>
      </c>
      <c r="B9" s="1042">
        <v>46547</v>
      </c>
      <c r="C9" s="1030" t="s">
        <v>1405</v>
      </c>
      <c r="D9" s="1030" t="s">
        <v>1862</v>
      </c>
      <c r="E9" s="1030" t="s">
        <v>19</v>
      </c>
      <c r="F9" s="1072">
        <v>1292.22</v>
      </c>
      <c r="G9" s="1073">
        <v>0.15</v>
      </c>
      <c r="H9" s="1067">
        <f t="shared" si="0"/>
        <v>174.44970000000001</v>
      </c>
      <c r="I9" s="1068">
        <v>17.440000000000001</v>
      </c>
      <c r="J9" s="1112" t="s">
        <v>2070</v>
      </c>
      <c r="K9" s="1027" t="s">
        <v>2015</v>
      </c>
    </row>
    <row r="10" spans="1:13" ht="15" customHeight="1">
      <c r="A10" s="1040">
        <v>46182</v>
      </c>
      <c r="B10" s="1042">
        <v>46553</v>
      </c>
      <c r="C10" s="1030" t="s">
        <v>1786</v>
      </c>
      <c r="D10" s="1030" t="s">
        <v>9</v>
      </c>
      <c r="E10" s="1030" t="s">
        <v>458</v>
      </c>
      <c r="F10" s="1072">
        <v>1457.07</v>
      </c>
      <c r="G10" s="1073">
        <v>0.2</v>
      </c>
      <c r="H10" s="1067">
        <f t="shared" si="0"/>
        <v>262.27260000000001</v>
      </c>
      <c r="I10" s="1068">
        <v>26.22</v>
      </c>
      <c r="J10" s="1112" t="s">
        <v>2070</v>
      </c>
      <c r="K10" s="1117" t="s">
        <v>2015</v>
      </c>
    </row>
    <row r="11" spans="1:13" ht="15.75">
      <c r="A11" s="1040">
        <v>46188</v>
      </c>
      <c r="B11" s="1042">
        <v>46553</v>
      </c>
      <c r="C11" s="1030" t="s">
        <v>1597</v>
      </c>
      <c r="D11" s="1030" t="s">
        <v>448</v>
      </c>
      <c r="E11" s="1030" t="s">
        <v>2942</v>
      </c>
      <c r="F11" s="1072">
        <v>2499.9699999999998</v>
      </c>
      <c r="G11" s="1073">
        <v>0.25</v>
      </c>
      <c r="H11" s="1067">
        <f t="shared" si="0"/>
        <v>562.49324999999999</v>
      </c>
      <c r="I11" s="1068">
        <v>56.24</v>
      </c>
      <c r="J11" s="1112" t="s">
        <v>2070</v>
      </c>
      <c r="K11" s="1117" t="s">
        <v>2015</v>
      </c>
    </row>
    <row r="12" spans="1:13" ht="15.75">
      <c r="A12" s="1040">
        <v>46191</v>
      </c>
      <c r="B12" s="1042">
        <v>46556</v>
      </c>
      <c r="C12" s="1027" t="s">
        <v>3273</v>
      </c>
      <c r="D12" s="1027" t="s">
        <v>448</v>
      </c>
      <c r="E12" s="1027" t="s">
        <v>279</v>
      </c>
      <c r="F12" s="1065">
        <v>1094.81</v>
      </c>
      <c r="G12" s="1066">
        <v>0.15</v>
      </c>
      <c r="H12" s="1067">
        <f t="shared" si="0"/>
        <v>147.79935</v>
      </c>
      <c r="I12" s="1068">
        <v>14.78</v>
      </c>
      <c r="J12" s="1112" t="s">
        <v>2070</v>
      </c>
      <c r="K12" s="1117" t="s">
        <v>2274</v>
      </c>
    </row>
    <row r="13" spans="1:13" ht="15.75">
      <c r="A13" s="1040">
        <v>46190</v>
      </c>
      <c r="B13" s="1042">
        <v>46556</v>
      </c>
      <c r="C13" s="1027" t="s">
        <v>2210</v>
      </c>
      <c r="D13" s="1027" t="s">
        <v>448</v>
      </c>
      <c r="E13" s="1027" t="s">
        <v>19</v>
      </c>
      <c r="F13" s="1065">
        <v>2948.43</v>
      </c>
      <c r="G13" s="1066">
        <v>0.2</v>
      </c>
      <c r="H13" s="1635">
        <f t="shared" si="0"/>
        <v>530.7174</v>
      </c>
      <c r="I13" s="1068">
        <v>53.07</v>
      </c>
      <c r="J13" s="1112" t="s">
        <v>2070</v>
      </c>
      <c r="K13" s="1117" t="s">
        <v>2015</v>
      </c>
    </row>
    <row r="14" spans="1:13" ht="15.75">
      <c r="A14" s="1040">
        <v>46192</v>
      </c>
      <c r="B14" s="1042">
        <v>46557</v>
      </c>
      <c r="C14" s="1030" t="s">
        <v>3276</v>
      </c>
      <c r="D14" s="1030" t="s">
        <v>448</v>
      </c>
      <c r="E14" s="1027" t="s">
        <v>948</v>
      </c>
      <c r="F14" s="1065">
        <v>2420.75</v>
      </c>
      <c r="G14" s="1066">
        <v>0.2</v>
      </c>
      <c r="H14" s="1635">
        <f t="shared" si="0"/>
        <v>435.73500000000001</v>
      </c>
      <c r="I14" s="1068">
        <v>43.57</v>
      </c>
      <c r="J14" s="1112" t="s">
        <v>2070</v>
      </c>
      <c r="K14" s="1117" t="s">
        <v>2274</v>
      </c>
    </row>
    <row r="15" spans="1:13" ht="15.75" customHeight="1">
      <c r="A15" s="1040">
        <v>46191</v>
      </c>
      <c r="B15" s="1042">
        <v>46558</v>
      </c>
      <c r="C15" s="1027" t="s">
        <v>3275</v>
      </c>
      <c r="D15" s="1030" t="s">
        <v>9</v>
      </c>
      <c r="E15" s="1027" t="s">
        <v>458</v>
      </c>
      <c r="F15" s="1065">
        <v>880.45</v>
      </c>
      <c r="G15" s="1066">
        <v>0.25</v>
      </c>
      <c r="H15" s="1635">
        <f t="shared" si="0"/>
        <v>198.10125000000002</v>
      </c>
      <c r="I15" s="1068">
        <v>19.809999999999999</v>
      </c>
      <c r="J15" s="1112" t="s">
        <v>2070</v>
      </c>
      <c r="K15" s="1117" t="s">
        <v>2015</v>
      </c>
    </row>
    <row r="16" spans="1:13" ht="15.75">
      <c r="A16" s="1040">
        <v>46189</v>
      </c>
      <c r="B16" s="1042">
        <v>46561</v>
      </c>
      <c r="C16" s="1027" t="s">
        <v>1694</v>
      </c>
      <c r="D16" s="1030" t="s">
        <v>448</v>
      </c>
      <c r="E16" s="1027" t="s">
        <v>10</v>
      </c>
      <c r="F16" s="1619">
        <v>2488.23</v>
      </c>
      <c r="G16" s="1066">
        <v>0.2</v>
      </c>
      <c r="H16" s="1635">
        <f t="shared" si="0"/>
        <v>447.88140000000004</v>
      </c>
      <c r="I16" s="1068">
        <v>44.78</v>
      </c>
      <c r="J16" s="1112" t="s">
        <v>2070</v>
      </c>
      <c r="K16" s="1117" t="s">
        <v>2015</v>
      </c>
    </row>
    <row r="17" spans="1:12" ht="15.75">
      <c r="A17" s="1040">
        <v>46192</v>
      </c>
      <c r="B17" s="1042">
        <v>46565</v>
      </c>
      <c r="C17" s="1027" t="s">
        <v>3278</v>
      </c>
      <c r="D17" s="1030" t="s">
        <v>448</v>
      </c>
      <c r="E17" s="1027" t="s">
        <v>1582</v>
      </c>
      <c r="F17" s="1065">
        <v>3217.41</v>
      </c>
      <c r="G17" s="1066">
        <v>0.25</v>
      </c>
      <c r="H17" s="1635">
        <f t="shared" si="0"/>
        <v>723.91724999999997</v>
      </c>
      <c r="I17" s="1068">
        <v>72.39</v>
      </c>
      <c r="J17" s="1112" t="s">
        <v>2070</v>
      </c>
      <c r="K17" s="1117" t="s">
        <v>2015</v>
      </c>
    </row>
    <row r="18" spans="1:12" ht="15.75">
      <c r="A18" s="1041">
        <v>46202</v>
      </c>
      <c r="B18" s="1041">
        <v>46567</v>
      </c>
      <c r="C18" s="1027" t="s">
        <v>3212</v>
      </c>
      <c r="D18" s="1027" t="s">
        <v>9</v>
      </c>
      <c r="E18" s="1027" t="s">
        <v>1310</v>
      </c>
      <c r="F18" s="1508">
        <v>1847.98</v>
      </c>
      <c r="G18" s="1066">
        <v>0.15</v>
      </c>
      <c r="H18" s="1635">
        <f t="shared" si="0"/>
        <v>249.47730000000001</v>
      </c>
      <c r="I18" s="1234">
        <v>24.94</v>
      </c>
      <c r="J18" s="1112" t="s">
        <v>2070</v>
      </c>
      <c r="K18" s="1117" t="s">
        <v>2010</v>
      </c>
    </row>
    <row r="19" spans="1:12" ht="15.75">
      <c r="A19" s="1417">
        <v>46174</v>
      </c>
      <c r="B19" s="1417">
        <v>46545</v>
      </c>
      <c r="C19" s="1411" t="s">
        <v>3267</v>
      </c>
      <c r="D19" s="1411" t="s">
        <v>1862</v>
      </c>
      <c r="E19" s="1411" t="s">
        <v>2942</v>
      </c>
      <c r="F19" s="1636">
        <v>9372.16</v>
      </c>
      <c r="G19" s="1413">
        <v>0.25</v>
      </c>
      <c r="H19" s="1917">
        <f t="shared" si="0"/>
        <v>2108.7359999999999</v>
      </c>
      <c r="I19" s="1915">
        <f>2108.74/2</f>
        <v>1054.3699999999999</v>
      </c>
      <c r="J19" s="1916" t="s">
        <v>3260</v>
      </c>
      <c r="K19" s="1415" t="s">
        <v>2015</v>
      </c>
    </row>
    <row r="20" spans="1:12" ht="15.75">
      <c r="A20" s="1913">
        <v>46181</v>
      </c>
      <c r="B20" s="1417">
        <v>46549</v>
      </c>
      <c r="C20" s="1411" t="s">
        <v>3266</v>
      </c>
      <c r="D20" s="1914" t="s">
        <v>9</v>
      </c>
      <c r="E20" s="1411" t="s">
        <v>279</v>
      </c>
      <c r="F20" s="1961">
        <v>2060.33</v>
      </c>
      <c r="G20" s="1413">
        <v>0.15</v>
      </c>
      <c r="H20" s="1917">
        <f t="shared" si="0"/>
        <v>278.14454999999998</v>
      </c>
      <c r="I20" s="1915">
        <f>278.14/2</f>
        <v>139.07</v>
      </c>
      <c r="J20" s="1916" t="s">
        <v>3260</v>
      </c>
      <c r="K20" s="1415" t="s">
        <v>2015</v>
      </c>
    </row>
    <row r="21" spans="1:12" s="1637" customFormat="1" ht="15.75">
      <c r="A21" s="1913">
        <v>46195</v>
      </c>
      <c r="B21" s="1417">
        <v>46560</v>
      </c>
      <c r="C21" s="1637" t="s">
        <v>3283</v>
      </c>
      <c r="D21" s="1914" t="s">
        <v>70</v>
      </c>
      <c r="E21" s="1411" t="s">
        <v>279</v>
      </c>
      <c r="F21" s="1636">
        <v>1516.2</v>
      </c>
      <c r="G21" s="1413">
        <v>0.15</v>
      </c>
      <c r="H21" s="1917">
        <f t="shared" si="0"/>
        <v>204.68700000000001</v>
      </c>
      <c r="I21" s="1915">
        <f>204.69/2</f>
        <v>102.345</v>
      </c>
      <c r="J21" s="1916" t="s">
        <v>3260</v>
      </c>
      <c r="K21" s="1415" t="s">
        <v>2274</v>
      </c>
    </row>
    <row r="22" spans="1:12" ht="15.75">
      <c r="A22" s="1367">
        <v>46188</v>
      </c>
      <c r="B22" s="1379">
        <v>46555</v>
      </c>
      <c r="C22" s="1380" t="s">
        <v>3271</v>
      </c>
      <c r="D22" s="1368" t="s">
        <v>70</v>
      </c>
      <c r="E22" s="1380" t="s">
        <v>279</v>
      </c>
      <c r="F22" s="1381">
        <v>561.63</v>
      </c>
      <c r="G22" s="1384">
        <v>0.1</v>
      </c>
      <c r="H22" s="1861">
        <f t="shared" si="0"/>
        <v>50.546700000000001</v>
      </c>
      <c r="I22" s="1369">
        <f>50.55/2</f>
        <v>25.274999999999999</v>
      </c>
      <c r="J22" s="1370" t="s">
        <v>2408</v>
      </c>
      <c r="K22" s="1341" t="s">
        <v>2015</v>
      </c>
    </row>
    <row r="23" spans="1:12" ht="15.75">
      <c r="A23" s="1406">
        <v>46182</v>
      </c>
      <c r="B23" s="1406">
        <v>46548</v>
      </c>
      <c r="C23" s="1224" t="s">
        <v>3270</v>
      </c>
      <c r="D23" s="1224" t="s">
        <v>533</v>
      </c>
      <c r="E23" s="1224" t="s">
        <v>3080</v>
      </c>
      <c r="F23" s="1407">
        <v>1913.03</v>
      </c>
      <c r="G23" s="1409">
        <v>0.2</v>
      </c>
      <c r="H23" s="1859">
        <f t="shared" si="0"/>
        <v>344.34539999999998</v>
      </c>
      <c r="I23" s="1439">
        <f>344.35/2</f>
        <v>172.17500000000001</v>
      </c>
      <c r="J23" s="1224" t="s">
        <v>1577</v>
      </c>
      <c r="K23" s="1231" t="s">
        <v>2015</v>
      </c>
    </row>
    <row r="24" spans="1:12" ht="15.75">
      <c r="A24" s="1223">
        <v>46186</v>
      </c>
      <c r="B24" s="1406">
        <v>46551</v>
      </c>
      <c r="C24" s="1464" t="s">
        <v>1815</v>
      </c>
      <c r="D24" s="1225" t="s">
        <v>448</v>
      </c>
      <c r="E24" s="1225" t="s">
        <v>279</v>
      </c>
      <c r="F24" s="1408">
        <v>2475.0700000000002</v>
      </c>
      <c r="G24" s="1409">
        <v>0.1</v>
      </c>
      <c r="H24" s="1859">
        <f t="shared" si="0"/>
        <v>222.75630000000004</v>
      </c>
      <c r="I24" s="1227">
        <f>222.76/2</f>
        <v>111.38</v>
      </c>
      <c r="J24" s="1228" t="s">
        <v>1577</v>
      </c>
      <c r="K24" s="1231" t="s">
        <v>2010</v>
      </c>
    </row>
    <row r="25" spans="1:12" ht="15.75">
      <c r="A25" s="1037">
        <v>46171</v>
      </c>
      <c r="B25" s="1038">
        <v>46539</v>
      </c>
      <c r="C25" s="1025" t="s">
        <v>2237</v>
      </c>
      <c r="D25" s="1026" t="s">
        <v>70</v>
      </c>
      <c r="E25" s="1026" t="s">
        <v>279</v>
      </c>
      <c r="F25" s="1053">
        <v>628.30999999999995</v>
      </c>
      <c r="G25" s="1054">
        <v>0.1</v>
      </c>
      <c r="H25" s="1269">
        <f t="shared" si="0"/>
        <v>56.547899999999998</v>
      </c>
      <c r="I25" s="1056"/>
      <c r="J25" s="1111"/>
      <c r="K25" s="1115" t="s">
        <v>2015</v>
      </c>
      <c r="L25" s="1918"/>
    </row>
    <row r="26" spans="1:12" ht="15.75">
      <c r="A26" s="1037">
        <v>46171</v>
      </c>
      <c r="B26" s="1038">
        <v>46543</v>
      </c>
      <c r="C26" s="1025" t="s">
        <v>1278</v>
      </c>
      <c r="D26" s="1026" t="s">
        <v>448</v>
      </c>
      <c r="E26" s="1026" t="s">
        <v>1593</v>
      </c>
      <c r="F26" s="1059">
        <v>1165.53</v>
      </c>
      <c r="G26" s="1054">
        <v>0.1</v>
      </c>
      <c r="H26" s="1269">
        <f t="shared" si="0"/>
        <v>104.8977</v>
      </c>
      <c r="I26" s="1056"/>
      <c r="J26" s="1111"/>
      <c r="K26" s="1115" t="s">
        <v>2015</v>
      </c>
    </row>
    <row r="27" spans="1:12">
      <c r="A27" s="1037">
        <v>46178</v>
      </c>
      <c r="B27" s="1038">
        <v>46544</v>
      </c>
      <c r="C27" s="1039" t="s">
        <v>3265</v>
      </c>
      <c r="D27" s="1038" t="s">
        <v>448</v>
      </c>
      <c r="E27" s="1038" t="s">
        <v>19</v>
      </c>
      <c r="F27" s="1053">
        <v>1213.18</v>
      </c>
      <c r="G27" s="1054">
        <v>0.15</v>
      </c>
      <c r="H27" s="1269">
        <f t="shared" si="0"/>
        <v>163.77930000000001</v>
      </c>
      <c r="I27" s="1089"/>
      <c r="J27" s="1325"/>
      <c r="K27" s="1039" t="s">
        <v>2015</v>
      </c>
    </row>
    <row r="28" spans="1:12" ht="15.75">
      <c r="A28" s="1039">
        <v>46182</v>
      </c>
      <c r="B28" s="1039">
        <v>46547</v>
      </c>
      <c r="C28" s="1025" t="s">
        <v>3269</v>
      </c>
      <c r="D28" s="1025" t="s">
        <v>448</v>
      </c>
      <c r="E28" s="1025" t="s">
        <v>3268</v>
      </c>
      <c r="F28" s="1061">
        <v>222.39</v>
      </c>
      <c r="G28" s="1062">
        <v>0.2</v>
      </c>
      <c r="H28" s="1269">
        <f t="shared" si="0"/>
        <v>40.030200000000001</v>
      </c>
      <c r="I28" s="1242"/>
      <c r="J28" s="1025"/>
      <c r="K28" s="1115" t="s">
        <v>2274</v>
      </c>
    </row>
    <row r="29" spans="1:12">
      <c r="A29" s="1037">
        <v>46185</v>
      </c>
      <c r="B29" s="1038">
        <v>46551</v>
      </c>
      <c r="C29" s="1941" t="s">
        <v>1403</v>
      </c>
      <c r="D29" s="1026" t="s">
        <v>14</v>
      </c>
      <c r="E29" s="1026" t="s">
        <v>458</v>
      </c>
      <c r="F29" s="1059">
        <v>1580.5</v>
      </c>
      <c r="G29" s="1054">
        <v>0.1</v>
      </c>
      <c r="H29" s="1269">
        <f t="shared" si="0"/>
        <v>142.245</v>
      </c>
      <c r="I29" s="1056"/>
      <c r="J29" s="1111"/>
      <c r="K29" s="1025" t="s">
        <v>2015</v>
      </c>
    </row>
    <row r="30" spans="1:12" ht="15.75">
      <c r="A30" s="1037">
        <v>46178</v>
      </c>
      <c r="B30" s="1038">
        <v>46552</v>
      </c>
      <c r="C30" s="1026" t="s">
        <v>1401</v>
      </c>
      <c r="D30" s="1026" t="s">
        <v>25</v>
      </c>
      <c r="E30" s="1026" t="s">
        <v>19</v>
      </c>
      <c r="F30" s="1053">
        <v>1536.26</v>
      </c>
      <c r="G30" s="1054">
        <v>0.15</v>
      </c>
      <c r="H30" s="1269">
        <f t="shared" si="0"/>
        <v>207.39509999999999</v>
      </c>
      <c r="I30" s="1056"/>
      <c r="J30" s="1111"/>
      <c r="K30" s="1115" t="s">
        <v>2015</v>
      </c>
    </row>
    <row r="31" spans="1:12" ht="15.75">
      <c r="A31" s="1037">
        <v>46189</v>
      </c>
      <c r="B31" s="1038">
        <v>46554</v>
      </c>
      <c r="C31" s="1026" t="s">
        <v>3272</v>
      </c>
      <c r="D31" s="1026" t="s">
        <v>448</v>
      </c>
      <c r="E31" s="1026" t="s">
        <v>3080</v>
      </c>
      <c r="F31" s="1059">
        <v>2222.75</v>
      </c>
      <c r="G31" s="1054">
        <v>0.2</v>
      </c>
      <c r="H31" s="1269">
        <f t="shared" si="0"/>
        <v>400.09500000000003</v>
      </c>
      <c r="I31" s="1056"/>
      <c r="J31" s="1111"/>
      <c r="K31" s="1115" t="s">
        <v>2274</v>
      </c>
    </row>
    <row r="32" spans="1:12" ht="15.75">
      <c r="A32" s="1037">
        <v>46192</v>
      </c>
      <c r="B32" s="1038">
        <v>46559</v>
      </c>
      <c r="C32" s="1025" t="s">
        <v>1438</v>
      </c>
      <c r="D32" s="1026" t="s">
        <v>149</v>
      </c>
      <c r="E32" s="1026" t="s">
        <v>15</v>
      </c>
      <c r="F32" s="1135">
        <v>2590.86</v>
      </c>
      <c r="G32" s="1054">
        <v>0.15</v>
      </c>
      <c r="H32" s="1269">
        <f t="shared" si="0"/>
        <v>349.76610000000005</v>
      </c>
      <c r="I32" s="1056"/>
      <c r="J32" s="1111"/>
      <c r="K32" s="1115" t="s">
        <v>2015</v>
      </c>
    </row>
    <row r="33" spans="1:11" ht="15.75">
      <c r="A33" s="1037">
        <v>46195</v>
      </c>
      <c r="B33" s="1038">
        <v>46560</v>
      </c>
      <c r="C33" s="1026" t="s">
        <v>947</v>
      </c>
      <c r="D33" s="1026" t="s">
        <v>14</v>
      </c>
      <c r="E33" s="1025" t="s">
        <v>948</v>
      </c>
      <c r="F33" s="1061">
        <v>1574.23</v>
      </c>
      <c r="G33" s="1062">
        <v>0.15</v>
      </c>
      <c r="H33" s="1269">
        <f t="shared" si="0"/>
        <v>212.52105</v>
      </c>
      <c r="I33" s="1056"/>
      <c r="J33" s="1111"/>
      <c r="K33" s="1115" t="s">
        <v>2015</v>
      </c>
    </row>
    <row r="34" spans="1:11" ht="15.75">
      <c r="A34" s="1037">
        <v>46195</v>
      </c>
      <c r="B34" s="1038">
        <v>46560</v>
      </c>
      <c r="C34" s="1026" t="s">
        <v>139</v>
      </c>
      <c r="D34" s="1026" t="s">
        <v>70</v>
      </c>
      <c r="E34" s="1026" t="s">
        <v>279</v>
      </c>
      <c r="F34" s="1059">
        <v>3466.83</v>
      </c>
      <c r="G34" s="1054">
        <v>0.15</v>
      </c>
      <c r="H34" s="1269">
        <f t="shared" ref="H34:H60" si="1">F34*G34*(1-10%)</f>
        <v>468.02204999999998</v>
      </c>
      <c r="I34" s="1056"/>
      <c r="J34" s="1111"/>
      <c r="K34" s="1115" t="s">
        <v>3274</v>
      </c>
    </row>
    <row r="35" spans="1:11" ht="15.75">
      <c r="A35" s="1037">
        <v>46197</v>
      </c>
      <c r="B35" s="1039">
        <v>46562</v>
      </c>
      <c r="C35" s="1025" t="s">
        <v>2890</v>
      </c>
      <c r="D35" s="1026" t="s">
        <v>9</v>
      </c>
      <c r="E35" s="1025" t="s">
        <v>1310</v>
      </c>
      <c r="F35" s="1023">
        <v>3564.18</v>
      </c>
      <c r="G35" s="1062">
        <v>0.12</v>
      </c>
      <c r="H35" s="1269">
        <f t="shared" si="1"/>
        <v>384.93144000000001</v>
      </c>
      <c r="I35" s="1056"/>
      <c r="J35" s="1111"/>
      <c r="K35" s="1115" t="s">
        <v>2015</v>
      </c>
    </row>
    <row r="36" spans="1:11" ht="16.5">
      <c r="A36" s="1037">
        <v>46197</v>
      </c>
      <c r="B36" s="1038">
        <v>46563</v>
      </c>
      <c r="C36" s="1942" t="s">
        <v>727</v>
      </c>
      <c r="D36" s="1026" t="s">
        <v>9</v>
      </c>
      <c r="E36" s="1026" t="s">
        <v>1552</v>
      </c>
      <c r="F36" s="1071">
        <v>1441.92</v>
      </c>
      <c r="G36" s="1054">
        <v>0.25</v>
      </c>
      <c r="H36" s="1269">
        <f t="shared" si="1"/>
        <v>324.43200000000002</v>
      </c>
      <c r="I36" s="1056"/>
      <c r="J36" s="1111"/>
      <c r="K36" s="1115" t="s">
        <v>2015</v>
      </c>
    </row>
    <row r="37" spans="1:11" ht="15.75" customHeight="1">
      <c r="A37" s="1037">
        <v>46198</v>
      </c>
      <c r="B37" s="1038">
        <v>46564</v>
      </c>
      <c r="C37" s="1026" t="s">
        <v>3277</v>
      </c>
      <c r="D37" s="1026" t="s">
        <v>25</v>
      </c>
      <c r="E37" s="1025" t="s">
        <v>1582</v>
      </c>
      <c r="F37" s="1061">
        <v>1250.79</v>
      </c>
      <c r="G37" s="1062">
        <v>0.224</v>
      </c>
      <c r="H37" s="1269">
        <f t="shared" si="1"/>
        <v>252.15926400000001</v>
      </c>
      <c r="I37" s="1056"/>
      <c r="J37" s="1111"/>
      <c r="K37" s="1115" t="s">
        <v>2015</v>
      </c>
    </row>
    <row r="38" spans="1:11" ht="15.75" customHeight="1">
      <c r="A38" s="1037">
        <v>46195</v>
      </c>
      <c r="B38" s="1038">
        <v>46566</v>
      </c>
      <c r="C38" s="1026" t="s">
        <v>955</v>
      </c>
      <c r="D38" s="1026" t="s">
        <v>448</v>
      </c>
      <c r="E38" s="1026" t="s">
        <v>458</v>
      </c>
      <c r="F38" s="1059">
        <v>846.07</v>
      </c>
      <c r="G38" s="1054">
        <v>0.25</v>
      </c>
      <c r="H38" s="1269">
        <f t="shared" si="1"/>
        <v>190.36575000000002</v>
      </c>
      <c r="I38" s="1056"/>
      <c r="J38" s="1111"/>
      <c r="K38" s="1115" t="s">
        <v>2015</v>
      </c>
    </row>
    <row r="39" spans="1:11" ht="16.5" customHeight="1">
      <c r="A39" s="1037">
        <v>46198</v>
      </c>
      <c r="B39" s="1038">
        <v>46567</v>
      </c>
      <c r="C39" s="1026" t="s">
        <v>952</v>
      </c>
      <c r="D39" s="1026" t="s">
        <v>448</v>
      </c>
      <c r="E39" s="1026" t="s">
        <v>29</v>
      </c>
      <c r="F39" s="1059">
        <v>1371.74</v>
      </c>
      <c r="G39" s="1054">
        <v>0.15</v>
      </c>
      <c r="H39" s="1269">
        <f t="shared" si="1"/>
        <v>185.1849</v>
      </c>
      <c r="I39" s="1056"/>
      <c r="J39" s="1111"/>
      <c r="K39" s="1115" t="s">
        <v>2015</v>
      </c>
    </row>
    <row r="40" spans="1:11" ht="15.75">
      <c r="A40" s="1037">
        <v>46175</v>
      </c>
      <c r="B40" s="1038" t="s">
        <v>1805</v>
      </c>
      <c r="C40" s="1025" t="s">
        <v>3262</v>
      </c>
      <c r="D40" s="1026" t="s">
        <v>70</v>
      </c>
      <c r="E40" s="1026" t="s">
        <v>19</v>
      </c>
      <c r="F40" s="1059">
        <v>469.13</v>
      </c>
      <c r="G40" s="1054">
        <v>0.1</v>
      </c>
      <c r="H40" s="1269">
        <f t="shared" si="1"/>
        <v>42.221700000000006</v>
      </c>
      <c r="I40" s="1056"/>
      <c r="J40" s="1111"/>
      <c r="K40" s="1115" t="s">
        <v>1805</v>
      </c>
    </row>
    <row r="41" spans="1:11" ht="15.75">
      <c r="A41" s="1037">
        <v>46188</v>
      </c>
      <c r="B41" s="1038" t="s">
        <v>1805</v>
      </c>
      <c r="C41" s="1032" t="s">
        <v>2111</v>
      </c>
      <c r="D41" s="1026" t="s">
        <v>25</v>
      </c>
      <c r="E41" s="1026" t="s">
        <v>29</v>
      </c>
      <c r="F41" s="1053">
        <v>167.96</v>
      </c>
      <c r="G41" s="1054">
        <v>0.1</v>
      </c>
      <c r="H41" s="1269">
        <f t="shared" si="1"/>
        <v>15.116400000000002</v>
      </c>
      <c r="I41" s="1056"/>
      <c r="J41" s="1111"/>
      <c r="K41" s="1115" t="s">
        <v>1805</v>
      </c>
    </row>
    <row r="42" spans="1:11" ht="15.75">
      <c r="A42" s="1037">
        <v>46203</v>
      </c>
      <c r="B42" s="1038" t="s">
        <v>1805</v>
      </c>
      <c r="C42" s="1026" t="s">
        <v>3279</v>
      </c>
      <c r="D42" s="1026" t="s">
        <v>25</v>
      </c>
      <c r="E42" s="1026" t="s">
        <v>1310</v>
      </c>
      <c r="F42" s="1059">
        <v>178.24</v>
      </c>
      <c r="G42" s="1054">
        <v>0.15</v>
      </c>
      <c r="H42" s="1269">
        <f t="shared" si="1"/>
        <v>24.0624</v>
      </c>
      <c r="I42" s="1056"/>
      <c r="J42" s="1111"/>
      <c r="K42" s="1115" t="s">
        <v>1805</v>
      </c>
    </row>
    <row r="43" spans="1:11">
      <c r="A43" s="1037"/>
      <c r="B43" s="1038">
        <v>46550</v>
      </c>
      <c r="C43" s="1026" t="s">
        <v>3291</v>
      </c>
      <c r="D43" s="1026" t="s">
        <v>533</v>
      </c>
      <c r="E43" s="1026" t="s">
        <v>3292</v>
      </c>
      <c r="F43" s="1053">
        <v>1539.69</v>
      </c>
      <c r="G43" s="1054">
        <v>0.15</v>
      </c>
      <c r="H43" s="1269">
        <f t="shared" si="1"/>
        <v>207.85814999999999</v>
      </c>
      <c r="I43" s="1056"/>
      <c r="J43" s="1111"/>
      <c r="K43" s="1890" t="s">
        <v>2274</v>
      </c>
    </row>
    <row r="44" spans="1:11" ht="15.75">
      <c r="A44" s="1037"/>
      <c r="B44" s="1038"/>
      <c r="C44" s="1026"/>
      <c r="D44" s="1026"/>
      <c r="E44" s="1026"/>
      <c r="F44" s="1059"/>
      <c r="G44" s="1054"/>
      <c r="H44" s="1269">
        <f t="shared" si="1"/>
        <v>0</v>
      </c>
      <c r="I44" s="1056"/>
      <c r="J44" s="1111"/>
      <c r="K44" s="1115"/>
    </row>
    <row r="45" spans="1:11" ht="15.75">
      <c r="A45" s="1037"/>
      <c r="B45" s="1038"/>
      <c r="C45" s="1026"/>
      <c r="D45" s="1026"/>
      <c r="E45" s="1026"/>
      <c r="F45" s="1059"/>
      <c r="G45" s="1054"/>
      <c r="H45" s="1269">
        <f t="shared" si="1"/>
        <v>0</v>
      </c>
      <c r="I45" s="1056"/>
      <c r="J45" s="1111"/>
      <c r="K45" s="1115"/>
    </row>
    <row r="46" spans="1:11" ht="15.75">
      <c r="A46" s="1037"/>
      <c r="B46" s="1038"/>
      <c r="C46" s="1026"/>
      <c r="D46" s="1026"/>
      <c r="E46" s="1026"/>
      <c r="F46" s="1059"/>
      <c r="G46" s="1054"/>
      <c r="H46" s="1269">
        <f t="shared" si="1"/>
        <v>0</v>
      </c>
      <c r="I46" s="1056"/>
      <c r="J46" s="1111"/>
      <c r="K46" s="1115"/>
    </row>
    <row r="47" spans="1:11" ht="15.75">
      <c r="A47" s="1037"/>
      <c r="B47" s="1038"/>
      <c r="C47" s="1026"/>
      <c r="D47" s="1026"/>
      <c r="E47" s="1026"/>
      <c r="F47" s="1059"/>
      <c r="G47" s="1054"/>
      <c r="H47" s="1269">
        <f t="shared" si="1"/>
        <v>0</v>
      </c>
      <c r="I47" s="1056"/>
      <c r="J47" s="1111"/>
      <c r="K47" s="1115"/>
    </row>
    <row r="48" spans="1:11" ht="15.75">
      <c r="A48" s="1037"/>
      <c r="B48" s="1038"/>
      <c r="C48" s="1026"/>
      <c r="D48" s="1026"/>
      <c r="E48" s="1026"/>
      <c r="F48" s="1059"/>
      <c r="G48" s="1054"/>
      <c r="H48" s="1269">
        <f t="shared" si="1"/>
        <v>0</v>
      </c>
      <c r="I48" s="1056"/>
      <c r="J48" s="1111"/>
      <c r="K48" s="1115"/>
    </row>
    <row r="49" spans="1:11" ht="15.75">
      <c r="A49" s="1037"/>
      <c r="B49" s="1038"/>
      <c r="C49" s="1026"/>
      <c r="D49" s="1026"/>
      <c r="E49" s="1026"/>
      <c r="F49" s="1059"/>
      <c r="G49" s="1054"/>
      <c r="H49" s="1269">
        <f t="shared" si="1"/>
        <v>0</v>
      </c>
      <c r="I49" s="1056"/>
      <c r="J49" s="1111"/>
      <c r="K49" s="1115"/>
    </row>
    <row r="50" spans="1:11" ht="15.75">
      <c r="A50" s="1037"/>
      <c r="B50" s="1038"/>
      <c r="C50" s="1026"/>
      <c r="D50" s="1026"/>
      <c r="E50" s="1026"/>
      <c r="F50" s="1484"/>
      <c r="G50" s="1054"/>
      <c r="H50" s="1269">
        <f t="shared" si="1"/>
        <v>0</v>
      </c>
      <c r="I50" s="1056"/>
      <c r="J50" s="1111"/>
      <c r="K50" s="1115"/>
    </row>
    <row r="51" spans="1:11" ht="15.75">
      <c r="A51" s="1037"/>
      <c r="B51" s="1038"/>
      <c r="C51" s="1026"/>
      <c r="D51" s="1026"/>
      <c r="E51" s="1026"/>
      <c r="F51" s="1059"/>
      <c r="G51" s="1054"/>
      <c r="H51" s="1269">
        <f t="shared" si="1"/>
        <v>0</v>
      </c>
      <c r="I51" s="1056"/>
      <c r="J51" s="1111"/>
      <c r="K51" s="1115"/>
    </row>
    <row r="52" spans="1:11" ht="15.75">
      <c r="A52" s="1037"/>
      <c r="B52" s="1038"/>
      <c r="C52" s="1026"/>
      <c r="D52" s="1026"/>
      <c r="E52" s="1026"/>
      <c r="F52" s="1059"/>
      <c r="G52" s="1054"/>
      <c r="H52" s="1269">
        <f t="shared" si="1"/>
        <v>0</v>
      </c>
      <c r="I52" s="1056"/>
      <c r="J52" s="1111"/>
      <c r="K52" s="1115"/>
    </row>
    <row r="53" spans="1:11" ht="15.75">
      <c r="A53" s="1037"/>
      <c r="B53" s="1038"/>
      <c r="C53" s="1026"/>
      <c r="D53" s="1026"/>
      <c r="E53" s="1026"/>
      <c r="F53" s="1059"/>
      <c r="G53" s="1054"/>
      <c r="H53" s="1269">
        <f t="shared" si="1"/>
        <v>0</v>
      </c>
      <c r="I53" s="1056"/>
      <c r="J53" s="1111"/>
      <c r="K53" s="1115"/>
    </row>
    <row r="54" spans="1:11" ht="15.75">
      <c r="A54" s="1037"/>
      <c r="B54" s="1038"/>
      <c r="C54" s="1026"/>
      <c r="D54" s="1026"/>
      <c r="E54" s="1026"/>
      <c r="F54" s="1059"/>
      <c r="G54" s="1054"/>
      <c r="H54" s="1269">
        <f t="shared" si="1"/>
        <v>0</v>
      </c>
      <c r="I54" s="1056"/>
      <c r="J54" s="1111"/>
      <c r="K54" s="1115"/>
    </row>
    <row r="55" spans="1:11" ht="15.75">
      <c r="A55" s="1037"/>
      <c r="B55" s="1038"/>
      <c r="C55" s="1026"/>
      <c r="D55" s="1026"/>
      <c r="E55" s="1026"/>
      <c r="F55" s="1059"/>
      <c r="G55" s="1054"/>
      <c r="H55" s="1269">
        <f t="shared" si="1"/>
        <v>0</v>
      </c>
      <c r="I55" s="1056"/>
      <c r="J55" s="1111"/>
      <c r="K55" s="1115"/>
    </row>
    <row r="56" spans="1:11" ht="15.75">
      <c r="A56" s="1037"/>
      <c r="B56" s="1038"/>
      <c r="C56" s="1026"/>
      <c r="D56" s="1026"/>
      <c r="E56" s="1026"/>
      <c r="F56" s="1059"/>
      <c r="G56" s="1054"/>
      <c r="H56" s="1269">
        <f t="shared" si="1"/>
        <v>0</v>
      </c>
      <c r="I56" s="1056"/>
      <c r="J56" s="1111"/>
      <c r="K56" s="1115"/>
    </row>
    <row r="57" spans="1:11" ht="15.75">
      <c r="A57" s="1037"/>
      <c r="B57" s="1038"/>
      <c r="C57" s="1026"/>
      <c r="D57" s="1026"/>
      <c r="E57" s="1026"/>
      <c r="F57" s="1059"/>
      <c r="G57" s="1054"/>
      <c r="H57" s="1269">
        <f t="shared" si="1"/>
        <v>0</v>
      </c>
      <c r="I57" s="1056"/>
      <c r="J57" s="1111"/>
      <c r="K57" s="1115"/>
    </row>
    <row r="58" spans="1:11" ht="15.75">
      <c r="A58" s="1037"/>
      <c r="B58" s="1038"/>
      <c r="C58" s="1026"/>
      <c r="D58" s="1026"/>
      <c r="E58" s="1026"/>
      <c r="F58" s="1059"/>
      <c r="G58" s="1054"/>
      <c r="H58" s="1269">
        <f t="shared" si="1"/>
        <v>0</v>
      </c>
      <c r="I58" s="1056"/>
      <c r="J58" s="1111"/>
      <c r="K58" s="1115"/>
    </row>
    <row r="59" spans="1:11" ht="15.75">
      <c r="A59" s="1037"/>
      <c r="B59" s="1038"/>
      <c r="C59" s="1026"/>
      <c r="D59" s="1026"/>
      <c r="E59" s="1026"/>
      <c r="F59" s="1059"/>
      <c r="G59" s="1054"/>
      <c r="H59" s="1269">
        <f t="shared" si="1"/>
        <v>0</v>
      </c>
      <c r="I59" s="1056"/>
      <c r="J59" s="1111"/>
      <c r="K59" s="1115"/>
    </row>
    <row r="60" spans="1:11" ht="16.5" thickBot="1">
      <c r="A60" s="1039"/>
      <c r="B60" s="1039"/>
      <c r="C60" s="1025"/>
      <c r="D60" s="1025"/>
      <c r="E60" s="1025"/>
      <c r="F60" s="1059"/>
      <c r="G60" s="1054"/>
      <c r="H60" s="1269">
        <f t="shared" si="1"/>
        <v>0</v>
      </c>
      <c r="I60" s="1662"/>
      <c r="J60" s="1111"/>
      <c r="K60" s="1115"/>
    </row>
    <row r="61" spans="1:11" ht="15.75" customHeight="1" thickBot="1">
      <c r="A61" s="1864"/>
      <c r="B61" s="1865"/>
      <c r="C61" s="1865"/>
      <c r="D61" s="1865"/>
      <c r="E61" s="1866"/>
      <c r="F61" s="1670">
        <f>SUM(F3:F6,F7:F60)</f>
        <v>73455.520000000019</v>
      </c>
      <c r="G61" s="1667"/>
      <c r="H61" s="1925">
        <f>SUM(H3:H60)</f>
        <v>11778.283971000003</v>
      </c>
      <c r="I61" s="1671">
        <f>SUM(I3:I60)</f>
        <v>2084.2950000000001</v>
      </c>
      <c r="J61" s="1867"/>
      <c r="K61" s="1689"/>
    </row>
    <row r="62" spans="1:11" ht="15.75" customHeight="1">
      <c r="A62" s="1037"/>
      <c r="B62" s="1037"/>
      <c r="C62" s="1026"/>
      <c r="D62" s="1026"/>
      <c r="E62" s="1026"/>
      <c r="F62" s="1102"/>
      <c r="G62" s="1076"/>
      <c r="H62" s="1055"/>
      <c r="I62" s="1077"/>
      <c r="J62" s="1111"/>
      <c r="K62" s="1115"/>
    </row>
    <row r="63" spans="1:11" ht="15.75" customHeight="1">
      <c r="A63" s="1037"/>
      <c r="B63" s="1038"/>
      <c r="C63" s="1026"/>
      <c r="D63" s="1026"/>
      <c r="E63" s="1026"/>
      <c r="F63" s="1059"/>
      <c r="G63" s="1054"/>
      <c r="H63" s="1269"/>
      <c r="I63" s="1056"/>
      <c r="J63" s="1111"/>
      <c r="K63" s="1115"/>
    </row>
    <row r="64" spans="1:11" ht="15.75" customHeight="1">
      <c r="A64" s="1037"/>
      <c r="B64" s="1038"/>
      <c r="C64" s="1026"/>
      <c r="D64" s="1026"/>
      <c r="E64" s="1026"/>
      <c r="F64" s="1059"/>
      <c r="G64" s="1054"/>
      <c r="H64" s="1269"/>
      <c r="I64" s="1056"/>
      <c r="J64" s="1111"/>
      <c r="K64" s="1115"/>
    </row>
    <row r="65" spans="1:11" ht="15.75" customHeight="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115"/>
    </row>
    <row r="66" spans="1:11" ht="15.75" customHeight="1">
      <c r="A66" s="1037"/>
      <c r="B66" s="1038"/>
      <c r="C66" s="1026"/>
      <c r="D66" s="1026"/>
      <c r="E66" s="1026"/>
      <c r="F66" s="1059"/>
      <c r="G66" s="1054"/>
      <c r="H66" s="1269"/>
      <c r="I66" s="1056"/>
      <c r="J66" s="1111"/>
      <c r="K66" s="1115"/>
    </row>
    <row r="67" spans="1:11" ht="15.75" customHeight="1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1115"/>
    </row>
    <row r="68" spans="1:11" ht="15.75" customHeight="1">
      <c r="A68" s="1037"/>
      <c r="B68" s="1038"/>
      <c r="C68" s="1026"/>
      <c r="D68" s="1026"/>
      <c r="E68" s="1026"/>
      <c r="F68" s="1059"/>
      <c r="G68" s="1054"/>
      <c r="H68" s="1269"/>
      <c r="I68" s="1056"/>
      <c r="J68" s="1111"/>
      <c r="K68" s="1115"/>
    </row>
    <row r="69" spans="1:11" ht="15.75" customHeight="1">
      <c r="A69" s="1037"/>
      <c r="B69" s="1038"/>
      <c r="C69" s="1026"/>
      <c r="D69" s="1026"/>
      <c r="E69" s="1026"/>
      <c r="F69" s="1059"/>
      <c r="G69" s="1054"/>
      <c r="H69" s="1269"/>
      <c r="I69" s="1056"/>
      <c r="J69" s="1111"/>
      <c r="K69" s="1115"/>
    </row>
    <row r="70" spans="1:11" ht="15.75" customHeight="1">
      <c r="A70" s="1037"/>
      <c r="B70" s="1038"/>
      <c r="C70" s="1026"/>
      <c r="D70" s="1026"/>
      <c r="E70" s="1026"/>
      <c r="F70" s="1059"/>
      <c r="G70" s="1054"/>
      <c r="H70" s="1269"/>
      <c r="I70" s="1056"/>
      <c r="J70" s="1111"/>
      <c r="K70" s="1025"/>
    </row>
    <row r="71" spans="1:11" ht="15.75" customHeight="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115"/>
    </row>
    <row r="72" spans="1:11" ht="15.75" customHeight="1">
      <c r="A72" s="1037"/>
      <c r="B72" s="1038"/>
      <c r="C72" s="1026"/>
      <c r="D72" s="1026"/>
      <c r="E72" s="1026"/>
      <c r="F72" s="1059"/>
      <c r="G72" s="1059"/>
      <c r="H72" s="1269"/>
      <c r="I72" s="1056"/>
      <c r="J72" s="1111"/>
      <c r="K72" s="1115"/>
    </row>
    <row r="73" spans="1:11" ht="15.75" customHeight="1">
      <c r="A73" s="1037"/>
      <c r="B73" s="1038"/>
      <c r="C73" s="1026"/>
      <c r="D73" s="1026"/>
      <c r="E73" s="1026"/>
      <c r="F73" s="1059"/>
      <c r="G73" s="1059"/>
      <c r="H73" s="1269"/>
      <c r="I73" s="1056"/>
      <c r="J73" s="1111"/>
      <c r="K73" s="1025"/>
    </row>
    <row r="74" spans="1:11" ht="15.75" customHeight="1">
      <c r="A74" s="1037"/>
      <c r="B74" s="1038"/>
      <c r="C74" s="1026"/>
      <c r="D74" s="1026"/>
      <c r="E74" s="1026"/>
      <c r="F74" s="1059"/>
      <c r="G74" s="1059"/>
      <c r="H74" s="1269"/>
      <c r="I74" s="1056"/>
      <c r="J74" s="1111"/>
      <c r="K74" s="1025"/>
    </row>
    <row r="75" spans="1:11" ht="15.75" customHeight="1">
      <c r="A75" s="1037"/>
      <c r="B75" s="1038"/>
      <c r="C75" s="1026"/>
      <c r="D75" s="1026"/>
      <c r="E75" s="1026"/>
      <c r="F75" s="1059"/>
      <c r="G75" s="1054"/>
      <c r="H75" s="1269"/>
      <c r="I75" s="1056"/>
      <c r="J75" s="1111"/>
      <c r="K75" s="1115"/>
    </row>
    <row r="76" spans="1:11" ht="15.75" customHeight="1">
      <c r="A76" s="1037"/>
      <c r="B76" s="1038"/>
      <c r="C76" s="1026"/>
      <c r="D76" s="1026"/>
      <c r="E76" s="1026"/>
      <c r="F76" s="1059"/>
      <c r="G76" s="1054"/>
      <c r="H76" s="1269"/>
      <c r="I76" s="1056"/>
      <c r="J76" s="1111"/>
      <c r="K76" s="1115"/>
    </row>
    <row r="77" spans="1:11" ht="15.75" customHeight="1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1115"/>
    </row>
    <row r="78" spans="1:11" ht="15.75">
      <c r="A78" s="1037"/>
      <c r="B78" s="1038"/>
      <c r="C78" s="1026"/>
      <c r="D78" s="1026"/>
      <c r="E78" s="1026"/>
      <c r="F78" s="1059"/>
      <c r="G78" s="1054"/>
      <c r="H78" s="1269"/>
      <c r="I78" s="1056"/>
      <c r="J78" s="1111"/>
      <c r="K78" s="1115"/>
    </row>
    <row r="79" spans="1:11" ht="15.75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1115"/>
    </row>
    <row r="80" spans="1:11" ht="15.75">
      <c r="A80" s="1037"/>
      <c r="B80" s="1038"/>
      <c r="C80" s="1025"/>
      <c r="D80" s="1025"/>
      <c r="E80" s="1025"/>
      <c r="F80" s="1059"/>
      <c r="G80" s="1062"/>
      <c r="H80" s="1055"/>
      <c r="I80" s="1056"/>
      <c r="J80" s="1111"/>
      <c r="K80" s="1115"/>
    </row>
    <row r="81" spans="1:11" ht="15.75">
      <c r="A81" s="1037"/>
      <c r="B81" s="1039"/>
      <c r="C81" s="1025"/>
      <c r="D81" s="1025"/>
      <c r="E81" s="1025"/>
      <c r="F81" s="1059"/>
      <c r="G81" s="1054"/>
      <c r="H81" s="1269"/>
      <c r="I81" s="1056"/>
      <c r="J81" s="1111"/>
      <c r="K81" s="1115"/>
    </row>
    <row r="82" spans="1:11" ht="15.75">
      <c r="A82" s="1037"/>
      <c r="B82" s="1038"/>
      <c r="C82" s="1026"/>
      <c r="D82" s="1026"/>
      <c r="E82" s="1026"/>
      <c r="F82" s="1059"/>
      <c r="G82" s="1054"/>
      <c r="H82" s="1269"/>
      <c r="I82" s="1056"/>
      <c r="J82" s="1111"/>
      <c r="K82" s="1115"/>
    </row>
    <row r="83" spans="1:11" ht="15.75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1115"/>
    </row>
    <row r="84" spans="1:11" ht="15.75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115"/>
    </row>
    <row r="85" spans="1:11" ht="15.75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115"/>
    </row>
    <row r="86" spans="1:11" ht="15.75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115"/>
    </row>
    <row r="87" spans="1:11" ht="15.75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5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115"/>
    </row>
    <row r="89" spans="1:11" ht="15.75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115"/>
    </row>
    <row r="90" spans="1:11" ht="15.75">
      <c r="A90" s="1037"/>
      <c r="B90" s="1038"/>
      <c r="C90" s="1026"/>
      <c r="D90" s="1026"/>
      <c r="E90" s="1026"/>
      <c r="F90" s="1059"/>
      <c r="G90" s="1054"/>
      <c r="H90" s="1269"/>
      <c r="I90" s="1056"/>
      <c r="J90" s="1111"/>
      <c r="K90" s="1115"/>
    </row>
    <row r="91" spans="1:11" ht="15.75">
      <c r="A91" s="1037"/>
      <c r="B91" s="1038"/>
      <c r="C91" s="1026"/>
      <c r="D91" s="1026"/>
      <c r="E91" s="1026"/>
      <c r="F91" s="1059"/>
      <c r="G91" s="1054"/>
      <c r="H91" s="1269"/>
      <c r="I91" s="1056"/>
      <c r="J91" s="1111"/>
      <c r="K91" s="1115"/>
    </row>
    <row r="92" spans="1:11" ht="15.75">
      <c r="A92" s="1037"/>
      <c r="B92" s="1038"/>
      <c r="C92" s="1026"/>
      <c r="D92" s="1026"/>
      <c r="E92" s="1026"/>
      <c r="F92" s="1059"/>
      <c r="G92" s="1054"/>
      <c r="H92" s="1269"/>
      <c r="I92" s="1056"/>
      <c r="J92" s="1111"/>
      <c r="K92" s="1115"/>
    </row>
    <row r="93" spans="1:11" ht="15.75">
      <c r="A93" s="1037"/>
      <c r="B93" s="1038"/>
      <c r="C93" s="1026"/>
      <c r="D93" s="1026"/>
      <c r="E93" s="1026"/>
      <c r="F93" s="1059"/>
      <c r="G93" s="1054"/>
      <c r="H93" s="1269"/>
      <c r="I93" s="1056"/>
      <c r="J93" s="1111"/>
      <c r="K93" s="1115"/>
    </row>
    <row r="94" spans="1:11" ht="15.75">
      <c r="A94" s="1037"/>
      <c r="B94" s="1038"/>
      <c r="C94" s="1026"/>
      <c r="D94" s="1026"/>
      <c r="E94" s="1026"/>
      <c r="F94" s="1059"/>
      <c r="G94" s="1054"/>
      <c r="H94" s="1269"/>
      <c r="I94" s="1056"/>
      <c r="J94" s="1111"/>
      <c r="K94" s="1115"/>
    </row>
    <row r="95" spans="1:11">
      <c r="A95" s="1037"/>
      <c r="B95" s="1038"/>
      <c r="C95" s="1026"/>
      <c r="D95" s="1026"/>
      <c r="E95" s="1026"/>
      <c r="F95" s="1059"/>
      <c r="G95" s="1059"/>
      <c r="H95" s="1269"/>
      <c r="I95" s="1056"/>
      <c r="J95" s="1111"/>
      <c r="K95" s="1025"/>
    </row>
    <row r="96" spans="1:11">
      <c r="A96" s="1037"/>
      <c r="B96" s="1038"/>
      <c r="C96" s="1026"/>
      <c r="D96" s="1026"/>
      <c r="E96" s="1026"/>
      <c r="F96" s="1059"/>
      <c r="G96" s="1059"/>
      <c r="H96" s="1269"/>
      <c r="I96" s="1056"/>
      <c r="J96" s="1111"/>
      <c r="K96" s="1025"/>
    </row>
    <row r="97" spans="1:11">
      <c r="A97" s="1037"/>
      <c r="B97" s="1038"/>
      <c r="C97" s="1026"/>
      <c r="D97" s="1026"/>
      <c r="E97" s="1026"/>
      <c r="F97" s="1059"/>
      <c r="G97" s="1059"/>
      <c r="H97" s="1269"/>
      <c r="I97" s="1056"/>
      <c r="J97" s="1111"/>
      <c r="K97" s="1025"/>
    </row>
    <row r="98" spans="1:11" ht="15.75">
      <c r="A98" s="1037"/>
      <c r="B98" s="1038"/>
      <c r="C98" s="1026"/>
      <c r="D98" s="1026"/>
      <c r="E98" s="1026"/>
      <c r="F98" s="1059"/>
      <c r="G98" s="1054"/>
      <c r="H98" s="1269"/>
      <c r="I98" s="1056"/>
      <c r="J98" s="1111"/>
      <c r="K98" s="1115"/>
    </row>
    <row r="99" spans="1:11">
      <c r="A99" s="1037"/>
      <c r="B99" s="1038"/>
      <c r="C99" s="1026"/>
      <c r="D99" s="1026"/>
      <c r="E99" s="1026"/>
      <c r="F99" s="1059"/>
      <c r="G99" s="1059"/>
      <c r="H99" s="1269"/>
      <c r="I99" s="1056"/>
      <c r="J99" s="1111"/>
      <c r="K99" s="1025"/>
    </row>
    <row r="100" spans="1:11">
      <c r="A100" s="1037"/>
      <c r="B100" s="1038"/>
      <c r="C100" s="1026"/>
      <c r="D100" s="1026"/>
      <c r="E100" s="1026"/>
      <c r="F100" s="1059"/>
      <c r="G100" s="1059"/>
      <c r="H100" s="1269"/>
      <c r="I100" s="1056"/>
      <c r="J100" s="1111"/>
      <c r="K100" s="1025"/>
    </row>
    <row r="101" spans="1:11">
      <c r="A101" s="1037"/>
      <c r="B101" s="1038"/>
      <c r="C101" s="1026"/>
      <c r="D101" s="1026"/>
      <c r="E101" s="1026"/>
      <c r="F101" s="1059"/>
      <c r="G101" s="1059"/>
      <c r="H101" s="1269"/>
      <c r="I101" s="1056"/>
      <c r="J101" s="1111"/>
      <c r="K101" s="1025"/>
    </row>
    <row r="102" spans="1:11" ht="15.75">
      <c r="A102" s="1037"/>
      <c r="B102" s="1038"/>
      <c r="C102" s="1026"/>
      <c r="D102" s="1026"/>
      <c r="E102" s="1026"/>
      <c r="F102" s="1059"/>
      <c r="G102" s="1054"/>
      <c r="H102" s="1269"/>
      <c r="I102" s="1056"/>
      <c r="J102" s="1111"/>
      <c r="K102" s="1115"/>
    </row>
    <row r="103" spans="1:11" ht="15.75">
      <c r="A103" s="1037"/>
      <c r="B103" s="1038"/>
      <c r="C103" s="1026"/>
      <c r="D103" s="1026"/>
      <c r="E103" s="1026"/>
      <c r="F103" s="1059"/>
      <c r="G103" s="1054"/>
      <c r="H103" s="1269"/>
      <c r="I103" s="1056"/>
      <c r="J103" s="1111"/>
      <c r="K103" s="1115"/>
    </row>
    <row r="104" spans="1:11">
      <c r="A104" s="1037"/>
      <c r="B104" s="1038"/>
      <c r="C104" s="1026"/>
      <c r="D104" s="1026"/>
      <c r="E104" s="1026"/>
      <c r="F104" s="1059"/>
      <c r="G104" s="1059"/>
      <c r="H104" s="1269"/>
      <c r="I104" s="1056"/>
      <c r="J104" s="1111"/>
      <c r="K104" s="1025"/>
    </row>
    <row r="105" spans="1:11">
      <c r="A105" s="1037"/>
      <c r="B105" s="1038"/>
      <c r="C105" s="1026"/>
      <c r="D105" s="1026"/>
      <c r="E105" s="1026"/>
      <c r="F105" s="1059"/>
      <c r="G105" s="1059"/>
      <c r="H105" s="1269"/>
      <c r="I105" s="1056"/>
      <c r="J105" s="1111"/>
      <c r="K105" s="1025"/>
    </row>
    <row r="106" spans="1:11">
      <c r="A106" s="1037"/>
      <c r="B106" s="1038"/>
      <c r="C106" s="1026"/>
      <c r="D106" s="1026"/>
      <c r="E106" s="1026"/>
      <c r="F106" s="1059"/>
      <c r="G106" s="1059"/>
      <c r="H106" s="1269"/>
      <c r="I106" s="1056"/>
      <c r="J106" s="1111"/>
      <c r="K106" s="1025"/>
    </row>
    <row r="107" spans="1:11">
      <c r="A107" s="1037"/>
      <c r="B107" s="1038"/>
      <c r="C107" s="1026"/>
      <c r="D107" s="1026"/>
      <c r="E107" s="1026"/>
      <c r="F107" s="1059"/>
      <c r="G107" s="1059"/>
      <c r="H107" s="1269"/>
      <c r="I107" s="1056"/>
      <c r="J107" s="1111"/>
      <c r="K107" s="1025"/>
    </row>
    <row r="108" spans="1:11">
      <c r="A108" s="1037"/>
      <c r="B108" s="1038"/>
      <c r="C108" s="1026"/>
      <c r="D108" s="1026"/>
      <c r="E108" s="1026"/>
      <c r="F108" s="1059"/>
      <c r="G108" s="1059"/>
      <c r="H108" s="1269"/>
      <c r="I108" s="1056"/>
      <c r="J108" s="1111"/>
      <c r="K108" s="1025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1025"/>
    </row>
    <row r="110" spans="1:11" ht="15.75">
      <c r="A110" s="1037"/>
      <c r="B110" s="1038"/>
      <c r="C110" s="1026"/>
      <c r="D110" s="1026"/>
      <c r="E110" s="1026"/>
      <c r="F110" s="1059"/>
      <c r="G110" s="1054"/>
      <c r="H110" s="1269"/>
      <c r="I110" s="1056"/>
      <c r="J110" s="1111"/>
      <c r="K110" s="1115"/>
    </row>
    <row r="111" spans="1:11">
      <c r="A111" s="1037"/>
      <c r="B111" s="1038"/>
      <c r="C111" s="1026"/>
      <c r="D111" s="1026"/>
      <c r="E111" s="1026"/>
      <c r="F111" s="1059"/>
      <c r="G111" s="1059"/>
      <c r="H111" s="1269"/>
      <c r="I111" s="1056"/>
      <c r="J111" s="1111"/>
      <c r="K111" s="1025"/>
    </row>
    <row r="112" spans="1:11">
      <c r="A112" s="1037"/>
      <c r="B112" s="1038"/>
      <c r="C112" s="1026"/>
      <c r="D112" s="1026"/>
      <c r="E112" s="1026"/>
      <c r="F112" s="1059"/>
      <c r="G112" s="1059"/>
      <c r="H112" s="1269"/>
      <c r="I112" s="1056"/>
      <c r="J112" s="1111"/>
      <c r="K112" s="1025"/>
    </row>
    <row r="113" spans="1:11">
      <c r="A113" s="1037"/>
      <c r="B113" s="1038"/>
      <c r="C113" s="1026"/>
      <c r="D113" s="1026"/>
      <c r="E113" s="1026"/>
      <c r="F113" s="1059"/>
      <c r="G113" s="1059"/>
      <c r="H113" s="1269"/>
      <c r="I113" s="1056"/>
      <c r="J113" s="1111"/>
      <c r="K113" s="1025"/>
    </row>
    <row r="114" spans="1:11" ht="15.75">
      <c r="A114" s="1037"/>
      <c r="B114" s="1038"/>
      <c r="C114" s="1026"/>
      <c r="D114" s="1026"/>
      <c r="E114" s="1026"/>
      <c r="F114" s="1059"/>
      <c r="G114" s="1059"/>
      <c r="H114" s="1269"/>
      <c r="I114" s="1056"/>
      <c r="J114" s="1111"/>
      <c r="K114" s="1115"/>
    </row>
    <row r="115" spans="1:11">
      <c r="A115" s="1037"/>
      <c r="B115" s="1038"/>
      <c r="C115" s="1026"/>
      <c r="D115" s="1026"/>
      <c r="E115" s="1026"/>
      <c r="F115" s="1059"/>
      <c r="G115" s="1059"/>
      <c r="H115" s="1269"/>
      <c r="I115" s="1056"/>
      <c r="J115" s="1111"/>
      <c r="K115" s="1025"/>
    </row>
    <row r="116" spans="1:11">
      <c r="A116" s="1037"/>
      <c r="B116" s="1038"/>
      <c r="C116" s="1026"/>
      <c r="D116" s="1026"/>
      <c r="E116" s="1026"/>
      <c r="F116" s="1059"/>
      <c r="G116" s="1059"/>
      <c r="H116" s="1269"/>
      <c r="I116" s="1056"/>
      <c r="J116" s="1111"/>
      <c r="K116" s="1025"/>
    </row>
    <row r="117" spans="1:11">
      <c r="A117" s="1037"/>
      <c r="B117" s="1038"/>
      <c r="C117" s="1026"/>
      <c r="D117" s="1026"/>
      <c r="E117" s="1026"/>
      <c r="F117" s="1059"/>
      <c r="G117" s="1059"/>
      <c r="H117" s="1269"/>
      <c r="I117" s="1056"/>
      <c r="J117" s="1111"/>
      <c r="K117" s="1025"/>
    </row>
    <row r="118" spans="1:11">
      <c r="A118" s="1037"/>
      <c r="B118" s="1038"/>
      <c r="C118" s="1026"/>
      <c r="D118" s="1026"/>
      <c r="E118" s="1026"/>
      <c r="F118" s="1059"/>
      <c r="G118" s="1059"/>
      <c r="H118" s="1269"/>
      <c r="I118" s="1056"/>
      <c r="J118" s="1111"/>
      <c r="K118" s="1025"/>
    </row>
    <row r="119" spans="1:11">
      <c r="A119" s="1037"/>
      <c r="B119" s="1038"/>
      <c r="C119" s="1026"/>
      <c r="D119" s="1026"/>
      <c r="E119" s="1026"/>
      <c r="F119" s="1059"/>
      <c r="G119" s="1054"/>
      <c r="H119" s="1269"/>
      <c r="I119" s="1056"/>
      <c r="J119" s="1111"/>
      <c r="K119" s="1025"/>
    </row>
    <row r="120" spans="1:11" ht="15.75">
      <c r="A120" s="1037"/>
      <c r="B120" s="1038"/>
      <c r="C120" s="1025"/>
      <c r="D120" s="1026"/>
      <c r="E120" s="1026"/>
      <c r="F120" s="1059"/>
      <c r="G120" s="1054"/>
      <c r="H120" s="1269"/>
      <c r="I120" s="1056"/>
      <c r="J120" s="1111"/>
      <c r="K120" s="1115"/>
    </row>
    <row r="121" spans="1:11" ht="15.75">
      <c r="A121" s="1037"/>
      <c r="B121" s="1038"/>
      <c r="C121" s="1026"/>
      <c r="D121" s="1026"/>
      <c r="E121" s="1026"/>
      <c r="F121" s="1059"/>
      <c r="G121" s="1054"/>
      <c r="H121" s="1269"/>
      <c r="I121" s="1056"/>
      <c r="J121" s="1111"/>
      <c r="K121" s="1115"/>
    </row>
    <row r="122" spans="1:11" ht="15.75">
      <c r="A122" s="1037"/>
      <c r="B122" s="1038"/>
      <c r="C122" s="1026"/>
      <c r="D122" s="1026"/>
      <c r="E122" s="1026"/>
      <c r="F122" s="1059"/>
      <c r="G122" s="1054"/>
      <c r="H122" s="1269"/>
      <c r="I122" s="1056"/>
      <c r="J122" s="1111"/>
      <c r="K122" s="1115"/>
    </row>
    <row r="123" spans="1:11" ht="15.75">
      <c r="A123" s="1037"/>
      <c r="B123" s="1038"/>
      <c r="C123" s="1026"/>
      <c r="D123" s="1026"/>
      <c r="E123" s="1026"/>
      <c r="F123" s="1059"/>
      <c r="G123" s="1054"/>
      <c r="H123" s="1269"/>
      <c r="I123" s="1056"/>
      <c r="J123" s="1111"/>
      <c r="K123" s="1115"/>
    </row>
    <row r="124" spans="1:11" ht="15.75">
      <c r="A124" s="1037"/>
      <c r="B124" s="1038"/>
      <c r="C124" s="1026"/>
      <c r="D124" s="1026"/>
      <c r="E124" s="1026"/>
      <c r="F124" s="1059"/>
      <c r="G124" s="1054"/>
      <c r="H124" s="1269"/>
      <c r="I124" s="1056"/>
      <c r="J124" s="1111"/>
      <c r="K124" s="1115"/>
    </row>
    <row r="125" spans="1:11">
      <c r="A125" s="1037"/>
      <c r="B125" s="1038"/>
      <c r="C125" s="1026"/>
      <c r="D125" s="1026"/>
      <c r="E125" s="1026"/>
      <c r="F125" s="1059"/>
      <c r="G125" s="1059"/>
      <c r="H125" s="1269"/>
      <c r="I125" s="1056"/>
      <c r="J125" s="1111"/>
      <c r="K125" s="1025"/>
    </row>
    <row r="126" spans="1:11">
      <c r="A126" s="1037"/>
      <c r="B126" s="1038"/>
      <c r="C126" s="1026"/>
      <c r="D126" s="1026"/>
      <c r="E126" s="1026"/>
      <c r="F126" s="1059"/>
      <c r="G126" s="1059"/>
      <c r="H126" s="1269"/>
      <c r="I126" s="1056"/>
      <c r="J126" s="1111"/>
      <c r="K126" s="1025"/>
    </row>
    <row r="127" spans="1:11" ht="15.75">
      <c r="A127" s="1037"/>
      <c r="B127" s="1038"/>
      <c r="C127" s="1026"/>
      <c r="D127" s="1026"/>
      <c r="E127" s="1026"/>
      <c r="F127" s="1059"/>
      <c r="G127" s="1054"/>
      <c r="H127" s="1269"/>
      <c r="I127" s="1056"/>
      <c r="J127" s="1111"/>
      <c r="K127" s="1115"/>
    </row>
    <row r="128" spans="1:11" ht="15.75">
      <c r="A128" s="1037"/>
      <c r="B128" s="1038"/>
      <c r="C128" s="1026"/>
      <c r="D128" s="1026"/>
      <c r="E128" s="1026"/>
      <c r="F128" s="1059"/>
      <c r="G128" s="1054"/>
      <c r="H128" s="1269"/>
      <c r="I128" s="1056"/>
      <c r="J128" s="1111"/>
      <c r="K128" s="1115"/>
    </row>
    <row r="129" spans="1:11" ht="15.75">
      <c r="A129" s="1037"/>
      <c r="B129" s="1038"/>
      <c r="C129" s="1026"/>
      <c r="D129" s="1026"/>
      <c r="E129" s="1026"/>
      <c r="F129" s="1059"/>
      <c r="G129" s="1054"/>
      <c r="H129" s="1269"/>
      <c r="I129" s="1056"/>
      <c r="J129" s="1111"/>
      <c r="K129" s="1115"/>
    </row>
    <row r="130" spans="1:11">
      <c r="A130" s="1037"/>
      <c r="B130" s="1038"/>
      <c r="C130" s="1026"/>
      <c r="D130" s="1026"/>
      <c r="E130" s="1026"/>
      <c r="F130" s="1059"/>
      <c r="G130" s="1054"/>
      <c r="H130" s="1269"/>
      <c r="I130" s="1056"/>
      <c r="J130" s="1111"/>
      <c r="K130" s="1025"/>
    </row>
    <row r="131" spans="1:11">
      <c r="A131" s="1037"/>
      <c r="B131" s="1038"/>
      <c r="C131" s="1026"/>
      <c r="D131" s="1026"/>
      <c r="E131" s="1026"/>
      <c r="F131" s="1059"/>
      <c r="G131" s="1054"/>
      <c r="H131" s="1269"/>
      <c r="I131" s="1056"/>
      <c r="J131" s="1111"/>
      <c r="K131" s="1025"/>
    </row>
    <row r="132" spans="1:11">
      <c r="A132" s="1037"/>
      <c r="B132" s="1038"/>
      <c r="C132" s="1026"/>
      <c r="D132" s="1026"/>
      <c r="E132" s="1026"/>
      <c r="F132" s="1059"/>
      <c r="G132" s="1059"/>
      <c r="H132" s="1269"/>
      <c r="I132" s="1056"/>
      <c r="J132" s="1111"/>
      <c r="K132" s="1025"/>
    </row>
    <row r="133" spans="1:11">
      <c r="A133" s="1037"/>
      <c r="B133" s="1038"/>
      <c r="C133" s="1026"/>
      <c r="D133" s="1026"/>
      <c r="E133" s="1026"/>
      <c r="F133" s="1059"/>
      <c r="G133" s="1059"/>
      <c r="H133" s="1269"/>
      <c r="I133" s="1056"/>
      <c r="J133" s="1111"/>
      <c r="K133" s="1025"/>
    </row>
    <row r="134" spans="1:11">
      <c r="A134" s="1037"/>
      <c r="B134" s="1038"/>
      <c r="C134" s="1026"/>
      <c r="D134" s="1026"/>
      <c r="E134" s="1026"/>
      <c r="F134" s="1059"/>
      <c r="G134" s="1059"/>
      <c r="H134" s="1269"/>
      <c r="I134" s="1056"/>
      <c r="J134" s="1111"/>
      <c r="K134" s="1025"/>
    </row>
    <row r="135" spans="1:11">
      <c r="A135" s="1037"/>
      <c r="B135" s="1038"/>
      <c r="C135" s="1026"/>
      <c r="D135" s="1026"/>
      <c r="E135" s="1026"/>
      <c r="F135" s="1059"/>
      <c r="G135" s="1059"/>
      <c r="H135" s="1269"/>
      <c r="I135" s="1056"/>
      <c r="J135" s="1111"/>
      <c r="K135" s="1025"/>
    </row>
    <row r="136" spans="1:11" ht="15.75">
      <c r="A136" s="1037"/>
      <c r="B136" s="1038"/>
      <c r="C136" s="1026"/>
      <c r="D136" s="1026"/>
      <c r="E136" s="1026"/>
      <c r="F136" s="1059"/>
      <c r="G136" s="1054"/>
      <c r="H136" s="1269"/>
      <c r="I136" s="1056"/>
      <c r="J136" s="1111"/>
      <c r="K136" s="1115"/>
    </row>
    <row r="137" spans="1:11" ht="15.75">
      <c r="A137" s="1037"/>
      <c r="B137" s="1038"/>
      <c r="C137" s="1026"/>
      <c r="D137" s="1026"/>
      <c r="E137" s="1026"/>
      <c r="F137" s="1059"/>
      <c r="G137" s="1059"/>
      <c r="H137" s="1269"/>
      <c r="I137" s="1056"/>
      <c r="J137" s="1111"/>
      <c r="K137" s="1115"/>
    </row>
    <row r="138" spans="1:11">
      <c r="A138" s="1037"/>
      <c r="B138" s="1038"/>
      <c r="C138" s="1026"/>
      <c r="D138" s="1026"/>
      <c r="E138" s="1026"/>
      <c r="F138" s="1059"/>
      <c r="G138" s="1059"/>
      <c r="H138" s="1269"/>
      <c r="I138" s="1056"/>
      <c r="J138" s="1111"/>
      <c r="K138" s="1025"/>
    </row>
    <row r="139" spans="1:11">
      <c r="A139" s="1037"/>
      <c r="B139" s="1038"/>
      <c r="C139" s="1026"/>
      <c r="D139" s="1026"/>
      <c r="E139" s="1026"/>
      <c r="F139" s="1059"/>
      <c r="G139" s="1054"/>
      <c r="H139" s="1269"/>
      <c r="I139" s="1056"/>
      <c r="J139" s="1111"/>
      <c r="K139" s="1025"/>
    </row>
    <row r="140" spans="1:11" ht="15.75">
      <c r="A140" s="1037"/>
      <c r="B140" s="1038"/>
      <c r="C140" s="1026"/>
      <c r="D140" s="1026"/>
      <c r="E140" s="1026"/>
      <c r="F140" s="1059"/>
      <c r="G140" s="1054"/>
      <c r="H140" s="1269"/>
      <c r="I140" s="1056"/>
      <c r="J140" s="1111"/>
      <c r="K140" s="1115"/>
    </row>
    <row r="141" spans="1:11">
      <c r="A141" s="1037"/>
      <c r="B141" s="1038"/>
      <c r="C141" s="1026"/>
      <c r="D141" s="1026"/>
      <c r="E141" s="1026"/>
      <c r="F141" s="1059"/>
      <c r="G141" s="1054"/>
      <c r="H141" s="1269"/>
      <c r="I141" s="1056"/>
      <c r="J141" s="1111"/>
      <c r="K141" s="1025"/>
    </row>
    <row r="142" spans="1:11">
      <c r="A142" s="1037"/>
      <c r="B142" s="1038"/>
      <c r="C142" s="1026"/>
      <c r="D142" s="1026"/>
      <c r="E142" s="1026"/>
      <c r="F142" s="1059"/>
      <c r="G142" s="1059"/>
      <c r="H142" s="1269"/>
      <c r="I142" s="1056"/>
      <c r="J142" s="1111"/>
      <c r="K142" s="1025"/>
    </row>
    <row r="143" spans="1:11">
      <c r="A143" s="1037"/>
      <c r="B143" s="1038"/>
      <c r="C143" s="1026"/>
      <c r="D143" s="1026"/>
      <c r="E143" s="1026"/>
      <c r="F143" s="1059"/>
      <c r="G143" s="1059"/>
      <c r="H143" s="1269"/>
      <c r="I143" s="1056"/>
      <c r="J143" s="1111"/>
      <c r="K143" s="1025"/>
    </row>
    <row r="144" spans="1:11" ht="15.75">
      <c r="A144" s="1037"/>
      <c r="B144" s="1038"/>
      <c r="C144" s="1026"/>
      <c r="D144" s="1026"/>
      <c r="E144" s="1026"/>
      <c r="F144" s="1059"/>
      <c r="G144" s="1054"/>
      <c r="H144" s="1269"/>
      <c r="I144" s="1056"/>
      <c r="J144" s="1111"/>
      <c r="K144" s="1115"/>
    </row>
    <row r="145" spans="1:11" ht="15.75">
      <c r="A145" s="1037"/>
      <c r="B145" s="1038"/>
      <c r="C145" s="1026"/>
      <c r="D145" s="1026"/>
      <c r="E145" s="1026"/>
      <c r="F145" s="1059"/>
      <c r="G145" s="1054"/>
      <c r="H145" s="1269"/>
      <c r="I145" s="1056"/>
      <c r="J145" s="1111"/>
      <c r="K145" s="1115"/>
    </row>
    <row r="146" spans="1:11" ht="15.75">
      <c r="A146" s="1037"/>
      <c r="B146" s="1038"/>
      <c r="C146" s="1026"/>
      <c r="D146" s="1026"/>
      <c r="E146" s="1026"/>
      <c r="F146" s="1059"/>
      <c r="G146" s="1054"/>
      <c r="H146" s="1269"/>
      <c r="I146" s="1056"/>
      <c r="J146" s="1111"/>
      <c r="K146" s="1115"/>
    </row>
    <row r="147" spans="1:11" ht="15.75">
      <c r="A147" s="1037"/>
      <c r="B147" s="1038"/>
      <c r="C147" s="1026"/>
      <c r="D147" s="1026"/>
      <c r="E147" s="1026"/>
      <c r="F147" s="1059"/>
      <c r="G147" s="1054"/>
      <c r="H147" s="1269"/>
      <c r="I147" s="1056"/>
      <c r="J147" s="1111"/>
      <c r="K147" s="1115"/>
    </row>
    <row r="148" spans="1:11" ht="15.75">
      <c r="A148" s="1037"/>
      <c r="B148" s="1038"/>
      <c r="C148" s="1026"/>
      <c r="D148" s="1026"/>
      <c r="E148" s="1026"/>
      <c r="F148" s="1059"/>
      <c r="G148" s="1054"/>
      <c r="H148" s="1269"/>
      <c r="I148" s="1056"/>
      <c r="J148" s="1111"/>
      <c r="K148" s="1115"/>
    </row>
    <row r="149" spans="1:11">
      <c r="A149" s="1037"/>
      <c r="B149" s="1038"/>
      <c r="C149" s="1026"/>
      <c r="D149" s="1026"/>
      <c r="E149" s="1026"/>
      <c r="F149" s="1059"/>
      <c r="G149" s="1054"/>
      <c r="H149" s="1269"/>
      <c r="I149" s="1056"/>
      <c r="J149" s="1111"/>
      <c r="K149" s="1025"/>
    </row>
    <row r="150" spans="1:11">
      <c r="A150" s="1037"/>
      <c r="B150" s="1038"/>
      <c r="C150" s="1025"/>
      <c r="D150" s="1026"/>
      <c r="E150" s="1026"/>
      <c r="F150" s="1061"/>
      <c r="G150" s="1054"/>
      <c r="H150" s="1055"/>
      <c r="I150" s="1056"/>
      <c r="J150" s="1111"/>
      <c r="K150" s="1025"/>
    </row>
    <row r="151" spans="1:11">
      <c r="A151" s="1037"/>
      <c r="B151" s="1038"/>
      <c r="C151" s="1026"/>
      <c r="D151" s="1026"/>
      <c r="E151" s="1026"/>
      <c r="F151" s="1059"/>
      <c r="G151" s="1054"/>
      <c r="H151" s="1269"/>
      <c r="I151" s="1056"/>
      <c r="J151" s="1111"/>
      <c r="K151" s="1025"/>
    </row>
    <row r="152" spans="1:11">
      <c r="A152" s="1037"/>
      <c r="B152" s="1038"/>
      <c r="C152" s="1026"/>
      <c r="D152" s="1026"/>
      <c r="E152" s="1026"/>
      <c r="F152" s="1059"/>
      <c r="G152" s="1054"/>
      <c r="H152" s="1269"/>
      <c r="I152" s="1056"/>
      <c r="J152" s="1111"/>
      <c r="K152" s="1025"/>
    </row>
    <row r="153" spans="1:11">
      <c r="A153" s="1037"/>
      <c r="B153" s="1038"/>
      <c r="C153" s="1026"/>
      <c r="D153" s="1026"/>
      <c r="E153" s="1026"/>
      <c r="F153" s="1059"/>
      <c r="G153" s="1059"/>
      <c r="H153" s="1269"/>
      <c r="I153" s="1056"/>
      <c r="J153" s="1111"/>
      <c r="K153" s="1025"/>
    </row>
    <row r="154" spans="1:11">
      <c r="A154" s="1037"/>
      <c r="B154" s="1038"/>
      <c r="C154" s="1026"/>
      <c r="D154" s="1026"/>
      <c r="E154" s="1026"/>
      <c r="F154" s="1059"/>
      <c r="G154" s="1059"/>
      <c r="H154" s="1269"/>
      <c r="I154" s="1056"/>
      <c r="J154" s="1111"/>
      <c r="K154" s="1025"/>
    </row>
    <row r="155" spans="1:11" ht="15.75">
      <c r="A155" s="1037"/>
      <c r="B155" s="1038"/>
      <c r="C155" s="1026"/>
      <c r="D155" s="1026"/>
      <c r="E155" s="1026"/>
      <c r="F155" s="1059"/>
      <c r="G155" s="1054"/>
      <c r="H155" s="1269"/>
      <c r="I155" s="1056"/>
      <c r="J155" s="1111"/>
      <c r="K155" s="1115"/>
    </row>
    <row r="156" spans="1:11">
      <c r="A156" s="1037"/>
      <c r="B156" s="1038"/>
      <c r="C156" s="1026"/>
      <c r="D156" s="1026"/>
      <c r="E156" s="1026"/>
      <c r="F156" s="1059"/>
      <c r="G156" s="1054"/>
      <c r="H156" s="1269"/>
      <c r="I156" s="1056"/>
      <c r="J156" s="1111"/>
      <c r="K156" s="1025"/>
    </row>
    <row r="157" spans="1:11">
      <c r="A157" s="1037"/>
      <c r="B157" s="1038"/>
      <c r="C157" s="1026"/>
      <c r="D157" s="1026"/>
      <c r="E157" s="1026"/>
      <c r="F157" s="1059"/>
      <c r="G157" s="1059"/>
      <c r="H157" s="1269"/>
      <c r="I157" s="1056"/>
      <c r="J157" s="1111"/>
      <c r="K157" s="1025"/>
    </row>
    <row r="158" spans="1:11">
      <c r="A158" s="1037"/>
      <c r="B158" s="1038"/>
      <c r="C158" s="1026"/>
      <c r="D158" s="1026"/>
      <c r="E158" s="1026"/>
      <c r="F158" s="1059"/>
      <c r="G158" s="1059"/>
      <c r="H158" s="1269"/>
      <c r="I158" s="1056"/>
      <c r="J158" s="1111"/>
      <c r="K158" s="1025"/>
    </row>
    <row r="159" spans="1:11">
      <c r="A159" s="1037"/>
      <c r="B159" s="1038"/>
      <c r="C159" s="1026"/>
      <c r="D159" s="1026"/>
      <c r="E159" s="1026"/>
      <c r="F159" s="1059"/>
      <c r="G159" s="1054"/>
      <c r="H159" s="1269"/>
      <c r="I159" s="1056"/>
      <c r="J159" s="1111"/>
      <c r="K159" s="1025"/>
    </row>
    <row r="160" spans="1:11">
      <c r="A160" s="1037"/>
      <c r="B160" s="1038"/>
      <c r="C160" s="1026"/>
      <c r="D160" s="1026"/>
      <c r="E160" s="1026"/>
      <c r="F160" s="1059"/>
      <c r="G160" s="1054"/>
      <c r="H160" s="1269"/>
      <c r="I160" s="1056"/>
      <c r="J160" s="1111"/>
      <c r="K160" s="1025"/>
    </row>
    <row r="161" spans="1:11">
      <c r="A161" s="1037"/>
      <c r="B161" s="1038"/>
      <c r="C161" s="1026"/>
      <c r="D161" s="1026"/>
      <c r="E161" s="1026"/>
      <c r="F161" s="1059"/>
      <c r="G161" s="1054"/>
      <c r="H161" s="1269"/>
      <c r="I161" s="1056"/>
      <c r="J161" s="1111"/>
      <c r="K161" s="1025"/>
    </row>
    <row r="162" spans="1:11" ht="15.75">
      <c r="A162" s="1037"/>
      <c r="B162" s="1038"/>
      <c r="C162" s="1026"/>
      <c r="D162" s="1026"/>
      <c r="E162" s="1026"/>
      <c r="F162" s="1059"/>
      <c r="G162" s="1054"/>
      <c r="H162" s="1269"/>
      <c r="I162" s="1056"/>
      <c r="J162" s="1111"/>
      <c r="K162" s="1115"/>
    </row>
    <row r="163" spans="1:11">
      <c r="A163" s="1037"/>
      <c r="B163" s="1038"/>
      <c r="C163" s="1026"/>
      <c r="D163" s="1026"/>
      <c r="E163" s="1026"/>
      <c r="F163" s="1059"/>
      <c r="G163" s="1054"/>
      <c r="H163" s="1269"/>
      <c r="I163" s="1056"/>
      <c r="J163" s="1111"/>
      <c r="K163" s="1025"/>
    </row>
    <row r="164" spans="1:11">
      <c r="A164" s="1037"/>
      <c r="B164" s="1038"/>
      <c r="C164" s="290"/>
      <c r="D164" s="1026"/>
      <c r="E164" s="1026"/>
      <c r="F164" s="1059"/>
      <c r="G164" s="1054"/>
      <c r="H164" s="1269"/>
      <c r="I164" s="1056"/>
      <c r="J164" s="1111"/>
      <c r="K164" s="1025"/>
    </row>
    <row r="165" spans="1:11">
      <c r="A165" s="1037"/>
      <c r="B165" s="1038"/>
      <c r="C165" s="1026"/>
      <c r="D165" s="1026"/>
      <c r="E165" s="1026"/>
      <c r="F165" s="1059"/>
      <c r="G165" s="1054"/>
      <c r="H165" s="1269"/>
      <c r="I165" s="1056"/>
      <c r="J165" s="1111"/>
      <c r="K165" s="1025"/>
    </row>
    <row r="166" spans="1:11">
      <c r="A166" s="1037"/>
      <c r="B166" s="1038"/>
      <c r="C166" s="1026"/>
      <c r="D166" s="1026"/>
      <c r="E166" s="1026"/>
      <c r="F166" s="1059"/>
      <c r="G166" s="1054"/>
      <c r="H166" s="1269"/>
      <c r="I166" s="1056"/>
      <c r="J166" s="1111"/>
      <c r="K166" s="1025"/>
    </row>
    <row r="167" spans="1:11">
      <c r="A167" s="1037"/>
      <c r="B167" s="1038"/>
      <c r="C167" s="1026"/>
      <c r="D167" s="1026"/>
      <c r="E167" s="1026"/>
      <c r="F167" s="1059"/>
      <c r="G167" s="1054"/>
      <c r="H167" s="1269"/>
      <c r="I167" s="1056"/>
      <c r="J167" s="1111"/>
      <c r="K167" s="1025"/>
    </row>
    <row r="168" spans="1:11">
      <c r="A168" s="1037"/>
      <c r="B168" s="1038"/>
      <c r="C168" s="1026"/>
      <c r="D168" s="1026"/>
      <c r="E168" s="1026"/>
      <c r="F168" s="1059"/>
      <c r="G168" s="1054"/>
      <c r="H168" s="1269"/>
      <c r="I168" s="1056"/>
      <c r="J168" s="1111"/>
      <c r="K168" s="1025"/>
    </row>
    <row r="169" spans="1:11">
      <c r="A169" s="1037"/>
      <c r="B169" s="1038"/>
      <c r="C169" s="1026"/>
      <c r="D169" s="1026"/>
      <c r="E169" s="1026"/>
      <c r="F169" s="1059"/>
      <c r="G169" s="1054"/>
      <c r="H169" s="1269"/>
      <c r="I169" s="1056"/>
      <c r="J169" s="1111"/>
      <c r="K169" s="1025"/>
    </row>
    <row r="170" spans="1:11">
      <c r="A170" s="1037"/>
      <c r="B170" s="1038"/>
      <c r="C170" s="1026"/>
      <c r="D170" s="1026"/>
      <c r="E170" s="1026"/>
      <c r="F170" s="1059"/>
      <c r="G170" s="1054"/>
      <c r="H170" s="1269"/>
      <c r="I170" s="1056"/>
      <c r="J170" s="1111"/>
      <c r="K170" s="1025"/>
    </row>
    <row r="171" spans="1:11">
      <c r="A171" s="1037"/>
      <c r="B171" s="1038"/>
      <c r="C171" s="1026"/>
      <c r="D171" s="1026"/>
      <c r="E171" s="1026"/>
      <c r="F171" s="1059"/>
      <c r="G171" s="1054"/>
      <c r="H171" s="1269"/>
      <c r="I171" s="1056"/>
      <c r="J171" s="1111"/>
      <c r="K171" s="1025"/>
    </row>
    <row r="172" spans="1:11">
      <c r="A172" s="1037"/>
      <c r="B172" s="1038"/>
      <c r="C172" s="1026"/>
      <c r="D172" s="1026"/>
      <c r="E172" s="1026"/>
      <c r="F172" s="1059"/>
      <c r="G172" s="1054"/>
      <c r="H172" s="1269"/>
      <c r="I172" s="1056"/>
      <c r="J172" s="1111"/>
      <c r="K172" s="1025"/>
    </row>
    <row r="173" spans="1:11">
      <c r="A173" s="1037"/>
      <c r="B173" s="1038"/>
      <c r="C173" s="1026"/>
      <c r="D173" s="1026"/>
      <c r="E173" s="1026"/>
      <c r="F173" s="1059"/>
      <c r="G173" s="1059"/>
      <c r="H173" s="1269"/>
      <c r="I173" s="1056"/>
      <c r="J173" s="1111"/>
      <c r="K173" s="1025"/>
    </row>
    <row r="174" spans="1:11">
      <c r="A174" s="1037"/>
      <c r="B174" s="1038"/>
      <c r="C174" s="1026"/>
      <c r="D174" s="1026"/>
      <c r="E174" s="1026"/>
      <c r="F174" s="1059"/>
      <c r="G174" s="1059"/>
      <c r="H174" s="1269"/>
      <c r="I174" s="1056"/>
      <c r="J174" s="1111"/>
      <c r="K174" s="1025"/>
    </row>
    <row r="175" spans="1:11">
      <c r="A175" s="1037"/>
      <c r="B175" s="1038"/>
      <c r="C175" s="1026"/>
      <c r="D175" s="1026"/>
      <c r="E175" s="1026"/>
      <c r="F175" s="1059"/>
      <c r="G175" s="1054"/>
      <c r="H175" s="1269"/>
      <c r="I175" s="1056"/>
      <c r="J175" s="1111"/>
      <c r="K175" s="1025"/>
    </row>
    <row r="176" spans="1:11">
      <c r="A176" s="1037"/>
      <c r="B176" s="1038"/>
      <c r="C176" s="1026"/>
      <c r="D176" s="1026"/>
      <c r="E176" s="1026"/>
      <c r="F176" s="1059"/>
      <c r="G176" s="1054"/>
      <c r="H176" s="1269"/>
      <c r="I176" s="1056"/>
      <c r="J176" s="1111"/>
      <c r="K176" s="1025"/>
    </row>
    <row r="177" spans="1:11">
      <c r="A177" s="1037"/>
      <c r="B177" s="1038"/>
      <c r="C177" s="1026"/>
      <c r="D177" s="1026"/>
      <c r="E177" s="1026"/>
      <c r="F177" s="1059"/>
      <c r="G177" s="1054"/>
      <c r="H177" s="1269"/>
      <c r="I177" s="1056"/>
      <c r="J177" s="1111"/>
      <c r="K177" s="1025"/>
    </row>
    <row r="178" spans="1:11" ht="15.75">
      <c r="A178" s="1037"/>
      <c r="B178" s="1038"/>
      <c r="C178" s="1026"/>
      <c r="D178" s="1026"/>
      <c r="E178" s="1026"/>
      <c r="F178" s="1059"/>
      <c r="G178" s="1059"/>
      <c r="H178" s="1269"/>
      <c r="I178" s="1056"/>
      <c r="J178" s="1111"/>
      <c r="K178" s="1115"/>
    </row>
    <row r="179" spans="1:11">
      <c r="A179" s="1037"/>
      <c r="B179" s="1038"/>
      <c r="C179" s="1026"/>
      <c r="D179" s="1026"/>
      <c r="E179" s="1026"/>
      <c r="F179" s="1059"/>
      <c r="G179" s="1059"/>
      <c r="H179" s="1269"/>
      <c r="I179" s="1056"/>
      <c r="J179" s="1111"/>
      <c r="K179" s="1025"/>
    </row>
    <row r="180" spans="1:11" ht="15.75">
      <c r="A180" s="1037"/>
      <c r="B180" s="1038"/>
      <c r="C180" s="1026"/>
      <c r="D180" s="1026"/>
      <c r="E180" s="1026"/>
      <c r="F180" s="1059"/>
      <c r="G180" s="1054"/>
      <c r="H180" s="1269"/>
      <c r="I180" s="1056"/>
      <c r="J180" s="1111"/>
      <c r="K180" s="1115"/>
    </row>
    <row r="181" spans="1:11" ht="15.75">
      <c r="A181" s="1037"/>
      <c r="B181" s="1038"/>
      <c r="C181" s="1026"/>
      <c r="D181" s="1026"/>
      <c r="E181" s="1026"/>
      <c r="F181" s="1059"/>
      <c r="G181" s="1054"/>
      <c r="H181" s="1269"/>
      <c r="I181" s="1056"/>
      <c r="J181" s="1111"/>
      <c r="K181" s="1115"/>
    </row>
    <row r="182" spans="1:11" ht="15.75">
      <c r="A182" s="1037"/>
      <c r="B182" s="1038"/>
      <c r="C182" s="1026"/>
      <c r="D182" s="1026"/>
      <c r="E182" s="1026"/>
      <c r="F182" s="1059"/>
      <c r="G182" s="1054"/>
      <c r="H182" s="1269"/>
      <c r="I182" s="1056"/>
      <c r="J182" s="1111"/>
      <c r="K182" s="1115"/>
    </row>
    <row r="183" spans="1:11" ht="15.75">
      <c r="A183" s="1037"/>
      <c r="B183" s="1038"/>
      <c r="C183" s="1026"/>
      <c r="D183" s="1026"/>
      <c r="E183" s="1026"/>
      <c r="F183" s="1059"/>
      <c r="G183" s="1054"/>
      <c r="H183" s="1269"/>
      <c r="I183" s="1056"/>
      <c r="J183" s="1111"/>
      <c r="K183" s="1115"/>
    </row>
    <row r="184" spans="1:11" ht="15.75">
      <c r="A184" s="1037"/>
      <c r="B184" s="1038"/>
      <c r="C184" s="1026"/>
      <c r="D184" s="1026"/>
      <c r="E184" s="1026"/>
      <c r="F184" s="1059"/>
      <c r="G184" s="1059"/>
      <c r="H184" s="1269"/>
      <c r="I184" s="1056"/>
      <c r="J184" s="1111"/>
      <c r="K184" s="1115"/>
    </row>
    <row r="185" spans="1:11">
      <c r="A185" s="1037"/>
      <c r="B185" s="1038"/>
      <c r="C185" s="1026"/>
      <c r="D185" s="1026"/>
      <c r="E185" s="1026"/>
      <c r="F185" s="1059"/>
      <c r="G185" s="1059"/>
      <c r="H185" s="1269"/>
      <c r="I185" s="1056"/>
      <c r="J185" s="1111"/>
      <c r="K185" s="1025"/>
    </row>
    <row r="186" spans="1:11" ht="15.75">
      <c r="A186" s="1037"/>
      <c r="B186" s="1038"/>
      <c r="C186" s="1026"/>
      <c r="D186" s="1026"/>
      <c r="E186" s="1026"/>
      <c r="F186" s="1059"/>
      <c r="G186" s="1054"/>
      <c r="H186" s="1269"/>
      <c r="I186" s="1056"/>
      <c r="J186" s="1111"/>
      <c r="K186" s="1115"/>
    </row>
    <row r="187" spans="1:11">
      <c r="A187" s="1037"/>
      <c r="B187" s="1038"/>
      <c r="C187" s="1026"/>
      <c r="D187" s="1026"/>
      <c r="E187" s="1026"/>
      <c r="F187" s="1059"/>
      <c r="G187" s="1059"/>
      <c r="H187" s="1269"/>
      <c r="I187" s="1056"/>
      <c r="J187" s="1111"/>
      <c r="K187" s="1025"/>
    </row>
    <row r="188" spans="1:11">
      <c r="A188" s="1037"/>
      <c r="B188" s="1038"/>
      <c r="C188" s="1026"/>
      <c r="D188" s="1026"/>
      <c r="E188" s="1026"/>
      <c r="F188" s="1059"/>
      <c r="G188" s="1059"/>
      <c r="H188" s="1269"/>
      <c r="I188" s="1056"/>
      <c r="J188" s="1111"/>
      <c r="K188" s="1025"/>
    </row>
    <row r="189" spans="1:11">
      <c r="A189" s="1037"/>
      <c r="B189" s="1038"/>
      <c r="C189" s="1026"/>
      <c r="D189" s="1026"/>
      <c r="E189" s="1026"/>
      <c r="F189" s="1059"/>
      <c r="G189" s="1059"/>
      <c r="H189" s="1269"/>
      <c r="I189" s="1056"/>
      <c r="J189" s="1111"/>
      <c r="K189" s="1025"/>
    </row>
    <row r="190" spans="1:11">
      <c r="A190" s="1037"/>
      <c r="B190" s="1038"/>
      <c r="C190" s="1026"/>
      <c r="D190" s="1026"/>
      <c r="E190" s="1026"/>
      <c r="F190" s="1059"/>
      <c r="G190" s="1059"/>
      <c r="H190" s="1269"/>
      <c r="I190" s="1056"/>
      <c r="J190" s="1111"/>
      <c r="K190" s="1025"/>
    </row>
    <row r="191" spans="1:11">
      <c r="A191" s="1037"/>
      <c r="B191" s="1038"/>
      <c r="C191" s="1026"/>
      <c r="D191" s="1026"/>
      <c r="E191" s="1026"/>
      <c r="F191" s="1059"/>
      <c r="G191" s="1054"/>
      <c r="H191" s="1269"/>
      <c r="I191" s="1056"/>
      <c r="J191" s="1111"/>
      <c r="K191" s="1025"/>
    </row>
    <row r="192" spans="1:11">
      <c r="A192" s="1037"/>
      <c r="B192" s="1038"/>
      <c r="C192" s="1026"/>
      <c r="D192" s="1026"/>
      <c r="E192" s="1026"/>
      <c r="F192" s="1059"/>
      <c r="G192" s="1054"/>
      <c r="H192" s="1269"/>
      <c r="I192" s="1056"/>
      <c r="J192" s="1111"/>
      <c r="K192" s="1025"/>
    </row>
    <row r="193" spans="1:11">
      <c r="A193" s="1037"/>
      <c r="B193" s="1038"/>
      <c r="C193" s="1026"/>
      <c r="D193" s="1026"/>
      <c r="E193" s="1026"/>
      <c r="F193" s="1059"/>
      <c r="G193" s="1054"/>
      <c r="H193" s="1269"/>
      <c r="I193" s="1056"/>
      <c r="J193" s="1111"/>
      <c r="K193" s="1025"/>
    </row>
    <row r="194" spans="1:11">
      <c r="A194" s="1037"/>
      <c r="B194" s="1038"/>
      <c r="C194" s="1026"/>
      <c r="D194" s="1026"/>
      <c r="E194" s="1026"/>
      <c r="F194" s="1059"/>
      <c r="G194" s="1054"/>
      <c r="H194" s="1269"/>
      <c r="I194" s="1056"/>
      <c r="J194" s="1111"/>
      <c r="K194" s="1025"/>
    </row>
    <row r="195" spans="1:11">
      <c r="A195" s="1037"/>
      <c r="B195" s="1038"/>
      <c r="C195" s="1026"/>
      <c r="D195" s="1026"/>
      <c r="E195" s="1026"/>
      <c r="F195" s="1059"/>
      <c r="G195" s="1054"/>
      <c r="H195" s="1269"/>
      <c r="I195" s="1056"/>
      <c r="J195" s="1111"/>
      <c r="K195" s="1025"/>
    </row>
    <row r="196" spans="1:11">
      <c r="A196" s="1037"/>
      <c r="B196" s="1038"/>
      <c r="C196" s="1026"/>
      <c r="D196" s="1026"/>
      <c r="E196" s="1026"/>
      <c r="F196" s="1059"/>
      <c r="G196" s="1054"/>
      <c r="H196" s="1269"/>
      <c r="I196" s="1056"/>
      <c r="J196" s="1111"/>
      <c r="K196" s="1025"/>
    </row>
    <row r="197" spans="1:11">
      <c r="A197" s="1037"/>
      <c r="B197" s="1038"/>
      <c r="C197" s="1026"/>
      <c r="D197" s="1026"/>
      <c r="E197" s="1026"/>
      <c r="F197" s="1059"/>
      <c r="G197" s="1054"/>
      <c r="H197" s="1269"/>
      <c r="I197" s="1056"/>
      <c r="J197" s="1111"/>
      <c r="K197" s="1025"/>
    </row>
    <row r="198" spans="1:11">
      <c r="A198" s="1037"/>
      <c r="B198" s="1038"/>
      <c r="C198" s="1026"/>
      <c r="D198" s="1026"/>
      <c r="E198" s="1026"/>
      <c r="F198" s="1059"/>
      <c r="G198" s="1059"/>
      <c r="H198" s="1269"/>
      <c r="I198" s="1056"/>
      <c r="J198" s="1111"/>
      <c r="K198" s="1025"/>
    </row>
    <row r="199" spans="1:11">
      <c r="A199" s="1037"/>
      <c r="B199" s="1038"/>
      <c r="C199" s="1026"/>
      <c r="D199" s="1026"/>
      <c r="E199" s="1026"/>
      <c r="F199" s="1059"/>
      <c r="G199" s="1059"/>
      <c r="H199" s="1269"/>
      <c r="I199" s="1056"/>
      <c r="J199" s="1111"/>
      <c r="K199" s="1025"/>
    </row>
    <row r="200" spans="1:11" ht="15.75">
      <c r="A200" s="1037"/>
      <c r="B200" s="1038"/>
      <c r="C200" s="1026"/>
      <c r="D200" s="1026"/>
      <c r="E200" s="1026"/>
      <c r="F200" s="1059"/>
      <c r="G200" s="1054"/>
      <c r="H200" s="1269"/>
      <c r="I200" s="1056"/>
      <c r="J200" s="1111"/>
      <c r="K200" s="1115"/>
    </row>
    <row r="201" spans="1:11">
      <c r="A201" s="1037"/>
      <c r="B201" s="1038"/>
      <c r="C201" s="1026"/>
      <c r="D201" s="1026"/>
      <c r="E201" s="1026"/>
      <c r="F201" s="1059"/>
      <c r="G201" s="1054"/>
      <c r="H201" s="1269"/>
      <c r="I201" s="1056"/>
      <c r="J201" s="1111"/>
      <c r="K201" s="1025"/>
    </row>
    <row r="202" spans="1:11">
      <c r="A202" s="1037"/>
      <c r="B202" s="1038"/>
      <c r="C202" s="1025"/>
      <c r="D202" s="1025"/>
      <c r="E202" s="1025"/>
      <c r="F202" s="1061"/>
      <c r="G202" s="1054"/>
      <c r="H202" s="1269"/>
      <c r="I202" s="1056"/>
      <c r="J202" s="1111"/>
      <c r="K202" s="1025"/>
    </row>
    <row r="203" spans="1:11">
      <c r="A203" s="1037"/>
      <c r="B203" s="1038"/>
      <c r="C203" s="1026"/>
      <c r="D203" s="1026"/>
      <c r="E203" s="1026"/>
      <c r="F203" s="1061"/>
      <c r="G203" s="1054"/>
      <c r="H203" s="1269"/>
      <c r="I203" s="1056"/>
      <c r="J203" s="1111"/>
      <c r="K203" s="1025"/>
    </row>
    <row r="204" spans="1:11" ht="15.75">
      <c r="A204" s="1037"/>
      <c r="B204" s="1038"/>
      <c r="C204" s="1026"/>
      <c r="D204" s="1026"/>
      <c r="E204" s="1026"/>
      <c r="F204" s="1059"/>
      <c r="G204" s="1059"/>
      <c r="H204" s="1269"/>
      <c r="I204" s="1056"/>
      <c r="J204" s="1111"/>
      <c r="K204" s="1115"/>
    </row>
    <row r="205" spans="1:11">
      <c r="A205" s="1037"/>
      <c r="B205" s="1038"/>
      <c r="C205" s="1026"/>
      <c r="D205" s="1026"/>
      <c r="E205" s="1026"/>
      <c r="F205" s="1059"/>
      <c r="G205" s="1059"/>
      <c r="H205" s="1269"/>
      <c r="I205" s="1056"/>
      <c r="J205" s="1111"/>
      <c r="K205" s="1025"/>
    </row>
    <row r="206" spans="1:11" ht="15.75">
      <c r="A206" s="1037"/>
      <c r="B206" s="1038"/>
      <c r="C206" s="1026"/>
      <c r="D206" s="1026"/>
      <c r="E206" s="1026"/>
      <c r="F206" s="1059"/>
      <c r="G206" s="1054"/>
      <c r="H206" s="1269"/>
      <c r="I206" s="1056"/>
      <c r="J206" s="1111"/>
      <c r="K206" s="1115"/>
    </row>
    <row r="207" spans="1:11" ht="15.75">
      <c r="A207" s="1037"/>
      <c r="B207" s="1038"/>
      <c r="C207" s="1026"/>
      <c r="D207" s="1026"/>
      <c r="E207" s="1026"/>
      <c r="F207" s="1059"/>
      <c r="G207" s="1054"/>
      <c r="H207" s="1269"/>
      <c r="I207" s="1056"/>
      <c r="J207" s="1111"/>
      <c r="K207" s="1115"/>
    </row>
    <row r="208" spans="1:11" ht="15.75">
      <c r="A208" s="1037"/>
      <c r="B208" s="1038"/>
      <c r="C208" s="1026"/>
      <c r="D208" s="1026"/>
      <c r="E208" s="1026"/>
      <c r="F208" s="1059"/>
      <c r="G208" s="1054"/>
      <c r="H208" s="1269"/>
      <c r="I208" s="1056"/>
      <c r="J208" s="1111"/>
      <c r="K208" s="1115"/>
    </row>
    <row r="209" spans="1:11" ht="15.75">
      <c r="A209" s="1037"/>
      <c r="B209" s="1038"/>
      <c r="C209" s="1026"/>
      <c r="D209" s="1026"/>
      <c r="E209" s="1026"/>
      <c r="F209" s="1059"/>
      <c r="G209" s="1054"/>
      <c r="H209" s="1269"/>
      <c r="I209" s="1056"/>
      <c r="J209" s="1111"/>
      <c r="K209" s="1115"/>
    </row>
    <row r="210" spans="1:11" ht="15.75">
      <c r="A210" s="1037"/>
      <c r="B210" s="1038"/>
      <c r="C210" s="1026"/>
      <c r="D210" s="1026"/>
      <c r="E210" s="1026"/>
      <c r="F210" s="1059"/>
      <c r="G210" s="1054"/>
      <c r="H210" s="1269"/>
      <c r="I210" s="1056"/>
      <c r="J210" s="1111"/>
      <c r="K210" s="1115"/>
    </row>
    <row r="211" spans="1:11" ht="15.75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115"/>
    </row>
    <row r="212" spans="1:11" ht="15.75">
      <c r="A212" s="1037"/>
      <c r="B212" s="1038"/>
      <c r="C212" s="1026"/>
      <c r="D212" s="1026"/>
      <c r="E212" s="1026"/>
      <c r="F212" s="1059"/>
      <c r="G212" s="1054"/>
      <c r="H212" s="1269"/>
      <c r="I212" s="1056"/>
      <c r="J212" s="1111"/>
      <c r="K212" s="1115"/>
    </row>
    <row r="213" spans="1:11" ht="15.75">
      <c r="A213" s="1037"/>
      <c r="B213" s="1038"/>
      <c r="C213" s="1026"/>
      <c r="D213" s="1026"/>
      <c r="E213" s="1026"/>
      <c r="F213" s="1059"/>
      <c r="G213" s="1054"/>
      <c r="H213" s="1269"/>
      <c r="I213" s="1056"/>
      <c r="J213" s="1111"/>
      <c r="K213" s="1115"/>
    </row>
    <row r="214" spans="1:11" ht="15.75">
      <c r="A214" s="1037"/>
      <c r="B214" s="1038"/>
      <c r="C214" s="1026"/>
      <c r="D214" s="1026"/>
      <c r="F214" s="1059"/>
      <c r="G214" s="1054"/>
      <c r="H214" s="1269"/>
      <c r="I214" s="1056"/>
      <c r="J214" s="1111"/>
      <c r="K214" s="1115"/>
    </row>
    <row r="215" spans="1:11" ht="15.75">
      <c r="A215" s="1037"/>
      <c r="B215" s="1038"/>
      <c r="C215" s="1026"/>
      <c r="D215" s="1026"/>
      <c r="E215" s="1026"/>
      <c r="F215" s="1059"/>
      <c r="G215" s="1054"/>
      <c r="H215" s="1269"/>
      <c r="I215" s="1056"/>
      <c r="J215" s="1111"/>
      <c r="K215" s="1115"/>
    </row>
    <row r="216" spans="1:11" ht="15.75">
      <c r="A216" s="1037"/>
      <c r="B216" s="1038"/>
      <c r="C216" s="1026"/>
      <c r="D216" s="1026"/>
      <c r="E216" s="1026"/>
      <c r="F216" s="1059"/>
      <c r="G216" s="1054"/>
      <c r="H216" s="1269"/>
      <c r="I216" s="1056"/>
      <c r="J216" s="1111"/>
      <c r="K216" s="1115"/>
    </row>
    <row r="217" spans="1:11" ht="15.75">
      <c r="A217" s="1037"/>
      <c r="B217" s="1038"/>
      <c r="C217" s="1026"/>
      <c r="D217" s="1026"/>
      <c r="E217" s="1026"/>
      <c r="F217" s="1059"/>
      <c r="G217" s="1054"/>
      <c r="H217" s="1269"/>
      <c r="I217" s="1056"/>
      <c r="J217" s="1111"/>
      <c r="K217" s="1115"/>
    </row>
    <row r="218" spans="1:11" ht="15.75">
      <c r="A218" s="1037"/>
      <c r="B218" s="1038"/>
      <c r="C218" s="1026"/>
      <c r="D218" s="1026"/>
      <c r="E218" s="1026"/>
      <c r="F218" s="1059"/>
      <c r="G218" s="1054"/>
      <c r="H218" s="1269"/>
      <c r="I218" s="1056"/>
      <c r="J218" s="1111"/>
      <c r="K218" s="1115"/>
    </row>
    <row r="219" spans="1:11">
      <c r="A219" s="1037"/>
      <c r="B219" s="1038"/>
      <c r="C219" s="1026"/>
      <c r="D219" s="1026"/>
      <c r="E219" s="1026"/>
      <c r="F219" s="1059"/>
      <c r="G219" s="1054"/>
      <c r="H219" s="1269"/>
      <c r="I219" s="1056"/>
      <c r="J219" s="1111"/>
      <c r="K219" s="1025"/>
    </row>
    <row r="220" spans="1:11">
      <c r="A220" s="1039"/>
      <c r="B220" s="1039"/>
      <c r="C220" s="1025"/>
      <c r="D220" s="1025"/>
      <c r="E220" s="1025"/>
      <c r="F220" s="1061"/>
      <c r="G220" s="1062"/>
      <c r="H220" s="1269"/>
      <c r="I220" s="1056"/>
      <c r="J220" s="1111"/>
      <c r="K220" s="1025"/>
    </row>
    <row r="221" spans="1:11">
      <c r="A221" s="1039"/>
      <c r="B221" s="1039"/>
      <c r="C221" s="1025"/>
      <c r="D221" s="1025"/>
      <c r="E221" s="1025"/>
      <c r="F221" s="1061"/>
      <c r="G221" s="1062"/>
      <c r="H221" s="1269"/>
      <c r="I221" s="1056"/>
      <c r="J221" s="1111"/>
      <c r="K221" s="1025"/>
    </row>
    <row r="222" spans="1:11">
      <c r="A222" s="1039"/>
      <c r="B222" s="1039"/>
      <c r="C222" s="1025"/>
      <c r="D222" s="1025"/>
      <c r="E222" s="1025"/>
      <c r="F222" s="1061"/>
      <c r="G222" s="1062"/>
      <c r="H222" s="1269"/>
      <c r="I222" s="1056"/>
      <c r="J222" s="1111"/>
      <c r="K222" s="1025"/>
    </row>
    <row r="223" spans="1:11">
      <c r="A223" s="1039"/>
      <c r="B223" s="1039"/>
      <c r="C223" s="1025"/>
      <c r="D223" s="1025"/>
      <c r="E223" s="1025"/>
      <c r="F223" s="1061"/>
      <c r="G223" s="1062"/>
      <c r="H223" s="1269"/>
      <c r="I223" s="1056"/>
      <c r="J223" s="1111"/>
      <c r="K223" s="1025"/>
    </row>
    <row r="224" spans="1:11">
      <c r="A224" s="1039"/>
      <c r="B224" s="1039"/>
      <c r="C224" s="1025"/>
      <c r="D224" s="1025"/>
      <c r="E224" s="1025"/>
      <c r="F224" s="1061"/>
      <c r="G224" s="1062"/>
      <c r="H224" s="1269"/>
      <c r="I224" s="1056"/>
      <c r="J224" s="1111"/>
      <c r="K224" s="1025"/>
    </row>
    <row r="225" spans="1:11">
      <c r="A225" s="1039"/>
      <c r="B225" s="1039"/>
      <c r="C225" s="1025"/>
      <c r="D225" s="1025"/>
      <c r="E225" s="1025"/>
      <c r="F225" s="1061"/>
      <c r="G225" s="1062"/>
      <c r="H225" s="1269"/>
      <c r="I225" s="1056"/>
      <c r="J225" s="1111"/>
      <c r="K225" s="1025"/>
    </row>
    <row r="226" spans="1:11">
      <c r="A226" s="1039"/>
      <c r="B226" s="1039"/>
      <c r="C226" s="1025"/>
      <c r="D226" s="1025"/>
      <c r="E226" s="1025"/>
      <c r="F226" s="1061"/>
      <c r="G226" s="1062"/>
      <c r="H226" s="1269"/>
      <c r="I226" s="1056"/>
      <c r="J226" s="1111"/>
      <c r="K226" s="1025"/>
    </row>
    <row r="227" spans="1:11">
      <c r="A227" s="1039"/>
      <c r="B227" s="1039"/>
      <c r="C227" s="1025"/>
      <c r="D227" s="1025"/>
      <c r="E227" s="1025"/>
      <c r="F227" s="1061"/>
      <c r="G227" s="1062"/>
      <c r="H227" s="1269"/>
      <c r="I227" s="1056"/>
      <c r="J227" s="1111"/>
      <c r="K227" s="1025"/>
    </row>
    <row r="228" spans="1:11">
      <c r="A228" s="1039"/>
      <c r="B228" s="1039"/>
      <c r="C228" s="1025"/>
      <c r="D228" s="1025"/>
      <c r="E228" s="1025"/>
      <c r="F228" s="1061"/>
      <c r="G228" s="1062"/>
      <c r="H228" s="1269"/>
      <c r="I228" s="1056"/>
      <c r="J228" s="1111"/>
      <c r="K228" s="1025"/>
    </row>
    <row r="229" spans="1:11">
      <c r="A229" s="1039"/>
      <c r="B229" s="1039"/>
      <c r="C229" s="1025"/>
      <c r="D229" s="1025"/>
      <c r="E229" s="1025"/>
      <c r="F229" s="1061"/>
      <c r="G229" s="1062"/>
      <c r="H229" s="1269"/>
      <c r="I229" s="1056"/>
      <c r="J229" s="1111"/>
      <c r="K229" s="1025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1025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1025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1025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1025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1025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1025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1025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1025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1025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1025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1025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1025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1025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1025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1025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1025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1025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1025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1025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1025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1025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1025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1025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1025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1025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1025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1025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1025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1025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1025"/>
    </row>
    <row r="260" spans="1:11">
      <c r="A260" s="1039"/>
      <c r="B260" s="1039"/>
      <c r="C260" s="1025"/>
      <c r="D260" s="1025"/>
      <c r="E260" s="1025"/>
      <c r="F260" s="1061"/>
      <c r="G260" s="1062"/>
      <c r="H260" s="1269"/>
      <c r="I260" s="1056"/>
      <c r="J260" s="1111"/>
      <c r="K260" s="1025"/>
    </row>
    <row r="261" spans="1:11">
      <c r="A261" s="1039"/>
      <c r="B261" s="1039"/>
      <c r="C261" s="1025"/>
      <c r="D261" s="1025"/>
      <c r="E261" s="1025"/>
      <c r="F261" s="1061"/>
      <c r="G261" s="1062"/>
      <c r="H261" s="1269"/>
      <c r="I261" s="1056"/>
      <c r="J261" s="1111"/>
      <c r="K261" s="1025"/>
    </row>
    <row r="262" spans="1:11">
      <c r="A262" s="1039"/>
      <c r="B262" s="1039"/>
      <c r="C262" s="1025"/>
      <c r="D262" s="1025"/>
      <c r="E262" s="1025"/>
      <c r="F262" s="1061"/>
      <c r="G262" s="1062"/>
      <c r="H262" s="1269"/>
      <c r="I262" s="1056"/>
      <c r="J262" s="1111"/>
      <c r="K262" s="1025"/>
    </row>
    <row r="263" spans="1:11">
      <c r="A263" s="1039"/>
      <c r="B263" s="1039"/>
      <c r="C263" s="1025"/>
      <c r="D263" s="1025"/>
      <c r="E263" s="1025"/>
      <c r="F263" s="1061"/>
      <c r="G263" s="1062"/>
      <c r="H263" s="1269"/>
      <c r="I263" s="1056"/>
      <c r="J263" s="1111"/>
      <c r="K263" s="1025"/>
    </row>
    <row r="264" spans="1:11">
      <c r="A264" s="1039"/>
      <c r="B264" s="1039"/>
      <c r="C264" s="1025"/>
      <c r="D264" s="1025"/>
      <c r="E264" s="1025"/>
      <c r="F264" s="1061"/>
      <c r="G264" s="1062"/>
      <c r="H264" s="1269"/>
      <c r="I264" s="1056"/>
      <c r="J264" s="1111"/>
      <c r="K264" s="1025"/>
    </row>
    <row r="265" spans="1:11">
      <c r="A265" s="1039"/>
      <c r="B265" s="1039"/>
      <c r="C265" s="1025"/>
      <c r="D265" s="1025"/>
      <c r="E265" s="1025"/>
      <c r="F265" s="1061"/>
      <c r="G265" s="1062"/>
      <c r="H265" s="1269"/>
      <c r="I265" s="1056"/>
      <c r="J265" s="1111"/>
      <c r="K265" s="1025"/>
    </row>
    <row r="266" spans="1:11">
      <c r="A266" s="1039"/>
      <c r="B266" s="1039"/>
      <c r="C266" s="1025"/>
      <c r="D266" s="1025"/>
      <c r="E266" s="1025"/>
      <c r="F266" s="1061"/>
      <c r="G266" s="1062"/>
      <c r="H266" s="1269"/>
      <c r="I266" s="1056"/>
      <c r="J266" s="1111"/>
      <c r="K266" s="1025"/>
    </row>
    <row r="267" spans="1:11">
      <c r="A267" s="1025"/>
      <c r="B267" s="1025"/>
      <c r="C267" s="1025"/>
      <c r="D267" s="1025"/>
      <c r="E267" s="1025"/>
      <c r="F267" s="1025"/>
      <c r="G267" s="1025"/>
      <c r="H267" s="1269"/>
      <c r="I267" s="1056"/>
      <c r="J267" s="1111"/>
      <c r="K267" s="1025"/>
    </row>
    <row r="268" spans="1:11">
      <c r="A268" s="1025"/>
      <c r="B268" s="1025"/>
      <c r="C268" s="1025"/>
      <c r="D268" s="1025"/>
      <c r="E268" s="1025"/>
      <c r="F268" s="1025"/>
      <c r="G268" s="1025"/>
      <c r="H268" s="1269"/>
      <c r="I268" s="1056"/>
      <c r="J268" s="1111"/>
      <c r="K268" s="1025"/>
    </row>
    <row r="269" spans="1:11">
      <c r="A269" s="1025"/>
      <c r="B269" s="1025"/>
      <c r="C269" s="1025"/>
      <c r="D269" s="1025"/>
      <c r="E269" s="1025"/>
      <c r="F269" s="1025"/>
      <c r="G269" s="1025"/>
      <c r="H269" s="1269"/>
      <c r="I269" s="1056"/>
      <c r="J269" s="1111"/>
      <c r="K269" s="1025"/>
    </row>
    <row r="270" spans="1:11">
      <c r="A270" s="1025"/>
      <c r="B270" s="1025"/>
      <c r="C270" s="1025"/>
      <c r="D270" s="1025"/>
      <c r="E270" s="1025"/>
      <c r="F270" s="1025"/>
      <c r="G270" s="1025"/>
      <c r="H270" s="1269"/>
      <c r="I270" s="1056"/>
      <c r="J270" s="1111"/>
      <c r="K270" s="1025"/>
    </row>
    <row r="271" spans="1:11">
      <c r="A271" s="1025"/>
      <c r="B271" s="1025"/>
      <c r="C271" s="1025"/>
      <c r="D271" s="1025"/>
      <c r="E271" s="1025"/>
      <c r="F271" s="1025"/>
      <c r="G271" s="1025"/>
      <c r="H271" s="1269"/>
      <c r="I271" s="1056"/>
      <c r="J271" s="1111"/>
      <c r="K271" s="1025"/>
    </row>
    <row r="272" spans="1:11">
      <c r="A272" s="1025"/>
      <c r="B272" s="1025"/>
      <c r="C272" s="1025"/>
      <c r="D272" s="1025"/>
      <c r="E272" s="1025"/>
      <c r="F272" s="1025"/>
      <c r="G272" s="1025"/>
      <c r="H272" s="1269"/>
      <c r="I272" s="1056"/>
      <c r="J272" s="1111"/>
      <c r="K272" s="1025"/>
    </row>
    <row r="273" spans="1:11">
      <c r="A273" s="1025"/>
      <c r="B273" s="1025"/>
      <c r="C273" s="1025"/>
      <c r="D273" s="1025"/>
      <c r="E273" s="1025"/>
      <c r="F273" s="1025"/>
      <c r="G273" s="1025"/>
      <c r="H273" s="1269"/>
      <c r="I273" s="1056"/>
      <c r="J273" s="1111"/>
      <c r="K273" s="1025"/>
    </row>
    <row r="274" spans="1:11">
      <c r="A274" s="1025"/>
      <c r="B274" s="1025"/>
      <c r="C274" s="1025"/>
      <c r="D274" s="1025"/>
      <c r="E274" s="1025"/>
      <c r="F274" s="1025"/>
      <c r="G274" s="1025"/>
      <c r="H274" s="1269"/>
      <c r="I274" s="1056"/>
      <c r="J274" s="1111"/>
      <c r="K274" s="1025"/>
    </row>
    <row r="275" spans="1:11">
      <c r="A275" s="1025"/>
      <c r="B275" s="1025"/>
      <c r="C275" s="1025"/>
      <c r="D275" s="1025"/>
      <c r="E275" s="1025"/>
      <c r="F275" s="1025"/>
      <c r="G275" s="1025"/>
      <c r="H275" s="1269"/>
      <c r="I275" s="1056"/>
      <c r="J275" s="1111"/>
      <c r="K275" s="1025"/>
    </row>
    <row r="276" spans="1:11">
      <c r="A276" s="1025"/>
      <c r="B276" s="1025"/>
      <c r="C276" s="1025"/>
      <c r="D276" s="1025"/>
      <c r="E276" s="1025"/>
      <c r="F276" s="1025"/>
      <c r="G276" s="1025"/>
      <c r="H276" s="1269"/>
      <c r="I276" s="1056"/>
      <c r="J276" s="1111"/>
      <c r="K276" s="1025"/>
    </row>
    <row r="277" spans="1:11">
      <c r="A277" s="1025"/>
      <c r="B277" s="1025"/>
      <c r="C277" s="1025"/>
      <c r="D277" s="1025"/>
      <c r="E277" s="1025"/>
      <c r="F277" s="1025"/>
      <c r="G277" s="1025"/>
      <c r="H277" s="1269"/>
      <c r="I277" s="1056"/>
      <c r="J277" s="1111"/>
      <c r="K277" s="1025"/>
    </row>
    <row r="278" spans="1:11">
      <c r="A278" s="1025"/>
      <c r="B278" s="1025"/>
      <c r="C278" s="1025"/>
      <c r="D278" s="1025"/>
      <c r="E278" s="1025"/>
      <c r="F278" s="1025"/>
      <c r="G278" s="1025"/>
      <c r="H278" s="1269"/>
      <c r="I278" s="1056"/>
      <c r="J278" s="1111"/>
      <c r="K278" s="1025"/>
    </row>
    <row r="279" spans="1:11">
      <c r="A279" s="1025"/>
      <c r="B279" s="1025"/>
      <c r="C279" s="1025"/>
      <c r="D279" s="1025"/>
      <c r="E279" s="1025"/>
      <c r="F279" s="1025"/>
      <c r="G279" s="1025"/>
      <c r="H279" s="1269"/>
      <c r="I279" s="1056"/>
      <c r="J279" s="1111"/>
      <c r="K279" s="1025"/>
    </row>
    <row r="280" spans="1:11">
      <c r="A280" s="1025"/>
      <c r="B280" s="1025"/>
      <c r="C280" s="1025"/>
      <c r="D280" s="1025"/>
      <c r="E280" s="1025"/>
      <c r="F280" s="1025"/>
      <c r="G280" s="1025"/>
      <c r="H280" s="1269"/>
      <c r="I280" s="1056"/>
      <c r="J280" s="1111"/>
      <c r="K280" s="1025"/>
    </row>
    <row r="281" spans="1:11" ht="15.75" thickBot="1">
      <c r="A281" s="1037"/>
      <c r="B281" s="1038"/>
      <c r="C281" s="1026"/>
      <c r="D281" s="1026"/>
      <c r="E281" s="1026"/>
      <c r="F281" s="1059"/>
      <c r="G281" s="1054"/>
      <c r="H281" s="1269"/>
      <c r="I281" s="1056"/>
      <c r="J281" s="1111"/>
      <c r="K281" s="1025"/>
    </row>
    <row r="282" spans="1:11" ht="20.25" thickBot="1">
      <c r="A282" s="1552"/>
      <c r="B282" s="1553"/>
      <c r="C282" s="1553"/>
      <c r="D282" s="1553"/>
      <c r="E282" s="1553"/>
      <c r="F282" s="1554">
        <f>SUM(F161:F169,F171:F281)</f>
        <v>0</v>
      </c>
      <c r="G282" s="1553"/>
      <c r="H282" s="1558">
        <f>SUM(H61:H281)</f>
        <v>11778.283971000003</v>
      </c>
      <c r="I282" s="1554">
        <f>SUM(I161:I281)</f>
        <v>0</v>
      </c>
      <c r="J282" s="1111"/>
      <c r="K282" s="1115"/>
    </row>
  </sheetData>
  <autoFilter ref="A1:K61" xr:uid="{21882759-4D0B-429C-9119-AB34487C605F}">
    <sortState xmlns:xlrd2="http://schemas.microsoft.com/office/spreadsheetml/2017/richdata2" ref="A2:K61">
      <sortCondition ref="J1:J61"/>
    </sortState>
  </autoFilter>
  <pageMargins left="0.511811024" right="0.511811024" top="0.78740157499999996" bottom="0.78740157499999996" header="0.31496062000000002" footer="0.31496062000000002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4AC1-85AB-48E9-9731-F2A1CED1BC25}">
  <dimension ref="A1:M282"/>
  <sheetViews>
    <sheetView tabSelected="1" zoomScale="85" zoomScaleNormal="85" workbookViewId="0">
      <pane ySplit="1" topLeftCell="A10" activePane="bottomLeft" state="frozen"/>
      <selection pane="bottomLeft" activeCell="C21" sqref="C21"/>
    </sheetView>
  </sheetViews>
  <sheetFormatPr defaultColWidth="9.140625" defaultRowHeight="15"/>
  <cols>
    <col min="1" max="1" width="15.140625" style="1032" bestFit="1" customWidth="1"/>
    <col min="2" max="2" width="12.5703125" style="1032" bestFit="1" customWidth="1"/>
    <col min="3" max="3" width="44" style="1032" bestFit="1" customWidth="1"/>
    <col min="4" max="4" width="20.85546875" style="1032" bestFit="1" customWidth="1"/>
    <col min="5" max="5" width="14.140625" style="1032" bestFit="1" customWidth="1"/>
    <col min="6" max="6" width="22" style="1032" bestFit="1" customWidth="1"/>
    <col min="7" max="7" width="13.42578125" style="1032" bestFit="1" customWidth="1"/>
    <col min="8" max="8" width="24.85546875" style="1032" bestFit="1" customWidth="1"/>
    <col min="9" max="9" width="23.28515625" style="1032" bestFit="1" customWidth="1"/>
    <col min="10" max="10" width="13.140625" style="1032" customWidth="1"/>
    <col min="11" max="11" width="15" style="1032" bestFit="1" customWidth="1"/>
    <col min="12" max="12" width="10.42578125" style="1032" bestFit="1" customWidth="1"/>
    <col min="13" max="16384" width="9.140625" style="1032"/>
  </cols>
  <sheetData>
    <row r="1" spans="1:13" ht="14.25" customHeight="1">
      <c r="A1" s="1575" t="s">
        <v>2519</v>
      </c>
      <c r="B1" s="1576" t="s">
        <v>2</v>
      </c>
      <c r="C1" s="1576" t="s">
        <v>3</v>
      </c>
      <c r="D1" s="1576" t="s">
        <v>4</v>
      </c>
      <c r="E1" s="1576" t="s">
        <v>5</v>
      </c>
      <c r="F1" s="1577" t="s">
        <v>644</v>
      </c>
      <c r="G1" s="1578" t="s">
        <v>555</v>
      </c>
      <c r="H1" s="1579" t="s">
        <v>7</v>
      </c>
      <c r="I1" s="1580" t="s">
        <v>307</v>
      </c>
      <c r="J1" s="1578" t="s">
        <v>370</v>
      </c>
      <c r="K1" s="1115" t="s">
        <v>3013</v>
      </c>
    </row>
    <row r="2" spans="1:13" ht="15.75">
      <c r="A2" s="1037">
        <v>46203</v>
      </c>
      <c r="B2" s="1038">
        <v>46569</v>
      </c>
      <c r="C2" s="1026" t="s">
        <v>3284</v>
      </c>
      <c r="D2" s="1026" t="s">
        <v>25</v>
      </c>
      <c r="E2" s="1026" t="s">
        <v>22</v>
      </c>
      <c r="F2" s="1053">
        <v>917.74</v>
      </c>
      <c r="G2" s="1054">
        <v>0.2</v>
      </c>
      <c r="H2" s="1055">
        <f t="shared" ref="H2:H42" si="0">F2*G2*(1-10%)</f>
        <v>165.19320000000002</v>
      </c>
      <c r="I2" s="1056"/>
      <c r="J2" s="1111"/>
      <c r="K2" s="1115" t="s">
        <v>2015</v>
      </c>
    </row>
    <row r="3" spans="1:13" ht="15.75">
      <c r="A3" s="1037">
        <v>46203</v>
      </c>
      <c r="B3" s="1038">
        <v>46570</v>
      </c>
      <c r="C3" s="1026" t="s">
        <v>2228</v>
      </c>
      <c r="D3" s="1026" t="s">
        <v>448</v>
      </c>
      <c r="E3" s="1026" t="s">
        <v>10</v>
      </c>
      <c r="F3" s="1059">
        <v>3570.41</v>
      </c>
      <c r="G3" s="1054">
        <v>0.2</v>
      </c>
      <c r="H3" s="1055">
        <f t="shared" si="0"/>
        <v>642.67380000000003</v>
      </c>
      <c r="I3" s="1056"/>
      <c r="J3" s="1111"/>
      <c r="K3" s="1115" t="s">
        <v>2015</v>
      </c>
    </row>
    <row r="4" spans="1:13" ht="15.75">
      <c r="A4" s="1039">
        <v>46205</v>
      </c>
      <c r="B4" s="1039">
        <v>46570</v>
      </c>
      <c r="C4" s="1025" t="s">
        <v>3282</v>
      </c>
      <c r="D4" s="1025" t="s">
        <v>533</v>
      </c>
      <c r="E4" s="1025" t="s">
        <v>3080</v>
      </c>
      <c r="F4" s="1061">
        <v>2206.98</v>
      </c>
      <c r="G4" s="1062">
        <v>0.15</v>
      </c>
      <c r="H4" s="1055">
        <f t="shared" si="0"/>
        <v>297.94229999999999</v>
      </c>
      <c r="I4" s="1242"/>
      <c r="J4" s="1025"/>
      <c r="K4" s="1115" t="s">
        <v>2274</v>
      </c>
    </row>
    <row r="5" spans="1:13" ht="15.75">
      <c r="A5" s="1037">
        <v>46204</v>
      </c>
      <c r="B5" s="1038">
        <v>46571</v>
      </c>
      <c r="C5" s="1025" t="s">
        <v>2517</v>
      </c>
      <c r="D5" s="1026" t="s">
        <v>21</v>
      </c>
      <c r="E5" s="1026" t="s">
        <v>279</v>
      </c>
      <c r="F5" s="1059">
        <v>2227.4</v>
      </c>
      <c r="G5" s="1054">
        <v>0.15</v>
      </c>
      <c r="H5" s="1055">
        <f t="shared" si="0"/>
        <v>300.69900000000001</v>
      </c>
      <c r="I5" s="1056"/>
      <c r="J5" s="1111"/>
      <c r="K5" s="1115" t="s">
        <v>2015</v>
      </c>
    </row>
    <row r="6" spans="1:13" s="1025" customFormat="1" ht="15.75">
      <c r="A6" s="1039">
        <v>46204</v>
      </c>
      <c r="B6" s="1039">
        <v>46571</v>
      </c>
      <c r="C6" s="1025" t="s">
        <v>1431</v>
      </c>
      <c r="D6" s="1025" t="s">
        <v>25</v>
      </c>
      <c r="E6" s="1025" t="s">
        <v>1552</v>
      </c>
      <c r="F6" s="903">
        <v>2613.94</v>
      </c>
      <c r="G6" s="1062">
        <v>0.1</v>
      </c>
      <c r="H6" s="1055">
        <f t="shared" si="0"/>
        <v>235.25460000000001</v>
      </c>
      <c r="I6" s="1242"/>
      <c r="K6" s="1115" t="s">
        <v>2015</v>
      </c>
      <c r="L6" s="1847"/>
    </row>
    <row r="7" spans="1:13" s="1025" customFormat="1" ht="15.75">
      <c r="A7" s="1039">
        <v>46206</v>
      </c>
      <c r="B7" s="1039">
        <v>46571</v>
      </c>
      <c r="C7" s="1025" t="s">
        <v>3281</v>
      </c>
      <c r="D7" s="1025" t="s">
        <v>533</v>
      </c>
      <c r="E7" s="1025" t="s">
        <v>3080</v>
      </c>
      <c r="F7" s="1023">
        <v>1637.09</v>
      </c>
      <c r="G7" s="1062">
        <v>0.25</v>
      </c>
      <c r="H7" s="1055">
        <f t="shared" si="0"/>
        <v>368.34524999999996</v>
      </c>
      <c r="I7" s="1242"/>
      <c r="K7" s="1115" t="s">
        <v>2015</v>
      </c>
      <c r="L7" s="1847"/>
      <c r="M7" s="1847"/>
    </row>
    <row r="8" spans="1:13" ht="15.75">
      <c r="A8" s="1043">
        <v>46206</v>
      </c>
      <c r="B8" s="1045">
        <v>46572</v>
      </c>
      <c r="C8" s="1075" t="s">
        <v>3280</v>
      </c>
      <c r="D8" s="1075" t="s">
        <v>848</v>
      </c>
      <c r="E8" s="1075" t="s">
        <v>279</v>
      </c>
      <c r="F8" s="1102">
        <v>1027.6600000000001</v>
      </c>
      <c r="G8" s="1076">
        <v>0.15</v>
      </c>
      <c r="H8" s="1055">
        <f t="shared" si="0"/>
        <v>138.73410000000001</v>
      </c>
      <c r="I8" s="1077"/>
      <c r="J8" s="1261"/>
      <c r="K8" s="1115" t="s">
        <v>2015</v>
      </c>
      <c r="L8" s="1847"/>
    </row>
    <row r="9" spans="1:13">
      <c r="A9" s="1037">
        <v>46205</v>
      </c>
      <c r="B9" s="1038">
        <v>46573</v>
      </c>
      <c r="C9" s="1038" t="s">
        <v>1425</v>
      </c>
      <c r="D9" s="1038" t="s">
        <v>448</v>
      </c>
      <c r="E9" s="1038" t="s">
        <v>19</v>
      </c>
      <c r="F9" s="1053">
        <v>1536.42</v>
      </c>
      <c r="G9" s="1054">
        <v>0.2</v>
      </c>
      <c r="H9" s="1055">
        <f t="shared" si="0"/>
        <v>276.55560000000003</v>
      </c>
      <c r="I9" s="1089"/>
      <c r="J9" s="1325"/>
      <c r="K9" s="1039" t="s">
        <v>2015</v>
      </c>
    </row>
    <row r="10" spans="1:13" ht="15" customHeight="1">
      <c r="A10" s="1037">
        <v>46209</v>
      </c>
      <c r="B10" s="1038">
        <v>46574</v>
      </c>
      <c r="C10" s="1026" t="s">
        <v>2594</v>
      </c>
      <c r="D10" s="1026" t="s">
        <v>9</v>
      </c>
      <c r="E10" s="1026" t="s">
        <v>3080</v>
      </c>
      <c r="F10" s="1059">
        <v>2100.2600000000002</v>
      </c>
      <c r="G10" s="1054">
        <v>0.25</v>
      </c>
      <c r="H10" s="1055">
        <f t="shared" si="0"/>
        <v>472.55850000000004</v>
      </c>
      <c r="I10" s="1056">
        <f>472.56/2</f>
        <v>236.28</v>
      </c>
      <c r="J10" s="1111" t="s">
        <v>2152</v>
      </c>
      <c r="K10" s="1115" t="s">
        <v>2015</v>
      </c>
    </row>
    <row r="11" spans="1:13">
      <c r="A11" s="1037">
        <v>46210</v>
      </c>
      <c r="B11" s="1038">
        <v>46575</v>
      </c>
      <c r="C11" s="1026" t="s">
        <v>1524</v>
      </c>
      <c r="D11" s="1026" t="s">
        <v>14</v>
      </c>
      <c r="E11" s="1026" t="s">
        <v>1582</v>
      </c>
      <c r="F11" s="1059">
        <v>1471.4</v>
      </c>
      <c r="G11" s="1054">
        <v>0.15</v>
      </c>
      <c r="H11" s="1055">
        <f t="shared" si="0"/>
        <v>198.63900000000001</v>
      </c>
      <c r="I11" s="1056"/>
      <c r="J11" s="1111"/>
      <c r="K11" s="1025" t="s">
        <v>2015</v>
      </c>
    </row>
    <row r="12" spans="1:13" ht="15.75">
      <c r="A12" s="1037">
        <v>46211</v>
      </c>
      <c r="B12" s="1038">
        <v>46575</v>
      </c>
      <c r="C12" s="1025" t="s">
        <v>3285</v>
      </c>
      <c r="D12" s="1025" t="s">
        <v>25</v>
      </c>
      <c r="E12" s="1025" t="s">
        <v>948</v>
      </c>
      <c r="F12" s="1061">
        <v>1324.59</v>
      </c>
      <c r="G12" s="1062">
        <v>0.2</v>
      </c>
      <c r="H12" s="1055">
        <f t="shared" si="0"/>
        <v>238.42620000000002</v>
      </c>
      <c r="I12" s="1056"/>
      <c r="J12" s="1111"/>
      <c r="K12" s="1115" t="s">
        <v>2015</v>
      </c>
    </row>
    <row r="13" spans="1:13" ht="15.75">
      <c r="A13" s="1037">
        <v>46210</v>
      </c>
      <c r="B13" s="1038">
        <v>46576</v>
      </c>
      <c r="C13" s="1025" t="s">
        <v>1434</v>
      </c>
      <c r="D13" s="1025" t="s">
        <v>14</v>
      </c>
      <c r="E13" s="1025" t="s">
        <v>1582</v>
      </c>
      <c r="F13" s="1061">
        <v>962.38</v>
      </c>
      <c r="G13" s="1062">
        <v>0.2</v>
      </c>
      <c r="H13" s="1269">
        <f t="shared" si="0"/>
        <v>173.22839999999999</v>
      </c>
      <c r="I13" s="1056"/>
      <c r="J13" s="1111"/>
      <c r="K13" s="1115" t="s">
        <v>2015</v>
      </c>
    </row>
    <row r="14" spans="1:13" ht="15.75">
      <c r="A14" s="1037">
        <v>46210</v>
      </c>
      <c r="B14" s="1038">
        <v>46578</v>
      </c>
      <c r="C14" s="1026" t="s">
        <v>3287</v>
      </c>
      <c r="D14" s="1026" t="s">
        <v>9</v>
      </c>
      <c r="E14" s="1025" t="s">
        <v>1310</v>
      </c>
      <c r="F14" s="1061">
        <v>3719.88</v>
      </c>
      <c r="G14" s="1062">
        <v>0.1</v>
      </c>
      <c r="H14" s="1269">
        <f t="shared" si="0"/>
        <v>334.78920000000005</v>
      </c>
      <c r="I14" s="1056"/>
      <c r="J14" s="1111"/>
      <c r="K14" s="1115" t="s">
        <v>2015</v>
      </c>
    </row>
    <row r="15" spans="1:13" ht="15.75" customHeight="1">
      <c r="A15" s="1037">
        <v>46213</v>
      </c>
      <c r="B15" s="1038">
        <v>46578</v>
      </c>
      <c r="C15" s="1025" t="s">
        <v>877</v>
      </c>
      <c r="D15" s="1026" t="s">
        <v>448</v>
      </c>
      <c r="E15" s="1025" t="s">
        <v>22</v>
      </c>
      <c r="F15" s="1061">
        <v>788.82</v>
      </c>
      <c r="G15" s="1062">
        <v>0.1</v>
      </c>
      <c r="H15" s="1269">
        <f t="shared" si="0"/>
        <v>70.993800000000007</v>
      </c>
      <c r="I15" s="1056"/>
      <c r="J15" s="1111"/>
      <c r="K15" s="1115" t="s">
        <v>2274</v>
      </c>
    </row>
    <row r="16" spans="1:13">
      <c r="A16" s="1037">
        <v>46213</v>
      </c>
      <c r="B16" s="1038">
        <v>46580</v>
      </c>
      <c r="C16" s="1941" t="s">
        <v>3289</v>
      </c>
      <c r="D16" s="1026" t="s">
        <v>70</v>
      </c>
      <c r="E16" s="1025" t="s">
        <v>22</v>
      </c>
      <c r="F16" s="1061">
        <v>3395.85</v>
      </c>
      <c r="G16" s="1062">
        <v>0.2</v>
      </c>
      <c r="H16" s="1269">
        <f t="shared" si="0"/>
        <v>611.25300000000004</v>
      </c>
      <c r="I16" s="1056"/>
      <c r="J16" s="1111"/>
      <c r="K16" s="1025" t="s">
        <v>2015</v>
      </c>
    </row>
    <row r="17" spans="1:12" ht="15.75">
      <c r="A17" s="1037">
        <v>46213</v>
      </c>
      <c r="B17" s="1038">
        <v>46581</v>
      </c>
      <c r="C17" s="1025" t="s">
        <v>3288</v>
      </c>
      <c r="D17" s="1026" t="s">
        <v>448</v>
      </c>
      <c r="E17" s="1025" t="s">
        <v>279</v>
      </c>
      <c r="F17" s="1061">
        <v>1954.4</v>
      </c>
      <c r="G17" s="1062">
        <v>0.15</v>
      </c>
      <c r="H17" s="1269">
        <f t="shared" si="0"/>
        <v>263.84400000000005</v>
      </c>
      <c r="I17" s="1056">
        <f>263.84/2</f>
        <v>131.91999999999999</v>
      </c>
      <c r="J17" s="1111" t="s">
        <v>1577</v>
      </c>
      <c r="K17" s="1115" t="s">
        <v>2274</v>
      </c>
    </row>
    <row r="18" spans="1:12" ht="15.75">
      <c r="A18" s="1039">
        <v>46213</v>
      </c>
      <c r="B18" s="1039">
        <v>46581</v>
      </c>
      <c r="C18" s="1025" t="s">
        <v>3290</v>
      </c>
      <c r="D18" s="1025" t="s">
        <v>25</v>
      </c>
      <c r="E18" s="1025" t="s">
        <v>10</v>
      </c>
      <c r="F18" s="1071">
        <v>1878.96</v>
      </c>
      <c r="G18" s="1062">
        <v>0.15</v>
      </c>
      <c r="H18" s="1269">
        <f t="shared" si="0"/>
        <v>253.65960000000001</v>
      </c>
      <c r="I18" s="1056"/>
      <c r="J18" s="1111"/>
      <c r="K18" s="1115" t="s">
        <v>2015</v>
      </c>
    </row>
    <row r="19" spans="1:12" ht="15.75">
      <c r="A19" s="1039">
        <v>46216</v>
      </c>
      <c r="B19" s="1039">
        <v>46581</v>
      </c>
      <c r="C19" s="1025" t="s">
        <v>1816</v>
      </c>
      <c r="D19" s="1025" t="s">
        <v>9</v>
      </c>
      <c r="E19" s="1025" t="s">
        <v>19</v>
      </c>
      <c r="F19" s="1061">
        <v>2092.16</v>
      </c>
      <c r="G19" s="1062">
        <v>0.2</v>
      </c>
      <c r="H19" s="1269">
        <f t="shared" si="0"/>
        <v>376.58880000000005</v>
      </c>
      <c r="I19" s="1056"/>
      <c r="J19" s="1111"/>
      <c r="K19" s="1115" t="s">
        <v>2015</v>
      </c>
    </row>
    <row r="20" spans="1:12" ht="15.75">
      <c r="A20" s="1037">
        <v>46216</v>
      </c>
      <c r="B20" s="1039">
        <v>46583</v>
      </c>
      <c r="C20" s="1025" t="s">
        <v>3286</v>
      </c>
      <c r="D20" s="1026" t="s">
        <v>198</v>
      </c>
      <c r="E20" s="1025" t="s">
        <v>1310</v>
      </c>
      <c r="F20" s="1071">
        <v>1942.12</v>
      </c>
      <c r="G20" s="1062">
        <v>0.15</v>
      </c>
      <c r="H20" s="1269">
        <f t="shared" si="0"/>
        <v>262.18619999999999</v>
      </c>
      <c r="I20" s="1056"/>
      <c r="J20" s="1111"/>
      <c r="K20" s="1115" t="s">
        <v>2015</v>
      </c>
    </row>
    <row r="21" spans="1:12" ht="15.75">
      <c r="A21" s="1037">
        <v>46217</v>
      </c>
      <c r="B21" s="1039">
        <v>46583</v>
      </c>
      <c r="C21" s="1032" t="s">
        <v>3293</v>
      </c>
      <c r="D21" s="1026" t="s">
        <v>61</v>
      </c>
      <c r="E21" s="1025" t="s">
        <v>29</v>
      </c>
      <c r="F21" s="1061">
        <v>1691.38</v>
      </c>
      <c r="G21" s="1062">
        <v>0.2</v>
      </c>
      <c r="H21" s="1269">
        <f t="shared" si="0"/>
        <v>304.44840000000005</v>
      </c>
      <c r="I21" s="1056"/>
      <c r="J21" s="1111"/>
      <c r="K21" s="1115" t="s">
        <v>2015</v>
      </c>
    </row>
    <row r="22" spans="1:12" ht="15.75">
      <c r="A22" s="1037">
        <v>46213</v>
      </c>
      <c r="B22" s="1039">
        <v>46584</v>
      </c>
      <c r="C22" s="1025" t="s">
        <v>1824</v>
      </c>
      <c r="D22" s="1026" t="s">
        <v>9</v>
      </c>
      <c r="E22" s="1025" t="s">
        <v>10</v>
      </c>
      <c r="F22" s="1023">
        <v>1054.8699999999999</v>
      </c>
      <c r="G22" s="1062">
        <v>0.15</v>
      </c>
      <c r="H22" s="1269">
        <f t="shared" si="0"/>
        <v>142.40744999999998</v>
      </c>
      <c r="I22" s="1056">
        <f>142.41/2</f>
        <v>71.204999999999998</v>
      </c>
      <c r="J22" s="1111" t="s">
        <v>1577</v>
      </c>
      <c r="K22" s="1115" t="s">
        <v>2015</v>
      </c>
    </row>
    <row r="23" spans="1:12" ht="15.75">
      <c r="A23" s="1039">
        <v>46205</v>
      </c>
      <c r="B23" s="1039" t="s">
        <v>1805</v>
      </c>
      <c r="C23" s="1025" t="s">
        <v>2771</v>
      </c>
      <c r="D23" s="1025" t="s">
        <v>25</v>
      </c>
      <c r="E23" s="1025" t="s">
        <v>10</v>
      </c>
      <c r="F23" s="1061">
        <v>111.77</v>
      </c>
      <c r="G23" s="1062">
        <v>0.13</v>
      </c>
      <c r="H23" s="1269">
        <f t="shared" si="0"/>
        <v>13.07709</v>
      </c>
      <c r="I23" s="1242"/>
      <c r="J23" s="1025"/>
      <c r="K23" s="1115" t="s">
        <v>1805</v>
      </c>
    </row>
    <row r="24" spans="1:12" ht="15.75">
      <c r="A24" s="1037">
        <v>46217</v>
      </c>
      <c r="B24" s="1039" t="s">
        <v>3294</v>
      </c>
      <c r="C24" s="1032" t="s">
        <v>3295</v>
      </c>
      <c r="D24" s="1026" t="s">
        <v>198</v>
      </c>
      <c r="E24" s="1026" t="s">
        <v>948</v>
      </c>
      <c r="F24" s="1071">
        <v>631.86</v>
      </c>
      <c r="G24" s="1062">
        <v>0.15</v>
      </c>
      <c r="H24" s="1269">
        <f t="shared" si="0"/>
        <v>85.301100000000005</v>
      </c>
      <c r="I24" s="1056"/>
      <c r="J24" s="1111" t="s">
        <v>3296</v>
      </c>
      <c r="K24" s="1115" t="s">
        <v>1805</v>
      </c>
    </row>
    <row r="25" spans="1:12" ht="15.75">
      <c r="A25" s="1037">
        <v>46218</v>
      </c>
      <c r="B25" s="1038">
        <v>46584</v>
      </c>
      <c r="C25" s="1025" t="s">
        <v>3297</v>
      </c>
      <c r="D25" s="1026" t="s">
        <v>448</v>
      </c>
      <c r="E25" s="1026" t="s">
        <v>10</v>
      </c>
      <c r="F25" s="1059">
        <v>1303.46</v>
      </c>
      <c r="G25" s="1054">
        <v>0.1</v>
      </c>
      <c r="H25" s="1269">
        <f t="shared" si="0"/>
        <v>117.31140000000001</v>
      </c>
      <c r="I25" s="1056"/>
      <c r="J25" s="1111"/>
      <c r="K25" s="1115" t="s">
        <v>2015</v>
      </c>
      <c r="L25" s="1918"/>
    </row>
    <row r="26" spans="1:12" ht="15.75">
      <c r="A26" s="1037"/>
      <c r="B26" s="1038"/>
      <c r="C26" s="1025"/>
      <c r="D26" s="1026"/>
      <c r="E26" s="1026"/>
      <c r="F26" s="1059"/>
      <c r="G26" s="1054"/>
      <c r="H26" s="1269">
        <f t="shared" si="0"/>
        <v>0</v>
      </c>
      <c r="I26" s="1056"/>
      <c r="J26" s="1111"/>
      <c r="K26" s="1115"/>
    </row>
    <row r="27" spans="1:12" ht="15.75">
      <c r="A27" s="1037"/>
      <c r="B27" s="1038"/>
      <c r="C27" s="1025"/>
      <c r="D27" s="1026"/>
      <c r="E27" s="1026"/>
      <c r="F27" s="1059"/>
      <c r="G27" s="1054"/>
      <c r="H27" s="1269">
        <f t="shared" si="0"/>
        <v>0</v>
      </c>
      <c r="I27" s="1056"/>
      <c r="J27" s="1111"/>
      <c r="K27" s="1115"/>
    </row>
    <row r="28" spans="1:12" ht="15.75">
      <c r="A28" s="1039"/>
      <c r="B28" s="1039"/>
      <c r="C28" s="1025"/>
      <c r="D28" s="1025"/>
      <c r="E28" s="1025"/>
      <c r="F28" s="903"/>
      <c r="G28" s="1062"/>
      <c r="H28" s="1269">
        <f t="shared" si="0"/>
        <v>0</v>
      </c>
      <c r="I28" s="1242"/>
      <c r="J28" s="1025"/>
      <c r="K28" s="1115"/>
    </row>
    <row r="29" spans="1:12" ht="15.75">
      <c r="A29" s="1037"/>
      <c r="B29" s="1038"/>
      <c r="C29" s="1025"/>
      <c r="D29" s="1026"/>
      <c r="E29" s="1026"/>
      <c r="F29" s="1053"/>
      <c r="G29" s="1054"/>
      <c r="H29" s="1269">
        <f t="shared" si="0"/>
        <v>0</v>
      </c>
      <c r="I29" s="1056"/>
      <c r="J29" s="1111"/>
      <c r="K29" s="1115"/>
    </row>
    <row r="30" spans="1:12" ht="15.75">
      <c r="A30" s="1037"/>
      <c r="B30" s="1038"/>
      <c r="C30" s="1026"/>
      <c r="D30" s="1026"/>
      <c r="E30" s="1026"/>
      <c r="F30" s="1059"/>
      <c r="G30" s="1054"/>
      <c r="H30" s="1269">
        <f t="shared" si="0"/>
        <v>0</v>
      </c>
      <c r="I30" s="1056"/>
      <c r="J30" s="1111"/>
      <c r="K30" s="1115"/>
    </row>
    <row r="31" spans="1:12" ht="15.75">
      <c r="A31" s="1037"/>
      <c r="B31" s="1038"/>
      <c r="C31" s="1026"/>
      <c r="D31" s="1026"/>
      <c r="E31" s="1026"/>
      <c r="F31" s="1059"/>
      <c r="G31" s="1054"/>
      <c r="H31" s="1269">
        <f t="shared" si="0"/>
        <v>0</v>
      </c>
      <c r="I31" s="1056"/>
      <c r="J31" s="1111"/>
      <c r="K31" s="1115"/>
    </row>
    <row r="32" spans="1:12" ht="15.75">
      <c r="A32" s="1037"/>
      <c r="B32" s="1038"/>
      <c r="C32" s="1025"/>
      <c r="D32" s="1026"/>
      <c r="E32" s="1026"/>
      <c r="F32" s="291"/>
      <c r="G32" s="1054"/>
      <c r="H32" s="1269">
        <f t="shared" si="0"/>
        <v>0</v>
      </c>
      <c r="I32" s="1056"/>
      <c r="J32" s="1111"/>
      <c r="K32" s="1115"/>
    </row>
    <row r="33" spans="1:11" ht="15.75">
      <c r="A33" s="1037"/>
      <c r="B33" s="1038"/>
      <c r="C33" s="1026"/>
      <c r="D33" s="1026"/>
      <c r="E33" s="1025"/>
      <c r="F33" s="1023"/>
      <c r="G33" s="1062"/>
      <c r="H33" s="1269">
        <f t="shared" si="0"/>
        <v>0</v>
      </c>
      <c r="I33" s="1056"/>
      <c r="J33" s="1111"/>
      <c r="K33" s="1115"/>
    </row>
    <row r="34" spans="1:11" ht="16.5">
      <c r="A34" s="1037"/>
      <c r="B34" s="1038"/>
      <c r="C34" s="1942"/>
      <c r="D34" s="1026"/>
      <c r="E34" s="1026"/>
      <c r="F34" s="1059"/>
      <c r="G34" s="1054"/>
      <c r="H34" s="1269">
        <f t="shared" si="0"/>
        <v>0</v>
      </c>
      <c r="I34" s="1056"/>
      <c r="J34" s="1111"/>
      <c r="K34" s="1115"/>
    </row>
    <row r="35" spans="1:11" ht="15.75">
      <c r="A35" s="1037"/>
      <c r="B35" s="1039"/>
      <c r="C35" s="1025"/>
      <c r="D35" s="1026"/>
      <c r="E35" s="1025"/>
      <c r="F35" s="1061"/>
      <c r="G35" s="1062"/>
      <c r="H35" s="1269">
        <f t="shared" si="0"/>
        <v>0</v>
      </c>
      <c r="I35" s="1056"/>
      <c r="J35" s="1111"/>
      <c r="K35" s="1115"/>
    </row>
    <row r="36" spans="1:11" ht="15.75">
      <c r="A36" s="1037"/>
      <c r="B36" s="1038"/>
      <c r="C36" s="1026"/>
      <c r="D36" s="1026"/>
      <c r="E36" s="1026"/>
      <c r="F36" s="1071"/>
      <c r="G36" s="1054"/>
      <c r="H36" s="1269">
        <f t="shared" si="0"/>
        <v>0</v>
      </c>
      <c r="I36" s="1056"/>
      <c r="J36" s="1111"/>
      <c r="K36" s="1115"/>
    </row>
    <row r="37" spans="1:11" ht="15.75" customHeight="1">
      <c r="A37" s="1037"/>
      <c r="B37" s="1038"/>
      <c r="C37" s="1026"/>
      <c r="D37" s="1026"/>
      <c r="E37" s="1025"/>
      <c r="F37" s="1061"/>
      <c r="G37" s="1062"/>
      <c r="H37" s="1269">
        <f t="shared" si="0"/>
        <v>0</v>
      </c>
      <c r="I37" s="1056"/>
      <c r="J37" s="1111"/>
      <c r="K37" s="1115"/>
    </row>
    <row r="38" spans="1:11" ht="15.75" customHeight="1">
      <c r="A38" s="1037"/>
      <c r="B38" s="1038"/>
      <c r="C38" s="1026"/>
      <c r="D38" s="1026"/>
      <c r="E38" s="1026"/>
      <c r="F38" s="1053"/>
      <c r="G38" s="1054"/>
      <c r="H38" s="1269">
        <f t="shared" si="0"/>
        <v>0</v>
      </c>
      <c r="I38" s="1056"/>
      <c r="J38" s="1111"/>
      <c r="K38" s="1115"/>
    </row>
    <row r="39" spans="1:11" ht="16.5" customHeight="1">
      <c r="A39" s="1037"/>
      <c r="B39" s="1038"/>
      <c r="C39" s="1026"/>
      <c r="D39" s="1026"/>
      <c r="E39" s="1026"/>
      <c r="F39" s="1059"/>
      <c r="G39" s="1054"/>
      <c r="H39" s="1269">
        <f t="shared" si="0"/>
        <v>0</v>
      </c>
      <c r="I39" s="1056"/>
      <c r="J39" s="1111"/>
      <c r="K39" s="1115"/>
    </row>
    <row r="40" spans="1:11" ht="15.75">
      <c r="A40" s="1037"/>
      <c r="B40" s="1038"/>
      <c r="C40" s="1025"/>
      <c r="D40" s="1026"/>
      <c r="E40" s="1026"/>
      <c r="F40" s="1059"/>
      <c r="G40" s="1054"/>
      <c r="H40" s="1269">
        <f t="shared" si="0"/>
        <v>0</v>
      </c>
      <c r="I40" s="1056"/>
      <c r="J40" s="1111"/>
      <c r="K40" s="1115"/>
    </row>
    <row r="41" spans="1:11" ht="15.75">
      <c r="A41" s="1037"/>
      <c r="B41" s="1038"/>
      <c r="D41" s="1026"/>
      <c r="E41" s="1026"/>
      <c r="F41" s="1059"/>
      <c r="G41" s="1054"/>
      <c r="H41" s="1269">
        <f t="shared" si="0"/>
        <v>0</v>
      </c>
      <c r="I41" s="1089"/>
      <c r="J41" s="1111"/>
      <c r="K41" s="1115"/>
    </row>
    <row r="42" spans="1:11" ht="15.75">
      <c r="A42" s="1037"/>
      <c r="B42" s="1038"/>
      <c r="C42" s="1026"/>
      <c r="D42" s="1026"/>
      <c r="E42" s="1026"/>
      <c r="F42" s="1059"/>
      <c r="G42" s="1054"/>
      <c r="H42" s="1269">
        <f t="shared" si="0"/>
        <v>0</v>
      </c>
      <c r="I42" s="1056"/>
      <c r="J42" s="1111"/>
      <c r="K42" s="1115"/>
    </row>
    <row r="43" spans="1:11">
      <c r="A43" s="1037"/>
      <c r="B43" s="1038"/>
      <c r="C43" s="1026"/>
      <c r="D43" s="1026"/>
      <c r="E43" s="1026"/>
      <c r="F43" s="1053"/>
      <c r="G43" s="1054"/>
      <c r="H43" s="1269">
        <v>0</v>
      </c>
      <c r="I43" s="1056"/>
      <c r="J43" s="1111"/>
      <c r="K43" s="1890"/>
    </row>
    <row r="44" spans="1:11" ht="15.75">
      <c r="A44" s="1037"/>
      <c r="B44" s="1038"/>
      <c r="C44" s="1026"/>
      <c r="D44" s="1026"/>
      <c r="E44" s="1026"/>
      <c r="F44" s="1059"/>
      <c r="G44" s="1054"/>
      <c r="H44" s="1269">
        <f t="shared" ref="H44:H60" si="1">F44*G44*(1-10%)</f>
        <v>0</v>
      </c>
      <c r="I44" s="1056"/>
      <c r="J44" s="1111"/>
      <c r="K44" s="1115"/>
    </row>
    <row r="45" spans="1:11" ht="15.75">
      <c r="A45" s="1037"/>
      <c r="B45" s="1038"/>
      <c r="C45" s="1026"/>
      <c r="D45" s="1026"/>
      <c r="E45" s="1026"/>
      <c r="F45" s="1059"/>
      <c r="G45" s="1054"/>
      <c r="H45" s="1269">
        <f t="shared" si="1"/>
        <v>0</v>
      </c>
      <c r="I45" s="1056"/>
      <c r="J45" s="1111"/>
      <c r="K45" s="1115"/>
    </row>
    <row r="46" spans="1:11" ht="15.75">
      <c r="A46" s="1037"/>
      <c r="B46" s="1038"/>
      <c r="C46" s="1026"/>
      <c r="D46" s="1026"/>
      <c r="E46" s="1026"/>
      <c r="F46" s="1059"/>
      <c r="G46" s="1054"/>
      <c r="H46" s="1269">
        <f t="shared" si="1"/>
        <v>0</v>
      </c>
      <c r="I46" s="1056"/>
      <c r="J46" s="1111"/>
      <c r="K46" s="1115"/>
    </row>
    <row r="47" spans="1:11" ht="15.75">
      <c r="A47" s="1037"/>
      <c r="B47" s="1038"/>
      <c r="C47" s="1026"/>
      <c r="D47" s="1026"/>
      <c r="E47" s="1026"/>
      <c r="F47" s="1059"/>
      <c r="G47" s="1054"/>
      <c r="H47" s="1269">
        <f t="shared" si="1"/>
        <v>0</v>
      </c>
      <c r="I47" s="1056"/>
      <c r="J47" s="1111"/>
      <c r="K47" s="1115"/>
    </row>
    <row r="48" spans="1:11" ht="15.75">
      <c r="A48" s="1037"/>
      <c r="B48" s="1038"/>
      <c r="C48" s="1026"/>
      <c r="D48" s="1026"/>
      <c r="E48" s="1026"/>
      <c r="F48" s="1059"/>
      <c r="G48" s="1054"/>
      <c r="H48" s="1269">
        <f t="shared" si="1"/>
        <v>0</v>
      </c>
      <c r="I48" s="1056"/>
      <c r="J48" s="1111"/>
      <c r="K48" s="1115"/>
    </row>
    <row r="49" spans="1:11" ht="15.75">
      <c r="A49" s="1037"/>
      <c r="B49" s="1038"/>
      <c r="C49" s="1026"/>
      <c r="D49" s="1026"/>
      <c r="E49" s="1026"/>
      <c r="F49" s="1059"/>
      <c r="G49" s="1054"/>
      <c r="H49" s="1269">
        <f t="shared" si="1"/>
        <v>0</v>
      </c>
      <c r="I49" s="1056"/>
      <c r="J49" s="1111"/>
      <c r="K49" s="1115"/>
    </row>
    <row r="50" spans="1:11" ht="15.75">
      <c r="A50" s="1037"/>
      <c r="B50" s="1038"/>
      <c r="C50" s="1026"/>
      <c r="D50" s="1026"/>
      <c r="E50" s="1026"/>
      <c r="F50" s="1484"/>
      <c r="G50" s="1054"/>
      <c r="H50" s="1269">
        <f t="shared" si="1"/>
        <v>0</v>
      </c>
      <c r="I50" s="1056"/>
      <c r="J50" s="1111"/>
      <c r="K50" s="1115"/>
    </row>
    <row r="51" spans="1:11" ht="15.75">
      <c r="A51" s="1037"/>
      <c r="B51" s="1038"/>
      <c r="C51" s="1026"/>
      <c r="D51" s="1026"/>
      <c r="E51" s="1026"/>
      <c r="F51" s="1059"/>
      <c r="G51" s="1054"/>
      <c r="H51" s="1269">
        <f t="shared" si="1"/>
        <v>0</v>
      </c>
      <c r="I51" s="1056"/>
      <c r="J51" s="1111"/>
      <c r="K51" s="1115"/>
    </row>
    <row r="52" spans="1:11" ht="15.75">
      <c r="A52" s="1037"/>
      <c r="B52" s="1038"/>
      <c r="C52" s="1026"/>
      <c r="D52" s="1026"/>
      <c r="E52" s="1026"/>
      <c r="F52" s="1059"/>
      <c r="G52" s="1054"/>
      <c r="H52" s="1269">
        <f t="shared" si="1"/>
        <v>0</v>
      </c>
      <c r="I52" s="1056"/>
      <c r="J52" s="1111"/>
      <c r="K52" s="1115"/>
    </row>
    <row r="53" spans="1:11" ht="15.75">
      <c r="A53" s="1037"/>
      <c r="B53" s="1038"/>
      <c r="C53" s="1026"/>
      <c r="D53" s="1026"/>
      <c r="E53" s="1026"/>
      <c r="F53" s="1059"/>
      <c r="G53" s="1054"/>
      <c r="H53" s="1269">
        <f t="shared" si="1"/>
        <v>0</v>
      </c>
      <c r="I53" s="1056"/>
      <c r="J53" s="1111"/>
      <c r="K53" s="1115"/>
    </row>
    <row r="54" spans="1:11" ht="15.75">
      <c r="A54" s="1037"/>
      <c r="B54" s="1038"/>
      <c r="C54" s="1026"/>
      <c r="D54" s="1026"/>
      <c r="E54" s="1026"/>
      <c r="F54" s="1059"/>
      <c r="G54" s="1054"/>
      <c r="H54" s="1269">
        <f t="shared" si="1"/>
        <v>0</v>
      </c>
      <c r="I54" s="1056"/>
      <c r="J54" s="1111"/>
      <c r="K54" s="1115"/>
    </row>
    <row r="55" spans="1:11" ht="15.75">
      <c r="A55" s="1037"/>
      <c r="B55" s="1038"/>
      <c r="C55" s="1026"/>
      <c r="D55" s="1026"/>
      <c r="E55" s="1026"/>
      <c r="F55" s="1059"/>
      <c r="G55" s="1054"/>
      <c r="H55" s="1269">
        <f t="shared" si="1"/>
        <v>0</v>
      </c>
      <c r="I55" s="1056"/>
      <c r="J55" s="1111"/>
      <c r="K55" s="1115"/>
    </row>
    <row r="56" spans="1:11" ht="15.75">
      <c r="A56" s="1037"/>
      <c r="B56" s="1038"/>
      <c r="C56" s="1026"/>
      <c r="D56" s="1026"/>
      <c r="E56" s="1026"/>
      <c r="F56" s="1059"/>
      <c r="G56" s="1054"/>
      <c r="H56" s="1269">
        <f t="shared" si="1"/>
        <v>0</v>
      </c>
      <c r="I56" s="1056"/>
      <c r="J56" s="1111"/>
      <c r="K56" s="1115"/>
    </row>
    <row r="57" spans="1:11" ht="15.75">
      <c r="A57" s="1037"/>
      <c r="B57" s="1038"/>
      <c r="C57" s="1026"/>
      <c r="D57" s="1026"/>
      <c r="E57" s="1026"/>
      <c r="F57" s="1059"/>
      <c r="G57" s="1054"/>
      <c r="H57" s="1269">
        <f t="shared" si="1"/>
        <v>0</v>
      </c>
      <c r="I57" s="1056"/>
      <c r="J57" s="1111"/>
      <c r="K57" s="1115"/>
    </row>
    <row r="58" spans="1:11" ht="15.75">
      <c r="A58" s="1037"/>
      <c r="B58" s="1038"/>
      <c r="C58" s="1026"/>
      <c r="D58" s="1026"/>
      <c r="E58" s="1026"/>
      <c r="F58" s="1059"/>
      <c r="G58" s="1054"/>
      <c r="H58" s="1269">
        <f t="shared" si="1"/>
        <v>0</v>
      </c>
      <c r="I58" s="1056"/>
      <c r="J58" s="1111"/>
      <c r="K58" s="1115"/>
    </row>
    <row r="59" spans="1:11" ht="15.75">
      <c r="A59" s="1037"/>
      <c r="B59" s="1038"/>
      <c r="C59" s="1026"/>
      <c r="D59" s="1026"/>
      <c r="E59" s="1026"/>
      <c r="F59" s="1059"/>
      <c r="G59" s="1054"/>
      <c r="H59" s="1269">
        <f t="shared" si="1"/>
        <v>0</v>
      </c>
      <c r="I59" s="1056"/>
      <c r="J59" s="1111"/>
      <c r="K59" s="1115"/>
    </row>
    <row r="60" spans="1:11" ht="16.5" thickBot="1">
      <c r="A60" s="1039"/>
      <c r="B60" s="1039"/>
      <c r="C60" s="1025"/>
      <c r="D60" s="1025"/>
      <c r="E60" s="1025"/>
      <c r="F60" s="1059"/>
      <c r="G60" s="1054"/>
      <c r="H60" s="1269">
        <f t="shared" si="1"/>
        <v>0</v>
      </c>
      <c r="I60" s="1662"/>
      <c r="J60" s="1111"/>
      <c r="K60" s="1115"/>
    </row>
    <row r="61" spans="1:11" ht="15.75" customHeight="1" thickBot="1">
      <c r="A61" s="1673"/>
      <c r="B61" s="1674"/>
      <c r="C61" s="1674"/>
      <c r="D61" s="1674"/>
      <c r="E61" s="1675"/>
      <c r="F61" s="1943">
        <f>SUM(F3:F6,F7:F60)</f>
        <v>41244.060000000005</v>
      </c>
      <c r="G61" s="1665"/>
      <c r="H61" s="1944">
        <f>SUM(H3:H60)</f>
        <v>6178.9167900000002</v>
      </c>
      <c r="I61" s="1945">
        <f>SUM(I3:I60)</f>
        <v>439.40499999999997</v>
      </c>
      <c r="J61" s="1676"/>
      <c r="K61" s="1115"/>
    </row>
    <row r="62" spans="1:11" ht="15.75" customHeight="1">
      <c r="A62" s="1037"/>
      <c r="B62" s="1037"/>
      <c r="C62" s="1026"/>
      <c r="D62" s="1026"/>
      <c r="E62" s="1026"/>
      <c r="F62" s="1102"/>
      <c r="G62" s="1076"/>
      <c r="H62" s="1055"/>
      <c r="I62" s="1077"/>
      <c r="J62" s="1111"/>
      <c r="K62" s="1115"/>
    </row>
    <row r="63" spans="1:11" ht="15.75" customHeight="1">
      <c r="A63" s="1037"/>
      <c r="B63" s="1038"/>
      <c r="C63" s="1026"/>
      <c r="D63" s="1026"/>
      <c r="E63" s="1026"/>
      <c r="F63" s="1059"/>
      <c r="G63" s="1054"/>
      <c r="H63" s="1269"/>
      <c r="I63" s="1056"/>
      <c r="J63" s="1111"/>
      <c r="K63" s="1115"/>
    </row>
    <row r="64" spans="1:11" ht="15.75" customHeight="1">
      <c r="A64" s="1037"/>
      <c r="B64" s="1038"/>
      <c r="C64" s="1026"/>
      <c r="D64" s="1026"/>
      <c r="E64" s="1026"/>
      <c r="F64" s="1059"/>
      <c r="G64" s="1054"/>
      <c r="H64" s="1269"/>
      <c r="I64" s="1056"/>
      <c r="J64" s="1111"/>
      <c r="K64" s="1115"/>
    </row>
    <row r="65" spans="1:11" ht="15.75" customHeight="1">
      <c r="A65" s="1037"/>
      <c r="B65" s="1038"/>
      <c r="C65" s="1026"/>
      <c r="D65" s="1026"/>
      <c r="E65" s="1026"/>
      <c r="F65" s="1059"/>
      <c r="G65" s="1054"/>
      <c r="H65" s="1269"/>
      <c r="I65" s="1056"/>
      <c r="J65" s="1111"/>
      <c r="K65" s="1115"/>
    </row>
    <row r="66" spans="1:11" ht="15.75" customHeight="1">
      <c r="A66" s="1037"/>
      <c r="B66" s="1038"/>
      <c r="C66" s="1026"/>
      <c r="D66" s="1026"/>
      <c r="E66" s="1026"/>
      <c r="F66" s="1059"/>
      <c r="G66" s="1054"/>
      <c r="H66" s="1269"/>
      <c r="I66" s="1056"/>
      <c r="J66" s="1111"/>
      <c r="K66" s="1115"/>
    </row>
    <row r="67" spans="1:11" ht="15.75" customHeight="1">
      <c r="A67" s="1037"/>
      <c r="B67" s="1038"/>
      <c r="C67" s="1026"/>
      <c r="D67" s="1026"/>
      <c r="E67" s="1026"/>
      <c r="F67" s="1059"/>
      <c r="G67" s="1054"/>
      <c r="H67" s="1269"/>
      <c r="I67" s="1056"/>
      <c r="J67" s="1111"/>
      <c r="K67" s="1115"/>
    </row>
    <row r="68" spans="1:11" ht="15.75" customHeight="1">
      <c r="A68" s="1037"/>
      <c r="B68" s="1038"/>
      <c r="C68" s="1026"/>
      <c r="D68" s="1026"/>
      <c r="E68" s="1026"/>
      <c r="F68" s="1059"/>
      <c r="G68" s="1054"/>
      <c r="H68" s="1269"/>
      <c r="I68" s="1056"/>
      <c r="J68" s="1111"/>
      <c r="K68" s="1115"/>
    </row>
    <row r="69" spans="1:11" ht="15.75" customHeight="1">
      <c r="A69" s="1037"/>
      <c r="B69" s="1038"/>
      <c r="C69" s="1026"/>
      <c r="D69" s="1026"/>
      <c r="E69" s="1026"/>
      <c r="F69" s="1059"/>
      <c r="G69" s="1054"/>
      <c r="H69" s="1269"/>
      <c r="I69" s="1056"/>
      <c r="J69" s="1111"/>
      <c r="K69" s="1115"/>
    </row>
    <row r="70" spans="1:11" ht="15.75" customHeight="1">
      <c r="A70" s="1037"/>
      <c r="B70" s="1038"/>
      <c r="C70" s="1026"/>
      <c r="D70" s="1026"/>
      <c r="E70" s="1026"/>
      <c r="F70" s="1059"/>
      <c r="G70" s="1054"/>
      <c r="H70" s="1269"/>
      <c r="I70" s="1056"/>
      <c r="J70" s="1111"/>
      <c r="K70" s="1025"/>
    </row>
    <row r="71" spans="1:11" ht="15.75" customHeight="1">
      <c r="A71" s="1037"/>
      <c r="B71" s="1038"/>
      <c r="C71" s="1026"/>
      <c r="D71" s="1026"/>
      <c r="E71" s="1026"/>
      <c r="F71" s="1059"/>
      <c r="G71" s="1054"/>
      <c r="H71" s="1269"/>
      <c r="I71" s="1056"/>
      <c r="J71" s="1111"/>
      <c r="K71" s="1115"/>
    </row>
    <row r="72" spans="1:11" ht="15.75" customHeight="1">
      <c r="A72" s="1037"/>
      <c r="B72" s="1038"/>
      <c r="C72" s="1026"/>
      <c r="D72" s="1026"/>
      <c r="E72" s="1026"/>
      <c r="F72" s="1059"/>
      <c r="G72" s="1059"/>
      <c r="H72" s="1269"/>
      <c r="I72" s="1056"/>
      <c r="J72" s="1111"/>
      <c r="K72" s="1115"/>
    </row>
    <row r="73" spans="1:11" ht="15.75" customHeight="1">
      <c r="A73" s="1037"/>
      <c r="B73" s="1038"/>
      <c r="C73" s="1026"/>
      <c r="D73" s="1026"/>
      <c r="E73" s="1026"/>
      <c r="F73" s="1059"/>
      <c r="G73" s="1059"/>
      <c r="H73" s="1269"/>
      <c r="I73" s="1056"/>
      <c r="J73" s="1111"/>
      <c r="K73" s="1025"/>
    </row>
    <row r="74" spans="1:11" ht="15.75" customHeight="1">
      <c r="A74" s="1037"/>
      <c r="B74" s="1038"/>
      <c r="C74" s="1026"/>
      <c r="D74" s="1026"/>
      <c r="E74" s="1026"/>
      <c r="F74" s="1059"/>
      <c r="G74" s="1059"/>
      <c r="H74" s="1269"/>
      <c r="I74" s="1056"/>
      <c r="J74" s="1111"/>
      <c r="K74" s="1025"/>
    </row>
    <row r="75" spans="1:11" ht="15.75" customHeight="1">
      <c r="A75" s="1037"/>
      <c r="B75" s="1038"/>
      <c r="C75" s="1026"/>
      <c r="D75" s="1026"/>
      <c r="E75" s="1026"/>
      <c r="F75" s="1059"/>
      <c r="G75" s="1054"/>
      <c r="H75" s="1269"/>
      <c r="I75" s="1056"/>
      <c r="J75" s="1111"/>
      <c r="K75" s="1115"/>
    </row>
    <row r="76" spans="1:11" ht="15.75" customHeight="1">
      <c r="A76" s="1037"/>
      <c r="B76" s="1038"/>
      <c r="C76" s="1026"/>
      <c r="D76" s="1026"/>
      <c r="E76" s="1026"/>
      <c r="F76" s="1059"/>
      <c r="G76" s="1054"/>
      <c r="H76" s="1269"/>
      <c r="I76" s="1056"/>
      <c r="J76" s="1111"/>
      <c r="K76" s="1115"/>
    </row>
    <row r="77" spans="1:11" ht="15.75" customHeight="1">
      <c r="A77" s="1037"/>
      <c r="B77" s="1038"/>
      <c r="C77" s="1026"/>
      <c r="D77" s="1026"/>
      <c r="E77" s="1026"/>
      <c r="F77" s="1059"/>
      <c r="G77" s="1054"/>
      <c r="H77" s="1269"/>
      <c r="I77" s="1056"/>
      <c r="J77" s="1111"/>
      <c r="K77" s="1115"/>
    </row>
    <row r="78" spans="1:11" ht="15.75">
      <c r="A78" s="1037"/>
      <c r="B78" s="1038"/>
      <c r="C78" s="1026"/>
      <c r="D78" s="1026"/>
      <c r="E78" s="1026"/>
      <c r="F78" s="1059"/>
      <c r="G78" s="1054"/>
      <c r="H78" s="1269"/>
      <c r="I78" s="1056"/>
      <c r="J78" s="1111"/>
      <c r="K78" s="1115"/>
    </row>
    <row r="79" spans="1:11" ht="15.75">
      <c r="A79" s="1037"/>
      <c r="B79" s="1038"/>
      <c r="C79" s="1026"/>
      <c r="D79" s="1026"/>
      <c r="E79" s="1026"/>
      <c r="F79" s="1059"/>
      <c r="G79" s="1054"/>
      <c r="H79" s="1269"/>
      <c r="I79" s="1056"/>
      <c r="J79" s="1111"/>
      <c r="K79" s="1115"/>
    </row>
    <row r="80" spans="1:11" ht="15.75">
      <c r="A80" s="1037"/>
      <c r="B80" s="1038"/>
      <c r="C80" s="1025"/>
      <c r="D80" s="1025"/>
      <c r="E80" s="1025"/>
      <c r="F80" s="1059"/>
      <c r="G80" s="1062"/>
      <c r="H80" s="1055"/>
      <c r="I80" s="1056"/>
      <c r="J80" s="1111"/>
      <c r="K80" s="1115"/>
    </row>
    <row r="81" spans="1:11" ht="15.75">
      <c r="A81" s="1037"/>
      <c r="B81" s="1039"/>
      <c r="C81" s="1025"/>
      <c r="D81" s="1025"/>
      <c r="E81" s="1025"/>
      <c r="F81" s="1059"/>
      <c r="G81" s="1054"/>
      <c r="H81" s="1269"/>
      <c r="I81" s="1056"/>
      <c r="J81" s="1111"/>
      <c r="K81" s="1115"/>
    </row>
    <row r="82" spans="1:11" ht="15.75">
      <c r="A82" s="1037"/>
      <c r="B82" s="1038"/>
      <c r="C82" s="1026"/>
      <c r="D82" s="1026"/>
      <c r="E82" s="1026"/>
      <c r="F82" s="1059"/>
      <c r="G82" s="1054"/>
      <c r="H82" s="1269"/>
      <c r="I82" s="1056"/>
      <c r="J82" s="1111"/>
      <c r="K82" s="1115"/>
    </row>
    <row r="83" spans="1:11" ht="15.75">
      <c r="A83" s="1037"/>
      <c r="B83" s="1038"/>
      <c r="C83" s="1026"/>
      <c r="D83" s="1026"/>
      <c r="E83" s="1026"/>
      <c r="F83" s="1059"/>
      <c r="G83" s="1054"/>
      <c r="H83" s="1269"/>
      <c r="I83" s="1056"/>
      <c r="J83" s="1111"/>
      <c r="K83" s="1115"/>
    </row>
    <row r="84" spans="1:11" ht="15.75">
      <c r="A84" s="1037"/>
      <c r="B84" s="1038"/>
      <c r="C84" s="1026"/>
      <c r="D84" s="1026"/>
      <c r="E84" s="1026"/>
      <c r="F84" s="1059"/>
      <c r="G84" s="1054"/>
      <c r="H84" s="1269"/>
      <c r="I84" s="1056"/>
      <c r="J84" s="1111"/>
      <c r="K84" s="1115"/>
    </row>
    <row r="85" spans="1:11" ht="15.75">
      <c r="A85" s="1037"/>
      <c r="B85" s="1038"/>
      <c r="C85" s="1026"/>
      <c r="D85" s="1026"/>
      <c r="E85" s="1026"/>
      <c r="F85" s="1059"/>
      <c r="G85" s="1054"/>
      <c r="H85" s="1269"/>
      <c r="I85" s="1056"/>
      <c r="J85" s="1111"/>
      <c r="K85" s="1115"/>
    </row>
    <row r="86" spans="1:11" ht="15.75">
      <c r="A86" s="1037"/>
      <c r="B86" s="1038"/>
      <c r="C86" s="1026"/>
      <c r="D86" s="1026"/>
      <c r="E86" s="1026"/>
      <c r="F86" s="1059"/>
      <c r="G86" s="1054"/>
      <c r="H86" s="1269"/>
      <c r="I86" s="1056"/>
      <c r="J86" s="1111"/>
      <c r="K86" s="1115"/>
    </row>
    <row r="87" spans="1:11" ht="15.75">
      <c r="A87" s="1037"/>
      <c r="B87" s="1038"/>
      <c r="C87" s="1026"/>
      <c r="D87" s="1026"/>
      <c r="E87" s="1026"/>
      <c r="F87" s="1059"/>
      <c r="G87" s="1054"/>
      <c r="H87" s="1269"/>
      <c r="I87" s="1056"/>
      <c r="J87" s="1111"/>
      <c r="K87" s="1115"/>
    </row>
    <row r="88" spans="1:11" ht="15.75">
      <c r="A88" s="1037"/>
      <c r="B88" s="1038"/>
      <c r="C88" s="1026"/>
      <c r="D88" s="1026"/>
      <c r="E88" s="1026"/>
      <c r="F88" s="1059"/>
      <c r="G88" s="1054"/>
      <c r="H88" s="1269"/>
      <c r="I88" s="1056"/>
      <c r="J88" s="1111"/>
      <c r="K88" s="1115"/>
    </row>
    <row r="89" spans="1:11" ht="15.75">
      <c r="A89" s="1037"/>
      <c r="B89" s="1038"/>
      <c r="C89" s="1026"/>
      <c r="D89" s="1026"/>
      <c r="E89" s="1026"/>
      <c r="F89" s="1059"/>
      <c r="G89" s="1054"/>
      <c r="H89" s="1269"/>
      <c r="I89" s="1056"/>
      <c r="J89" s="1111"/>
      <c r="K89" s="1115"/>
    </row>
    <row r="90" spans="1:11" ht="15.75">
      <c r="A90" s="1037"/>
      <c r="B90" s="1038"/>
      <c r="C90" s="1026"/>
      <c r="D90" s="1026"/>
      <c r="E90" s="1026"/>
      <c r="F90" s="1059"/>
      <c r="G90" s="1054"/>
      <c r="H90" s="1269"/>
      <c r="I90" s="1056"/>
      <c r="J90" s="1111"/>
      <c r="K90" s="1115"/>
    </row>
    <row r="91" spans="1:11" ht="15.75">
      <c r="A91" s="1037"/>
      <c r="B91" s="1038"/>
      <c r="C91" s="1026"/>
      <c r="D91" s="1026"/>
      <c r="E91" s="1026"/>
      <c r="F91" s="1059"/>
      <c r="G91" s="1054"/>
      <c r="H91" s="1269"/>
      <c r="I91" s="1056"/>
      <c r="J91" s="1111"/>
      <c r="K91" s="1115"/>
    </row>
    <row r="92" spans="1:11" ht="15.75">
      <c r="A92" s="1037"/>
      <c r="B92" s="1038"/>
      <c r="C92" s="1026"/>
      <c r="D92" s="1026"/>
      <c r="E92" s="1026"/>
      <c r="F92" s="1059"/>
      <c r="G92" s="1054"/>
      <c r="H92" s="1269"/>
      <c r="I92" s="1056"/>
      <c r="J92" s="1111"/>
      <c r="K92" s="1115"/>
    </row>
    <row r="93" spans="1:11" ht="15.75">
      <c r="A93" s="1037"/>
      <c r="B93" s="1038"/>
      <c r="C93" s="1026"/>
      <c r="D93" s="1026"/>
      <c r="E93" s="1026"/>
      <c r="F93" s="1059"/>
      <c r="G93" s="1054"/>
      <c r="H93" s="1269"/>
      <c r="I93" s="1056"/>
      <c r="J93" s="1111"/>
      <c r="K93" s="1115"/>
    </row>
    <row r="94" spans="1:11" ht="15.75">
      <c r="A94" s="1037"/>
      <c r="B94" s="1038"/>
      <c r="C94" s="1026"/>
      <c r="D94" s="1026"/>
      <c r="E94" s="1026"/>
      <c r="F94" s="1059"/>
      <c r="G94" s="1054"/>
      <c r="H94" s="1269"/>
      <c r="I94" s="1056"/>
      <c r="J94" s="1111"/>
      <c r="K94" s="1115"/>
    </row>
    <row r="95" spans="1:11">
      <c r="A95" s="1037"/>
      <c r="B95" s="1038"/>
      <c r="C95" s="1026"/>
      <c r="D95" s="1026"/>
      <c r="E95" s="1026"/>
      <c r="F95" s="1059"/>
      <c r="G95" s="1059"/>
      <c r="H95" s="1269"/>
      <c r="I95" s="1056"/>
      <c r="J95" s="1111"/>
      <c r="K95" s="1025"/>
    </row>
    <row r="96" spans="1:11">
      <c r="A96" s="1037"/>
      <c r="B96" s="1038"/>
      <c r="C96" s="1026"/>
      <c r="D96" s="1026"/>
      <c r="E96" s="1026"/>
      <c r="F96" s="1059"/>
      <c r="G96" s="1059"/>
      <c r="H96" s="1269"/>
      <c r="I96" s="1056"/>
      <c r="J96" s="1111"/>
      <c r="K96" s="1025"/>
    </row>
    <row r="97" spans="1:11">
      <c r="A97" s="1037"/>
      <c r="B97" s="1038"/>
      <c r="C97" s="1026"/>
      <c r="D97" s="1026"/>
      <c r="E97" s="1026"/>
      <c r="F97" s="1059"/>
      <c r="G97" s="1059"/>
      <c r="H97" s="1269"/>
      <c r="I97" s="1056"/>
      <c r="J97" s="1111"/>
      <c r="K97" s="1025"/>
    </row>
    <row r="98" spans="1:11" ht="15.75">
      <c r="A98" s="1037"/>
      <c r="B98" s="1038"/>
      <c r="C98" s="1026"/>
      <c r="D98" s="1026"/>
      <c r="E98" s="1026"/>
      <c r="F98" s="1059"/>
      <c r="G98" s="1054"/>
      <c r="H98" s="1269"/>
      <c r="I98" s="1056"/>
      <c r="J98" s="1111"/>
      <c r="K98" s="1115"/>
    </row>
    <row r="99" spans="1:11">
      <c r="A99" s="1037"/>
      <c r="B99" s="1038"/>
      <c r="C99" s="1026"/>
      <c r="D99" s="1026"/>
      <c r="E99" s="1026"/>
      <c r="F99" s="1059"/>
      <c r="G99" s="1059"/>
      <c r="H99" s="1269"/>
      <c r="I99" s="1056"/>
      <c r="J99" s="1111"/>
      <c r="K99" s="1025"/>
    </row>
    <row r="100" spans="1:11">
      <c r="A100" s="1037"/>
      <c r="B100" s="1038"/>
      <c r="C100" s="1026"/>
      <c r="D100" s="1026"/>
      <c r="E100" s="1026"/>
      <c r="F100" s="1059"/>
      <c r="G100" s="1059"/>
      <c r="H100" s="1269"/>
      <c r="I100" s="1056"/>
      <c r="J100" s="1111"/>
      <c r="K100" s="1025"/>
    </row>
    <row r="101" spans="1:11">
      <c r="A101" s="1037"/>
      <c r="B101" s="1038"/>
      <c r="C101" s="1026"/>
      <c r="D101" s="1026"/>
      <c r="E101" s="1026"/>
      <c r="F101" s="1059"/>
      <c r="G101" s="1059"/>
      <c r="H101" s="1269"/>
      <c r="I101" s="1056"/>
      <c r="J101" s="1111"/>
      <c r="K101" s="1025"/>
    </row>
    <row r="102" spans="1:11" ht="15.75">
      <c r="A102" s="1037"/>
      <c r="B102" s="1038"/>
      <c r="C102" s="1026"/>
      <c r="D102" s="1026"/>
      <c r="E102" s="1026"/>
      <c r="F102" s="1059"/>
      <c r="G102" s="1054"/>
      <c r="H102" s="1269"/>
      <c r="I102" s="1056"/>
      <c r="J102" s="1111"/>
      <c r="K102" s="1115"/>
    </row>
    <row r="103" spans="1:11" ht="15.75">
      <c r="A103" s="1037"/>
      <c r="B103" s="1038"/>
      <c r="C103" s="1026"/>
      <c r="D103" s="1026"/>
      <c r="E103" s="1026"/>
      <c r="F103" s="1059"/>
      <c r="G103" s="1054"/>
      <c r="H103" s="1269"/>
      <c r="I103" s="1056"/>
      <c r="J103" s="1111"/>
      <c r="K103" s="1115"/>
    </row>
    <row r="104" spans="1:11">
      <c r="A104" s="1037"/>
      <c r="B104" s="1038"/>
      <c r="C104" s="1026"/>
      <c r="D104" s="1026"/>
      <c r="E104" s="1026"/>
      <c r="F104" s="1059"/>
      <c r="G104" s="1059"/>
      <c r="H104" s="1269"/>
      <c r="I104" s="1056"/>
      <c r="J104" s="1111"/>
      <c r="K104" s="1025"/>
    </row>
    <row r="105" spans="1:11">
      <c r="A105" s="1037"/>
      <c r="B105" s="1038"/>
      <c r="C105" s="1026"/>
      <c r="D105" s="1026"/>
      <c r="E105" s="1026"/>
      <c r="F105" s="1059"/>
      <c r="G105" s="1059"/>
      <c r="H105" s="1269"/>
      <c r="I105" s="1056"/>
      <c r="J105" s="1111"/>
      <c r="K105" s="1025"/>
    </row>
    <row r="106" spans="1:11">
      <c r="A106" s="1037"/>
      <c r="B106" s="1038"/>
      <c r="C106" s="1026"/>
      <c r="D106" s="1026"/>
      <c r="E106" s="1026"/>
      <c r="F106" s="1059"/>
      <c r="G106" s="1059"/>
      <c r="H106" s="1269"/>
      <c r="I106" s="1056"/>
      <c r="J106" s="1111"/>
      <c r="K106" s="1025"/>
    </row>
    <row r="107" spans="1:11">
      <c r="A107" s="1037"/>
      <c r="B107" s="1038"/>
      <c r="C107" s="1026"/>
      <c r="D107" s="1026"/>
      <c r="E107" s="1026"/>
      <c r="F107" s="1059"/>
      <c r="G107" s="1059"/>
      <c r="H107" s="1269"/>
      <c r="I107" s="1056"/>
      <c r="J107" s="1111"/>
      <c r="K107" s="1025"/>
    </row>
    <row r="108" spans="1:11">
      <c r="A108" s="1037"/>
      <c r="B108" s="1038"/>
      <c r="C108" s="1026"/>
      <c r="D108" s="1026"/>
      <c r="E108" s="1026"/>
      <c r="F108" s="1059"/>
      <c r="G108" s="1059"/>
      <c r="H108" s="1269"/>
      <c r="I108" s="1056"/>
      <c r="J108" s="1111"/>
      <c r="K108" s="1025"/>
    </row>
    <row r="109" spans="1:11">
      <c r="A109" s="1037"/>
      <c r="B109" s="1038"/>
      <c r="C109" s="1026"/>
      <c r="D109" s="1026"/>
      <c r="E109" s="1026"/>
      <c r="F109" s="1059"/>
      <c r="G109" s="1059"/>
      <c r="H109" s="1269"/>
      <c r="I109" s="1056"/>
      <c r="J109" s="1111"/>
      <c r="K109" s="1025"/>
    </row>
    <row r="110" spans="1:11" ht="15.75">
      <c r="A110" s="1037"/>
      <c r="B110" s="1038"/>
      <c r="C110" s="1026"/>
      <c r="D110" s="1026"/>
      <c r="E110" s="1026"/>
      <c r="F110" s="1059"/>
      <c r="G110" s="1054"/>
      <c r="H110" s="1269"/>
      <c r="I110" s="1056"/>
      <c r="J110" s="1111"/>
      <c r="K110" s="1115"/>
    </row>
    <row r="111" spans="1:11">
      <c r="A111" s="1037"/>
      <c r="B111" s="1038"/>
      <c r="C111" s="1026"/>
      <c r="D111" s="1026"/>
      <c r="E111" s="1026"/>
      <c r="F111" s="1059"/>
      <c r="G111" s="1059"/>
      <c r="H111" s="1269"/>
      <c r="I111" s="1056"/>
      <c r="J111" s="1111"/>
      <c r="K111" s="1025"/>
    </row>
    <row r="112" spans="1:11">
      <c r="A112" s="1037"/>
      <c r="B112" s="1038"/>
      <c r="C112" s="1026"/>
      <c r="D112" s="1026"/>
      <c r="E112" s="1026"/>
      <c r="F112" s="1059"/>
      <c r="G112" s="1059"/>
      <c r="H112" s="1269"/>
      <c r="I112" s="1056"/>
      <c r="J112" s="1111"/>
      <c r="K112" s="1025"/>
    </row>
    <row r="113" spans="1:11">
      <c r="A113" s="1037"/>
      <c r="B113" s="1038"/>
      <c r="C113" s="1026"/>
      <c r="D113" s="1026"/>
      <c r="E113" s="1026"/>
      <c r="F113" s="1059"/>
      <c r="G113" s="1059"/>
      <c r="H113" s="1269"/>
      <c r="I113" s="1056"/>
      <c r="J113" s="1111"/>
      <c r="K113" s="1025"/>
    </row>
    <row r="114" spans="1:11" ht="15.75">
      <c r="A114" s="1037"/>
      <c r="B114" s="1038"/>
      <c r="C114" s="1026"/>
      <c r="D114" s="1026"/>
      <c r="E114" s="1026"/>
      <c r="F114" s="1059"/>
      <c r="G114" s="1059"/>
      <c r="H114" s="1269"/>
      <c r="I114" s="1056"/>
      <c r="J114" s="1111"/>
      <c r="K114" s="1115"/>
    </row>
    <row r="115" spans="1:11">
      <c r="A115" s="1037"/>
      <c r="B115" s="1038"/>
      <c r="C115" s="1026"/>
      <c r="D115" s="1026"/>
      <c r="E115" s="1026"/>
      <c r="F115" s="1059"/>
      <c r="G115" s="1059"/>
      <c r="H115" s="1269"/>
      <c r="I115" s="1056"/>
      <c r="J115" s="1111"/>
      <c r="K115" s="1025"/>
    </row>
    <row r="116" spans="1:11">
      <c r="A116" s="1037"/>
      <c r="B116" s="1038"/>
      <c r="C116" s="1026"/>
      <c r="D116" s="1026"/>
      <c r="E116" s="1026"/>
      <c r="F116" s="1059"/>
      <c r="G116" s="1059"/>
      <c r="H116" s="1269"/>
      <c r="I116" s="1056"/>
      <c r="J116" s="1111"/>
      <c r="K116" s="1025"/>
    </row>
    <row r="117" spans="1:11">
      <c r="A117" s="1037"/>
      <c r="B117" s="1038"/>
      <c r="C117" s="1026"/>
      <c r="D117" s="1026"/>
      <c r="E117" s="1026"/>
      <c r="F117" s="1059"/>
      <c r="G117" s="1059"/>
      <c r="H117" s="1269"/>
      <c r="I117" s="1056"/>
      <c r="J117" s="1111"/>
      <c r="K117" s="1025"/>
    </row>
    <row r="118" spans="1:11">
      <c r="A118" s="1037"/>
      <c r="B118" s="1038"/>
      <c r="C118" s="1026"/>
      <c r="D118" s="1026"/>
      <c r="E118" s="1026"/>
      <c r="F118" s="1059"/>
      <c r="G118" s="1059"/>
      <c r="H118" s="1269"/>
      <c r="I118" s="1056"/>
      <c r="J118" s="1111"/>
      <c r="K118" s="1025"/>
    </row>
    <row r="119" spans="1:11">
      <c r="A119" s="1037"/>
      <c r="B119" s="1038"/>
      <c r="C119" s="1026"/>
      <c r="D119" s="1026"/>
      <c r="E119" s="1026"/>
      <c r="F119" s="1059"/>
      <c r="G119" s="1054"/>
      <c r="H119" s="1269"/>
      <c r="I119" s="1056"/>
      <c r="J119" s="1111"/>
      <c r="K119" s="1025"/>
    </row>
    <row r="120" spans="1:11" ht="15.75">
      <c r="A120" s="1037"/>
      <c r="B120" s="1038"/>
      <c r="C120" s="1025"/>
      <c r="D120" s="1026"/>
      <c r="E120" s="1026"/>
      <c r="F120" s="1059"/>
      <c r="G120" s="1054"/>
      <c r="H120" s="1269"/>
      <c r="I120" s="1056"/>
      <c r="J120" s="1111"/>
      <c r="K120" s="1115"/>
    </row>
    <row r="121" spans="1:11" ht="15.75">
      <c r="A121" s="1037"/>
      <c r="B121" s="1038"/>
      <c r="C121" s="1026"/>
      <c r="D121" s="1026"/>
      <c r="E121" s="1026"/>
      <c r="F121" s="1059"/>
      <c r="G121" s="1054"/>
      <c r="H121" s="1269"/>
      <c r="I121" s="1056"/>
      <c r="J121" s="1111"/>
      <c r="K121" s="1115"/>
    </row>
    <row r="122" spans="1:11" ht="15.75">
      <c r="A122" s="1037"/>
      <c r="B122" s="1038"/>
      <c r="C122" s="1026"/>
      <c r="D122" s="1026"/>
      <c r="E122" s="1026"/>
      <c r="F122" s="1059"/>
      <c r="G122" s="1054"/>
      <c r="H122" s="1269"/>
      <c r="I122" s="1056"/>
      <c r="J122" s="1111"/>
      <c r="K122" s="1115"/>
    </row>
    <row r="123" spans="1:11" ht="15.75">
      <c r="A123" s="1037"/>
      <c r="B123" s="1038"/>
      <c r="C123" s="1026"/>
      <c r="D123" s="1026"/>
      <c r="E123" s="1026"/>
      <c r="F123" s="1059"/>
      <c r="G123" s="1054"/>
      <c r="H123" s="1269"/>
      <c r="I123" s="1056"/>
      <c r="J123" s="1111"/>
      <c r="K123" s="1115"/>
    </row>
    <row r="124" spans="1:11" ht="15.75">
      <c r="A124" s="1037"/>
      <c r="B124" s="1038"/>
      <c r="C124" s="1026"/>
      <c r="D124" s="1026"/>
      <c r="E124" s="1026"/>
      <c r="F124" s="1059"/>
      <c r="G124" s="1054"/>
      <c r="H124" s="1269"/>
      <c r="I124" s="1056"/>
      <c r="J124" s="1111"/>
      <c r="K124" s="1115"/>
    </row>
    <row r="125" spans="1:11">
      <c r="A125" s="1037"/>
      <c r="B125" s="1038"/>
      <c r="C125" s="1026"/>
      <c r="D125" s="1026"/>
      <c r="E125" s="1026"/>
      <c r="F125" s="1059"/>
      <c r="G125" s="1059"/>
      <c r="H125" s="1269"/>
      <c r="I125" s="1056"/>
      <c r="J125" s="1111"/>
      <c r="K125" s="1025"/>
    </row>
    <row r="126" spans="1:11">
      <c r="A126" s="1037"/>
      <c r="B126" s="1038"/>
      <c r="C126" s="1026"/>
      <c r="D126" s="1026"/>
      <c r="E126" s="1026"/>
      <c r="F126" s="1059"/>
      <c r="G126" s="1059"/>
      <c r="H126" s="1269"/>
      <c r="I126" s="1056"/>
      <c r="J126" s="1111"/>
      <c r="K126" s="1025"/>
    </row>
    <row r="127" spans="1:11" ht="15.75">
      <c r="A127" s="1037"/>
      <c r="B127" s="1038"/>
      <c r="C127" s="1026"/>
      <c r="D127" s="1026"/>
      <c r="E127" s="1026"/>
      <c r="F127" s="1059"/>
      <c r="G127" s="1054"/>
      <c r="H127" s="1269"/>
      <c r="I127" s="1056"/>
      <c r="J127" s="1111"/>
      <c r="K127" s="1115"/>
    </row>
    <row r="128" spans="1:11" ht="15.75">
      <c r="A128" s="1037"/>
      <c r="B128" s="1038"/>
      <c r="C128" s="1026"/>
      <c r="D128" s="1026"/>
      <c r="E128" s="1026"/>
      <c r="F128" s="1059"/>
      <c r="G128" s="1054"/>
      <c r="H128" s="1269"/>
      <c r="I128" s="1056"/>
      <c r="J128" s="1111"/>
      <c r="K128" s="1115"/>
    </row>
    <row r="129" spans="1:11" ht="15.75">
      <c r="A129" s="1037"/>
      <c r="B129" s="1038"/>
      <c r="C129" s="1026"/>
      <c r="D129" s="1026"/>
      <c r="E129" s="1026"/>
      <c r="F129" s="1059"/>
      <c r="G129" s="1054"/>
      <c r="H129" s="1269"/>
      <c r="I129" s="1056"/>
      <c r="J129" s="1111"/>
      <c r="K129" s="1115"/>
    </row>
    <row r="130" spans="1:11">
      <c r="A130" s="1037"/>
      <c r="B130" s="1038"/>
      <c r="C130" s="1026"/>
      <c r="D130" s="1026"/>
      <c r="E130" s="1026"/>
      <c r="F130" s="1059"/>
      <c r="G130" s="1054"/>
      <c r="H130" s="1269"/>
      <c r="I130" s="1056"/>
      <c r="J130" s="1111"/>
      <c r="K130" s="1025"/>
    </row>
    <row r="131" spans="1:11">
      <c r="A131" s="1037"/>
      <c r="B131" s="1038"/>
      <c r="C131" s="1026"/>
      <c r="D131" s="1026"/>
      <c r="E131" s="1026"/>
      <c r="F131" s="1059"/>
      <c r="G131" s="1054"/>
      <c r="H131" s="1269"/>
      <c r="I131" s="1056"/>
      <c r="J131" s="1111"/>
      <c r="K131" s="1025"/>
    </row>
    <row r="132" spans="1:11">
      <c r="A132" s="1037"/>
      <c r="B132" s="1038"/>
      <c r="C132" s="1026"/>
      <c r="D132" s="1026"/>
      <c r="E132" s="1026"/>
      <c r="F132" s="1059"/>
      <c r="G132" s="1059"/>
      <c r="H132" s="1269"/>
      <c r="I132" s="1056"/>
      <c r="J132" s="1111"/>
      <c r="K132" s="1025"/>
    </row>
    <row r="133" spans="1:11">
      <c r="A133" s="1037"/>
      <c r="B133" s="1038"/>
      <c r="C133" s="1026"/>
      <c r="D133" s="1026"/>
      <c r="E133" s="1026"/>
      <c r="F133" s="1059"/>
      <c r="G133" s="1059"/>
      <c r="H133" s="1269"/>
      <c r="I133" s="1056"/>
      <c r="J133" s="1111"/>
      <c r="K133" s="1025"/>
    </row>
    <row r="134" spans="1:11">
      <c r="A134" s="1037"/>
      <c r="B134" s="1038"/>
      <c r="C134" s="1026"/>
      <c r="D134" s="1026"/>
      <c r="E134" s="1026"/>
      <c r="F134" s="1059"/>
      <c r="G134" s="1059"/>
      <c r="H134" s="1269"/>
      <c r="I134" s="1056"/>
      <c r="J134" s="1111"/>
      <c r="K134" s="1025"/>
    </row>
    <row r="135" spans="1:11">
      <c r="A135" s="1037"/>
      <c r="B135" s="1038"/>
      <c r="C135" s="1026"/>
      <c r="D135" s="1026"/>
      <c r="E135" s="1026"/>
      <c r="F135" s="1059"/>
      <c r="G135" s="1059"/>
      <c r="H135" s="1269"/>
      <c r="I135" s="1056"/>
      <c r="J135" s="1111"/>
      <c r="K135" s="1025"/>
    </row>
    <row r="136" spans="1:11" ht="15.75">
      <c r="A136" s="1037"/>
      <c r="B136" s="1038"/>
      <c r="C136" s="1026"/>
      <c r="D136" s="1026"/>
      <c r="E136" s="1026"/>
      <c r="F136" s="1059"/>
      <c r="G136" s="1054"/>
      <c r="H136" s="1269"/>
      <c r="I136" s="1056"/>
      <c r="J136" s="1111"/>
      <c r="K136" s="1115"/>
    </row>
    <row r="137" spans="1:11" ht="15.75">
      <c r="A137" s="1037"/>
      <c r="B137" s="1038"/>
      <c r="C137" s="1026"/>
      <c r="D137" s="1026"/>
      <c r="E137" s="1026"/>
      <c r="F137" s="1059"/>
      <c r="G137" s="1059"/>
      <c r="H137" s="1269"/>
      <c r="I137" s="1056"/>
      <c r="J137" s="1111"/>
      <c r="K137" s="1115"/>
    </row>
    <row r="138" spans="1:11">
      <c r="A138" s="1037"/>
      <c r="B138" s="1038"/>
      <c r="C138" s="1026"/>
      <c r="D138" s="1026"/>
      <c r="E138" s="1026"/>
      <c r="F138" s="1059"/>
      <c r="G138" s="1059"/>
      <c r="H138" s="1269"/>
      <c r="I138" s="1056"/>
      <c r="J138" s="1111"/>
      <c r="K138" s="1025"/>
    </row>
    <row r="139" spans="1:11">
      <c r="A139" s="1037"/>
      <c r="B139" s="1038"/>
      <c r="C139" s="1026"/>
      <c r="D139" s="1026"/>
      <c r="E139" s="1026"/>
      <c r="F139" s="1059"/>
      <c r="G139" s="1054"/>
      <c r="H139" s="1269"/>
      <c r="I139" s="1056"/>
      <c r="J139" s="1111"/>
      <c r="K139" s="1025"/>
    </row>
    <row r="140" spans="1:11" ht="15.75">
      <c r="A140" s="1037"/>
      <c r="B140" s="1038"/>
      <c r="C140" s="1026"/>
      <c r="D140" s="1026"/>
      <c r="E140" s="1026"/>
      <c r="F140" s="1059"/>
      <c r="G140" s="1054"/>
      <c r="H140" s="1269"/>
      <c r="I140" s="1056"/>
      <c r="J140" s="1111"/>
      <c r="K140" s="1115"/>
    </row>
    <row r="141" spans="1:11">
      <c r="A141" s="1037"/>
      <c r="B141" s="1038"/>
      <c r="C141" s="1026"/>
      <c r="D141" s="1026"/>
      <c r="E141" s="1026"/>
      <c r="F141" s="1059"/>
      <c r="G141" s="1054"/>
      <c r="H141" s="1269"/>
      <c r="I141" s="1056"/>
      <c r="J141" s="1111"/>
      <c r="K141" s="1025"/>
    </row>
    <row r="142" spans="1:11">
      <c r="A142" s="1037"/>
      <c r="B142" s="1038"/>
      <c r="C142" s="1026"/>
      <c r="D142" s="1026"/>
      <c r="E142" s="1026"/>
      <c r="F142" s="1059"/>
      <c r="G142" s="1059"/>
      <c r="H142" s="1269"/>
      <c r="I142" s="1056"/>
      <c r="J142" s="1111"/>
      <c r="K142" s="1025"/>
    </row>
    <row r="143" spans="1:11">
      <c r="A143" s="1037"/>
      <c r="B143" s="1038"/>
      <c r="C143" s="1026"/>
      <c r="D143" s="1026"/>
      <c r="E143" s="1026"/>
      <c r="F143" s="1059"/>
      <c r="G143" s="1059"/>
      <c r="H143" s="1269"/>
      <c r="I143" s="1056"/>
      <c r="J143" s="1111"/>
      <c r="K143" s="1025"/>
    </row>
    <row r="144" spans="1:11" ht="15.75">
      <c r="A144" s="1037"/>
      <c r="B144" s="1038"/>
      <c r="C144" s="1026"/>
      <c r="D144" s="1026"/>
      <c r="E144" s="1026"/>
      <c r="F144" s="1059"/>
      <c r="G144" s="1054"/>
      <c r="H144" s="1269"/>
      <c r="I144" s="1056"/>
      <c r="J144" s="1111"/>
      <c r="K144" s="1115"/>
    </row>
    <row r="145" spans="1:11" ht="15.75">
      <c r="A145" s="1037"/>
      <c r="B145" s="1038"/>
      <c r="C145" s="1026"/>
      <c r="D145" s="1026"/>
      <c r="E145" s="1026"/>
      <c r="F145" s="1059"/>
      <c r="G145" s="1054"/>
      <c r="H145" s="1269"/>
      <c r="I145" s="1056"/>
      <c r="J145" s="1111"/>
      <c r="K145" s="1115"/>
    </row>
    <row r="146" spans="1:11" ht="15.75">
      <c r="A146" s="1037"/>
      <c r="B146" s="1038"/>
      <c r="C146" s="1026"/>
      <c r="D146" s="1026"/>
      <c r="E146" s="1026"/>
      <c r="F146" s="1059"/>
      <c r="G146" s="1054"/>
      <c r="H146" s="1269"/>
      <c r="I146" s="1056"/>
      <c r="J146" s="1111"/>
      <c r="K146" s="1115"/>
    </row>
    <row r="147" spans="1:11" ht="15.75">
      <c r="A147" s="1037"/>
      <c r="B147" s="1038"/>
      <c r="C147" s="1026"/>
      <c r="D147" s="1026"/>
      <c r="E147" s="1026"/>
      <c r="F147" s="1059"/>
      <c r="G147" s="1054"/>
      <c r="H147" s="1269"/>
      <c r="I147" s="1056"/>
      <c r="J147" s="1111"/>
      <c r="K147" s="1115"/>
    </row>
    <row r="148" spans="1:11" ht="15.75">
      <c r="A148" s="1037"/>
      <c r="B148" s="1038"/>
      <c r="C148" s="1026"/>
      <c r="D148" s="1026"/>
      <c r="E148" s="1026"/>
      <c r="F148" s="1059"/>
      <c r="G148" s="1054"/>
      <c r="H148" s="1269"/>
      <c r="I148" s="1056"/>
      <c r="J148" s="1111"/>
      <c r="K148" s="1115"/>
    </row>
    <row r="149" spans="1:11">
      <c r="A149" s="1037"/>
      <c r="B149" s="1038"/>
      <c r="C149" s="1026"/>
      <c r="D149" s="1026"/>
      <c r="E149" s="1026"/>
      <c r="F149" s="1059"/>
      <c r="G149" s="1054"/>
      <c r="H149" s="1269"/>
      <c r="I149" s="1056"/>
      <c r="J149" s="1111"/>
      <c r="K149" s="1025"/>
    </row>
    <row r="150" spans="1:11">
      <c r="A150" s="1037"/>
      <c r="B150" s="1038"/>
      <c r="C150" s="1025"/>
      <c r="D150" s="1026"/>
      <c r="E150" s="1026"/>
      <c r="F150" s="1061"/>
      <c r="G150" s="1054"/>
      <c r="H150" s="1055"/>
      <c r="I150" s="1056"/>
      <c r="J150" s="1111"/>
      <c r="K150" s="1025"/>
    </row>
    <row r="151" spans="1:11">
      <c r="A151" s="1037"/>
      <c r="B151" s="1038"/>
      <c r="C151" s="1026"/>
      <c r="D151" s="1026"/>
      <c r="E151" s="1026"/>
      <c r="F151" s="1059"/>
      <c r="G151" s="1054"/>
      <c r="H151" s="1269"/>
      <c r="I151" s="1056"/>
      <c r="J151" s="1111"/>
      <c r="K151" s="1025"/>
    </row>
    <row r="152" spans="1:11">
      <c r="A152" s="1037"/>
      <c r="B152" s="1038"/>
      <c r="C152" s="1026"/>
      <c r="D152" s="1026"/>
      <c r="E152" s="1026"/>
      <c r="F152" s="1059"/>
      <c r="G152" s="1054"/>
      <c r="H152" s="1269"/>
      <c r="I152" s="1056"/>
      <c r="J152" s="1111"/>
      <c r="K152" s="1025"/>
    </row>
    <row r="153" spans="1:11">
      <c r="A153" s="1037"/>
      <c r="B153" s="1038"/>
      <c r="C153" s="1026"/>
      <c r="D153" s="1026"/>
      <c r="E153" s="1026"/>
      <c r="F153" s="1059"/>
      <c r="G153" s="1059"/>
      <c r="H153" s="1269"/>
      <c r="I153" s="1056"/>
      <c r="J153" s="1111"/>
      <c r="K153" s="1025"/>
    </row>
    <row r="154" spans="1:11">
      <c r="A154" s="1037"/>
      <c r="B154" s="1038"/>
      <c r="C154" s="1026"/>
      <c r="D154" s="1026"/>
      <c r="E154" s="1026"/>
      <c r="F154" s="1059"/>
      <c r="G154" s="1059"/>
      <c r="H154" s="1269"/>
      <c r="I154" s="1056"/>
      <c r="J154" s="1111"/>
      <c r="K154" s="1025"/>
    </row>
    <row r="155" spans="1:11" ht="15.75">
      <c r="A155" s="1037"/>
      <c r="B155" s="1038"/>
      <c r="C155" s="1026"/>
      <c r="D155" s="1026"/>
      <c r="E155" s="1026"/>
      <c r="F155" s="1059"/>
      <c r="G155" s="1054"/>
      <c r="H155" s="1269"/>
      <c r="I155" s="1056"/>
      <c r="J155" s="1111"/>
      <c r="K155" s="1115"/>
    </row>
    <row r="156" spans="1:11">
      <c r="A156" s="1037"/>
      <c r="B156" s="1038"/>
      <c r="C156" s="1026"/>
      <c r="D156" s="1026"/>
      <c r="E156" s="1026"/>
      <c r="F156" s="1059"/>
      <c r="G156" s="1054"/>
      <c r="H156" s="1269"/>
      <c r="I156" s="1056"/>
      <c r="J156" s="1111"/>
      <c r="K156" s="1025"/>
    </row>
    <row r="157" spans="1:11">
      <c r="A157" s="1037"/>
      <c r="B157" s="1038"/>
      <c r="C157" s="1026"/>
      <c r="D157" s="1026"/>
      <c r="E157" s="1026"/>
      <c r="F157" s="1059"/>
      <c r="G157" s="1059"/>
      <c r="H157" s="1269"/>
      <c r="I157" s="1056"/>
      <c r="J157" s="1111"/>
      <c r="K157" s="1025"/>
    </row>
    <row r="158" spans="1:11">
      <c r="A158" s="1037"/>
      <c r="B158" s="1038"/>
      <c r="C158" s="1026"/>
      <c r="D158" s="1026"/>
      <c r="E158" s="1026"/>
      <c r="F158" s="1059"/>
      <c r="G158" s="1059"/>
      <c r="H158" s="1269"/>
      <c r="I158" s="1056"/>
      <c r="J158" s="1111"/>
      <c r="K158" s="1025"/>
    </row>
    <row r="159" spans="1:11">
      <c r="A159" s="1037"/>
      <c r="B159" s="1038"/>
      <c r="C159" s="1026"/>
      <c r="D159" s="1026"/>
      <c r="E159" s="1026"/>
      <c r="F159" s="1059"/>
      <c r="G159" s="1054"/>
      <c r="H159" s="1269"/>
      <c r="I159" s="1056"/>
      <c r="J159" s="1111"/>
      <c r="K159" s="1025"/>
    </row>
    <row r="160" spans="1:11">
      <c r="A160" s="1037"/>
      <c r="B160" s="1038"/>
      <c r="C160" s="1026"/>
      <c r="D160" s="1026"/>
      <c r="E160" s="1026"/>
      <c r="F160" s="1059"/>
      <c r="G160" s="1054"/>
      <c r="H160" s="1269"/>
      <c r="I160" s="1056"/>
      <c r="J160" s="1111"/>
      <c r="K160" s="1025"/>
    </row>
    <row r="161" spans="1:11">
      <c r="A161" s="1037"/>
      <c r="B161" s="1038"/>
      <c r="C161" s="1026"/>
      <c r="D161" s="1026"/>
      <c r="E161" s="1026"/>
      <c r="F161" s="1059"/>
      <c r="G161" s="1054"/>
      <c r="H161" s="1269"/>
      <c r="I161" s="1056"/>
      <c r="J161" s="1111"/>
      <c r="K161" s="1025"/>
    </row>
    <row r="162" spans="1:11" ht="15.75">
      <c r="A162" s="1037"/>
      <c r="B162" s="1038"/>
      <c r="C162" s="1026"/>
      <c r="D162" s="1026"/>
      <c r="E162" s="1026"/>
      <c r="F162" s="1059"/>
      <c r="G162" s="1054"/>
      <c r="H162" s="1269"/>
      <c r="I162" s="1056"/>
      <c r="J162" s="1111"/>
      <c r="K162" s="1115"/>
    </row>
    <row r="163" spans="1:11">
      <c r="A163" s="1037"/>
      <c r="B163" s="1038"/>
      <c r="C163" s="1026"/>
      <c r="D163" s="1026"/>
      <c r="E163" s="1026"/>
      <c r="F163" s="1059"/>
      <c r="G163" s="1054"/>
      <c r="H163" s="1269"/>
      <c r="I163" s="1056"/>
      <c r="J163" s="1111"/>
      <c r="K163" s="1025"/>
    </row>
    <row r="164" spans="1:11">
      <c r="A164" s="1037"/>
      <c r="B164" s="1038"/>
      <c r="C164" s="290"/>
      <c r="D164" s="1026"/>
      <c r="E164" s="1026"/>
      <c r="F164" s="1059"/>
      <c r="G164" s="1054"/>
      <c r="H164" s="1269"/>
      <c r="I164" s="1056"/>
      <c r="J164" s="1111"/>
      <c r="K164" s="1025"/>
    </row>
    <row r="165" spans="1:11">
      <c r="A165" s="1037"/>
      <c r="B165" s="1038"/>
      <c r="C165" s="1026"/>
      <c r="D165" s="1026"/>
      <c r="E165" s="1026"/>
      <c r="F165" s="1059"/>
      <c r="G165" s="1054"/>
      <c r="H165" s="1269"/>
      <c r="I165" s="1056"/>
      <c r="J165" s="1111"/>
      <c r="K165" s="1025"/>
    </row>
    <row r="166" spans="1:11">
      <c r="A166" s="1037"/>
      <c r="B166" s="1038"/>
      <c r="C166" s="1026"/>
      <c r="D166" s="1026"/>
      <c r="E166" s="1026"/>
      <c r="F166" s="1059"/>
      <c r="G166" s="1054"/>
      <c r="H166" s="1269"/>
      <c r="I166" s="1056"/>
      <c r="J166" s="1111"/>
      <c r="K166" s="1025"/>
    </row>
    <row r="167" spans="1:11">
      <c r="A167" s="1037"/>
      <c r="B167" s="1038"/>
      <c r="C167" s="1026"/>
      <c r="D167" s="1026"/>
      <c r="E167" s="1026"/>
      <c r="F167" s="1059"/>
      <c r="G167" s="1054"/>
      <c r="H167" s="1269"/>
      <c r="I167" s="1056"/>
      <c r="J167" s="1111"/>
      <c r="K167" s="1025"/>
    </row>
    <row r="168" spans="1:11">
      <c r="A168" s="1037"/>
      <c r="B168" s="1038"/>
      <c r="C168" s="1026"/>
      <c r="D168" s="1026"/>
      <c r="E168" s="1026"/>
      <c r="F168" s="1059"/>
      <c r="G168" s="1054"/>
      <c r="H168" s="1269"/>
      <c r="I168" s="1056"/>
      <c r="J168" s="1111"/>
      <c r="K168" s="1025"/>
    </row>
    <row r="169" spans="1:11">
      <c r="A169" s="1037"/>
      <c r="B169" s="1038"/>
      <c r="C169" s="1026"/>
      <c r="D169" s="1026"/>
      <c r="E169" s="1026"/>
      <c r="F169" s="1059"/>
      <c r="G169" s="1054"/>
      <c r="H169" s="1269"/>
      <c r="I169" s="1056"/>
      <c r="J169" s="1111"/>
      <c r="K169" s="1025"/>
    </row>
    <row r="170" spans="1:11">
      <c r="A170" s="1037"/>
      <c r="B170" s="1038"/>
      <c r="C170" s="1026"/>
      <c r="D170" s="1026"/>
      <c r="E170" s="1026"/>
      <c r="F170" s="1059"/>
      <c r="G170" s="1054"/>
      <c r="H170" s="1269"/>
      <c r="I170" s="1056"/>
      <c r="J170" s="1111"/>
      <c r="K170" s="1025"/>
    </row>
    <row r="171" spans="1:11">
      <c r="A171" s="1037"/>
      <c r="B171" s="1038"/>
      <c r="C171" s="1026"/>
      <c r="D171" s="1026"/>
      <c r="E171" s="1026"/>
      <c r="F171" s="1059"/>
      <c r="G171" s="1054"/>
      <c r="H171" s="1269"/>
      <c r="I171" s="1056"/>
      <c r="J171" s="1111"/>
      <c r="K171" s="1025"/>
    </row>
    <row r="172" spans="1:11">
      <c r="A172" s="1037"/>
      <c r="B172" s="1038"/>
      <c r="C172" s="1026"/>
      <c r="D172" s="1026"/>
      <c r="E172" s="1026"/>
      <c r="F172" s="1059"/>
      <c r="G172" s="1054"/>
      <c r="H172" s="1269"/>
      <c r="I172" s="1056"/>
      <c r="J172" s="1111"/>
      <c r="K172" s="1025"/>
    </row>
    <row r="173" spans="1:11">
      <c r="A173" s="1037"/>
      <c r="B173" s="1038"/>
      <c r="C173" s="1026"/>
      <c r="D173" s="1026"/>
      <c r="E173" s="1026"/>
      <c r="F173" s="1059"/>
      <c r="G173" s="1059"/>
      <c r="H173" s="1269"/>
      <c r="I173" s="1056"/>
      <c r="J173" s="1111"/>
      <c r="K173" s="1025"/>
    </row>
    <row r="174" spans="1:11">
      <c r="A174" s="1037"/>
      <c r="B174" s="1038"/>
      <c r="C174" s="1026"/>
      <c r="D174" s="1026"/>
      <c r="E174" s="1026"/>
      <c r="F174" s="1059"/>
      <c r="G174" s="1059"/>
      <c r="H174" s="1269"/>
      <c r="I174" s="1056"/>
      <c r="J174" s="1111"/>
      <c r="K174" s="1025"/>
    </row>
    <row r="175" spans="1:11">
      <c r="A175" s="1037"/>
      <c r="B175" s="1038"/>
      <c r="C175" s="1026"/>
      <c r="D175" s="1026"/>
      <c r="E175" s="1026"/>
      <c r="F175" s="1059"/>
      <c r="G175" s="1054"/>
      <c r="H175" s="1269"/>
      <c r="I175" s="1056"/>
      <c r="J175" s="1111"/>
      <c r="K175" s="1025"/>
    </row>
    <row r="176" spans="1:11">
      <c r="A176" s="1037"/>
      <c r="B176" s="1038"/>
      <c r="C176" s="1026"/>
      <c r="D176" s="1026"/>
      <c r="E176" s="1026"/>
      <c r="F176" s="1059"/>
      <c r="G176" s="1054"/>
      <c r="H176" s="1269"/>
      <c r="I176" s="1056"/>
      <c r="J176" s="1111"/>
      <c r="K176" s="1025"/>
    </row>
    <row r="177" spans="1:11">
      <c r="A177" s="1037"/>
      <c r="B177" s="1038"/>
      <c r="C177" s="1026"/>
      <c r="D177" s="1026"/>
      <c r="E177" s="1026"/>
      <c r="F177" s="1059"/>
      <c r="G177" s="1054"/>
      <c r="H177" s="1269"/>
      <c r="I177" s="1056"/>
      <c r="J177" s="1111"/>
      <c r="K177" s="1025"/>
    </row>
    <row r="178" spans="1:11" ht="15.75">
      <c r="A178" s="1037"/>
      <c r="B178" s="1038"/>
      <c r="C178" s="1026"/>
      <c r="D178" s="1026"/>
      <c r="E178" s="1026"/>
      <c r="F178" s="1059"/>
      <c r="G178" s="1059"/>
      <c r="H178" s="1269"/>
      <c r="I178" s="1056"/>
      <c r="J178" s="1111"/>
      <c r="K178" s="1115"/>
    </row>
    <row r="179" spans="1:11">
      <c r="A179" s="1037"/>
      <c r="B179" s="1038"/>
      <c r="C179" s="1026"/>
      <c r="D179" s="1026"/>
      <c r="E179" s="1026"/>
      <c r="F179" s="1059"/>
      <c r="G179" s="1059"/>
      <c r="H179" s="1269"/>
      <c r="I179" s="1056"/>
      <c r="J179" s="1111"/>
      <c r="K179" s="1025"/>
    </row>
    <row r="180" spans="1:11" ht="15.75">
      <c r="A180" s="1037"/>
      <c r="B180" s="1038"/>
      <c r="C180" s="1026"/>
      <c r="D180" s="1026"/>
      <c r="E180" s="1026"/>
      <c r="F180" s="1059"/>
      <c r="G180" s="1054"/>
      <c r="H180" s="1269"/>
      <c r="I180" s="1056"/>
      <c r="J180" s="1111"/>
      <c r="K180" s="1115"/>
    </row>
    <row r="181" spans="1:11" ht="15.75">
      <c r="A181" s="1037"/>
      <c r="B181" s="1038"/>
      <c r="C181" s="1026"/>
      <c r="D181" s="1026"/>
      <c r="E181" s="1026"/>
      <c r="F181" s="1059"/>
      <c r="G181" s="1054"/>
      <c r="H181" s="1269"/>
      <c r="I181" s="1056"/>
      <c r="J181" s="1111"/>
      <c r="K181" s="1115"/>
    </row>
    <row r="182" spans="1:11" ht="15.75">
      <c r="A182" s="1037"/>
      <c r="B182" s="1038"/>
      <c r="C182" s="1026"/>
      <c r="D182" s="1026"/>
      <c r="E182" s="1026"/>
      <c r="F182" s="1059"/>
      <c r="G182" s="1054"/>
      <c r="H182" s="1269"/>
      <c r="I182" s="1056"/>
      <c r="J182" s="1111"/>
      <c r="K182" s="1115"/>
    </row>
    <row r="183" spans="1:11" ht="15.75">
      <c r="A183" s="1037"/>
      <c r="B183" s="1038"/>
      <c r="C183" s="1026"/>
      <c r="D183" s="1026"/>
      <c r="E183" s="1026"/>
      <c r="F183" s="1059"/>
      <c r="G183" s="1054"/>
      <c r="H183" s="1269"/>
      <c r="I183" s="1056"/>
      <c r="J183" s="1111"/>
      <c r="K183" s="1115"/>
    </row>
    <row r="184" spans="1:11" ht="15.75">
      <c r="A184" s="1037"/>
      <c r="B184" s="1038"/>
      <c r="C184" s="1026"/>
      <c r="D184" s="1026"/>
      <c r="E184" s="1026"/>
      <c r="F184" s="1059"/>
      <c r="G184" s="1059"/>
      <c r="H184" s="1269"/>
      <c r="I184" s="1056"/>
      <c r="J184" s="1111"/>
      <c r="K184" s="1115"/>
    </row>
    <row r="185" spans="1:11">
      <c r="A185" s="1037"/>
      <c r="B185" s="1038"/>
      <c r="C185" s="1026"/>
      <c r="D185" s="1026"/>
      <c r="E185" s="1026"/>
      <c r="F185" s="1059"/>
      <c r="G185" s="1059"/>
      <c r="H185" s="1269"/>
      <c r="I185" s="1056"/>
      <c r="J185" s="1111"/>
      <c r="K185" s="1025"/>
    </row>
    <row r="186" spans="1:11" ht="15.75">
      <c r="A186" s="1037"/>
      <c r="B186" s="1038"/>
      <c r="C186" s="1026"/>
      <c r="D186" s="1026"/>
      <c r="E186" s="1026"/>
      <c r="F186" s="1059"/>
      <c r="G186" s="1054"/>
      <c r="H186" s="1269"/>
      <c r="I186" s="1056"/>
      <c r="J186" s="1111"/>
      <c r="K186" s="1115"/>
    </row>
    <row r="187" spans="1:11">
      <c r="A187" s="1037"/>
      <c r="B187" s="1038"/>
      <c r="C187" s="1026"/>
      <c r="D187" s="1026"/>
      <c r="E187" s="1026"/>
      <c r="F187" s="1059"/>
      <c r="G187" s="1059"/>
      <c r="H187" s="1269"/>
      <c r="I187" s="1056"/>
      <c r="J187" s="1111"/>
      <c r="K187" s="1025"/>
    </row>
    <row r="188" spans="1:11">
      <c r="A188" s="1037"/>
      <c r="B188" s="1038"/>
      <c r="C188" s="1026"/>
      <c r="D188" s="1026"/>
      <c r="E188" s="1026"/>
      <c r="F188" s="1059"/>
      <c r="G188" s="1059"/>
      <c r="H188" s="1269"/>
      <c r="I188" s="1056"/>
      <c r="J188" s="1111"/>
      <c r="K188" s="1025"/>
    </row>
    <row r="189" spans="1:11">
      <c r="A189" s="1037"/>
      <c r="B189" s="1038"/>
      <c r="C189" s="1026"/>
      <c r="D189" s="1026"/>
      <c r="E189" s="1026"/>
      <c r="F189" s="1059"/>
      <c r="G189" s="1059"/>
      <c r="H189" s="1269"/>
      <c r="I189" s="1056"/>
      <c r="J189" s="1111"/>
      <c r="K189" s="1025"/>
    </row>
    <row r="190" spans="1:11">
      <c r="A190" s="1037"/>
      <c r="B190" s="1038"/>
      <c r="C190" s="1026"/>
      <c r="D190" s="1026"/>
      <c r="E190" s="1026"/>
      <c r="F190" s="1059"/>
      <c r="G190" s="1059"/>
      <c r="H190" s="1269"/>
      <c r="I190" s="1056"/>
      <c r="J190" s="1111"/>
      <c r="K190" s="1025"/>
    </row>
    <row r="191" spans="1:11">
      <c r="A191" s="1037"/>
      <c r="B191" s="1038"/>
      <c r="C191" s="1026"/>
      <c r="D191" s="1026"/>
      <c r="E191" s="1026"/>
      <c r="F191" s="1059"/>
      <c r="G191" s="1054"/>
      <c r="H191" s="1269"/>
      <c r="I191" s="1056"/>
      <c r="J191" s="1111"/>
      <c r="K191" s="1025"/>
    </row>
    <row r="192" spans="1:11">
      <c r="A192" s="1037"/>
      <c r="B192" s="1038"/>
      <c r="C192" s="1026"/>
      <c r="D192" s="1026"/>
      <c r="E192" s="1026"/>
      <c r="F192" s="1059"/>
      <c r="G192" s="1054"/>
      <c r="H192" s="1269"/>
      <c r="I192" s="1056"/>
      <c r="J192" s="1111"/>
      <c r="K192" s="1025"/>
    </row>
    <row r="193" spans="1:11">
      <c r="A193" s="1037"/>
      <c r="B193" s="1038"/>
      <c r="C193" s="1026"/>
      <c r="D193" s="1026"/>
      <c r="E193" s="1026"/>
      <c r="F193" s="1059"/>
      <c r="G193" s="1054"/>
      <c r="H193" s="1269"/>
      <c r="I193" s="1056"/>
      <c r="J193" s="1111"/>
      <c r="K193" s="1025"/>
    </row>
    <row r="194" spans="1:11">
      <c r="A194" s="1037"/>
      <c r="B194" s="1038"/>
      <c r="C194" s="1026"/>
      <c r="D194" s="1026"/>
      <c r="E194" s="1026"/>
      <c r="F194" s="1059"/>
      <c r="G194" s="1054"/>
      <c r="H194" s="1269"/>
      <c r="I194" s="1056"/>
      <c r="J194" s="1111"/>
      <c r="K194" s="1025"/>
    </row>
    <row r="195" spans="1:11">
      <c r="A195" s="1037"/>
      <c r="B195" s="1038"/>
      <c r="C195" s="1026"/>
      <c r="D195" s="1026"/>
      <c r="E195" s="1026"/>
      <c r="F195" s="1059"/>
      <c r="G195" s="1054"/>
      <c r="H195" s="1269"/>
      <c r="I195" s="1056"/>
      <c r="J195" s="1111"/>
      <c r="K195" s="1025"/>
    </row>
    <row r="196" spans="1:11">
      <c r="A196" s="1037"/>
      <c r="B196" s="1038"/>
      <c r="C196" s="1026"/>
      <c r="D196" s="1026"/>
      <c r="E196" s="1026"/>
      <c r="F196" s="1059"/>
      <c r="G196" s="1054"/>
      <c r="H196" s="1269"/>
      <c r="I196" s="1056"/>
      <c r="J196" s="1111"/>
      <c r="K196" s="1025"/>
    </row>
    <row r="197" spans="1:11">
      <c r="A197" s="1037"/>
      <c r="B197" s="1038"/>
      <c r="C197" s="1026"/>
      <c r="D197" s="1026"/>
      <c r="E197" s="1026"/>
      <c r="F197" s="1059"/>
      <c r="G197" s="1054"/>
      <c r="H197" s="1269"/>
      <c r="I197" s="1056"/>
      <c r="J197" s="1111"/>
      <c r="K197" s="1025"/>
    </row>
    <row r="198" spans="1:11">
      <c r="A198" s="1037"/>
      <c r="B198" s="1038"/>
      <c r="C198" s="1026"/>
      <c r="D198" s="1026"/>
      <c r="E198" s="1026"/>
      <c r="F198" s="1059"/>
      <c r="G198" s="1059"/>
      <c r="H198" s="1269"/>
      <c r="I198" s="1056"/>
      <c r="J198" s="1111"/>
      <c r="K198" s="1025"/>
    </row>
    <row r="199" spans="1:11">
      <c r="A199" s="1037"/>
      <c r="B199" s="1038"/>
      <c r="C199" s="1026"/>
      <c r="D199" s="1026"/>
      <c r="E199" s="1026"/>
      <c r="F199" s="1059"/>
      <c r="G199" s="1059"/>
      <c r="H199" s="1269"/>
      <c r="I199" s="1056"/>
      <c r="J199" s="1111"/>
      <c r="K199" s="1025"/>
    </row>
    <row r="200" spans="1:11" ht="15.75">
      <c r="A200" s="1037"/>
      <c r="B200" s="1038"/>
      <c r="C200" s="1026"/>
      <c r="D200" s="1026"/>
      <c r="E200" s="1026"/>
      <c r="F200" s="1059"/>
      <c r="G200" s="1054"/>
      <c r="H200" s="1269"/>
      <c r="I200" s="1056"/>
      <c r="J200" s="1111"/>
      <c r="K200" s="1115"/>
    </row>
    <row r="201" spans="1:11">
      <c r="A201" s="1037"/>
      <c r="B201" s="1038"/>
      <c r="C201" s="1026"/>
      <c r="D201" s="1026"/>
      <c r="E201" s="1026"/>
      <c r="F201" s="1059"/>
      <c r="G201" s="1054"/>
      <c r="H201" s="1269"/>
      <c r="I201" s="1056"/>
      <c r="J201" s="1111"/>
      <c r="K201" s="1025"/>
    </row>
    <row r="202" spans="1:11">
      <c r="A202" s="1037"/>
      <c r="B202" s="1038"/>
      <c r="C202" s="1025"/>
      <c r="D202" s="1025"/>
      <c r="E202" s="1025"/>
      <c r="F202" s="1061"/>
      <c r="G202" s="1054"/>
      <c r="H202" s="1269"/>
      <c r="I202" s="1056"/>
      <c r="J202" s="1111"/>
      <c r="K202" s="1025"/>
    </row>
    <row r="203" spans="1:11">
      <c r="A203" s="1037"/>
      <c r="B203" s="1038"/>
      <c r="C203" s="1026"/>
      <c r="D203" s="1026"/>
      <c r="E203" s="1026"/>
      <c r="F203" s="1061"/>
      <c r="G203" s="1054"/>
      <c r="H203" s="1269"/>
      <c r="I203" s="1056"/>
      <c r="J203" s="1111"/>
      <c r="K203" s="1025"/>
    </row>
    <row r="204" spans="1:11" ht="15.75">
      <c r="A204" s="1037"/>
      <c r="B204" s="1038"/>
      <c r="C204" s="1026"/>
      <c r="D204" s="1026"/>
      <c r="E204" s="1026"/>
      <c r="F204" s="1059"/>
      <c r="G204" s="1059"/>
      <c r="H204" s="1269"/>
      <c r="I204" s="1056"/>
      <c r="J204" s="1111"/>
      <c r="K204" s="1115"/>
    </row>
    <row r="205" spans="1:11">
      <c r="A205" s="1037"/>
      <c r="B205" s="1038"/>
      <c r="C205" s="1026"/>
      <c r="D205" s="1026"/>
      <c r="E205" s="1026"/>
      <c r="F205" s="1059"/>
      <c r="G205" s="1059"/>
      <c r="H205" s="1269"/>
      <c r="I205" s="1056"/>
      <c r="J205" s="1111"/>
      <c r="K205" s="1025"/>
    </row>
    <row r="206" spans="1:11" ht="15.75">
      <c r="A206" s="1037"/>
      <c r="B206" s="1038"/>
      <c r="C206" s="1026"/>
      <c r="D206" s="1026"/>
      <c r="E206" s="1026"/>
      <c r="F206" s="1059"/>
      <c r="G206" s="1054"/>
      <c r="H206" s="1269"/>
      <c r="I206" s="1056"/>
      <c r="J206" s="1111"/>
      <c r="K206" s="1115"/>
    </row>
    <row r="207" spans="1:11" ht="15.75">
      <c r="A207" s="1037"/>
      <c r="B207" s="1038"/>
      <c r="C207" s="1026"/>
      <c r="D207" s="1026"/>
      <c r="E207" s="1026"/>
      <c r="F207" s="1059"/>
      <c r="G207" s="1054"/>
      <c r="H207" s="1269"/>
      <c r="I207" s="1056"/>
      <c r="J207" s="1111"/>
      <c r="K207" s="1115"/>
    </row>
    <row r="208" spans="1:11" ht="15.75">
      <c r="A208" s="1037"/>
      <c r="B208" s="1038"/>
      <c r="C208" s="1026"/>
      <c r="D208" s="1026"/>
      <c r="E208" s="1026"/>
      <c r="F208" s="1059"/>
      <c r="G208" s="1054"/>
      <c r="H208" s="1269"/>
      <c r="I208" s="1056"/>
      <c r="J208" s="1111"/>
      <c r="K208" s="1115"/>
    </row>
    <row r="209" spans="1:11" ht="15.75">
      <c r="A209" s="1037"/>
      <c r="B209" s="1038"/>
      <c r="C209" s="1026"/>
      <c r="D209" s="1026"/>
      <c r="E209" s="1026"/>
      <c r="F209" s="1059"/>
      <c r="G209" s="1054"/>
      <c r="H209" s="1269"/>
      <c r="I209" s="1056"/>
      <c r="J209" s="1111"/>
      <c r="K209" s="1115"/>
    </row>
    <row r="210" spans="1:11" ht="15.75">
      <c r="A210" s="1037"/>
      <c r="B210" s="1038"/>
      <c r="C210" s="1026"/>
      <c r="D210" s="1026"/>
      <c r="E210" s="1026"/>
      <c r="F210" s="1059"/>
      <c r="G210" s="1054"/>
      <c r="H210" s="1269"/>
      <c r="I210" s="1056"/>
      <c r="J210" s="1111"/>
      <c r="K210" s="1115"/>
    </row>
    <row r="211" spans="1:11" ht="15.75">
      <c r="A211" s="1037"/>
      <c r="B211" s="1038"/>
      <c r="C211" s="1026"/>
      <c r="D211" s="1026"/>
      <c r="E211" s="1026"/>
      <c r="F211" s="1059"/>
      <c r="G211" s="1054"/>
      <c r="H211" s="1269"/>
      <c r="I211" s="1056"/>
      <c r="J211" s="1111"/>
      <c r="K211" s="1115"/>
    </row>
    <row r="212" spans="1:11" ht="15.75">
      <c r="A212" s="1037"/>
      <c r="B212" s="1038"/>
      <c r="C212" s="1026"/>
      <c r="D212" s="1026"/>
      <c r="E212" s="1026"/>
      <c r="F212" s="1059"/>
      <c r="G212" s="1054"/>
      <c r="H212" s="1269"/>
      <c r="I212" s="1056"/>
      <c r="J212" s="1111"/>
      <c r="K212" s="1115"/>
    </row>
    <row r="213" spans="1:11" ht="15.75">
      <c r="A213" s="1037"/>
      <c r="B213" s="1038"/>
      <c r="C213" s="1026"/>
      <c r="D213" s="1026"/>
      <c r="E213" s="1026"/>
      <c r="F213" s="1059"/>
      <c r="G213" s="1054"/>
      <c r="H213" s="1269"/>
      <c r="I213" s="1056"/>
      <c r="J213" s="1111"/>
      <c r="K213" s="1115"/>
    </row>
    <row r="214" spans="1:11" ht="15.75">
      <c r="A214" s="1037"/>
      <c r="B214" s="1038"/>
      <c r="C214" s="1026"/>
      <c r="D214" s="1026"/>
      <c r="F214" s="1059"/>
      <c r="G214" s="1054"/>
      <c r="H214" s="1269"/>
      <c r="I214" s="1056"/>
      <c r="J214" s="1111"/>
      <c r="K214" s="1115"/>
    </row>
    <row r="215" spans="1:11" ht="15.75">
      <c r="A215" s="1037"/>
      <c r="B215" s="1038"/>
      <c r="C215" s="1026"/>
      <c r="D215" s="1026"/>
      <c r="E215" s="1026"/>
      <c r="F215" s="1059"/>
      <c r="G215" s="1054"/>
      <c r="H215" s="1269"/>
      <c r="I215" s="1056"/>
      <c r="J215" s="1111"/>
      <c r="K215" s="1115"/>
    </row>
    <row r="216" spans="1:11" ht="15.75">
      <c r="A216" s="1037"/>
      <c r="B216" s="1038"/>
      <c r="C216" s="1026"/>
      <c r="D216" s="1026"/>
      <c r="E216" s="1026"/>
      <c r="F216" s="1059"/>
      <c r="G216" s="1054"/>
      <c r="H216" s="1269"/>
      <c r="I216" s="1056"/>
      <c r="J216" s="1111"/>
      <c r="K216" s="1115"/>
    </row>
    <row r="217" spans="1:11" ht="15.75">
      <c r="A217" s="1037"/>
      <c r="B217" s="1038"/>
      <c r="C217" s="1026"/>
      <c r="D217" s="1026"/>
      <c r="E217" s="1026"/>
      <c r="F217" s="1059"/>
      <c r="G217" s="1054"/>
      <c r="H217" s="1269"/>
      <c r="I217" s="1056"/>
      <c r="J217" s="1111"/>
      <c r="K217" s="1115"/>
    </row>
    <row r="218" spans="1:11" ht="15.75">
      <c r="A218" s="1037"/>
      <c r="B218" s="1038"/>
      <c r="C218" s="1026"/>
      <c r="D218" s="1026"/>
      <c r="E218" s="1026"/>
      <c r="F218" s="1059"/>
      <c r="G218" s="1054"/>
      <c r="H218" s="1269"/>
      <c r="I218" s="1056"/>
      <c r="J218" s="1111"/>
      <c r="K218" s="1115"/>
    </row>
    <row r="219" spans="1:11">
      <c r="A219" s="1037"/>
      <c r="B219" s="1038"/>
      <c r="C219" s="1026"/>
      <c r="D219" s="1026"/>
      <c r="E219" s="1026"/>
      <c r="F219" s="1059"/>
      <c r="G219" s="1054"/>
      <c r="H219" s="1269"/>
      <c r="I219" s="1056"/>
      <c r="J219" s="1111"/>
      <c r="K219" s="1025"/>
    </row>
    <row r="220" spans="1:11">
      <c r="A220" s="1039"/>
      <c r="B220" s="1039"/>
      <c r="C220" s="1025"/>
      <c r="D220" s="1025"/>
      <c r="E220" s="1025"/>
      <c r="F220" s="1061"/>
      <c r="G220" s="1062"/>
      <c r="H220" s="1269"/>
      <c r="I220" s="1056"/>
      <c r="J220" s="1111"/>
      <c r="K220" s="1025"/>
    </row>
    <row r="221" spans="1:11">
      <c r="A221" s="1039"/>
      <c r="B221" s="1039"/>
      <c r="C221" s="1025"/>
      <c r="D221" s="1025"/>
      <c r="E221" s="1025"/>
      <c r="F221" s="1061"/>
      <c r="G221" s="1062"/>
      <c r="H221" s="1269"/>
      <c r="I221" s="1056"/>
      <c r="J221" s="1111"/>
      <c r="K221" s="1025"/>
    </row>
    <row r="222" spans="1:11">
      <c r="A222" s="1039"/>
      <c r="B222" s="1039"/>
      <c r="C222" s="1025"/>
      <c r="D222" s="1025"/>
      <c r="E222" s="1025"/>
      <c r="F222" s="1061"/>
      <c r="G222" s="1062"/>
      <c r="H222" s="1269"/>
      <c r="I222" s="1056"/>
      <c r="J222" s="1111"/>
      <c r="K222" s="1025"/>
    </row>
    <row r="223" spans="1:11">
      <c r="A223" s="1039"/>
      <c r="B223" s="1039"/>
      <c r="C223" s="1025"/>
      <c r="D223" s="1025"/>
      <c r="E223" s="1025"/>
      <c r="F223" s="1061"/>
      <c r="G223" s="1062"/>
      <c r="H223" s="1269"/>
      <c r="I223" s="1056"/>
      <c r="J223" s="1111"/>
      <c r="K223" s="1025"/>
    </row>
    <row r="224" spans="1:11">
      <c r="A224" s="1039"/>
      <c r="B224" s="1039"/>
      <c r="C224" s="1025"/>
      <c r="D224" s="1025"/>
      <c r="E224" s="1025"/>
      <c r="F224" s="1061"/>
      <c r="G224" s="1062"/>
      <c r="H224" s="1269"/>
      <c r="I224" s="1056"/>
      <c r="J224" s="1111"/>
      <c r="K224" s="1025"/>
    </row>
    <row r="225" spans="1:11">
      <c r="A225" s="1039"/>
      <c r="B225" s="1039"/>
      <c r="C225" s="1025"/>
      <c r="D225" s="1025"/>
      <c r="E225" s="1025"/>
      <c r="F225" s="1061"/>
      <c r="G225" s="1062"/>
      <c r="H225" s="1269"/>
      <c r="I225" s="1056"/>
      <c r="J225" s="1111"/>
      <c r="K225" s="1025"/>
    </row>
    <row r="226" spans="1:11">
      <c r="A226" s="1039"/>
      <c r="B226" s="1039"/>
      <c r="C226" s="1025"/>
      <c r="D226" s="1025"/>
      <c r="E226" s="1025"/>
      <c r="F226" s="1061"/>
      <c r="G226" s="1062"/>
      <c r="H226" s="1269"/>
      <c r="I226" s="1056"/>
      <c r="J226" s="1111"/>
      <c r="K226" s="1025"/>
    </row>
    <row r="227" spans="1:11">
      <c r="A227" s="1039"/>
      <c r="B227" s="1039"/>
      <c r="C227" s="1025"/>
      <c r="D227" s="1025"/>
      <c r="E227" s="1025"/>
      <c r="F227" s="1061"/>
      <c r="G227" s="1062"/>
      <c r="H227" s="1269"/>
      <c r="I227" s="1056"/>
      <c r="J227" s="1111"/>
      <c r="K227" s="1025"/>
    </row>
    <row r="228" spans="1:11">
      <c r="A228" s="1039"/>
      <c r="B228" s="1039"/>
      <c r="C228" s="1025"/>
      <c r="D228" s="1025"/>
      <c r="E228" s="1025"/>
      <c r="F228" s="1061"/>
      <c r="G228" s="1062"/>
      <c r="H228" s="1269"/>
      <c r="I228" s="1056"/>
      <c r="J228" s="1111"/>
      <c r="K228" s="1025"/>
    </row>
    <row r="229" spans="1:11">
      <c r="A229" s="1039"/>
      <c r="B229" s="1039"/>
      <c r="C229" s="1025"/>
      <c r="D229" s="1025"/>
      <c r="E229" s="1025"/>
      <c r="F229" s="1061"/>
      <c r="G229" s="1062"/>
      <c r="H229" s="1269"/>
      <c r="I229" s="1056"/>
      <c r="J229" s="1111"/>
      <c r="K229" s="1025"/>
    </row>
    <row r="230" spans="1:11">
      <c r="A230" s="1039"/>
      <c r="B230" s="1039"/>
      <c r="C230" s="1025"/>
      <c r="D230" s="1025"/>
      <c r="E230" s="1025"/>
      <c r="F230" s="1061"/>
      <c r="G230" s="1062"/>
      <c r="H230" s="1269"/>
      <c r="I230" s="1056"/>
      <c r="J230" s="1111"/>
      <c r="K230" s="1025"/>
    </row>
    <row r="231" spans="1:11">
      <c r="A231" s="1039"/>
      <c r="B231" s="1039"/>
      <c r="C231" s="1025"/>
      <c r="D231" s="1025"/>
      <c r="E231" s="1025"/>
      <c r="F231" s="1061"/>
      <c r="G231" s="1062"/>
      <c r="H231" s="1269"/>
      <c r="I231" s="1056"/>
      <c r="J231" s="1111"/>
      <c r="K231" s="1025"/>
    </row>
    <row r="232" spans="1:11">
      <c r="A232" s="1039"/>
      <c r="B232" s="1039"/>
      <c r="C232" s="1025"/>
      <c r="D232" s="1025"/>
      <c r="E232" s="1025"/>
      <c r="F232" s="1061"/>
      <c r="G232" s="1062"/>
      <c r="H232" s="1269"/>
      <c r="I232" s="1056"/>
      <c r="J232" s="1111"/>
      <c r="K232" s="1025"/>
    </row>
    <row r="233" spans="1:11">
      <c r="A233" s="1039"/>
      <c r="B233" s="1039"/>
      <c r="C233" s="1025"/>
      <c r="D233" s="1025"/>
      <c r="E233" s="1025"/>
      <c r="F233" s="1061"/>
      <c r="G233" s="1062"/>
      <c r="H233" s="1269"/>
      <c r="I233" s="1056"/>
      <c r="J233" s="1111"/>
      <c r="K233" s="1025"/>
    </row>
    <row r="234" spans="1:11">
      <c r="A234" s="1039"/>
      <c r="B234" s="1039"/>
      <c r="C234" s="1025"/>
      <c r="D234" s="1025"/>
      <c r="E234" s="1025"/>
      <c r="F234" s="1061"/>
      <c r="G234" s="1062"/>
      <c r="H234" s="1269"/>
      <c r="I234" s="1056"/>
      <c r="J234" s="1111"/>
      <c r="K234" s="1025"/>
    </row>
    <row r="235" spans="1:11">
      <c r="A235" s="1039"/>
      <c r="B235" s="1039"/>
      <c r="C235" s="1025"/>
      <c r="D235" s="1025"/>
      <c r="E235" s="1025"/>
      <c r="F235" s="1061"/>
      <c r="G235" s="1062"/>
      <c r="H235" s="1269"/>
      <c r="I235" s="1056"/>
      <c r="J235" s="1111"/>
      <c r="K235" s="1025"/>
    </row>
    <row r="236" spans="1:11">
      <c r="A236" s="1039"/>
      <c r="B236" s="1039"/>
      <c r="C236" s="1025"/>
      <c r="D236" s="1025"/>
      <c r="E236" s="1025"/>
      <c r="F236" s="1061"/>
      <c r="G236" s="1062"/>
      <c r="H236" s="1269"/>
      <c r="I236" s="1056"/>
      <c r="J236" s="1111"/>
      <c r="K236" s="1025"/>
    </row>
    <row r="237" spans="1:11">
      <c r="A237" s="1039"/>
      <c r="B237" s="1039"/>
      <c r="C237" s="1025"/>
      <c r="D237" s="1025"/>
      <c r="E237" s="1025"/>
      <c r="F237" s="1061"/>
      <c r="G237" s="1062"/>
      <c r="H237" s="1269"/>
      <c r="I237" s="1056"/>
      <c r="J237" s="1111"/>
      <c r="K237" s="1025"/>
    </row>
    <row r="238" spans="1:11">
      <c r="A238" s="1039"/>
      <c r="B238" s="1039"/>
      <c r="C238" s="1025"/>
      <c r="D238" s="1025"/>
      <c r="E238" s="1025"/>
      <c r="F238" s="1061"/>
      <c r="G238" s="1062"/>
      <c r="H238" s="1269"/>
      <c r="I238" s="1056"/>
      <c r="J238" s="1111"/>
      <c r="K238" s="1025"/>
    </row>
    <row r="239" spans="1:11">
      <c r="A239" s="1039"/>
      <c r="B239" s="1039"/>
      <c r="C239" s="1025"/>
      <c r="D239" s="1025"/>
      <c r="E239" s="1025"/>
      <c r="F239" s="1061"/>
      <c r="G239" s="1062"/>
      <c r="H239" s="1269"/>
      <c r="I239" s="1056"/>
      <c r="J239" s="1111"/>
      <c r="K239" s="1025"/>
    </row>
    <row r="240" spans="1:11">
      <c r="A240" s="1039"/>
      <c r="B240" s="1039"/>
      <c r="C240" s="1025"/>
      <c r="D240" s="1025"/>
      <c r="E240" s="1025"/>
      <c r="F240" s="1061"/>
      <c r="G240" s="1062"/>
      <c r="H240" s="1269"/>
      <c r="I240" s="1056"/>
      <c r="J240" s="1111"/>
      <c r="K240" s="1025"/>
    </row>
    <row r="241" spans="1:11">
      <c r="A241" s="1039"/>
      <c r="B241" s="1039"/>
      <c r="C241" s="1025"/>
      <c r="D241" s="1025"/>
      <c r="E241" s="1025"/>
      <c r="F241" s="1061"/>
      <c r="G241" s="1062"/>
      <c r="H241" s="1269"/>
      <c r="I241" s="1056"/>
      <c r="J241" s="1111"/>
      <c r="K241" s="1025"/>
    </row>
    <row r="242" spans="1:11">
      <c r="A242" s="1039"/>
      <c r="B242" s="1039"/>
      <c r="C242" s="1025"/>
      <c r="D242" s="1025"/>
      <c r="E242" s="1025"/>
      <c r="F242" s="1061"/>
      <c r="G242" s="1062"/>
      <c r="H242" s="1269"/>
      <c r="I242" s="1056"/>
      <c r="J242" s="1111"/>
      <c r="K242" s="1025"/>
    </row>
    <row r="243" spans="1:11">
      <c r="A243" s="1039"/>
      <c r="B243" s="1039"/>
      <c r="C243" s="1025"/>
      <c r="D243" s="1025"/>
      <c r="E243" s="1025"/>
      <c r="F243" s="1061"/>
      <c r="G243" s="1062"/>
      <c r="H243" s="1269"/>
      <c r="I243" s="1056"/>
      <c r="J243" s="1111"/>
      <c r="K243" s="1025"/>
    </row>
    <row r="244" spans="1:11">
      <c r="A244" s="1039"/>
      <c r="B244" s="1039"/>
      <c r="C244" s="1025"/>
      <c r="D244" s="1025"/>
      <c r="E244" s="1025"/>
      <c r="F244" s="1061"/>
      <c r="G244" s="1062"/>
      <c r="H244" s="1269"/>
      <c r="I244" s="1056"/>
      <c r="J244" s="1111"/>
      <c r="K244" s="1025"/>
    </row>
    <row r="245" spans="1:11">
      <c r="A245" s="1039"/>
      <c r="B245" s="1039"/>
      <c r="C245" s="1025"/>
      <c r="D245" s="1025"/>
      <c r="E245" s="1025"/>
      <c r="F245" s="1061"/>
      <c r="G245" s="1062"/>
      <c r="H245" s="1269"/>
      <c r="I245" s="1056"/>
      <c r="J245" s="1111"/>
      <c r="K245" s="1025"/>
    </row>
    <row r="246" spans="1:11">
      <c r="A246" s="1039"/>
      <c r="B246" s="1039"/>
      <c r="C246" s="1025"/>
      <c r="D246" s="1025"/>
      <c r="E246" s="1025"/>
      <c r="F246" s="1061"/>
      <c r="G246" s="1062"/>
      <c r="H246" s="1269"/>
      <c r="I246" s="1056"/>
      <c r="J246" s="1111"/>
      <c r="K246" s="1025"/>
    </row>
    <row r="247" spans="1:11">
      <c r="A247" s="1039"/>
      <c r="B247" s="1039"/>
      <c r="C247" s="1025"/>
      <c r="D247" s="1025"/>
      <c r="E247" s="1025"/>
      <c r="F247" s="1061"/>
      <c r="G247" s="1062"/>
      <c r="H247" s="1269"/>
      <c r="I247" s="1056"/>
      <c r="J247" s="1111"/>
      <c r="K247" s="1025"/>
    </row>
    <row r="248" spans="1:11">
      <c r="A248" s="1039"/>
      <c r="B248" s="1039"/>
      <c r="C248" s="1025"/>
      <c r="D248" s="1025"/>
      <c r="E248" s="1025"/>
      <c r="F248" s="1061"/>
      <c r="G248" s="1062"/>
      <c r="H248" s="1269"/>
      <c r="I248" s="1056"/>
      <c r="J248" s="1111"/>
      <c r="K248" s="1025"/>
    </row>
    <row r="249" spans="1:11">
      <c r="A249" s="1039"/>
      <c r="B249" s="1039"/>
      <c r="C249" s="1025"/>
      <c r="D249" s="1025"/>
      <c r="E249" s="1025"/>
      <c r="F249" s="1061"/>
      <c r="G249" s="1062"/>
      <c r="H249" s="1269"/>
      <c r="I249" s="1056"/>
      <c r="J249" s="1111"/>
      <c r="K249" s="1025"/>
    </row>
    <row r="250" spans="1:11">
      <c r="A250" s="1039"/>
      <c r="B250" s="1039"/>
      <c r="C250" s="1025"/>
      <c r="D250" s="1025"/>
      <c r="E250" s="1025"/>
      <c r="F250" s="1061"/>
      <c r="G250" s="1062"/>
      <c r="H250" s="1269"/>
      <c r="I250" s="1056"/>
      <c r="J250" s="1111"/>
      <c r="K250" s="1025"/>
    </row>
    <row r="251" spans="1:11">
      <c r="A251" s="1039"/>
      <c r="B251" s="1039"/>
      <c r="C251" s="1025"/>
      <c r="D251" s="1025"/>
      <c r="E251" s="1025"/>
      <c r="F251" s="1061"/>
      <c r="G251" s="1062"/>
      <c r="H251" s="1269"/>
      <c r="I251" s="1056"/>
      <c r="J251" s="1111"/>
      <c r="K251" s="1025"/>
    </row>
    <row r="252" spans="1:11">
      <c r="A252" s="1039"/>
      <c r="B252" s="1039"/>
      <c r="C252" s="1025"/>
      <c r="D252" s="1025"/>
      <c r="E252" s="1025"/>
      <c r="F252" s="1061"/>
      <c r="G252" s="1062"/>
      <c r="H252" s="1269"/>
      <c r="I252" s="1056"/>
      <c r="J252" s="1111"/>
      <c r="K252" s="1025"/>
    </row>
    <row r="253" spans="1:11">
      <c r="A253" s="1039"/>
      <c r="B253" s="1039"/>
      <c r="C253" s="1025"/>
      <c r="D253" s="1025"/>
      <c r="E253" s="1025"/>
      <c r="F253" s="1061"/>
      <c r="G253" s="1062"/>
      <c r="H253" s="1269"/>
      <c r="I253" s="1056"/>
      <c r="J253" s="1111"/>
      <c r="K253" s="1025"/>
    </row>
    <row r="254" spans="1:11">
      <c r="A254" s="1039"/>
      <c r="B254" s="1039"/>
      <c r="C254" s="1025"/>
      <c r="D254" s="1025"/>
      <c r="E254" s="1025"/>
      <c r="F254" s="1061"/>
      <c r="G254" s="1062"/>
      <c r="H254" s="1269"/>
      <c r="I254" s="1056"/>
      <c r="J254" s="1111"/>
      <c r="K254" s="1025"/>
    </row>
    <row r="255" spans="1:11">
      <c r="A255" s="1039"/>
      <c r="B255" s="1039"/>
      <c r="C255" s="1025"/>
      <c r="D255" s="1025"/>
      <c r="E255" s="1025"/>
      <c r="F255" s="1061"/>
      <c r="G255" s="1062"/>
      <c r="H255" s="1269"/>
      <c r="I255" s="1056"/>
      <c r="J255" s="1111"/>
      <c r="K255" s="1025"/>
    </row>
    <row r="256" spans="1:11">
      <c r="A256" s="1039"/>
      <c r="B256" s="1039"/>
      <c r="C256" s="1025"/>
      <c r="D256" s="1025"/>
      <c r="E256" s="1025"/>
      <c r="F256" s="1061"/>
      <c r="G256" s="1062"/>
      <c r="H256" s="1269"/>
      <c r="I256" s="1056"/>
      <c r="J256" s="1111"/>
      <c r="K256" s="1025"/>
    </row>
    <row r="257" spans="1:11">
      <c r="A257" s="1039"/>
      <c r="B257" s="1039"/>
      <c r="C257" s="1025"/>
      <c r="D257" s="1025"/>
      <c r="E257" s="1025"/>
      <c r="F257" s="1061"/>
      <c r="G257" s="1062"/>
      <c r="H257" s="1269"/>
      <c r="I257" s="1056"/>
      <c r="J257" s="1111"/>
      <c r="K257" s="1025"/>
    </row>
    <row r="258" spans="1:11">
      <c r="A258" s="1039"/>
      <c r="B258" s="1039"/>
      <c r="C258" s="1025"/>
      <c r="D258" s="1025"/>
      <c r="E258" s="1025"/>
      <c r="F258" s="1061"/>
      <c r="G258" s="1062"/>
      <c r="H258" s="1269"/>
      <c r="I258" s="1056"/>
      <c r="J258" s="1111"/>
      <c r="K258" s="1025"/>
    </row>
    <row r="259" spans="1:11">
      <c r="A259" s="1039"/>
      <c r="B259" s="1039"/>
      <c r="C259" s="1025"/>
      <c r="D259" s="1025"/>
      <c r="E259" s="1025"/>
      <c r="F259" s="1061"/>
      <c r="G259" s="1062"/>
      <c r="H259" s="1269"/>
      <c r="I259" s="1056"/>
      <c r="J259" s="1111"/>
      <c r="K259" s="1025"/>
    </row>
    <row r="260" spans="1:11">
      <c r="A260" s="1039"/>
      <c r="B260" s="1039"/>
      <c r="C260" s="1025"/>
      <c r="D260" s="1025"/>
      <c r="E260" s="1025"/>
      <c r="F260" s="1061"/>
      <c r="G260" s="1062"/>
      <c r="H260" s="1269"/>
      <c r="I260" s="1056"/>
      <c r="J260" s="1111"/>
      <c r="K260" s="1025"/>
    </row>
    <row r="261" spans="1:11">
      <c r="A261" s="1039"/>
      <c r="B261" s="1039"/>
      <c r="C261" s="1025"/>
      <c r="D261" s="1025"/>
      <c r="E261" s="1025"/>
      <c r="F261" s="1061"/>
      <c r="G261" s="1062"/>
      <c r="H261" s="1269"/>
      <c r="I261" s="1056"/>
      <c r="J261" s="1111"/>
      <c r="K261" s="1025"/>
    </row>
    <row r="262" spans="1:11">
      <c r="A262" s="1039"/>
      <c r="B262" s="1039"/>
      <c r="C262" s="1025"/>
      <c r="D262" s="1025"/>
      <c r="E262" s="1025"/>
      <c r="F262" s="1061"/>
      <c r="G262" s="1062"/>
      <c r="H262" s="1269"/>
      <c r="I262" s="1056"/>
      <c r="J262" s="1111"/>
      <c r="K262" s="1025"/>
    </row>
    <row r="263" spans="1:11">
      <c r="A263" s="1039"/>
      <c r="B263" s="1039"/>
      <c r="C263" s="1025"/>
      <c r="D263" s="1025"/>
      <c r="E263" s="1025"/>
      <c r="F263" s="1061"/>
      <c r="G263" s="1062"/>
      <c r="H263" s="1269"/>
      <c r="I263" s="1056"/>
      <c r="J263" s="1111"/>
      <c r="K263" s="1025"/>
    </row>
    <row r="264" spans="1:11">
      <c r="A264" s="1039"/>
      <c r="B264" s="1039"/>
      <c r="C264" s="1025"/>
      <c r="D264" s="1025"/>
      <c r="E264" s="1025"/>
      <c r="F264" s="1061"/>
      <c r="G264" s="1062"/>
      <c r="H264" s="1269"/>
      <c r="I264" s="1056"/>
      <c r="J264" s="1111"/>
      <c r="K264" s="1025"/>
    </row>
    <row r="265" spans="1:11">
      <c r="A265" s="1039"/>
      <c r="B265" s="1039"/>
      <c r="C265" s="1025"/>
      <c r="D265" s="1025"/>
      <c r="E265" s="1025"/>
      <c r="F265" s="1061"/>
      <c r="G265" s="1062"/>
      <c r="H265" s="1269"/>
      <c r="I265" s="1056"/>
      <c r="J265" s="1111"/>
      <c r="K265" s="1025"/>
    </row>
    <row r="266" spans="1:11">
      <c r="A266" s="1039"/>
      <c r="B266" s="1039"/>
      <c r="C266" s="1025"/>
      <c r="D266" s="1025"/>
      <c r="E266" s="1025"/>
      <c r="F266" s="1061"/>
      <c r="G266" s="1062"/>
      <c r="H266" s="1269"/>
      <c r="I266" s="1056"/>
      <c r="J266" s="1111"/>
      <c r="K266" s="1025"/>
    </row>
    <row r="267" spans="1:11">
      <c r="A267" s="1025"/>
      <c r="B267" s="1025"/>
      <c r="C267" s="1025"/>
      <c r="D267" s="1025"/>
      <c r="E267" s="1025"/>
      <c r="F267" s="1025"/>
      <c r="G267" s="1025"/>
      <c r="H267" s="1269"/>
      <c r="I267" s="1056"/>
      <c r="J267" s="1111"/>
      <c r="K267" s="1025"/>
    </row>
    <row r="268" spans="1:11">
      <c r="A268" s="1025"/>
      <c r="B268" s="1025"/>
      <c r="C268" s="1025"/>
      <c r="D268" s="1025"/>
      <c r="E268" s="1025"/>
      <c r="F268" s="1025"/>
      <c r="G268" s="1025"/>
      <c r="H268" s="1269"/>
      <c r="I268" s="1056"/>
      <c r="J268" s="1111"/>
      <c r="K268" s="1025"/>
    </row>
    <row r="269" spans="1:11">
      <c r="A269" s="1025"/>
      <c r="B269" s="1025"/>
      <c r="C269" s="1025"/>
      <c r="D269" s="1025"/>
      <c r="E269" s="1025"/>
      <c r="F269" s="1025"/>
      <c r="G269" s="1025"/>
      <c r="H269" s="1269"/>
      <c r="I269" s="1056"/>
      <c r="J269" s="1111"/>
      <c r="K269" s="1025"/>
    </row>
    <row r="270" spans="1:11">
      <c r="A270" s="1025"/>
      <c r="B270" s="1025"/>
      <c r="C270" s="1025"/>
      <c r="D270" s="1025"/>
      <c r="E270" s="1025"/>
      <c r="F270" s="1025"/>
      <c r="G270" s="1025"/>
      <c r="H270" s="1269"/>
      <c r="I270" s="1056"/>
      <c r="J270" s="1111"/>
      <c r="K270" s="1025"/>
    </row>
    <row r="271" spans="1:11">
      <c r="A271" s="1025"/>
      <c r="B271" s="1025"/>
      <c r="C271" s="1025"/>
      <c r="D271" s="1025"/>
      <c r="E271" s="1025"/>
      <c r="F271" s="1025"/>
      <c r="G271" s="1025"/>
      <c r="H271" s="1269"/>
      <c r="I271" s="1056"/>
      <c r="J271" s="1111"/>
      <c r="K271" s="1025"/>
    </row>
    <row r="272" spans="1:11">
      <c r="A272" s="1025"/>
      <c r="B272" s="1025"/>
      <c r="C272" s="1025"/>
      <c r="D272" s="1025"/>
      <c r="E272" s="1025"/>
      <c r="F272" s="1025"/>
      <c r="G272" s="1025"/>
      <c r="H272" s="1269"/>
      <c r="I272" s="1056"/>
      <c r="J272" s="1111"/>
      <c r="K272" s="1025"/>
    </row>
    <row r="273" spans="1:11">
      <c r="A273" s="1025"/>
      <c r="B273" s="1025"/>
      <c r="C273" s="1025"/>
      <c r="D273" s="1025"/>
      <c r="E273" s="1025"/>
      <c r="F273" s="1025"/>
      <c r="G273" s="1025"/>
      <c r="H273" s="1269"/>
      <c r="I273" s="1056"/>
      <c r="J273" s="1111"/>
      <c r="K273" s="1025"/>
    </row>
    <row r="274" spans="1:11">
      <c r="A274" s="1025"/>
      <c r="B274" s="1025"/>
      <c r="C274" s="1025"/>
      <c r="D274" s="1025"/>
      <c r="E274" s="1025"/>
      <c r="F274" s="1025"/>
      <c r="G274" s="1025"/>
      <c r="H274" s="1269"/>
      <c r="I274" s="1056"/>
      <c r="J274" s="1111"/>
      <c r="K274" s="1025"/>
    </row>
    <row r="275" spans="1:11">
      <c r="A275" s="1025"/>
      <c r="B275" s="1025"/>
      <c r="C275" s="1025"/>
      <c r="D275" s="1025"/>
      <c r="E275" s="1025"/>
      <c r="F275" s="1025"/>
      <c r="G275" s="1025"/>
      <c r="H275" s="1269"/>
      <c r="I275" s="1056"/>
      <c r="J275" s="1111"/>
      <c r="K275" s="1025"/>
    </row>
    <row r="276" spans="1:11">
      <c r="A276" s="1025"/>
      <c r="B276" s="1025"/>
      <c r="C276" s="1025"/>
      <c r="D276" s="1025"/>
      <c r="E276" s="1025"/>
      <c r="F276" s="1025"/>
      <c r="G276" s="1025"/>
      <c r="H276" s="1269"/>
      <c r="I276" s="1056"/>
      <c r="J276" s="1111"/>
      <c r="K276" s="1025"/>
    </row>
    <row r="277" spans="1:11">
      <c r="A277" s="1025"/>
      <c r="B277" s="1025"/>
      <c r="C277" s="1025"/>
      <c r="D277" s="1025"/>
      <c r="E277" s="1025"/>
      <c r="F277" s="1025"/>
      <c r="G277" s="1025"/>
      <c r="H277" s="1269"/>
      <c r="I277" s="1056"/>
      <c r="J277" s="1111"/>
      <c r="K277" s="1025"/>
    </row>
    <row r="278" spans="1:11">
      <c r="A278" s="1025"/>
      <c r="B278" s="1025"/>
      <c r="C278" s="1025"/>
      <c r="D278" s="1025"/>
      <c r="E278" s="1025"/>
      <c r="F278" s="1025"/>
      <c r="G278" s="1025"/>
      <c r="H278" s="1269"/>
      <c r="I278" s="1056"/>
      <c r="J278" s="1111"/>
      <c r="K278" s="1025"/>
    </row>
    <row r="279" spans="1:11">
      <c r="A279" s="1025"/>
      <c r="B279" s="1025"/>
      <c r="C279" s="1025"/>
      <c r="D279" s="1025"/>
      <c r="E279" s="1025"/>
      <c r="F279" s="1025"/>
      <c r="G279" s="1025"/>
      <c r="H279" s="1269"/>
      <c r="I279" s="1056"/>
      <c r="J279" s="1111"/>
      <c r="K279" s="1025"/>
    </row>
    <row r="280" spans="1:11">
      <c r="A280" s="1025"/>
      <c r="B280" s="1025"/>
      <c r="C280" s="1025"/>
      <c r="D280" s="1025"/>
      <c r="E280" s="1025"/>
      <c r="F280" s="1025"/>
      <c r="G280" s="1025"/>
      <c r="H280" s="1269"/>
      <c r="I280" s="1056"/>
      <c r="J280" s="1111"/>
      <c r="K280" s="1025"/>
    </row>
    <row r="281" spans="1:11" ht="15.75" thickBot="1">
      <c r="A281" s="1037"/>
      <c r="B281" s="1038"/>
      <c r="C281" s="1026"/>
      <c r="D281" s="1026"/>
      <c r="E281" s="1026"/>
      <c r="F281" s="1059"/>
      <c r="G281" s="1054"/>
      <c r="H281" s="1269"/>
      <c r="I281" s="1056"/>
      <c r="J281" s="1111"/>
      <c r="K281" s="1025"/>
    </row>
    <row r="282" spans="1:11" ht="20.25" thickBot="1">
      <c r="A282" s="1552"/>
      <c r="B282" s="1553"/>
      <c r="C282" s="1553"/>
      <c r="D282" s="1553"/>
      <c r="E282" s="1553"/>
      <c r="F282" s="1554">
        <f>SUM(F161:F169,F171:F281)</f>
        <v>0</v>
      </c>
      <c r="G282" s="1553"/>
      <c r="H282" s="1558">
        <f>SUM(H61:H281)</f>
        <v>6178.9167900000002</v>
      </c>
      <c r="I282" s="1554">
        <f>SUM(I161:I281)</f>
        <v>0</v>
      </c>
      <c r="J282" s="1111"/>
      <c r="K282" s="1115"/>
    </row>
  </sheetData>
  <autoFilter ref="A1:K61" xr:uid="{21882759-4D0B-429C-9119-AB34487C605F}">
    <sortState xmlns:xlrd2="http://schemas.microsoft.com/office/spreadsheetml/2017/richdata2" ref="A2:K61">
      <sortCondition ref="B1:B6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148</vt:i4>
      </vt:variant>
    </vt:vector>
  </HeadingPairs>
  <TitlesOfParts>
    <vt:vector size="148" baseType="lpstr"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JANEIRO</vt:lpstr>
      <vt:lpstr>FEVEREIRO</vt:lpstr>
      <vt:lpstr>MARÇO</vt:lpstr>
      <vt:lpstr>ABRIL</vt:lpstr>
      <vt:lpstr>MAIO 2015</vt:lpstr>
      <vt:lpstr>JUNHO 2015</vt:lpstr>
      <vt:lpstr>JULHO 2015</vt:lpstr>
      <vt:lpstr>AGOSTO 2016</vt:lpstr>
      <vt:lpstr>SETEMBRO 2015</vt:lpstr>
      <vt:lpstr>OUTUBRO 2015</vt:lpstr>
      <vt:lpstr>NOVEMBRO 2015</vt:lpstr>
      <vt:lpstr>DEZEMBRO 2015</vt:lpstr>
      <vt:lpstr>JANEIRO 2016</vt:lpstr>
      <vt:lpstr>FEVEREIRO 2016</vt:lpstr>
      <vt:lpstr>MARÇO 2016</vt:lpstr>
      <vt:lpstr>ABRIL 2016</vt:lpstr>
      <vt:lpstr>MAIO 2016</vt:lpstr>
      <vt:lpstr>JUNHO 2016</vt:lpstr>
      <vt:lpstr>JULHO 2016</vt:lpstr>
      <vt:lpstr>AGOSTO 2016,</vt:lpstr>
      <vt:lpstr>SETEMBRO 2016</vt:lpstr>
      <vt:lpstr>OUTUBRO 2016</vt:lpstr>
      <vt:lpstr>NOVEMBRO 2016</vt:lpstr>
      <vt:lpstr>Dezembro 2016</vt:lpstr>
      <vt:lpstr>Janeiro 2017</vt:lpstr>
      <vt:lpstr>Fevereiro 2017</vt:lpstr>
      <vt:lpstr>Março 2017</vt:lpstr>
      <vt:lpstr>Abril 2017</vt:lpstr>
      <vt:lpstr>Maio 2017</vt:lpstr>
      <vt:lpstr>Junho 2017</vt:lpstr>
      <vt:lpstr>Julho 2017</vt:lpstr>
      <vt:lpstr>Agosto 2017</vt:lpstr>
      <vt:lpstr>Setembro 2017</vt:lpstr>
      <vt:lpstr>Outubro 2017</vt:lpstr>
      <vt:lpstr>Novembro 2017</vt:lpstr>
      <vt:lpstr>Dezembro 2017</vt:lpstr>
      <vt:lpstr>Janeiro 2018</vt:lpstr>
      <vt:lpstr>Fevereiro 2018</vt:lpstr>
      <vt:lpstr>Março 2018</vt:lpstr>
      <vt:lpstr>Abril 2018</vt:lpstr>
      <vt:lpstr>Maio 2018</vt:lpstr>
      <vt:lpstr>Junho 2018</vt:lpstr>
      <vt:lpstr>Julho 2018</vt:lpstr>
      <vt:lpstr>Agosto 2018</vt:lpstr>
      <vt:lpstr>Setembro 2018</vt:lpstr>
      <vt:lpstr>Outubro 2018</vt:lpstr>
      <vt:lpstr>Novembro 2018</vt:lpstr>
      <vt:lpstr>Dezembro 2018</vt:lpstr>
      <vt:lpstr>Janeiro 2019</vt:lpstr>
      <vt:lpstr>Fevereiro 2019</vt:lpstr>
      <vt:lpstr>Março 2019</vt:lpstr>
      <vt:lpstr>Abril 2019</vt:lpstr>
      <vt:lpstr>Maio 2019</vt:lpstr>
      <vt:lpstr>Junho 2019</vt:lpstr>
      <vt:lpstr>Julho 2019</vt:lpstr>
      <vt:lpstr>Agosto 2019</vt:lpstr>
      <vt:lpstr>Setembro 2019</vt:lpstr>
      <vt:lpstr>Outubro 2019</vt:lpstr>
      <vt:lpstr>Novembro 2019</vt:lpstr>
      <vt:lpstr>Dezembro 2019</vt:lpstr>
      <vt:lpstr>Janeiro 2020</vt:lpstr>
      <vt:lpstr>Fevereiro 2020</vt:lpstr>
      <vt:lpstr>Março 2020</vt:lpstr>
      <vt:lpstr>ABRIL 2020</vt:lpstr>
      <vt:lpstr>MAIO 2020</vt:lpstr>
      <vt:lpstr>Junho 2020</vt:lpstr>
      <vt:lpstr>Julho 2020</vt:lpstr>
      <vt:lpstr>AGOSTO 2020</vt:lpstr>
      <vt:lpstr>SETEMBRO 2020</vt:lpstr>
      <vt:lpstr>OUTUBRO 2020</vt:lpstr>
      <vt:lpstr>NOVEMBRO 2020</vt:lpstr>
      <vt:lpstr>DEZEMBRO 2020</vt:lpstr>
      <vt:lpstr>JANEIRO 2021</vt:lpstr>
      <vt:lpstr>FEVEREIRO 2021</vt:lpstr>
      <vt:lpstr>MARÇO 2021</vt:lpstr>
      <vt:lpstr>ABRIL 2021</vt:lpstr>
      <vt:lpstr>MAIO 2021</vt:lpstr>
      <vt:lpstr>JUNHO 2021</vt:lpstr>
      <vt:lpstr>JULHO 2021</vt:lpstr>
      <vt:lpstr>AGOSTO 2021</vt:lpstr>
      <vt:lpstr>SETEMBRO 2021</vt:lpstr>
      <vt:lpstr>OUTUBRO 2021</vt:lpstr>
      <vt:lpstr>NOVEMBRO 2021</vt:lpstr>
      <vt:lpstr>DEZEMBRO 2021</vt:lpstr>
      <vt:lpstr>JANEIRO 2022</vt:lpstr>
      <vt:lpstr>FEVEREIRO 2022</vt:lpstr>
      <vt:lpstr>MARÇO 2022</vt:lpstr>
      <vt:lpstr>ABRIL 2022</vt:lpstr>
      <vt:lpstr>MAIO 2022</vt:lpstr>
      <vt:lpstr>JUNHO 2022</vt:lpstr>
      <vt:lpstr>JULHO 2022</vt:lpstr>
      <vt:lpstr>AGOSTO 2022</vt:lpstr>
      <vt:lpstr>SETEMBRO 2022</vt:lpstr>
      <vt:lpstr>OUTUBRO 2022</vt:lpstr>
      <vt:lpstr>NOVEMBRO 2022</vt:lpstr>
      <vt:lpstr>DEZEMBRO 2022</vt:lpstr>
      <vt:lpstr>JANEIRO 2023</vt:lpstr>
      <vt:lpstr>FEVEREIRO 2023</vt:lpstr>
      <vt:lpstr>MARÇO 2023</vt:lpstr>
      <vt:lpstr>ABRIL 2023</vt:lpstr>
      <vt:lpstr>MAIO 2023</vt:lpstr>
      <vt:lpstr>JUNHO 2023</vt:lpstr>
      <vt:lpstr>JULHO 2023</vt:lpstr>
      <vt:lpstr>AGOSTO 2023</vt:lpstr>
      <vt:lpstr>SETEMBRO 2023</vt:lpstr>
      <vt:lpstr>OUTUBRO 2023</vt:lpstr>
      <vt:lpstr>NOVEMBRO 2023</vt:lpstr>
      <vt:lpstr>DEZEMBRO 2023</vt:lpstr>
      <vt:lpstr>JANEIRO 2024</vt:lpstr>
      <vt:lpstr>FEVEREIRO 2024</vt:lpstr>
      <vt:lpstr>MARÇO 2024</vt:lpstr>
      <vt:lpstr>ABRIL 2024</vt:lpstr>
      <vt:lpstr>MAIO 2024</vt:lpstr>
      <vt:lpstr>JUNHO 2024</vt:lpstr>
      <vt:lpstr>JULHO 2024</vt:lpstr>
      <vt:lpstr>AGOSTO 2024</vt:lpstr>
      <vt:lpstr>SETEMBRO 2024</vt:lpstr>
      <vt:lpstr>OUTUBRO 2024</vt:lpstr>
      <vt:lpstr>NOVEMBRO 2024</vt:lpstr>
      <vt:lpstr>DEZEMBRO 2024</vt:lpstr>
      <vt:lpstr>JANEIRO 2025</vt:lpstr>
      <vt:lpstr>FEVEREIRO 2025</vt:lpstr>
      <vt:lpstr>MARÇO 2025</vt:lpstr>
      <vt:lpstr>ABRIL 2025</vt:lpstr>
      <vt:lpstr>MAIO 2025</vt:lpstr>
      <vt:lpstr>JUNHO 2025</vt:lpstr>
      <vt:lpstr>JULHO 2025</vt:lpstr>
      <vt:lpstr>AGOSTO 2025</vt:lpstr>
      <vt:lpstr>SETEMBRO 2025</vt:lpstr>
      <vt:lpstr>OUTUBRO 2025</vt:lpstr>
      <vt:lpstr>NOVEMBRO 2025</vt:lpstr>
      <vt:lpstr>DEZEMBRO 2025</vt:lpstr>
      <vt:lpstr>ANALISE 2025</vt:lpstr>
      <vt:lpstr>JANEIRO 2026</vt:lpstr>
      <vt:lpstr>FEVEREIRO 2026</vt:lpstr>
      <vt:lpstr>MARÇO 2026</vt:lpstr>
      <vt:lpstr>ABRIL 2026</vt:lpstr>
      <vt:lpstr>MAIO 2026</vt:lpstr>
      <vt:lpstr>JUNHO 2026</vt:lpstr>
      <vt:lpstr>JULHO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</dc:creator>
  <cp:keywords/>
  <dc:description/>
  <cp:lastModifiedBy>CONVES SEGUROS</cp:lastModifiedBy>
  <cp:revision/>
  <dcterms:created xsi:type="dcterms:W3CDTF">2014-05-15T19:40:22Z</dcterms:created>
  <dcterms:modified xsi:type="dcterms:W3CDTF">2026-07-16T20:48:37Z</dcterms:modified>
  <cp:category/>
  <cp:contentStatus/>
</cp:coreProperties>
</file>